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Сметы\"/>
    </mc:Choice>
  </mc:AlternateContent>
  <xr:revisionPtr revIDLastSave="0" documentId="13_ncr:1_{8D5314C5-3708-4D98-A68D-F1814F644EA8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доп.67'!$A$1:$K$648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H646" i="7"/>
  <c r="H643" i="7"/>
  <c r="C646" i="7"/>
  <c r="C643" i="7"/>
  <c r="J640" i="7"/>
  <c r="H640" i="7"/>
  <c r="C640" i="7"/>
  <c r="J29" i="7"/>
  <c r="J26" i="7"/>
  <c r="J25" i="7"/>
  <c r="J24" i="7"/>
  <c r="J23" i="7"/>
  <c r="J21" i="7" s="1"/>
  <c r="J22" i="7"/>
  <c r="I29" i="7"/>
  <c r="I27" i="7"/>
  <c r="I26" i="7"/>
  <c r="I25" i="7"/>
  <c r="I24" i="7"/>
  <c r="I23" i="7"/>
  <c r="I22" i="7"/>
  <c r="I21" i="7" s="1"/>
  <c r="I639" i="7"/>
  <c r="J639" i="7"/>
  <c r="I638" i="7"/>
  <c r="J638" i="7"/>
  <c r="A637" i="7"/>
  <c r="J635" i="7"/>
  <c r="H635" i="7"/>
  <c r="C635" i="7"/>
  <c r="J634" i="7"/>
  <c r="H634" i="7"/>
  <c r="C634" i="7"/>
  <c r="J633" i="7"/>
  <c r="H633" i="7"/>
  <c r="C633" i="7"/>
  <c r="I632" i="7"/>
  <c r="J632" i="7"/>
  <c r="I631" i="7"/>
  <c r="J631" i="7"/>
  <c r="AQ630" i="7"/>
  <c r="A630" i="7"/>
  <c r="I628" i="7"/>
  <c r="J628" i="7"/>
  <c r="I627" i="7"/>
  <c r="J627" i="7"/>
  <c r="A626" i="7"/>
  <c r="P623" i="7"/>
  <c r="K622" i="7"/>
  <c r="J623" i="7" s="1"/>
  <c r="J622" i="7"/>
  <c r="I622" i="7"/>
  <c r="O623" i="7" s="1"/>
  <c r="H622" i="7"/>
  <c r="F622" i="7"/>
  <c r="V622" i="7"/>
  <c r="T622" i="7"/>
  <c r="R622" i="7"/>
  <c r="U622" i="7"/>
  <c r="S622" i="7"/>
  <c r="Q622" i="7"/>
  <c r="E622" i="7"/>
  <c r="D622" i="7"/>
  <c r="B622" i="7"/>
  <c r="O620" i="7"/>
  <c r="P620" i="7"/>
  <c r="J620" i="7"/>
  <c r="C619" i="7"/>
  <c r="K618" i="7"/>
  <c r="J618" i="7"/>
  <c r="I618" i="7"/>
  <c r="H620" i="7" s="1"/>
  <c r="H618" i="7"/>
  <c r="F618" i="7"/>
  <c r="V618" i="7"/>
  <c r="T618" i="7"/>
  <c r="R618" i="7"/>
  <c r="U618" i="7"/>
  <c r="S618" i="7"/>
  <c r="Q618" i="7"/>
  <c r="E618" i="7"/>
  <c r="D618" i="7"/>
  <c r="B618" i="7"/>
  <c r="C615" i="7"/>
  <c r="K614" i="7"/>
  <c r="P616" i="7" s="1"/>
  <c r="J614" i="7"/>
  <c r="I614" i="7"/>
  <c r="O616" i="7" s="1"/>
  <c r="H614" i="7"/>
  <c r="F614" i="7"/>
  <c r="V614" i="7"/>
  <c r="T614" i="7"/>
  <c r="R614" i="7"/>
  <c r="U614" i="7"/>
  <c r="S614" i="7"/>
  <c r="Q614" i="7"/>
  <c r="E614" i="7"/>
  <c r="D614" i="7"/>
  <c r="B614" i="7"/>
  <c r="O612" i="7"/>
  <c r="H612" i="7"/>
  <c r="P612" i="7"/>
  <c r="J612" i="7"/>
  <c r="C611" i="7"/>
  <c r="K610" i="7"/>
  <c r="J610" i="7"/>
  <c r="I610" i="7"/>
  <c r="H610" i="7"/>
  <c r="F610" i="7"/>
  <c r="V610" i="7"/>
  <c r="T610" i="7"/>
  <c r="R610" i="7"/>
  <c r="U610" i="7"/>
  <c r="S610" i="7"/>
  <c r="Q610" i="7"/>
  <c r="E610" i="7"/>
  <c r="D610" i="7"/>
  <c r="B610" i="7"/>
  <c r="P608" i="7"/>
  <c r="J608" i="7"/>
  <c r="C607" i="7"/>
  <c r="K606" i="7"/>
  <c r="J606" i="7"/>
  <c r="I606" i="7"/>
  <c r="O608" i="7" s="1"/>
  <c r="H606" i="7"/>
  <c r="F606" i="7"/>
  <c r="V606" i="7"/>
  <c r="T606" i="7"/>
  <c r="R606" i="7"/>
  <c r="U606" i="7"/>
  <c r="S606" i="7"/>
  <c r="Q606" i="7"/>
  <c r="E606" i="7"/>
  <c r="D606" i="7"/>
  <c r="B606" i="7"/>
  <c r="P604" i="7"/>
  <c r="J604" i="7"/>
  <c r="C603" i="7"/>
  <c r="K602" i="7"/>
  <c r="J602" i="7"/>
  <c r="I602" i="7"/>
  <c r="O604" i="7" s="1"/>
  <c r="H602" i="7"/>
  <c r="F602" i="7"/>
  <c r="V602" i="7"/>
  <c r="T602" i="7"/>
  <c r="R602" i="7"/>
  <c r="U602" i="7"/>
  <c r="S602" i="7"/>
  <c r="Q602" i="7"/>
  <c r="E602" i="7"/>
  <c r="D602" i="7"/>
  <c r="B602" i="7"/>
  <c r="O600" i="7"/>
  <c r="H600" i="7"/>
  <c r="J600" i="7"/>
  <c r="C599" i="7"/>
  <c r="K598" i="7"/>
  <c r="P600" i="7" s="1"/>
  <c r="J598" i="7"/>
  <c r="I598" i="7"/>
  <c r="H598" i="7"/>
  <c r="F598" i="7"/>
  <c r="V598" i="7"/>
  <c r="T598" i="7"/>
  <c r="R598" i="7"/>
  <c r="U598" i="7"/>
  <c r="S598" i="7"/>
  <c r="Q598" i="7"/>
  <c r="E598" i="7"/>
  <c r="D598" i="7"/>
  <c r="B598" i="7"/>
  <c r="O596" i="7"/>
  <c r="C595" i="7"/>
  <c r="K594" i="7"/>
  <c r="P596" i="7" s="1"/>
  <c r="J594" i="7"/>
  <c r="I594" i="7"/>
  <c r="H596" i="7" s="1"/>
  <c r="H594" i="7"/>
  <c r="F594" i="7"/>
  <c r="V594" i="7"/>
  <c r="T594" i="7"/>
  <c r="R594" i="7"/>
  <c r="U594" i="7"/>
  <c r="S594" i="7"/>
  <c r="Q594" i="7"/>
  <c r="E594" i="7"/>
  <c r="D594" i="7"/>
  <c r="B594" i="7"/>
  <c r="H591" i="7"/>
  <c r="J591" i="7"/>
  <c r="I589" i="7"/>
  <c r="H589" i="7"/>
  <c r="E589" i="7"/>
  <c r="K588" i="7"/>
  <c r="J588" i="7"/>
  <c r="E588" i="7"/>
  <c r="J587" i="7"/>
  <c r="E587" i="7"/>
  <c r="K586" i="7"/>
  <c r="J586" i="7"/>
  <c r="H586" i="7"/>
  <c r="I586" i="7"/>
  <c r="F586" i="7"/>
  <c r="V586" i="7"/>
  <c r="T586" i="7"/>
  <c r="R586" i="7"/>
  <c r="U586" i="7"/>
  <c r="S586" i="7"/>
  <c r="Q586" i="7"/>
  <c r="E586" i="7"/>
  <c r="D586" i="7"/>
  <c r="B586" i="7"/>
  <c r="K585" i="7"/>
  <c r="J585" i="7"/>
  <c r="I585" i="7"/>
  <c r="H585" i="7"/>
  <c r="F585" i="7"/>
  <c r="K584" i="7"/>
  <c r="J584" i="7"/>
  <c r="I584" i="7"/>
  <c r="H584" i="7"/>
  <c r="F584" i="7"/>
  <c r="K583" i="7"/>
  <c r="P592" i="7" s="1"/>
  <c r="J583" i="7"/>
  <c r="I583" i="7"/>
  <c r="H583" i="7"/>
  <c r="F583" i="7"/>
  <c r="C582" i="7"/>
  <c r="V581" i="7"/>
  <c r="T581" i="7"/>
  <c r="R581" i="7"/>
  <c r="K587" i="7" s="1"/>
  <c r="U581" i="7"/>
  <c r="S581" i="7"/>
  <c r="I588" i="7" s="1"/>
  <c r="Q581" i="7"/>
  <c r="I587" i="7" s="1"/>
  <c r="E581" i="7"/>
  <c r="D581" i="7"/>
  <c r="B581" i="7"/>
  <c r="A580" i="7"/>
  <c r="I578" i="7"/>
  <c r="J578" i="7"/>
  <c r="I577" i="7"/>
  <c r="J577" i="7"/>
  <c r="A576" i="7"/>
  <c r="O573" i="7"/>
  <c r="H576" i="7" s="1"/>
  <c r="H573" i="7"/>
  <c r="K572" i="7"/>
  <c r="P573" i="7" s="1"/>
  <c r="J576" i="7" s="1"/>
  <c r="J572" i="7"/>
  <c r="I572" i="7"/>
  <c r="H572" i="7"/>
  <c r="F572" i="7"/>
  <c r="V572" i="7"/>
  <c r="T572" i="7"/>
  <c r="R572" i="7"/>
  <c r="U572" i="7"/>
  <c r="S572" i="7"/>
  <c r="Q572" i="7"/>
  <c r="E572" i="7"/>
  <c r="D572" i="7"/>
  <c r="B572" i="7"/>
  <c r="A571" i="7"/>
  <c r="I569" i="7"/>
  <c r="J569" i="7"/>
  <c r="I568" i="7"/>
  <c r="J568" i="7"/>
  <c r="A567" i="7"/>
  <c r="H563" i="7"/>
  <c r="I561" i="7"/>
  <c r="H561" i="7"/>
  <c r="E561" i="7"/>
  <c r="J560" i="7"/>
  <c r="E560" i="7"/>
  <c r="K559" i="7"/>
  <c r="J559" i="7"/>
  <c r="E559" i="7"/>
  <c r="K558" i="7"/>
  <c r="J558" i="7"/>
  <c r="H558" i="7"/>
  <c r="I558" i="7"/>
  <c r="F558" i="7"/>
  <c r="V558" i="7"/>
  <c r="T558" i="7"/>
  <c r="R558" i="7"/>
  <c r="U558" i="7"/>
  <c r="S558" i="7"/>
  <c r="Q558" i="7"/>
  <c r="E558" i="7"/>
  <c r="D558" i="7"/>
  <c r="B558" i="7"/>
  <c r="K557" i="7"/>
  <c r="J563" i="7" s="1"/>
  <c r="J557" i="7"/>
  <c r="H557" i="7"/>
  <c r="I557" i="7"/>
  <c r="F557" i="7"/>
  <c r="V557" i="7"/>
  <c r="T557" i="7"/>
  <c r="R557" i="7"/>
  <c r="U557" i="7"/>
  <c r="S557" i="7"/>
  <c r="Q557" i="7"/>
  <c r="I559" i="7" s="1"/>
  <c r="H562" i="7" s="1"/>
  <c r="E557" i="7"/>
  <c r="D557" i="7"/>
  <c r="B557" i="7"/>
  <c r="K556" i="7"/>
  <c r="J556" i="7"/>
  <c r="I556" i="7"/>
  <c r="H556" i="7"/>
  <c r="F556" i="7"/>
  <c r="K555" i="7"/>
  <c r="J555" i="7"/>
  <c r="I555" i="7"/>
  <c r="H555" i="7"/>
  <c r="F555" i="7"/>
  <c r="K554" i="7"/>
  <c r="J554" i="7"/>
  <c r="I554" i="7"/>
  <c r="H554" i="7"/>
  <c r="F554" i="7"/>
  <c r="K553" i="7"/>
  <c r="P564" i="7" s="1"/>
  <c r="J553" i="7"/>
  <c r="I553" i="7"/>
  <c r="O564" i="7" s="1"/>
  <c r="H553" i="7"/>
  <c r="F553" i="7"/>
  <c r="C552" i="7"/>
  <c r="V551" i="7"/>
  <c r="T551" i="7"/>
  <c r="K560" i="7" s="1"/>
  <c r="R551" i="7"/>
  <c r="U551" i="7"/>
  <c r="S551" i="7"/>
  <c r="I560" i="7" s="1"/>
  <c r="Q551" i="7"/>
  <c r="E551" i="7"/>
  <c r="D551" i="7"/>
  <c r="B551" i="7"/>
  <c r="H548" i="7"/>
  <c r="J548" i="7"/>
  <c r="I546" i="7"/>
  <c r="H546" i="7"/>
  <c r="E546" i="7"/>
  <c r="J545" i="7"/>
  <c r="E545" i="7"/>
  <c r="J544" i="7"/>
  <c r="E544" i="7"/>
  <c r="K543" i="7"/>
  <c r="J543" i="7"/>
  <c r="H543" i="7"/>
  <c r="I543" i="7"/>
  <c r="F543" i="7"/>
  <c r="V543" i="7"/>
  <c r="T543" i="7"/>
  <c r="R543" i="7"/>
  <c r="U543" i="7"/>
  <c r="S543" i="7"/>
  <c r="Q543" i="7"/>
  <c r="E543" i="7"/>
  <c r="D543" i="7"/>
  <c r="B543" i="7"/>
  <c r="K542" i="7"/>
  <c r="J542" i="7"/>
  <c r="H542" i="7"/>
  <c r="I542" i="7"/>
  <c r="F542" i="7"/>
  <c r="V542" i="7"/>
  <c r="T542" i="7"/>
  <c r="R542" i="7"/>
  <c r="U542" i="7"/>
  <c r="S542" i="7"/>
  <c r="I545" i="7" s="1"/>
  <c r="Q542" i="7"/>
  <c r="E542" i="7"/>
  <c r="D542" i="7"/>
  <c r="B542" i="7"/>
  <c r="K541" i="7"/>
  <c r="J541" i="7"/>
  <c r="I541" i="7"/>
  <c r="H541" i="7"/>
  <c r="F541" i="7"/>
  <c r="K540" i="7"/>
  <c r="J540" i="7"/>
  <c r="I540" i="7"/>
  <c r="H540" i="7"/>
  <c r="F540" i="7"/>
  <c r="K539" i="7"/>
  <c r="J539" i="7"/>
  <c r="I539" i="7"/>
  <c r="H539" i="7"/>
  <c r="F539" i="7"/>
  <c r="K538" i="7"/>
  <c r="J538" i="7"/>
  <c r="I538" i="7"/>
  <c r="H538" i="7"/>
  <c r="F538" i="7"/>
  <c r="C537" i="7"/>
  <c r="V536" i="7"/>
  <c r="T536" i="7"/>
  <c r="K545" i="7" s="1"/>
  <c r="R536" i="7"/>
  <c r="K544" i="7" s="1"/>
  <c r="U536" i="7"/>
  <c r="S536" i="7"/>
  <c r="Q536" i="7"/>
  <c r="I544" i="7" s="1"/>
  <c r="E536" i="7"/>
  <c r="D536" i="7"/>
  <c r="B536" i="7"/>
  <c r="H534" i="7"/>
  <c r="K533" i="7"/>
  <c r="P534" i="7" s="1"/>
  <c r="J533" i="7"/>
  <c r="I533" i="7"/>
  <c r="O534" i="7" s="1"/>
  <c r="H533" i="7"/>
  <c r="F533" i="7"/>
  <c r="V533" i="7"/>
  <c r="T533" i="7"/>
  <c r="R533" i="7"/>
  <c r="U533" i="7"/>
  <c r="S533" i="7"/>
  <c r="Q533" i="7"/>
  <c r="E533" i="7"/>
  <c r="D533" i="7"/>
  <c r="B533" i="7"/>
  <c r="P531" i="7"/>
  <c r="J531" i="7"/>
  <c r="K530" i="7"/>
  <c r="J530" i="7"/>
  <c r="I530" i="7"/>
  <c r="O531" i="7" s="1"/>
  <c r="H530" i="7"/>
  <c r="F530" i="7"/>
  <c r="V530" i="7"/>
  <c r="T530" i="7"/>
  <c r="R530" i="7"/>
  <c r="U530" i="7"/>
  <c r="S530" i="7"/>
  <c r="Q530" i="7"/>
  <c r="E530" i="7"/>
  <c r="D530" i="7"/>
  <c r="B530" i="7"/>
  <c r="H528" i="7"/>
  <c r="K527" i="7"/>
  <c r="P528" i="7" s="1"/>
  <c r="J527" i="7"/>
  <c r="I527" i="7"/>
  <c r="O528" i="7" s="1"/>
  <c r="H527" i="7"/>
  <c r="F527" i="7"/>
  <c r="V527" i="7"/>
  <c r="T527" i="7"/>
  <c r="R527" i="7"/>
  <c r="U527" i="7"/>
  <c r="S527" i="7"/>
  <c r="Q527" i="7"/>
  <c r="E527" i="7"/>
  <c r="D527" i="7"/>
  <c r="B527" i="7"/>
  <c r="P525" i="7"/>
  <c r="J525" i="7"/>
  <c r="K524" i="7"/>
  <c r="J524" i="7"/>
  <c r="I524" i="7"/>
  <c r="O525" i="7" s="1"/>
  <c r="H524" i="7"/>
  <c r="F524" i="7"/>
  <c r="V524" i="7"/>
  <c r="T524" i="7"/>
  <c r="R524" i="7"/>
  <c r="U524" i="7"/>
  <c r="S524" i="7"/>
  <c r="Q524" i="7"/>
  <c r="E524" i="7"/>
  <c r="D524" i="7"/>
  <c r="B524" i="7"/>
  <c r="H522" i="7"/>
  <c r="K521" i="7"/>
  <c r="P522" i="7" s="1"/>
  <c r="J521" i="7"/>
  <c r="I521" i="7"/>
  <c r="O522" i="7" s="1"/>
  <c r="H521" i="7"/>
  <c r="F521" i="7"/>
  <c r="V521" i="7"/>
  <c r="T521" i="7"/>
  <c r="R521" i="7"/>
  <c r="U521" i="7"/>
  <c r="S521" i="7"/>
  <c r="Q521" i="7"/>
  <c r="E521" i="7"/>
  <c r="D521" i="7"/>
  <c r="B521" i="7"/>
  <c r="H518" i="7"/>
  <c r="J518" i="7"/>
  <c r="I516" i="7"/>
  <c r="H516" i="7"/>
  <c r="E516" i="7"/>
  <c r="K515" i="7"/>
  <c r="J515" i="7"/>
  <c r="E515" i="7"/>
  <c r="J514" i="7"/>
  <c r="I514" i="7"/>
  <c r="E514" i="7"/>
  <c r="K513" i="7"/>
  <c r="J513" i="7"/>
  <c r="I513" i="7"/>
  <c r="H513" i="7"/>
  <c r="F513" i="7"/>
  <c r="K512" i="7"/>
  <c r="J512" i="7"/>
  <c r="I512" i="7"/>
  <c r="H512" i="7"/>
  <c r="F512" i="7"/>
  <c r="K511" i="7"/>
  <c r="J511" i="7"/>
  <c r="I511" i="7"/>
  <c r="H511" i="7"/>
  <c r="F511" i="7"/>
  <c r="K510" i="7"/>
  <c r="P519" i="7" s="1"/>
  <c r="J510" i="7"/>
  <c r="I510" i="7"/>
  <c r="H510" i="7"/>
  <c r="F510" i="7"/>
  <c r="V509" i="7"/>
  <c r="T509" i="7"/>
  <c r="R509" i="7"/>
  <c r="K514" i="7" s="1"/>
  <c r="U509" i="7"/>
  <c r="S509" i="7"/>
  <c r="I515" i="7" s="1"/>
  <c r="Q509" i="7"/>
  <c r="E509" i="7"/>
  <c r="D509" i="7"/>
  <c r="B509" i="7"/>
  <c r="I504" i="7"/>
  <c r="H504" i="7"/>
  <c r="E504" i="7"/>
  <c r="K503" i="7"/>
  <c r="J503" i="7"/>
  <c r="E503" i="7"/>
  <c r="J502" i="7"/>
  <c r="E502" i="7"/>
  <c r="K501" i="7"/>
  <c r="J506" i="7" s="1"/>
  <c r="J501" i="7"/>
  <c r="H501" i="7"/>
  <c r="I501" i="7"/>
  <c r="H506" i="7" s="1"/>
  <c r="F501" i="7"/>
  <c r="V501" i="7"/>
  <c r="T501" i="7"/>
  <c r="R501" i="7"/>
  <c r="U501" i="7"/>
  <c r="S501" i="7"/>
  <c r="Q501" i="7"/>
  <c r="E501" i="7"/>
  <c r="D501" i="7"/>
  <c r="B501" i="7"/>
  <c r="K500" i="7"/>
  <c r="J500" i="7"/>
  <c r="I500" i="7"/>
  <c r="H500" i="7"/>
  <c r="F500" i="7"/>
  <c r="K499" i="7"/>
  <c r="J499" i="7"/>
  <c r="I499" i="7"/>
  <c r="H499" i="7"/>
  <c r="F499" i="7"/>
  <c r="K498" i="7"/>
  <c r="J498" i="7"/>
  <c r="I498" i="7"/>
  <c r="H498" i="7"/>
  <c r="F498" i="7"/>
  <c r="K497" i="7"/>
  <c r="P507" i="7" s="1"/>
  <c r="J497" i="7"/>
  <c r="I497" i="7"/>
  <c r="H497" i="7"/>
  <c r="F497" i="7"/>
  <c r="V496" i="7"/>
  <c r="T496" i="7"/>
  <c r="R496" i="7"/>
  <c r="K502" i="7" s="1"/>
  <c r="U496" i="7"/>
  <c r="S496" i="7"/>
  <c r="I503" i="7" s="1"/>
  <c r="Q496" i="7"/>
  <c r="I502" i="7" s="1"/>
  <c r="E496" i="7"/>
  <c r="D496" i="7"/>
  <c r="B496" i="7"/>
  <c r="H493" i="7"/>
  <c r="J493" i="7"/>
  <c r="I491" i="7"/>
  <c r="H491" i="7"/>
  <c r="E491" i="7"/>
  <c r="J490" i="7"/>
  <c r="I490" i="7"/>
  <c r="E490" i="7"/>
  <c r="J489" i="7"/>
  <c r="E489" i="7"/>
  <c r="K488" i="7"/>
  <c r="J488" i="7"/>
  <c r="H488" i="7"/>
  <c r="I488" i="7"/>
  <c r="F488" i="7"/>
  <c r="V488" i="7"/>
  <c r="T488" i="7"/>
  <c r="R488" i="7"/>
  <c r="U488" i="7"/>
  <c r="S488" i="7"/>
  <c r="Q488" i="7"/>
  <c r="I489" i="7" s="1"/>
  <c r="E488" i="7"/>
  <c r="D488" i="7"/>
  <c r="B488" i="7"/>
  <c r="K487" i="7"/>
  <c r="J487" i="7"/>
  <c r="I487" i="7"/>
  <c r="H487" i="7"/>
  <c r="F487" i="7"/>
  <c r="K486" i="7"/>
  <c r="P494" i="7" s="1"/>
  <c r="J486" i="7"/>
  <c r="I486" i="7"/>
  <c r="O494" i="7" s="1"/>
  <c r="H486" i="7"/>
  <c r="F486" i="7"/>
  <c r="V485" i="7"/>
  <c r="T485" i="7"/>
  <c r="K490" i="7" s="1"/>
  <c r="R485" i="7"/>
  <c r="K489" i="7" s="1"/>
  <c r="U485" i="7"/>
  <c r="S485" i="7"/>
  <c r="Q485" i="7"/>
  <c r="E485" i="7"/>
  <c r="D485" i="7"/>
  <c r="B485" i="7"/>
  <c r="H483" i="7"/>
  <c r="K482" i="7"/>
  <c r="P483" i="7" s="1"/>
  <c r="J482" i="7"/>
  <c r="I482" i="7"/>
  <c r="O483" i="7" s="1"/>
  <c r="H482" i="7"/>
  <c r="F482" i="7"/>
  <c r="V482" i="7"/>
  <c r="T482" i="7"/>
  <c r="R482" i="7"/>
  <c r="U482" i="7"/>
  <c r="S482" i="7"/>
  <c r="Q482" i="7"/>
  <c r="E482" i="7"/>
  <c r="D482" i="7"/>
  <c r="B482" i="7"/>
  <c r="H479" i="7"/>
  <c r="J479" i="7"/>
  <c r="I477" i="7"/>
  <c r="H477" i="7"/>
  <c r="E477" i="7"/>
  <c r="K476" i="7"/>
  <c r="J480" i="7" s="1"/>
  <c r="J476" i="7"/>
  <c r="E476" i="7"/>
  <c r="K475" i="7"/>
  <c r="P480" i="7" s="1"/>
  <c r="J475" i="7"/>
  <c r="E475" i="7"/>
  <c r="K474" i="7"/>
  <c r="J474" i="7"/>
  <c r="H474" i="7"/>
  <c r="I474" i="7"/>
  <c r="F474" i="7"/>
  <c r="V474" i="7"/>
  <c r="T474" i="7"/>
  <c r="R474" i="7"/>
  <c r="U474" i="7"/>
  <c r="S474" i="7"/>
  <c r="Q474" i="7"/>
  <c r="I475" i="7" s="1"/>
  <c r="E474" i="7"/>
  <c r="D474" i="7"/>
  <c r="B474" i="7"/>
  <c r="K473" i="7"/>
  <c r="J473" i="7"/>
  <c r="I473" i="7"/>
  <c r="H473" i="7"/>
  <c r="F473" i="7"/>
  <c r="V472" i="7"/>
  <c r="T472" i="7"/>
  <c r="R472" i="7"/>
  <c r="U472" i="7"/>
  <c r="S472" i="7"/>
  <c r="I476" i="7" s="1"/>
  <c r="Q472" i="7"/>
  <c r="E472" i="7"/>
  <c r="D472" i="7"/>
  <c r="B472" i="7"/>
  <c r="A471" i="7"/>
  <c r="I469" i="7"/>
  <c r="J469" i="7"/>
  <c r="I468" i="7"/>
  <c r="J468" i="7"/>
  <c r="A467" i="7"/>
  <c r="I461" i="7"/>
  <c r="H461" i="7"/>
  <c r="E461" i="7"/>
  <c r="J460" i="7"/>
  <c r="E460" i="7"/>
  <c r="K459" i="7"/>
  <c r="J459" i="7"/>
  <c r="E459" i="7"/>
  <c r="K458" i="7"/>
  <c r="J463" i="7" s="1"/>
  <c r="J458" i="7"/>
  <c r="H458" i="7"/>
  <c r="I458" i="7"/>
  <c r="H463" i="7" s="1"/>
  <c r="F458" i="7"/>
  <c r="V458" i="7"/>
  <c r="T458" i="7"/>
  <c r="R458" i="7"/>
  <c r="U458" i="7"/>
  <c r="S458" i="7"/>
  <c r="Q458" i="7"/>
  <c r="E458" i="7"/>
  <c r="D458" i="7"/>
  <c r="B458" i="7"/>
  <c r="K457" i="7"/>
  <c r="J457" i="7"/>
  <c r="I457" i="7"/>
  <c r="H457" i="7"/>
  <c r="F457" i="7"/>
  <c r="K456" i="7"/>
  <c r="J456" i="7"/>
  <c r="I456" i="7"/>
  <c r="H456" i="7"/>
  <c r="F456" i="7"/>
  <c r="K455" i="7"/>
  <c r="J464" i="7" s="1"/>
  <c r="J455" i="7"/>
  <c r="I455" i="7"/>
  <c r="H455" i="7"/>
  <c r="F455" i="7"/>
  <c r="V454" i="7"/>
  <c r="T454" i="7"/>
  <c r="K460" i="7" s="1"/>
  <c r="P464" i="7" s="1"/>
  <c r="R454" i="7"/>
  <c r="U454" i="7"/>
  <c r="S454" i="7"/>
  <c r="I460" i="7" s="1"/>
  <c r="Q454" i="7"/>
  <c r="I459" i="7" s="1"/>
  <c r="E454" i="7"/>
  <c r="D454" i="7"/>
  <c r="B454" i="7"/>
  <c r="I449" i="7"/>
  <c r="H449" i="7"/>
  <c r="E449" i="7"/>
  <c r="J448" i="7"/>
  <c r="E448" i="7"/>
  <c r="J447" i="7"/>
  <c r="E447" i="7"/>
  <c r="K446" i="7"/>
  <c r="J451" i="7" s="1"/>
  <c r="J446" i="7"/>
  <c r="H446" i="7"/>
  <c r="I446" i="7"/>
  <c r="F446" i="7"/>
  <c r="V446" i="7"/>
  <c r="T446" i="7"/>
  <c r="R446" i="7"/>
  <c r="U446" i="7"/>
  <c r="S446" i="7"/>
  <c r="Q446" i="7"/>
  <c r="E446" i="7"/>
  <c r="D446" i="7"/>
  <c r="B446" i="7"/>
  <c r="K445" i="7"/>
  <c r="J445" i="7"/>
  <c r="H445" i="7"/>
  <c r="I445" i="7"/>
  <c r="H451" i="7" s="1"/>
  <c r="F445" i="7"/>
  <c r="V445" i="7"/>
  <c r="T445" i="7"/>
  <c r="K448" i="7" s="1"/>
  <c r="R445" i="7"/>
  <c r="U445" i="7"/>
  <c r="S445" i="7"/>
  <c r="I448" i="7" s="1"/>
  <c r="Q445" i="7"/>
  <c r="E445" i="7"/>
  <c r="D445" i="7"/>
  <c r="B445" i="7"/>
  <c r="K444" i="7"/>
  <c r="J444" i="7"/>
  <c r="I444" i="7"/>
  <c r="H444" i="7"/>
  <c r="F444" i="7"/>
  <c r="K443" i="7"/>
  <c r="J443" i="7"/>
  <c r="I443" i="7"/>
  <c r="H443" i="7"/>
  <c r="F443" i="7"/>
  <c r="K442" i="7"/>
  <c r="J442" i="7"/>
  <c r="I442" i="7"/>
  <c r="H452" i="7" s="1"/>
  <c r="H442" i="7"/>
  <c r="F442" i="7"/>
  <c r="K441" i="7"/>
  <c r="P452" i="7" s="1"/>
  <c r="J441" i="7"/>
  <c r="I441" i="7"/>
  <c r="H441" i="7"/>
  <c r="F441" i="7"/>
  <c r="C440" i="7"/>
  <c r="V439" i="7"/>
  <c r="T439" i="7"/>
  <c r="R439" i="7"/>
  <c r="K447" i="7" s="1"/>
  <c r="U439" i="7"/>
  <c r="S439" i="7"/>
  <c r="Q439" i="7"/>
  <c r="I447" i="7" s="1"/>
  <c r="E439" i="7"/>
  <c r="D439" i="7"/>
  <c r="B439" i="7"/>
  <c r="H437" i="7"/>
  <c r="P437" i="7"/>
  <c r="J437" i="7"/>
  <c r="K436" i="7"/>
  <c r="J436" i="7"/>
  <c r="I436" i="7"/>
  <c r="O437" i="7" s="1"/>
  <c r="H436" i="7"/>
  <c r="F436" i="7"/>
  <c r="V436" i="7"/>
  <c r="T436" i="7"/>
  <c r="R436" i="7"/>
  <c r="U436" i="7"/>
  <c r="S436" i="7"/>
  <c r="Q436" i="7"/>
  <c r="E436" i="7"/>
  <c r="D436" i="7"/>
  <c r="B436" i="7"/>
  <c r="H433" i="7"/>
  <c r="J433" i="7"/>
  <c r="I431" i="7"/>
  <c r="H431" i="7"/>
  <c r="E431" i="7"/>
  <c r="J430" i="7"/>
  <c r="E430" i="7"/>
  <c r="J429" i="7"/>
  <c r="E429" i="7"/>
  <c r="K428" i="7"/>
  <c r="J428" i="7"/>
  <c r="I428" i="7"/>
  <c r="H428" i="7"/>
  <c r="F428" i="7"/>
  <c r="K427" i="7"/>
  <c r="J427" i="7"/>
  <c r="I427" i="7"/>
  <c r="H427" i="7"/>
  <c r="F427" i="7"/>
  <c r="K426" i="7"/>
  <c r="J426" i="7"/>
  <c r="I426" i="7"/>
  <c r="H426" i="7"/>
  <c r="F426" i="7"/>
  <c r="K425" i="7"/>
  <c r="J425" i="7"/>
  <c r="I425" i="7"/>
  <c r="O434" i="7" s="1"/>
  <c r="H425" i="7"/>
  <c r="F425" i="7"/>
  <c r="V424" i="7"/>
  <c r="T424" i="7"/>
  <c r="K430" i="7" s="1"/>
  <c r="R424" i="7"/>
  <c r="K429" i="7" s="1"/>
  <c r="U424" i="7"/>
  <c r="S424" i="7"/>
  <c r="I430" i="7" s="1"/>
  <c r="Q424" i="7"/>
  <c r="I429" i="7" s="1"/>
  <c r="E424" i="7"/>
  <c r="D424" i="7"/>
  <c r="B424" i="7"/>
  <c r="A423" i="7"/>
  <c r="I421" i="7"/>
  <c r="J421" i="7"/>
  <c r="I420" i="7"/>
  <c r="J420" i="7"/>
  <c r="A419" i="7"/>
  <c r="O416" i="7"/>
  <c r="K415" i="7"/>
  <c r="P416" i="7" s="1"/>
  <c r="J415" i="7"/>
  <c r="I415" i="7"/>
  <c r="H416" i="7" s="1"/>
  <c r="H415" i="7"/>
  <c r="F415" i="7"/>
  <c r="V415" i="7"/>
  <c r="T415" i="7"/>
  <c r="R415" i="7"/>
  <c r="U415" i="7"/>
  <c r="S415" i="7"/>
  <c r="Q415" i="7"/>
  <c r="E415" i="7"/>
  <c r="D415" i="7"/>
  <c r="B415" i="7"/>
  <c r="P413" i="7"/>
  <c r="J413" i="7"/>
  <c r="K412" i="7"/>
  <c r="J412" i="7"/>
  <c r="I412" i="7"/>
  <c r="O413" i="7" s="1"/>
  <c r="H412" i="7"/>
  <c r="F412" i="7"/>
  <c r="V412" i="7"/>
  <c r="T412" i="7"/>
  <c r="R412" i="7"/>
  <c r="U412" i="7"/>
  <c r="S412" i="7"/>
  <c r="Q412" i="7"/>
  <c r="E412" i="7"/>
  <c r="D412" i="7"/>
  <c r="B412" i="7"/>
  <c r="O410" i="7"/>
  <c r="H419" i="7" s="1"/>
  <c r="K409" i="7"/>
  <c r="P410" i="7" s="1"/>
  <c r="J419" i="7" s="1"/>
  <c r="J409" i="7"/>
  <c r="I409" i="7"/>
  <c r="H410" i="7" s="1"/>
  <c r="H409" i="7"/>
  <c r="F409" i="7"/>
  <c r="V409" i="7"/>
  <c r="T409" i="7"/>
  <c r="R409" i="7"/>
  <c r="U409" i="7"/>
  <c r="S409" i="7"/>
  <c r="Q409" i="7"/>
  <c r="E409" i="7"/>
  <c r="D409" i="7"/>
  <c r="B409" i="7"/>
  <c r="A408" i="7"/>
  <c r="I406" i="7"/>
  <c r="J406" i="7"/>
  <c r="I405" i="7"/>
  <c r="J405" i="7"/>
  <c r="AQ404" i="7"/>
  <c r="A404" i="7"/>
  <c r="H400" i="7"/>
  <c r="J400" i="7"/>
  <c r="I398" i="7"/>
  <c r="H398" i="7"/>
  <c r="E398" i="7"/>
  <c r="J397" i="7"/>
  <c r="E397" i="7"/>
  <c r="K396" i="7"/>
  <c r="J396" i="7"/>
  <c r="E396" i="7"/>
  <c r="K395" i="7"/>
  <c r="J395" i="7"/>
  <c r="H395" i="7"/>
  <c r="I395" i="7"/>
  <c r="F395" i="7"/>
  <c r="V395" i="7"/>
  <c r="T395" i="7"/>
  <c r="R395" i="7"/>
  <c r="U395" i="7"/>
  <c r="S395" i="7"/>
  <c r="Q395" i="7"/>
  <c r="I396" i="7" s="1"/>
  <c r="E395" i="7"/>
  <c r="D395" i="7"/>
  <c r="B395" i="7"/>
  <c r="K394" i="7"/>
  <c r="J394" i="7"/>
  <c r="I394" i="7"/>
  <c r="H394" i="7"/>
  <c r="F394" i="7"/>
  <c r="K393" i="7"/>
  <c r="J393" i="7"/>
  <c r="I393" i="7"/>
  <c r="H393" i="7"/>
  <c r="F393" i="7"/>
  <c r="K392" i="7"/>
  <c r="J392" i="7"/>
  <c r="I392" i="7"/>
  <c r="H392" i="7"/>
  <c r="F392" i="7"/>
  <c r="K391" i="7"/>
  <c r="P401" i="7" s="1"/>
  <c r="J391" i="7"/>
  <c r="I391" i="7"/>
  <c r="H391" i="7"/>
  <c r="F391" i="7"/>
  <c r="V390" i="7"/>
  <c r="T390" i="7"/>
  <c r="K397" i="7" s="1"/>
  <c r="R390" i="7"/>
  <c r="U390" i="7"/>
  <c r="S390" i="7"/>
  <c r="I397" i="7" s="1"/>
  <c r="Q390" i="7"/>
  <c r="E390" i="7"/>
  <c r="D390" i="7"/>
  <c r="B390" i="7"/>
  <c r="K387" i="7"/>
  <c r="P388" i="7" s="1"/>
  <c r="J387" i="7"/>
  <c r="I387" i="7"/>
  <c r="O388" i="7" s="1"/>
  <c r="H387" i="7"/>
  <c r="F387" i="7"/>
  <c r="V387" i="7"/>
  <c r="T387" i="7"/>
  <c r="R387" i="7"/>
  <c r="U387" i="7"/>
  <c r="S387" i="7"/>
  <c r="Q387" i="7"/>
  <c r="E387" i="7"/>
  <c r="D387" i="7"/>
  <c r="B387" i="7"/>
  <c r="O385" i="7"/>
  <c r="H385" i="7"/>
  <c r="J385" i="7"/>
  <c r="K384" i="7"/>
  <c r="P385" i="7" s="1"/>
  <c r="J384" i="7"/>
  <c r="I384" i="7"/>
  <c r="H384" i="7"/>
  <c r="F384" i="7"/>
  <c r="V384" i="7"/>
  <c r="T384" i="7"/>
  <c r="R384" i="7"/>
  <c r="U384" i="7"/>
  <c r="S384" i="7"/>
  <c r="Q384" i="7"/>
  <c r="E384" i="7"/>
  <c r="D384" i="7"/>
  <c r="B384" i="7"/>
  <c r="H381" i="7"/>
  <c r="J381" i="7"/>
  <c r="I379" i="7"/>
  <c r="H379" i="7"/>
  <c r="E379" i="7"/>
  <c r="K378" i="7"/>
  <c r="J378" i="7"/>
  <c r="I378" i="7"/>
  <c r="E378" i="7"/>
  <c r="J377" i="7"/>
  <c r="E377" i="7"/>
  <c r="K376" i="7"/>
  <c r="J376" i="7"/>
  <c r="I376" i="7"/>
  <c r="H376" i="7"/>
  <c r="F376" i="7"/>
  <c r="K375" i="7"/>
  <c r="J375" i="7"/>
  <c r="I375" i="7"/>
  <c r="H375" i="7"/>
  <c r="F375" i="7"/>
  <c r="K374" i="7"/>
  <c r="J374" i="7"/>
  <c r="I374" i="7"/>
  <c r="H374" i="7"/>
  <c r="F374" i="7"/>
  <c r="K373" i="7"/>
  <c r="J373" i="7"/>
  <c r="I373" i="7"/>
  <c r="O382" i="7" s="1"/>
  <c r="H373" i="7"/>
  <c r="F373" i="7"/>
  <c r="C372" i="7"/>
  <c r="V371" i="7"/>
  <c r="T371" i="7"/>
  <c r="R371" i="7"/>
  <c r="K377" i="7" s="1"/>
  <c r="U371" i="7"/>
  <c r="S371" i="7"/>
  <c r="Q371" i="7"/>
  <c r="I377" i="7" s="1"/>
  <c r="E371" i="7"/>
  <c r="D371" i="7"/>
  <c r="B371" i="7"/>
  <c r="J368" i="7"/>
  <c r="I366" i="7"/>
  <c r="H366" i="7"/>
  <c r="E366" i="7"/>
  <c r="J365" i="7"/>
  <c r="E365" i="7"/>
  <c r="J364" i="7"/>
  <c r="E364" i="7"/>
  <c r="K363" i="7"/>
  <c r="J363" i="7"/>
  <c r="H363" i="7"/>
  <c r="I363" i="7"/>
  <c r="H368" i="7" s="1"/>
  <c r="F363" i="7"/>
  <c r="V363" i="7"/>
  <c r="T363" i="7"/>
  <c r="R363" i="7"/>
  <c r="U363" i="7"/>
  <c r="S363" i="7"/>
  <c r="Q363" i="7"/>
  <c r="I364" i="7" s="1"/>
  <c r="O369" i="7" s="1"/>
  <c r="E363" i="7"/>
  <c r="D363" i="7"/>
  <c r="B363" i="7"/>
  <c r="K362" i="7"/>
  <c r="J362" i="7"/>
  <c r="I362" i="7"/>
  <c r="H362" i="7"/>
  <c r="F362" i="7"/>
  <c r="K361" i="7"/>
  <c r="J361" i="7"/>
  <c r="I361" i="7"/>
  <c r="H369" i="7" s="1"/>
  <c r="H361" i="7"/>
  <c r="F361" i="7"/>
  <c r="V360" i="7"/>
  <c r="T360" i="7"/>
  <c r="K365" i="7" s="1"/>
  <c r="R360" i="7"/>
  <c r="K364" i="7" s="1"/>
  <c r="J369" i="7" s="1"/>
  <c r="U360" i="7"/>
  <c r="S360" i="7"/>
  <c r="I365" i="7" s="1"/>
  <c r="Q360" i="7"/>
  <c r="E360" i="7"/>
  <c r="D360" i="7"/>
  <c r="B360" i="7"/>
  <c r="H358" i="7"/>
  <c r="P358" i="7"/>
  <c r="K357" i="7"/>
  <c r="J358" i="7" s="1"/>
  <c r="J357" i="7"/>
  <c r="I357" i="7"/>
  <c r="O358" i="7" s="1"/>
  <c r="H357" i="7"/>
  <c r="F357" i="7"/>
  <c r="V357" i="7"/>
  <c r="T357" i="7"/>
  <c r="R357" i="7"/>
  <c r="U357" i="7"/>
  <c r="S357" i="7"/>
  <c r="Q357" i="7"/>
  <c r="E357" i="7"/>
  <c r="D357" i="7"/>
  <c r="B357" i="7"/>
  <c r="H354" i="7"/>
  <c r="J354" i="7"/>
  <c r="I352" i="7"/>
  <c r="H352" i="7"/>
  <c r="E352" i="7"/>
  <c r="J351" i="7"/>
  <c r="E351" i="7"/>
  <c r="J350" i="7"/>
  <c r="I350" i="7"/>
  <c r="E350" i="7"/>
  <c r="K349" i="7"/>
  <c r="J353" i="7" s="1"/>
  <c r="J349" i="7"/>
  <c r="I349" i="7"/>
  <c r="H349" i="7"/>
  <c r="F349" i="7"/>
  <c r="K348" i="7"/>
  <c r="J348" i="7"/>
  <c r="I348" i="7"/>
  <c r="H348" i="7"/>
  <c r="F348" i="7"/>
  <c r="K347" i="7"/>
  <c r="J347" i="7"/>
  <c r="I347" i="7"/>
  <c r="O355" i="7" s="1"/>
  <c r="H347" i="7"/>
  <c r="F347" i="7"/>
  <c r="V346" i="7"/>
  <c r="T346" i="7"/>
  <c r="K351" i="7" s="1"/>
  <c r="R346" i="7"/>
  <c r="K350" i="7" s="1"/>
  <c r="U346" i="7"/>
  <c r="S346" i="7"/>
  <c r="I351" i="7" s="1"/>
  <c r="Q346" i="7"/>
  <c r="E346" i="7"/>
  <c r="D346" i="7"/>
  <c r="B346" i="7"/>
  <c r="O344" i="7"/>
  <c r="H344" i="7"/>
  <c r="J344" i="7"/>
  <c r="K343" i="7"/>
  <c r="P344" i="7" s="1"/>
  <c r="J343" i="7"/>
  <c r="I343" i="7"/>
  <c r="H343" i="7"/>
  <c r="F343" i="7"/>
  <c r="V343" i="7"/>
  <c r="T343" i="7"/>
  <c r="R343" i="7"/>
  <c r="U343" i="7"/>
  <c r="S343" i="7"/>
  <c r="Q343" i="7"/>
  <c r="E343" i="7"/>
  <c r="D343" i="7"/>
  <c r="B343" i="7"/>
  <c r="J341" i="7"/>
  <c r="K340" i="7"/>
  <c r="P341" i="7" s="1"/>
  <c r="J340" i="7"/>
  <c r="I340" i="7"/>
  <c r="O341" i="7" s="1"/>
  <c r="H340" i="7"/>
  <c r="F340" i="7"/>
  <c r="V340" i="7"/>
  <c r="T340" i="7"/>
  <c r="R340" i="7"/>
  <c r="U340" i="7"/>
  <c r="S340" i="7"/>
  <c r="Q340" i="7"/>
  <c r="E340" i="7"/>
  <c r="D340" i="7"/>
  <c r="B340" i="7"/>
  <c r="H337" i="7"/>
  <c r="J337" i="7"/>
  <c r="I335" i="7"/>
  <c r="H335" i="7"/>
  <c r="E335" i="7"/>
  <c r="J334" i="7"/>
  <c r="I334" i="7"/>
  <c r="E334" i="7"/>
  <c r="K333" i="7"/>
  <c r="J333" i="7"/>
  <c r="E333" i="7"/>
  <c r="K332" i="7"/>
  <c r="J332" i="7"/>
  <c r="I332" i="7"/>
  <c r="H332" i="7"/>
  <c r="F332" i="7"/>
  <c r="K331" i="7"/>
  <c r="J331" i="7"/>
  <c r="I331" i="7"/>
  <c r="H331" i="7"/>
  <c r="F331" i="7"/>
  <c r="K330" i="7"/>
  <c r="J330" i="7"/>
  <c r="I330" i="7"/>
  <c r="H330" i="7"/>
  <c r="F330" i="7"/>
  <c r="K329" i="7"/>
  <c r="P338" i="7" s="1"/>
  <c r="J329" i="7"/>
  <c r="I329" i="7"/>
  <c r="H336" i="7" s="1"/>
  <c r="H329" i="7"/>
  <c r="F329" i="7"/>
  <c r="C328" i="7"/>
  <c r="V327" i="7"/>
  <c r="T327" i="7"/>
  <c r="K334" i="7" s="1"/>
  <c r="R327" i="7"/>
  <c r="U327" i="7"/>
  <c r="S327" i="7"/>
  <c r="Q327" i="7"/>
  <c r="I333" i="7" s="1"/>
  <c r="H338" i="7" s="1"/>
  <c r="E327" i="7"/>
  <c r="D327" i="7"/>
  <c r="B327" i="7"/>
  <c r="AP326" i="7"/>
  <c r="A326" i="7"/>
  <c r="I324" i="7"/>
  <c r="J324" i="7"/>
  <c r="I323" i="7"/>
  <c r="J323" i="7"/>
  <c r="A322" i="7"/>
  <c r="I316" i="7"/>
  <c r="H316" i="7"/>
  <c r="E316" i="7"/>
  <c r="J315" i="7"/>
  <c r="E315" i="7"/>
  <c r="K314" i="7"/>
  <c r="J314" i="7"/>
  <c r="E314" i="7"/>
  <c r="K313" i="7"/>
  <c r="J313" i="7"/>
  <c r="H313" i="7"/>
  <c r="I313" i="7"/>
  <c r="F313" i="7"/>
  <c r="V313" i="7"/>
  <c r="T313" i="7"/>
  <c r="R313" i="7"/>
  <c r="U313" i="7"/>
  <c r="S313" i="7"/>
  <c r="Q313" i="7"/>
  <c r="E313" i="7"/>
  <c r="D313" i="7"/>
  <c r="B313" i="7"/>
  <c r="K312" i="7"/>
  <c r="J312" i="7"/>
  <c r="H312" i="7"/>
  <c r="I312" i="7"/>
  <c r="F312" i="7"/>
  <c r="V312" i="7"/>
  <c r="T312" i="7"/>
  <c r="K315" i="7" s="1"/>
  <c r="R312" i="7"/>
  <c r="U312" i="7"/>
  <c r="S312" i="7"/>
  <c r="Q312" i="7"/>
  <c r="E312" i="7"/>
  <c r="D312" i="7"/>
  <c r="B312" i="7"/>
  <c r="K311" i="7"/>
  <c r="J318" i="7" s="1"/>
  <c r="J311" i="7"/>
  <c r="H311" i="7"/>
  <c r="I311" i="7"/>
  <c r="H318" i="7" s="1"/>
  <c r="F311" i="7"/>
  <c r="V311" i="7"/>
  <c r="T311" i="7"/>
  <c r="R311" i="7"/>
  <c r="U311" i="7"/>
  <c r="S311" i="7"/>
  <c r="Q311" i="7"/>
  <c r="E311" i="7"/>
  <c r="D311" i="7"/>
  <c r="B311" i="7"/>
  <c r="K310" i="7"/>
  <c r="J310" i="7"/>
  <c r="I310" i="7"/>
  <c r="H317" i="7" s="1"/>
  <c r="H310" i="7"/>
  <c r="F310" i="7"/>
  <c r="K309" i="7"/>
  <c r="J309" i="7"/>
  <c r="I309" i="7"/>
  <c r="H309" i="7"/>
  <c r="F309" i="7"/>
  <c r="K308" i="7"/>
  <c r="J308" i="7"/>
  <c r="I308" i="7"/>
  <c r="O319" i="7" s="1"/>
  <c r="H308" i="7"/>
  <c r="F308" i="7"/>
  <c r="C307" i="7"/>
  <c r="V306" i="7"/>
  <c r="T306" i="7"/>
  <c r="R306" i="7"/>
  <c r="U306" i="7"/>
  <c r="S306" i="7"/>
  <c r="I315" i="7" s="1"/>
  <c r="Q306" i="7"/>
  <c r="I314" i="7" s="1"/>
  <c r="E306" i="7"/>
  <c r="D306" i="7"/>
  <c r="B306" i="7"/>
  <c r="H303" i="7"/>
  <c r="I301" i="7"/>
  <c r="H301" i="7"/>
  <c r="E301" i="7"/>
  <c r="J300" i="7"/>
  <c r="I300" i="7"/>
  <c r="E300" i="7"/>
  <c r="J299" i="7"/>
  <c r="E299" i="7"/>
  <c r="K298" i="7"/>
  <c r="J303" i="7" s="1"/>
  <c r="J298" i="7"/>
  <c r="H298" i="7"/>
  <c r="I298" i="7"/>
  <c r="F298" i="7"/>
  <c r="V298" i="7"/>
  <c r="T298" i="7"/>
  <c r="R298" i="7"/>
  <c r="U298" i="7"/>
  <c r="S298" i="7"/>
  <c r="Q298" i="7"/>
  <c r="E298" i="7"/>
  <c r="D298" i="7"/>
  <c r="B298" i="7"/>
  <c r="K297" i="7"/>
  <c r="J297" i="7"/>
  <c r="I297" i="7"/>
  <c r="H302" i="7" s="1"/>
  <c r="H297" i="7"/>
  <c r="F297" i="7"/>
  <c r="K296" i="7"/>
  <c r="P304" i="7" s="1"/>
  <c r="J296" i="7"/>
  <c r="I296" i="7"/>
  <c r="H296" i="7"/>
  <c r="F296" i="7"/>
  <c r="V295" i="7"/>
  <c r="T295" i="7"/>
  <c r="K300" i="7" s="1"/>
  <c r="R295" i="7"/>
  <c r="K299" i="7" s="1"/>
  <c r="U295" i="7"/>
  <c r="S295" i="7"/>
  <c r="Q295" i="7"/>
  <c r="I299" i="7" s="1"/>
  <c r="E295" i="7"/>
  <c r="D295" i="7"/>
  <c r="B295" i="7"/>
  <c r="J293" i="7"/>
  <c r="K292" i="7"/>
  <c r="P293" i="7" s="1"/>
  <c r="J292" i="7"/>
  <c r="I292" i="7"/>
  <c r="O293" i="7" s="1"/>
  <c r="H292" i="7"/>
  <c r="F292" i="7"/>
  <c r="V292" i="7"/>
  <c r="T292" i="7"/>
  <c r="R292" i="7"/>
  <c r="U292" i="7"/>
  <c r="S292" i="7"/>
  <c r="Q292" i="7"/>
  <c r="E292" i="7"/>
  <c r="D292" i="7"/>
  <c r="B292" i="7"/>
  <c r="H289" i="7"/>
  <c r="J289" i="7"/>
  <c r="I287" i="7"/>
  <c r="H287" i="7"/>
  <c r="E287" i="7"/>
  <c r="J286" i="7"/>
  <c r="E286" i="7"/>
  <c r="K285" i="7"/>
  <c r="P290" i="7" s="1"/>
  <c r="J285" i="7"/>
  <c r="I285" i="7"/>
  <c r="E285" i="7"/>
  <c r="K284" i="7"/>
  <c r="J284" i="7"/>
  <c r="I284" i="7"/>
  <c r="H284" i="7"/>
  <c r="F284" i="7"/>
  <c r="K283" i="7"/>
  <c r="J283" i="7"/>
  <c r="I283" i="7"/>
  <c r="H283" i="7"/>
  <c r="F283" i="7"/>
  <c r="K282" i="7"/>
  <c r="J282" i="7"/>
  <c r="I282" i="7"/>
  <c r="H282" i="7"/>
  <c r="F282" i="7"/>
  <c r="K281" i="7"/>
  <c r="J281" i="7"/>
  <c r="I281" i="7"/>
  <c r="O290" i="7" s="1"/>
  <c r="H281" i="7"/>
  <c r="F281" i="7"/>
  <c r="V280" i="7"/>
  <c r="T280" i="7"/>
  <c r="K286" i="7" s="1"/>
  <c r="R280" i="7"/>
  <c r="U280" i="7"/>
  <c r="S280" i="7"/>
  <c r="I286" i="7" s="1"/>
  <c r="H288" i="7" s="1"/>
  <c r="Q280" i="7"/>
  <c r="E280" i="7"/>
  <c r="D280" i="7"/>
  <c r="B280" i="7"/>
  <c r="A279" i="7"/>
  <c r="I277" i="7"/>
  <c r="J277" i="7"/>
  <c r="I276" i="7"/>
  <c r="J276" i="7"/>
  <c r="A275" i="7"/>
  <c r="H271" i="7"/>
  <c r="I269" i="7"/>
  <c r="H269" i="7"/>
  <c r="E269" i="7"/>
  <c r="J268" i="7"/>
  <c r="E268" i="7"/>
  <c r="J267" i="7"/>
  <c r="E267" i="7"/>
  <c r="K266" i="7"/>
  <c r="J271" i="7" s="1"/>
  <c r="J266" i="7"/>
  <c r="H266" i="7"/>
  <c r="I266" i="7"/>
  <c r="F266" i="7"/>
  <c r="V266" i="7"/>
  <c r="T266" i="7"/>
  <c r="R266" i="7"/>
  <c r="U266" i="7"/>
  <c r="S266" i="7"/>
  <c r="Q266" i="7"/>
  <c r="E266" i="7"/>
  <c r="D266" i="7"/>
  <c r="B266" i="7"/>
  <c r="K265" i="7"/>
  <c r="J265" i="7"/>
  <c r="I265" i="7"/>
  <c r="H265" i="7"/>
  <c r="F265" i="7"/>
  <c r="K264" i="7"/>
  <c r="J264" i="7"/>
  <c r="I264" i="7"/>
  <c r="H264" i="7"/>
  <c r="F264" i="7"/>
  <c r="K263" i="7"/>
  <c r="P272" i="7" s="1"/>
  <c r="J275" i="7" s="1"/>
  <c r="J263" i="7"/>
  <c r="I263" i="7"/>
  <c r="H263" i="7"/>
  <c r="F263" i="7"/>
  <c r="V262" i="7"/>
  <c r="T262" i="7"/>
  <c r="K268" i="7" s="1"/>
  <c r="R262" i="7"/>
  <c r="K267" i="7" s="1"/>
  <c r="U262" i="7"/>
  <c r="S262" i="7"/>
  <c r="I268" i="7" s="1"/>
  <c r="Q262" i="7"/>
  <c r="I267" i="7" s="1"/>
  <c r="E262" i="7"/>
  <c r="D262" i="7"/>
  <c r="B262" i="7"/>
  <c r="A261" i="7"/>
  <c r="I259" i="7"/>
  <c r="J259" i="7"/>
  <c r="I258" i="7"/>
  <c r="J258" i="7"/>
  <c r="AQ257" i="7"/>
  <c r="A257" i="7"/>
  <c r="H254" i="7"/>
  <c r="H253" i="7"/>
  <c r="J253" i="7"/>
  <c r="I251" i="7"/>
  <c r="H251" i="7"/>
  <c r="E251" i="7"/>
  <c r="J250" i="7"/>
  <c r="I250" i="7"/>
  <c r="O254" i="7" s="1"/>
  <c r="E250" i="7"/>
  <c r="J249" i="7"/>
  <c r="I249" i="7"/>
  <c r="E249" i="7"/>
  <c r="K248" i="7"/>
  <c r="J248" i="7"/>
  <c r="I248" i="7"/>
  <c r="H252" i="7" s="1"/>
  <c r="H248" i="7"/>
  <c r="F248" i="7"/>
  <c r="C247" i="7"/>
  <c r="V246" i="7"/>
  <c r="T246" i="7"/>
  <c r="K250" i="7" s="1"/>
  <c r="R246" i="7"/>
  <c r="K249" i="7" s="1"/>
  <c r="U246" i="7"/>
  <c r="S246" i="7"/>
  <c r="Q246" i="7"/>
  <c r="E246" i="7"/>
  <c r="D246" i="7"/>
  <c r="B246" i="7"/>
  <c r="H243" i="7"/>
  <c r="J243" i="7"/>
  <c r="I241" i="7"/>
  <c r="H241" i="7"/>
  <c r="E241" i="7"/>
  <c r="K240" i="7"/>
  <c r="J240" i="7"/>
  <c r="E240" i="7"/>
  <c r="K239" i="7"/>
  <c r="J239" i="7"/>
  <c r="E239" i="7"/>
  <c r="K238" i="7"/>
  <c r="J238" i="7"/>
  <c r="I238" i="7"/>
  <c r="H238" i="7"/>
  <c r="F238" i="7"/>
  <c r="K237" i="7"/>
  <c r="P244" i="7" s="1"/>
  <c r="J237" i="7"/>
  <c r="I237" i="7"/>
  <c r="H237" i="7"/>
  <c r="F237" i="7"/>
  <c r="C236" i="7"/>
  <c r="V235" i="7"/>
  <c r="T235" i="7"/>
  <c r="R235" i="7"/>
  <c r="U235" i="7"/>
  <c r="S235" i="7"/>
  <c r="I240" i="7" s="1"/>
  <c r="Q235" i="7"/>
  <c r="I239" i="7" s="1"/>
  <c r="E235" i="7"/>
  <c r="D235" i="7"/>
  <c r="B235" i="7"/>
  <c r="H232" i="7"/>
  <c r="J232" i="7"/>
  <c r="I230" i="7"/>
  <c r="H230" i="7"/>
  <c r="E230" i="7"/>
  <c r="J229" i="7"/>
  <c r="E229" i="7"/>
  <c r="J228" i="7"/>
  <c r="E228" i="7"/>
  <c r="K227" i="7"/>
  <c r="J227" i="7"/>
  <c r="I227" i="7"/>
  <c r="H227" i="7"/>
  <c r="F227" i="7"/>
  <c r="K226" i="7"/>
  <c r="J226" i="7"/>
  <c r="I226" i="7"/>
  <c r="H226" i="7"/>
  <c r="F226" i="7"/>
  <c r="K225" i="7"/>
  <c r="J225" i="7"/>
  <c r="I225" i="7"/>
  <c r="H225" i="7"/>
  <c r="F225" i="7"/>
  <c r="C224" i="7"/>
  <c r="V223" i="7"/>
  <c r="T223" i="7"/>
  <c r="K229" i="7" s="1"/>
  <c r="R223" i="7"/>
  <c r="K228" i="7" s="1"/>
  <c r="U223" i="7"/>
  <c r="S223" i="7"/>
  <c r="I229" i="7" s="1"/>
  <c r="Q223" i="7"/>
  <c r="I228" i="7" s="1"/>
  <c r="O233" i="7" s="1"/>
  <c r="E223" i="7"/>
  <c r="D223" i="7"/>
  <c r="B223" i="7"/>
  <c r="H220" i="7"/>
  <c r="J220" i="7"/>
  <c r="I218" i="7"/>
  <c r="H218" i="7"/>
  <c r="E218" i="7"/>
  <c r="J217" i="7"/>
  <c r="E217" i="7"/>
  <c r="K216" i="7"/>
  <c r="J216" i="7"/>
  <c r="E216" i="7"/>
  <c r="K215" i="7"/>
  <c r="J215" i="7"/>
  <c r="I215" i="7"/>
  <c r="H215" i="7"/>
  <c r="F215" i="7"/>
  <c r="K214" i="7"/>
  <c r="J214" i="7"/>
  <c r="I214" i="7"/>
  <c r="H214" i="7"/>
  <c r="F214" i="7"/>
  <c r="K213" i="7"/>
  <c r="J221" i="7" s="1"/>
  <c r="J213" i="7"/>
  <c r="I213" i="7"/>
  <c r="H213" i="7"/>
  <c r="F213" i="7"/>
  <c r="C212" i="7"/>
  <c r="V211" i="7"/>
  <c r="T211" i="7"/>
  <c r="K217" i="7" s="1"/>
  <c r="P221" i="7" s="1"/>
  <c r="R211" i="7"/>
  <c r="U211" i="7"/>
  <c r="S211" i="7"/>
  <c r="I217" i="7" s="1"/>
  <c r="Q211" i="7"/>
  <c r="I216" i="7" s="1"/>
  <c r="H219" i="7" s="1"/>
  <c r="E211" i="7"/>
  <c r="D211" i="7"/>
  <c r="B211" i="7"/>
  <c r="H208" i="7"/>
  <c r="J208" i="7"/>
  <c r="I206" i="7"/>
  <c r="H206" i="7"/>
  <c r="E206" i="7"/>
  <c r="J205" i="7"/>
  <c r="E205" i="7"/>
  <c r="J204" i="7"/>
  <c r="E204" i="7"/>
  <c r="K203" i="7"/>
  <c r="J203" i="7"/>
  <c r="I203" i="7"/>
  <c r="H203" i="7"/>
  <c r="F203" i="7"/>
  <c r="K202" i="7"/>
  <c r="J202" i="7"/>
  <c r="I202" i="7"/>
  <c r="H202" i="7"/>
  <c r="F202" i="7"/>
  <c r="K201" i="7"/>
  <c r="P209" i="7" s="1"/>
  <c r="J201" i="7"/>
  <c r="I201" i="7"/>
  <c r="H201" i="7"/>
  <c r="F201" i="7"/>
  <c r="C200" i="7"/>
  <c r="V199" i="7"/>
  <c r="T199" i="7"/>
  <c r="K205" i="7" s="1"/>
  <c r="R199" i="7"/>
  <c r="K204" i="7" s="1"/>
  <c r="J207" i="7" s="1"/>
  <c r="U199" i="7"/>
  <c r="S199" i="7"/>
  <c r="I205" i="7" s="1"/>
  <c r="Q199" i="7"/>
  <c r="I204" i="7" s="1"/>
  <c r="E199" i="7"/>
  <c r="D199" i="7"/>
  <c r="B199" i="7"/>
  <c r="H196" i="7"/>
  <c r="J196" i="7"/>
  <c r="I194" i="7"/>
  <c r="H194" i="7"/>
  <c r="E194" i="7"/>
  <c r="J193" i="7"/>
  <c r="E193" i="7"/>
  <c r="J192" i="7"/>
  <c r="E192" i="7"/>
  <c r="K191" i="7"/>
  <c r="J191" i="7"/>
  <c r="I191" i="7"/>
  <c r="H191" i="7"/>
  <c r="F191" i="7"/>
  <c r="K190" i="7"/>
  <c r="J190" i="7"/>
  <c r="I190" i="7"/>
  <c r="H190" i="7"/>
  <c r="F190" i="7"/>
  <c r="K189" i="7"/>
  <c r="J189" i="7"/>
  <c r="I189" i="7"/>
  <c r="H189" i="7"/>
  <c r="F189" i="7"/>
  <c r="V188" i="7"/>
  <c r="T188" i="7"/>
  <c r="K193" i="7" s="1"/>
  <c r="R188" i="7"/>
  <c r="K192" i="7" s="1"/>
  <c r="U188" i="7"/>
  <c r="S188" i="7"/>
  <c r="I193" i="7" s="1"/>
  <c r="Q188" i="7"/>
  <c r="I192" i="7" s="1"/>
  <c r="O197" i="7" s="1"/>
  <c r="E188" i="7"/>
  <c r="D188" i="7"/>
  <c r="B188" i="7"/>
  <c r="H185" i="7"/>
  <c r="P186" i="7"/>
  <c r="J186" i="7"/>
  <c r="J185" i="7"/>
  <c r="I183" i="7"/>
  <c r="H183" i="7"/>
  <c r="E183" i="7"/>
  <c r="K182" i="7"/>
  <c r="J182" i="7"/>
  <c r="E182" i="7"/>
  <c r="K181" i="7"/>
  <c r="J181" i="7"/>
  <c r="I181" i="7"/>
  <c r="E181" i="7"/>
  <c r="K180" i="7"/>
  <c r="J184" i="7" s="1"/>
  <c r="J180" i="7"/>
  <c r="I180" i="7"/>
  <c r="H180" i="7"/>
  <c r="F180" i="7"/>
  <c r="V179" i="7"/>
  <c r="T179" i="7"/>
  <c r="R179" i="7"/>
  <c r="U179" i="7"/>
  <c r="S179" i="7"/>
  <c r="I182" i="7" s="1"/>
  <c r="Q179" i="7"/>
  <c r="E179" i="7"/>
  <c r="D179" i="7"/>
  <c r="B179" i="7"/>
  <c r="H176" i="7"/>
  <c r="J176" i="7"/>
  <c r="I174" i="7"/>
  <c r="H174" i="7"/>
  <c r="E174" i="7"/>
  <c r="J173" i="7"/>
  <c r="E173" i="7"/>
  <c r="J172" i="7"/>
  <c r="E172" i="7"/>
  <c r="K171" i="7"/>
  <c r="J171" i="7"/>
  <c r="I171" i="7"/>
  <c r="H171" i="7"/>
  <c r="F171" i="7"/>
  <c r="K170" i="7"/>
  <c r="J170" i="7"/>
  <c r="I170" i="7"/>
  <c r="H170" i="7"/>
  <c r="F170" i="7"/>
  <c r="K169" i="7"/>
  <c r="P177" i="7" s="1"/>
  <c r="J169" i="7"/>
  <c r="I169" i="7"/>
  <c r="H169" i="7"/>
  <c r="F169" i="7"/>
  <c r="V168" i="7"/>
  <c r="T168" i="7"/>
  <c r="K173" i="7" s="1"/>
  <c r="R168" i="7"/>
  <c r="K172" i="7" s="1"/>
  <c r="U168" i="7"/>
  <c r="S168" i="7"/>
  <c r="I173" i="7" s="1"/>
  <c r="Q168" i="7"/>
  <c r="I172" i="7" s="1"/>
  <c r="E168" i="7"/>
  <c r="D168" i="7"/>
  <c r="B168" i="7"/>
  <c r="H165" i="7"/>
  <c r="J165" i="7"/>
  <c r="I163" i="7"/>
  <c r="H163" i="7"/>
  <c r="E163" i="7"/>
  <c r="K162" i="7"/>
  <c r="J162" i="7"/>
  <c r="I162" i="7"/>
  <c r="E162" i="7"/>
  <c r="J161" i="7"/>
  <c r="E161" i="7"/>
  <c r="K160" i="7"/>
  <c r="J160" i="7"/>
  <c r="I160" i="7"/>
  <c r="H160" i="7"/>
  <c r="F160" i="7"/>
  <c r="K159" i="7"/>
  <c r="P166" i="7" s="1"/>
  <c r="J159" i="7"/>
  <c r="I159" i="7"/>
  <c r="H159" i="7"/>
  <c r="F159" i="7"/>
  <c r="V158" i="7"/>
  <c r="T158" i="7"/>
  <c r="R158" i="7"/>
  <c r="K161" i="7" s="1"/>
  <c r="U158" i="7"/>
  <c r="S158" i="7"/>
  <c r="Q158" i="7"/>
  <c r="I161" i="7" s="1"/>
  <c r="E158" i="7"/>
  <c r="D158" i="7"/>
  <c r="B158" i="7"/>
  <c r="H155" i="7"/>
  <c r="J155" i="7"/>
  <c r="I153" i="7"/>
  <c r="H153" i="7"/>
  <c r="E153" i="7"/>
  <c r="K152" i="7"/>
  <c r="J152" i="7"/>
  <c r="E152" i="7"/>
  <c r="J151" i="7"/>
  <c r="E151" i="7"/>
  <c r="K150" i="7"/>
  <c r="J150" i="7"/>
  <c r="I150" i="7"/>
  <c r="H150" i="7"/>
  <c r="F150" i="7"/>
  <c r="K149" i="7"/>
  <c r="J149" i="7"/>
  <c r="I149" i="7"/>
  <c r="H149" i="7"/>
  <c r="F149" i="7"/>
  <c r="K148" i="7"/>
  <c r="J148" i="7"/>
  <c r="I148" i="7"/>
  <c r="H148" i="7"/>
  <c r="F148" i="7"/>
  <c r="C147" i="7"/>
  <c r="V146" i="7"/>
  <c r="T146" i="7"/>
  <c r="R146" i="7"/>
  <c r="K151" i="7" s="1"/>
  <c r="U146" i="7"/>
  <c r="S146" i="7"/>
  <c r="I152" i="7" s="1"/>
  <c r="Q146" i="7"/>
  <c r="I151" i="7" s="1"/>
  <c r="E146" i="7"/>
  <c r="D146" i="7"/>
  <c r="B146" i="7"/>
  <c r="H143" i="7"/>
  <c r="J143" i="7"/>
  <c r="I141" i="7"/>
  <c r="H141" i="7"/>
  <c r="E141" i="7"/>
  <c r="J140" i="7"/>
  <c r="E140" i="7"/>
  <c r="K139" i="7"/>
  <c r="J139" i="7"/>
  <c r="E139" i="7"/>
  <c r="K138" i="7"/>
  <c r="J138" i="7"/>
  <c r="I138" i="7"/>
  <c r="H138" i="7"/>
  <c r="F138" i="7"/>
  <c r="K137" i="7"/>
  <c r="J137" i="7"/>
  <c r="I137" i="7"/>
  <c r="H137" i="7"/>
  <c r="F137" i="7"/>
  <c r="K136" i="7"/>
  <c r="P144" i="7" s="1"/>
  <c r="J136" i="7"/>
  <c r="I136" i="7"/>
  <c r="H136" i="7"/>
  <c r="F136" i="7"/>
  <c r="V135" i="7"/>
  <c r="T135" i="7"/>
  <c r="K140" i="7" s="1"/>
  <c r="R135" i="7"/>
  <c r="U135" i="7"/>
  <c r="S135" i="7"/>
  <c r="I140" i="7" s="1"/>
  <c r="Q135" i="7"/>
  <c r="I139" i="7" s="1"/>
  <c r="E135" i="7"/>
  <c r="D135" i="7"/>
  <c r="B135" i="7"/>
  <c r="H132" i="7"/>
  <c r="J132" i="7"/>
  <c r="I130" i="7"/>
  <c r="H130" i="7"/>
  <c r="E130" i="7"/>
  <c r="J129" i="7"/>
  <c r="E129" i="7"/>
  <c r="K128" i="7"/>
  <c r="J128" i="7"/>
  <c r="E128" i="7"/>
  <c r="K127" i="7"/>
  <c r="J127" i="7"/>
  <c r="I127" i="7"/>
  <c r="H127" i="7"/>
  <c r="F127" i="7"/>
  <c r="K126" i="7"/>
  <c r="J126" i="7"/>
  <c r="I126" i="7"/>
  <c r="H126" i="7"/>
  <c r="F126" i="7"/>
  <c r="K125" i="7"/>
  <c r="P133" i="7" s="1"/>
  <c r="J125" i="7"/>
  <c r="I125" i="7"/>
  <c r="O133" i="7" s="1"/>
  <c r="H125" i="7"/>
  <c r="F125" i="7"/>
  <c r="V124" i="7"/>
  <c r="T124" i="7"/>
  <c r="K129" i="7" s="1"/>
  <c r="J131" i="7" s="1"/>
  <c r="R124" i="7"/>
  <c r="U124" i="7"/>
  <c r="S124" i="7"/>
  <c r="I129" i="7" s="1"/>
  <c r="Q124" i="7"/>
  <c r="I128" i="7" s="1"/>
  <c r="E124" i="7"/>
  <c r="D124" i="7"/>
  <c r="B124" i="7"/>
  <c r="H121" i="7"/>
  <c r="J121" i="7"/>
  <c r="I119" i="7"/>
  <c r="H119" i="7"/>
  <c r="E119" i="7"/>
  <c r="J118" i="7"/>
  <c r="I118" i="7"/>
  <c r="E118" i="7"/>
  <c r="J117" i="7"/>
  <c r="E117" i="7"/>
  <c r="K116" i="7"/>
  <c r="J116" i="7"/>
  <c r="I116" i="7"/>
  <c r="H116" i="7"/>
  <c r="F116" i="7"/>
  <c r="K115" i="7"/>
  <c r="J115" i="7"/>
  <c r="I115" i="7"/>
  <c r="H115" i="7"/>
  <c r="F115" i="7"/>
  <c r="K114" i="7"/>
  <c r="J114" i="7"/>
  <c r="I114" i="7"/>
  <c r="H114" i="7"/>
  <c r="F114" i="7"/>
  <c r="C113" i="7"/>
  <c r="V112" i="7"/>
  <c r="T112" i="7"/>
  <c r="K118" i="7" s="1"/>
  <c r="R112" i="7"/>
  <c r="K117" i="7" s="1"/>
  <c r="U112" i="7"/>
  <c r="S112" i="7"/>
  <c r="Q112" i="7"/>
  <c r="I117" i="7" s="1"/>
  <c r="E112" i="7"/>
  <c r="D112" i="7"/>
  <c r="B112" i="7"/>
  <c r="H109" i="7"/>
  <c r="J109" i="7"/>
  <c r="I107" i="7"/>
  <c r="H107" i="7"/>
  <c r="E107" i="7"/>
  <c r="J106" i="7"/>
  <c r="E106" i="7"/>
  <c r="K105" i="7"/>
  <c r="J105" i="7"/>
  <c r="E105" i="7"/>
  <c r="K104" i="7"/>
  <c r="J108" i="7" s="1"/>
  <c r="J104" i="7"/>
  <c r="I104" i="7"/>
  <c r="H104" i="7"/>
  <c r="F104" i="7"/>
  <c r="V103" i="7"/>
  <c r="T103" i="7"/>
  <c r="K106" i="7" s="1"/>
  <c r="J110" i="7" s="1"/>
  <c r="R103" i="7"/>
  <c r="U103" i="7"/>
  <c r="S103" i="7"/>
  <c r="I106" i="7" s="1"/>
  <c r="Q103" i="7"/>
  <c r="I105" i="7" s="1"/>
  <c r="H108" i="7" s="1"/>
  <c r="E103" i="7"/>
  <c r="D103" i="7"/>
  <c r="B103" i="7"/>
  <c r="H100" i="7"/>
  <c r="J100" i="7"/>
  <c r="I98" i="7"/>
  <c r="H98" i="7"/>
  <c r="E98" i="7"/>
  <c r="J97" i="7"/>
  <c r="I97" i="7"/>
  <c r="E97" i="7"/>
  <c r="J96" i="7"/>
  <c r="E96" i="7"/>
  <c r="K95" i="7"/>
  <c r="J99" i="7" s="1"/>
  <c r="J95" i="7"/>
  <c r="I95" i="7"/>
  <c r="H95" i="7"/>
  <c r="F95" i="7"/>
  <c r="K94" i="7"/>
  <c r="J94" i="7"/>
  <c r="I94" i="7"/>
  <c r="H94" i="7"/>
  <c r="F94" i="7"/>
  <c r="V93" i="7"/>
  <c r="T93" i="7"/>
  <c r="K97" i="7" s="1"/>
  <c r="R93" i="7"/>
  <c r="K96" i="7" s="1"/>
  <c r="U93" i="7"/>
  <c r="S93" i="7"/>
  <c r="Q93" i="7"/>
  <c r="I96" i="7" s="1"/>
  <c r="E93" i="7"/>
  <c r="D93" i="7"/>
  <c r="B93" i="7"/>
  <c r="H90" i="7"/>
  <c r="J90" i="7"/>
  <c r="I88" i="7"/>
  <c r="H88" i="7"/>
  <c r="E88" i="7"/>
  <c r="J87" i="7"/>
  <c r="E87" i="7"/>
  <c r="J86" i="7"/>
  <c r="E86" i="7"/>
  <c r="K85" i="7"/>
  <c r="J85" i="7"/>
  <c r="I85" i="7"/>
  <c r="H85" i="7"/>
  <c r="F85" i="7"/>
  <c r="K84" i="7"/>
  <c r="J84" i="7"/>
  <c r="I84" i="7"/>
  <c r="H84" i="7"/>
  <c r="F84" i="7"/>
  <c r="K83" i="7"/>
  <c r="J83" i="7"/>
  <c r="I83" i="7"/>
  <c r="H83" i="7"/>
  <c r="F83" i="7"/>
  <c r="C82" i="7"/>
  <c r="V81" i="7"/>
  <c r="T81" i="7"/>
  <c r="K87" i="7" s="1"/>
  <c r="R81" i="7"/>
  <c r="K86" i="7" s="1"/>
  <c r="U81" i="7"/>
  <c r="S81" i="7"/>
  <c r="I87" i="7" s="1"/>
  <c r="Q81" i="7"/>
  <c r="I86" i="7" s="1"/>
  <c r="E81" i="7"/>
  <c r="D81" i="7"/>
  <c r="B81" i="7"/>
  <c r="H78" i="7"/>
  <c r="J78" i="7"/>
  <c r="I76" i="7"/>
  <c r="H76" i="7"/>
  <c r="E76" i="7"/>
  <c r="J75" i="7"/>
  <c r="E75" i="7"/>
  <c r="J74" i="7"/>
  <c r="E74" i="7"/>
  <c r="K73" i="7"/>
  <c r="J73" i="7"/>
  <c r="I73" i="7"/>
  <c r="H73" i="7"/>
  <c r="F73" i="7"/>
  <c r="K72" i="7"/>
  <c r="J72" i="7"/>
  <c r="I72" i="7"/>
  <c r="H72" i="7"/>
  <c r="F72" i="7"/>
  <c r="C71" i="7"/>
  <c r="V70" i="7"/>
  <c r="T70" i="7"/>
  <c r="K75" i="7" s="1"/>
  <c r="R70" i="7"/>
  <c r="K74" i="7" s="1"/>
  <c r="U70" i="7"/>
  <c r="S70" i="7"/>
  <c r="I75" i="7" s="1"/>
  <c r="Q70" i="7"/>
  <c r="I74" i="7" s="1"/>
  <c r="E70" i="7"/>
  <c r="D70" i="7"/>
  <c r="B70" i="7"/>
  <c r="H67" i="7"/>
  <c r="J67" i="7"/>
  <c r="I65" i="7"/>
  <c r="H65" i="7"/>
  <c r="E65" i="7"/>
  <c r="K64" i="7"/>
  <c r="J64" i="7"/>
  <c r="E64" i="7"/>
  <c r="J63" i="7"/>
  <c r="E63" i="7"/>
  <c r="K62" i="7"/>
  <c r="J62" i="7"/>
  <c r="I62" i="7"/>
  <c r="H68" i="7" s="1"/>
  <c r="H62" i="7"/>
  <c r="F62" i="7"/>
  <c r="V61" i="7"/>
  <c r="T61" i="7"/>
  <c r="R61" i="7"/>
  <c r="K63" i="7" s="1"/>
  <c r="J66" i="7" s="1"/>
  <c r="U61" i="7"/>
  <c r="S61" i="7"/>
  <c r="I64" i="7" s="1"/>
  <c r="Q61" i="7"/>
  <c r="I63" i="7" s="1"/>
  <c r="E61" i="7"/>
  <c r="D61" i="7"/>
  <c r="B61" i="7"/>
  <c r="H58" i="7"/>
  <c r="J58" i="7"/>
  <c r="I56" i="7"/>
  <c r="H56" i="7"/>
  <c r="E56" i="7"/>
  <c r="J55" i="7"/>
  <c r="E55" i="7"/>
  <c r="K54" i="7"/>
  <c r="J54" i="7"/>
  <c r="E54" i="7"/>
  <c r="K53" i="7"/>
  <c r="J53" i="7"/>
  <c r="I53" i="7"/>
  <c r="H53" i="7"/>
  <c r="F53" i="7"/>
  <c r="K52" i="7"/>
  <c r="J52" i="7"/>
  <c r="I52" i="7"/>
  <c r="H52" i="7"/>
  <c r="F52" i="7"/>
  <c r="K51" i="7"/>
  <c r="J51" i="7"/>
  <c r="I51" i="7"/>
  <c r="H51" i="7"/>
  <c r="F51" i="7"/>
  <c r="V50" i="7"/>
  <c r="T50" i="7"/>
  <c r="K55" i="7" s="1"/>
  <c r="R50" i="7"/>
  <c r="U50" i="7"/>
  <c r="S50" i="7"/>
  <c r="I55" i="7" s="1"/>
  <c r="Q50" i="7"/>
  <c r="I54" i="7" s="1"/>
  <c r="E50" i="7"/>
  <c r="D50" i="7"/>
  <c r="B50" i="7"/>
  <c r="H47" i="7"/>
  <c r="J47" i="7"/>
  <c r="I45" i="7"/>
  <c r="H45" i="7"/>
  <c r="E45" i="7"/>
  <c r="J44" i="7"/>
  <c r="E44" i="7"/>
  <c r="K43" i="7"/>
  <c r="J43" i="7"/>
  <c r="E43" i="7"/>
  <c r="K42" i="7"/>
  <c r="J42" i="7"/>
  <c r="I42" i="7"/>
  <c r="H42" i="7"/>
  <c r="F42" i="7"/>
  <c r="K41" i="7"/>
  <c r="J41" i="7"/>
  <c r="I41" i="7"/>
  <c r="H41" i="7"/>
  <c r="F41" i="7"/>
  <c r="K40" i="7"/>
  <c r="J40" i="7"/>
  <c r="I40" i="7"/>
  <c r="H40" i="7"/>
  <c r="F40" i="7"/>
  <c r="V39" i="7"/>
  <c r="T39" i="7"/>
  <c r="K44" i="7" s="1"/>
  <c r="R39" i="7"/>
  <c r="U39" i="7"/>
  <c r="S39" i="7"/>
  <c r="I44" i="7" s="1"/>
  <c r="Q39" i="7"/>
  <c r="I43" i="7" s="1"/>
  <c r="H46" i="7" s="1"/>
  <c r="E39" i="7"/>
  <c r="D39" i="7"/>
  <c r="B39" i="7"/>
  <c r="AP38" i="7"/>
  <c r="A38" i="7"/>
  <c r="AP36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1" i="3"/>
  <c r="Y1" i="3"/>
  <c r="CY1" i="3"/>
  <c r="CZ1" i="3"/>
  <c r="DA1" i="3"/>
  <c r="DB1" i="3"/>
  <c r="DC1" i="3"/>
  <c r="A2" i="3"/>
  <c r="Y2" i="3"/>
  <c r="CY2" i="3"/>
  <c r="CZ2" i="3"/>
  <c r="DB2" i="3" s="1"/>
  <c r="DA2" i="3"/>
  <c r="DC2" i="3"/>
  <c r="A3" i="3"/>
  <c r="Y3" i="3"/>
  <c r="CY3" i="3"/>
  <c r="CZ3" i="3"/>
  <c r="DA3" i="3"/>
  <c r="DB3" i="3"/>
  <c r="DC3" i="3"/>
  <c r="A4" i="3"/>
  <c r="Y4" i="3"/>
  <c r="CY4" i="3"/>
  <c r="CZ4" i="3"/>
  <c r="DA4" i="3"/>
  <c r="DB4" i="3"/>
  <c r="DC4" i="3"/>
  <c r="A5" i="3"/>
  <c r="Y5" i="3"/>
  <c r="CU5" i="3"/>
  <c r="CY5" i="3"/>
  <c r="CZ5" i="3"/>
  <c r="DB5" i="3" s="1"/>
  <c r="DA5" i="3"/>
  <c r="DC5" i="3"/>
  <c r="A6" i="3"/>
  <c r="Y6" i="3"/>
  <c r="CX6" i="3" s="1"/>
  <c r="DF6" i="3" s="1"/>
  <c r="CU6" i="3"/>
  <c r="CV6" i="3"/>
  <c r="CY6" i="3"/>
  <c r="CZ6" i="3"/>
  <c r="DB6" i="3" s="1"/>
  <c r="DA6" i="3"/>
  <c r="DC6" i="3"/>
  <c r="DH6" i="3"/>
  <c r="A7" i="3"/>
  <c r="Y7" i="3"/>
  <c r="CY7" i="3"/>
  <c r="CZ7" i="3"/>
  <c r="DB7" i="3" s="1"/>
  <c r="DA7" i="3"/>
  <c r="DC7" i="3"/>
  <c r="A8" i="3"/>
  <c r="Y8" i="3"/>
  <c r="CY8" i="3"/>
  <c r="CZ8" i="3"/>
  <c r="DA8" i="3"/>
  <c r="DB8" i="3"/>
  <c r="DC8" i="3"/>
  <c r="A9" i="3"/>
  <c r="Y9" i="3"/>
  <c r="CY9" i="3"/>
  <c r="CZ9" i="3"/>
  <c r="DB9" i="3" s="1"/>
  <c r="DA9" i="3"/>
  <c r="DC9" i="3"/>
  <c r="A10" i="3"/>
  <c r="Y10" i="3"/>
  <c r="CY10" i="3"/>
  <c r="CZ10" i="3"/>
  <c r="DA10" i="3"/>
  <c r="DB10" i="3"/>
  <c r="DC10" i="3"/>
  <c r="A11" i="3"/>
  <c r="Y11" i="3"/>
  <c r="CY11" i="3"/>
  <c r="CZ11" i="3"/>
  <c r="DA11" i="3"/>
  <c r="DB11" i="3"/>
  <c r="DC11" i="3"/>
  <c r="A12" i="3"/>
  <c r="Y12" i="3"/>
  <c r="CY12" i="3"/>
  <c r="CZ12" i="3"/>
  <c r="DA12" i="3"/>
  <c r="DB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B15" i="3" s="1"/>
  <c r="DA15" i="3"/>
  <c r="DC15" i="3"/>
  <c r="A16" i="3"/>
  <c r="Y16" i="3"/>
  <c r="CY16" i="3"/>
  <c r="CZ16" i="3"/>
  <c r="DB16" i="3" s="1"/>
  <c r="DA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B18" i="3" s="1"/>
  <c r="DA18" i="3"/>
  <c r="DC18" i="3"/>
  <c r="A19" i="3"/>
  <c r="Y19" i="3"/>
  <c r="CY19" i="3"/>
  <c r="CZ19" i="3"/>
  <c r="DB19" i="3" s="1"/>
  <c r="DA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B21" i="3" s="1"/>
  <c r="DA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B23" i="3" s="1"/>
  <c r="DA23" i="3"/>
  <c r="DC23" i="3"/>
  <c r="A24" i="3"/>
  <c r="Y24" i="3"/>
  <c r="CY24" i="3"/>
  <c r="CZ24" i="3"/>
  <c r="DA24" i="3"/>
  <c r="DB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B28" i="3" s="1"/>
  <c r="DA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B30" i="3" s="1"/>
  <c r="DA30" i="3"/>
  <c r="DC30" i="3"/>
  <c r="A31" i="3"/>
  <c r="Y31" i="3"/>
  <c r="CY31" i="3"/>
  <c r="CZ31" i="3"/>
  <c r="DA31" i="3"/>
  <c r="DB31" i="3"/>
  <c r="DC31" i="3"/>
  <c r="A32" i="3"/>
  <c r="Y32" i="3"/>
  <c r="CY32" i="3"/>
  <c r="CZ32" i="3"/>
  <c r="DB32" i="3" s="1"/>
  <c r="DA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B34" i="3" s="1"/>
  <c r="DA34" i="3"/>
  <c r="DC34" i="3"/>
  <c r="A35" i="3"/>
  <c r="Y35" i="3"/>
  <c r="CY35" i="3"/>
  <c r="CZ35" i="3"/>
  <c r="DB35" i="3" s="1"/>
  <c r="DA35" i="3"/>
  <c r="DC35" i="3"/>
  <c r="A36" i="3"/>
  <c r="Y36" i="3"/>
  <c r="CY36" i="3"/>
  <c r="CZ36" i="3"/>
  <c r="DA36" i="3"/>
  <c r="DB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B40" i="3" s="1"/>
  <c r="DA40" i="3"/>
  <c r="DC40" i="3"/>
  <c r="A41" i="3"/>
  <c r="Y41" i="3"/>
  <c r="CX41" i="3" s="1"/>
  <c r="DF41" i="3" s="1"/>
  <c r="CU41" i="3"/>
  <c r="CV41" i="3"/>
  <c r="CY41" i="3"/>
  <c r="CZ41" i="3"/>
  <c r="DA41" i="3"/>
  <c r="DB41" i="3"/>
  <c r="DC41" i="3"/>
  <c r="A42" i="3"/>
  <c r="Y42" i="3"/>
  <c r="CX42" i="3" s="1"/>
  <c r="CU42" i="3"/>
  <c r="CV42" i="3"/>
  <c r="CY42" i="3"/>
  <c r="CZ42" i="3"/>
  <c r="DA42" i="3"/>
  <c r="DB42" i="3"/>
  <c r="DC42" i="3"/>
  <c r="DH42" i="3"/>
  <c r="A43" i="3"/>
  <c r="Y43" i="3"/>
  <c r="CY43" i="3"/>
  <c r="CZ43" i="3"/>
  <c r="DB43" i="3" s="1"/>
  <c r="DA43" i="3"/>
  <c r="DC43" i="3"/>
  <c r="A44" i="3"/>
  <c r="Y44" i="3"/>
  <c r="CY44" i="3"/>
  <c r="CZ44" i="3"/>
  <c r="DB44" i="3" s="1"/>
  <c r="DA44" i="3"/>
  <c r="DC44" i="3"/>
  <c r="A45" i="3"/>
  <c r="Y45" i="3"/>
  <c r="CX45" i="3" s="1"/>
  <c r="DF45" i="3" s="1"/>
  <c r="CU45" i="3"/>
  <c r="CY45" i="3"/>
  <c r="CZ45" i="3"/>
  <c r="DB45" i="3" s="1"/>
  <c r="DA45" i="3"/>
  <c r="DC45" i="3"/>
  <c r="DG45" i="3"/>
  <c r="DI45" i="3"/>
  <c r="DJ45" i="3" s="1"/>
  <c r="A46" i="3"/>
  <c r="Y46" i="3"/>
  <c r="CW46" i="3"/>
  <c r="CX46" i="3"/>
  <c r="DH46" i="3" s="1"/>
  <c r="CY46" i="3"/>
  <c r="CZ46" i="3"/>
  <c r="DA46" i="3"/>
  <c r="DB46" i="3"/>
  <c r="DC46" i="3"/>
  <c r="DF46" i="3"/>
  <c r="DI46" i="3"/>
  <c r="A47" i="3"/>
  <c r="Y47" i="3"/>
  <c r="CW47" i="3" s="1"/>
  <c r="CX47" i="3"/>
  <c r="DG47" i="3" s="1"/>
  <c r="DJ47" i="3" s="1"/>
  <c r="CY47" i="3"/>
  <c r="CZ47" i="3"/>
  <c r="DB47" i="3" s="1"/>
  <c r="DA47" i="3"/>
  <c r="DC47" i="3"/>
  <c r="DI47" i="3"/>
  <c r="A48" i="3"/>
  <c r="Y48" i="3"/>
  <c r="CX48" i="3" s="1"/>
  <c r="CY48" i="3"/>
  <c r="CZ48" i="3"/>
  <c r="DB48" i="3" s="1"/>
  <c r="DA48" i="3"/>
  <c r="DC48" i="3"/>
  <c r="A49" i="3"/>
  <c r="Y49" i="3"/>
  <c r="CX49" i="3" s="1"/>
  <c r="CY49" i="3"/>
  <c r="CZ49" i="3"/>
  <c r="DB49" i="3" s="1"/>
  <c r="DA49" i="3"/>
  <c r="DC49" i="3"/>
  <c r="A50" i="3"/>
  <c r="Y50" i="3"/>
  <c r="CX50" i="3" s="1"/>
  <c r="CY50" i="3"/>
  <c r="CZ50" i="3"/>
  <c r="DB50" i="3" s="1"/>
  <c r="DA50" i="3"/>
  <c r="DC50" i="3"/>
  <c r="A51" i="3"/>
  <c r="Y51" i="3"/>
  <c r="CX51" i="3" s="1"/>
  <c r="DF51" i="3" s="1"/>
  <c r="CU51" i="3"/>
  <c r="CV51" i="3"/>
  <c r="CY51" i="3"/>
  <c r="CZ51" i="3"/>
  <c r="DA51" i="3"/>
  <c r="DB51" i="3"/>
  <c r="DC51" i="3"/>
  <c r="A52" i="3"/>
  <c r="Y52" i="3"/>
  <c r="CX52" i="3" s="1"/>
  <c r="CW52" i="3"/>
  <c r="CY52" i="3"/>
  <c r="CZ52" i="3"/>
  <c r="DA52" i="3"/>
  <c r="DB52" i="3"/>
  <c r="DC52" i="3"/>
  <c r="A53" i="3"/>
  <c r="Y53" i="3"/>
  <c r="CW53" i="3"/>
  <c r="CX53" i="3"/>
  <c r="DH53" i="3" s="1"/>
  <c r="CY53" i="3"/>
  <c r="CZ53" i="3"/>
  <c r="DB53" i="3" s="1"/>
  <c r="DA53" i="3"/>
  <c r="DC53" i="3"/>
  <c r="DF53" i="3"/>
  <c r="DG53" i="3"/>
  <c r="DJ53" i="3" s="1"/>
  <c r="DI53" i="3"/>
  <c r="A54" i="3"/>
  <c r="Y54" i="3"/>
  <c r="CX54" i="3" s="1"/>
  <c r="CY54" i="3"/>
  <c r="CZ54" i="3"/>
  <c r="DA54" i="3"/>
  <c r="DB54" i="3"/>
  <c r="DC54" i="3"/>
  <c r="A55" i="3"/>
  <c r="Y55" i="3"/>
  <c r="CX55" i="3"/>
  <c r="CY55" i="3"/>
  <c r="CZ55" i="3"/>
  <c r="DB55" i="3" s="1"/>
  <c r="DA55" i="3"/>
  <c r="DC55" i="3"/>
  <c r="DG55" i="3"/>
  <c r="DI55" i="3"/>
  <c r="A56" i="3"/>
  <c r="Y56" i="3"/>
  <c r="CX56" i="3"/>
  <c r="DG56" i="3" s="1"/>
  <c r="CY56" i="3"/>
  <c r="CZ56" i="3"/>
  <c r="DB56" i="3" s="1"/>
  <c r="DA56" i="3"/>
  <c r="DC56" i="3"/>
  <c r="DH56" i="3"/>
  <c r="A57" i="3"/>
  <c r="Y57" i="3"/>
  <c r="CY57" i="3"/>
  <c r="CZ57" i="3"/>
  <c r="DB57" i="3" s="1"/>
  <c r="DA57" i="3"/>
  <c r="DC57" i="3"/>
  <c r="A58" i="3"/>
  <c r="Y58" i="3"/>
  <c r="CY58" i="3"/>
  <c r="CZ58" i="3"/>
  <c r="DA58" i="3"/>
  <c r="DB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A60" i="3"/>
  <c r="DB60" i="3"/>
  <c r="DC60" i="3"/>
  <c r="A61" i="3"/>
  <c r="Y61" i="3"/>
  <c r="CU61" i="3"/>
  <c r="CV61" i="3"/>
  <c r="CX61" i="3"/>
  <c r="DG61" i="3" s="1"/>
  <c r="CY61" i="3"/>
  <c r="CZ61" i="3"/>
  <c r="DB61" i="3" s="1"/>
  <c r="DA61" i="3"/>
  <c r="DC61" i="3"/>
  <c r="A62" i="3"/>
  <c r="Y62" i="3"/>
  <c r="CX62" i="3" s="1"/>
  <c r="CY62" i="3"/>
  <c r="CZ62" i="3"/>
  <c r="DB62" i="3" s="1"/>
  <c r="DA62" i="3"/>
  <c r="DC62" i="3"/>
  <c r="A63" i="3"/>
  <c r="Y63" i="3"/>
  <c r="CX63" i="3" s="1"/>
  <c r="CY63" i="3"/>
  <c r="CZ63" i="3"/>
  <c r="DB63" i="3" s="1"/>
  <c r="DA63" i="3"/>
  <c r="DC63" i="3"/>
  <c r="A64" i="3"/>
  <c r="Y64" i="3"/>
  <c r="CV64" i="3" s="1"/>
  <c r="CU64" i="3"/>
  <c r="CY64" i="3"/>
  <c r="CZ64" i="3"/>
  <c r="DB64" i="3" s="1"/>
  <c r="DA64" i="3"/>
  <c r="DC64" i="3"/>
  <c r="A65" i="3"/>
  <c r="Y65" i="3"/>
  <c r="CX65" i="3" s="1"/>
  <c r="DF65" i="3" s="1"/>
  <c r="DJ65" i="3" s="1"/>
  <c r="CY65" i="3"/>
  <c r="CZ65" i="3"/>
  <c r="DB65" i="3" s="1"/>
  <c r="DA65" i="3"/>
  <c r="DC65" i="3"/>
  <c r="DG65" i="3"/>
  <c r="A66" i="3"/>
  <c r="Y66" i="3"/>
  <c r="CX66" i="3"/>
  <c r="DI66" i="3" s="1"/>
  <c r="CY66" i="3"/>
  <c r="CZ66" i="3"/>
  <c r="DA66" i="3"/>
  <c r="DB66" i="3"/>
  <c r="DC66" i="3"/>
  <c r="DG66" i="3"/>
  <c r="A67" i="3"/>
  <c r="Y67" i="3"/>
  <c r="CV67" i="3" s="1"/>
  <c r="CU67" i="3"/>
  <c r="CY67" i="3"/>
  <c r="CZ67" i="3"/>
  <c r="DB67" i="3" s="1"/>
  <c r="DA67" i="3"/>
  <c r="DC67" i="3"/>
  <c r="A68" i="3"/>
  <c r="Y68" i="3"/>
  <c r="CV68" i="3" s="1"/>
  <c r="CU68" i="3"/>
  <c r="CX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B70" i="3" s="1"/>
  <c r="DA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B83" i="3" s="1"/>
  <c r="DA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B87" i="3" s="1"/>
  <c r="DA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B90" i="3" s="1"/>
  <c r="DA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B94" i="3" s="1"/>
  <c r="DA94" i="3"/>
  <c r="DC94" i="3"/>
  <c r="A95" i="3"/>
  <c r="Y95" i="3"/>
  <c r="CY95" i="3"/>
  <c r="CZ95" i="3"/>
  <c r="DB95" i="3" s="1"/>
  <c r="DA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A97" i="3"/>
  <c r="DB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A106" i="3"/>
  <c r="DB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B109" i="3" s="1"/>
  <c r="DA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A114" i="3"/>
  <c r="DB114" i="3"/>
  <c r="DC114" i="3"/>
  <c r="A115" i="3"/>
  <c r="Y115" i="3"/>
  <c r="CU115" i="3"/>
  <c r="CY115" i="3"/>
  <c r="CZ115" i="3"/>
  <c r="DA115" i="3"/>
  <c r="DB115" i="3"/>
  <c r="DC115" i="3"/>
  <c r="A116" i="3"/>
  <c r="Y116" i="3"/>
  <c r="CX116" i="3" s="1"/>
  <c r="DI116" i="3" s="1"/>
  <c r="CU116" i="3"/>
  <c r="CV116" i="3"/>
  <c r="CY116" i="3"/>
  <c r="CZ116" i="3"/>
  <c r="DB116" i="3" s="1"/>
  <c r="DA116" i="3"/>
  <c r="DC116" i="3"/>
  <c r="DH116" i="3"/>
  <c r="DJ116" i="3"/>
  <c r="A117" i="3"/>
  <c r="Y117" i="3"/>
  <c r="CU117" i="3"/>
  <c r="CV117" i="3"/>
  <c r="CX117" i="3"/>
  <c r="CY117" i="3"/>
  <c r="CZ117" i="3"/>
  <c r="DA117" i="3"/>
  <c r="DB117" i="3"/>
  <c r="DC117" i="3"/>
  <c r="DG117" i="3"/>
  <c r="A118" i="3"/>
  <c r="Y118" i="3"/>
  <c r="CX118" i="3"/>
  <c r="DH118" i="3" s="1"/>
  <c r="CY118" i="3"/>
  <c r="CZ118" i="3"/>
  <c r="DA118" i="3"/>
  <c r="DB118" i="3"/>
  <c r="DC118" i="3"/>
  <c r="DG118" i="3"/>
  <c r="A119" i="3"/>
  <c r="Y119" i="3"/>
  <c r="CX119" i="3" s="1"/>
  <c r="DH119" i="3" s="1"/>
  <c r="CU119" i="3"/>
  <c r="CV119" i="3"/>
  <c r="CY119" i="3"/>
  <c r="CZ119" i="3"/>
  <c r="DA119" i="3"/>
  <c r="DB119" i="3"/>
  <c r="DC119" i="3"/>
  <c r="DF119" i="3"/>
  <c r="DI119" i="3"/>
  <c r="DJ119" i="3" s="1"/>
  <c r="A120" i="3"/>
  <c r="Y120" i="3"/>
  <c r="CX120" i="3" s="1"/>
  <c r="DH120" i="3" s="1"/>
  <c r="CY120" i="3"/>
  <c r="CZ120" i="3"/>
  <c r="DB120" i="3" s="1"/>
  <c r="DA120" i="3"/>
  <c r="DC120" i="3"/>
  <c r="DI120" i="3"/>
  <c r="A121" i="3"/>
  <c r="Y121" i="3"/>
  <c r="CY121" i="3"/>
  <c r="CZ121" i="3"/>
  <c r="DA121" i="3"/>
  <c r="DB121" i="3"/>
  <c r="DC121" i="3"/>
  <c r="A122" i="3"/>
  <c r="Y122" i="3"/>
  <c r="CY122" i="3"/>
  <c r="CZ122" i="3"/>
  <c r="DA122" i="3"/>
  <c r="DB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B127" i="3" s="1"/>
  <c r="DA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A145" i="3"/>
  <c r="DB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B147" i="3" s="1"/>
  <c r="DA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A152" i="3"/>
  <c r="DB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A160" i="3"/>
  <c r="DB160" i="3"/>
  <c r="DC160" i="3"/>
  <c r="A161" i="3"/>
  <c r="Y161" i="3"/>
  <c r="CY161" i="3"/>
  <c r="CZ161" i="3"/>
  <c r="DB161" i="3" s="1"/>
  <c r="DA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A170" i="3"/>
  <c r="DB170" i="3"/>
  <c r="DC170" i="3"/>
  <c r="A171" i="3"/>
  <c r="Y171" i="3"/>
  <c r="CY171" i="3"/>
  <c r="CZ171" i="3"/>
  <c r="DA171" i="3"/>
  <c r="DB171" i="3"/>
  <c r="DC171" i="3"/>
  <c r="A172" i="3"/>
  <c r="Y172" i="3"/>
  <c r="CY172" i="3"/>
  <c r="CZ172" i="3"/>
  <c r="DB172" i="3" s="1"/>
  <c r="DA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A176" i="3"/>
  <c r="DB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B180" i="3" s="1"/>
  <c r="DA180" i="3"/>
  <c r="DC180" i="3"/>
  <c r="A181" i="3"/>
  <c r="Y181" i="3"/>
  <c r="CX181" i="3" s="1"/>
  <c r="CU181" i="3"/>
  <c r="CV181" i="3"/>
  <c r="CY181" i="3"/>
  <c r="CZ181" i="3"/>
  <c r="DB181" i="3" s="1"/>
  <c r="DA181" i="3"/>
  <c r="DC181" i="3"/>
  <c r="DF181" i="3"/>
  <c r="DI181" i="3"/>
  <c r="DJ181" i="3" s="1"/>
  <c r="A182" i="3"/>
  <c r="Y182" i="3"/>
  <c r="CU182" i="3"/>
  <c r="CV182" i="3"/>
  <c r="CX182" i="3"/>
  <c r="DG182" i="3" s="1"/>
  <c r="CY182" i="3"/>
  <c r="CZ182" i="3"/>
  <c r="DB182" i="3" s="1"/>
  <c r="DA182" i="3"/>
  <c r="DC182" i="3"/>
  <c r="DF182" i="3"/>
  <c r="DH182" i="3"/>
  <c r="A183" i="3"/>
  <c r="Y183" i="3"/>
  <c r="CU183" i="3"/>
  <c r="CV183" i="3"/>
  <c r="CX183" i="3"/>
  <c r="CY183" i="3"/>
  <c r="CZ183" i="3"/>
  <c r="DA183" i="3"/>
  <c r="DB183" i="3"/>
  <c r="DC183" i="3"/>
  <c r="A184" i="3"/>
  <c r="Y184" i="3"/>
  <c r="CX184" i="3" s="1"/>
  <c r="CY184" i="3"/>
  <c r="CZ184" i="3"/>
  <c r="DA184" i="3"/>
  <c r="DB184" i="3"/>
  <c r="DC184" i="3"/>
  <c r="A185" i="3"/>
  <c r="Y185" i="3"/>
  <c r="CU185" i="3"/>
  <c r="CV185" i="3"/>
  <c r="CX185" i="3"/>
  <c r="DI185" i="3" s="1"/>
  <c r="DJ185" i="3" s="1"/>
  <c r="CY185" i="3"/>
  <c r="CZ185" i="3"/>
  <c r="DA185" i="3"/>
  <c r="DB185" i="3"/>
  <c r="DC185" i="3"/>
  <c r="DF185" i="3"/>
  <c r="DG185" i="3"/>
  <c r="DH185" i="3"/>
  <c r="A186" i="3"/>
  <c r="Y186" i="3"/>
  <c r="CX186" i="3"/>
  <c r="CY186" i="3"/>
  <c r="CZ186" i="3"/>
  <c r="DA186" i="3"/>
  <c r="DB186" i="3"/>
  <c r="DC186" i="3"/>
  <c r="A187" i="3"/>
  <c r="Y187" i="3"/>
  <c r="CY187" i="3"/>
  <c r="CZ187" i="3"/>
  <c r="DA187" i="3"/>
  <c r="DB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B189" i="3" s="1"/>
  <c r="DA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B191" i="3" s="1"/>
  <c r="DA191" i="3"/>
  <c r="DC191" i="3"/>
  <c r="A192" i="3"/>
  <c r="Y192" i="3"/>
  <c r="CY192" i="3"/>
  <c r="CZ192" i="3"/>
  <c r="DB192" i="3" s="1"/>
  <c r="DA192" i="3"/>
  <c r="DC192" i="3"/>
  <c r="A193" i="3"/>
  <c r="Y193" i="3"/>
  <c r="CX193" i="3" s="1"/>
  <c r="CU193" i="3"/>
  <c r="CV193" i="3"/>
  <c r="CY193" i="3"/>
  <c r="CZ193" i="3"/>
  <c r="DB193" i="3" s="1"/>
  <c r="DA193" i="3"/>
  <c r="DC193" i="3"/>
  <c r="A194" i="3"/>
  <c r="Y194" i="3"/>
  <c r="CW194" i="3"/>
  <c r="CX194" i="3"/>
  <c r="CY194" i="3"/>
  <c r="CZ194" i="3"/>
  <c r="DA194" i="3"/>
  <c r="DB194" i="3"/>
  <c r="DC194" i="3"/>
  <c r="A195" i="3"/>
  <c r="Y195" i="3"/>
  <c r="CY195" i="3"/>
  <c r="CZ195" i="3"/>
  <c r="DB195" i="3" s="1"/>
  <c r="DA195" i="3"/>
  <c r="DC195" i="3"/>
  <c r="A196" i="3"/>
  <c r="Y196" i="3"/>
  <c r="CX196" i="3"/>
  <c r="CY196" i="3"/>
  <c r="CZ196" i="3"/>
  <c r="DA196" i="3"/>
  <c r="DB196" i="3"/>
  <c r="DC196" i="3"/>
  <c r="DF196" i="3"/>
  <c r="DJ196" i="3" s="1"/>
  <c r="DI196" i="3"/>
  <c r="A197" i="3"/>
  <c r="Y197" i="3"/>
  <c r="CX197" i="3"/>
  <c r="CY197" i="3"/>
  <c r="CZ197" i="3"/>
  <c r="DA197" i="3"/>
  <c r="DB197" i="3"/>
  <c r="DC197" i="3"/>
  <c r="DH197" i="3"/>
  <c r="A198" i="3"/>
  <c r="Y198" i="3"/>
  <c r="CX198" i="3" s="1"/>
  <c r="CY198" i="3"/>
  <c r="CZ198" i="3"/>
  <c r="DB198" i="3" s="1"/>
  <c r="DA198" i="3"/>
  <c r="DC198" i="3"/>
  <c r="A199" i="3"/>
  <c r="Y199" i="3"/>
  <c r="CX199" i="3" s="1"/>
  <c r="CY199" i="3"/>
  <c r="CZ199" i="3"/>
  <c r="DB199" i="3" s="1"/>
  <c r="DA199" i="3"/>
  <c r="DC199" i="3"/>
  <c r="DF199" i="3"/>
  <c r="DJ199" i="3" s="1"/>
  <c r="A200" i="3"/>
  <c r="Y200" i="3"/>
  <c r="CU200" i="3"/>
  <c r="CV200" i="3"/>
  <c r="CX200" i="3"/>
  <c r="CY200" i="3"/>
  <c r="CZ200" i="3"/>
  <c r="DA200" i="3"/>
  <c r="DB200" i="3"/>
  <c r="DC200" i="3"/>
  <c r="A201" i="3"/>
  <c r="Y201" i="3"/>
  <c r="CY201" i="3"/>
  <c r="CZ201" i="3"/>
  <c r="DA201" i="3"/>
  <c r="DB201" i="3"/>
  <c r="DC201" i="3"/>
  <c r="A202" i="3"/>
  <c r="Y202" i="3"/>
  <c r="CW202" i="3"/>
  <c r="CX202" i="3"/>
  <c r="DG202" i="3" s="1"/>
  <c r="DJ202" i="3" s="1"/>
  <c r="CY202" i="3"/>
  <c r="CZ202" i="3"/>
  <c r="DB202" i="3" s="1"/>
  <c r="DA202" i="3"/>
  <c r="DC202" i="3"/>
  <c r="DF202" i="3"/>
  <c r="DH202" i="3"/>
  <c r="A203" i="3"/>
  <c r="Y203" i="3"/>
  <c r="CX203" i="3" s="1"/>
  <c r="CY203" i="3"/>
  <c r="CZ203" i="3"/>
  <c r="DB203" i="3" s="1"/>
  <c r="DA203" i="3"/>
  <c r="DC203" i="3"/>
  <c r="A204" i="3"/>
  <c r="Y204" i="3"/>
  <c r="CX204" i="3"/>
  <c r="CY204" i="3"/>
  <c r="CZ204" i="3"/>
  <c r="DA204" i="3"/>
  <c r="DB204" i="3"/>
  <c r="DC204" i="3"/>
  <c r="DF204" i="3"/>
  <c r="DJ204" i="3" s="1"/>
  <c r="A205" i="3"/>
  <c r="Y205" i="3"/>
  <c r="CX205" i="3"/>
  <c r="CY205" i="3"/>
  <c r="CZ205" i="3"/>
  <c r="DA205" i="3"/>
  <c r="DB205" i="3"/>
  <c r="DC205" i="3"/>
  <c r="A206" i="3"/>
  <c r="Y206" i="3"/>
  <c r="CX206" i="3" s="1"/>
  <c r="CY206" i="3"/>
  <c r="CZ206" i="3"/>
  <c r="DA206" i="3"/>
  <c r="DB206" i="3"/>
  <c r="DC206" i="3"/>
  <c r="DG206" i="3"/>
  <c r="DH206" i="3"/>
  <c r="A207" i="3"/>
  <c r="Y207" i="3"/>
  <c r="CU207" i="3"/>
  <c r="CV207" i="3"/>
  <c r="CX207" i="3"/>
  <c r="DI207" i="3" s="1"/>
  <c r="DJ207" i="3" s="1"/>
  <c r="CY207" i="3"/>
  <c r="CZ207" i="3"/>
  <c r="DA207" i="3"/>
  <c r="DB207" i="3"/>
  <c r="DC207" i="3"/>
  <c r="DG207" i="3"/>
  <c r="DH207" i="3"/>
  <c r="A208" i="3"/>
  <c r="Y208" i="3"/>
  <c r="CX208" i="3"/>
  <c r="DG208" i="3" s="1"/>
  <c r="CY208" i="3"/>
  <c r="CZ208" i="3"/>
  <c r="DA208" i="3"/>
  <c r="DB208" i="3"/>
  <c r="DC208" i="3"/>
  <c r="A209" i="3"/>
  <c r="Y209" i="3"/>
  <c r="CV209" i="3" s="1"/>
  <c r="CU209" i="3"/>
  <c r="CX209" i="3"/>
  <c r="CY209" i="3"/>
  <c r="CZ209" i="3"/>
  <c r="DA209" i="3"/>
  <c r="DB209" i="3"/>
  <c r="DC209" i="3"/>
  <c r="DI209" i="3"/>
  <c r="DJ209" i="3" s="1"/>
  <c r="A210" i="3"/>
  <c r="Y210" i="3"/>
  <c r="CX210" i="3" s="1"/>
  <c r="CY210" i="3"/>
  <c r="CZ210" i="3"/>
  <c r="DB210" i="3" s="1"/>
  <c r="DA210" i="3"/>
  <c r="DC210" i="3"/>
  <c r="A211" i="3"/>
  <c r="Y211" i="3"/>
  <c r="CY211" i="3"/>
  <c r="CZ211" i="3"/>
  <c r="DA211" i="3"/>
  <c r="DB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B214" i="3" s="1"/>
  <c r="DA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X217" i="3" s="1"/>
  <c r="CU217" i="3"/>
  <c r="CV217" i="3"/>
  <c r="CY217" i="3"/>
  <c r="CZ217" i="3"/>
  <c r="DA217" i="3"/>
  <c r="DB217" i="3"/>
  <c r="DC217" i="3"/>
  <c r="A218" i="3"/>
  <c r="Y218" i="3"/>
  <c r="CX218" i="3" s="1"/>
  <c r="CY218" i="3"/>
  <c r="CZ218" i="3"/>
  <c r="DB218" i="3" s="1"/>
  <c r="DA218" i="3"/>
  <c r="DC218" i="3"/>
  <c r="DH218" i="3"/>
  <c r="A219" i="3"/>
  <c r="Y219" i="3"/>
  <c r="CX219" i="3" s="1"/>
  <c r="DH219" i="3" s="1"/>
  <c r="CY219" i="3"/>
  <c r="CZ219" i="3"/>
  <c r="DB219" i="3" s="1"/>
  <c r="DA219" i="3"/>
  <c r="DC219" i="3"/>
  <c r="DG219" i="3"/>
  <c r="A220" i="3"/>
  <c r="Y220" i="3"/>
  <c r="CX220" i="3"/>
  <c r="DG220" i="3" s="1"/>
  <c r="CY220" i="3"/>
  <c r="CZ220" i="3"/>
  <c r="DB220" i="3" s="1"/>
  <c r="DA220" i="3"/>
  <c r="DC220" i="3"/>
  <c r="DF220" i="3"/>
  <c r="DJ220" i="3" s="1"/>
  <c r="DH220" i="3"/>
  <c r="DI220" i="3"/>
  <c r="A221" i="3"/>
  <c r="Y221" i="3"/>
  <c r="CX221" i="3" s="1"/>
  <c r="CU221" i="3"/>
  <c r="CY221" i="3"/>
  <c r="CZ221" i="3"/>
  <c r="DB221" i="3" s="1"/>
  <c r="DA221" i="3"/>
  <c r="DC221" i="3"/>
  <c r="DF221" i="3"/>
  <c r="DI221" i="3"/>
  <c r="DJ221" i="3" s="1"/>
  <c r="A222" i="3"/>
  <c r="Y222" i="3"/>
  <c r="CX222" i="3" s="1"/>
  <c r="CY222" i="3"/>
  <c r="CZ222" i="3"/>
  <c r="DB222" i="3" s="1"/>
  <c r="DA222" i="3"/>
  <c r="DC222" i="3"/>
  <c r="A223" i="3"/>
  <c r="Y223" i="3"/>
  <c r="CX223" i="3"/>
  <c r="CY223" i="3"/>
  <c r="CZ223" i="3"/>
  <c r="DA223" i="3"/>
  <c r="DB223" i="3"/>
  <c r="DC223" i="3"/>
  <c r="A224" i="3"/>
  <c r="Y224" i="3"/>
  <c r="CX224" i="3" s="1"/>
  <c r="CY224" i="3"/>
  <c r="CZ224" i="3"/>
  <c r="DB224" i="3" s="1"/>
  <c r="DA224" i="3"/>
  <c r="DC224" i="3"/>
  <c r="A225" i="3"/>
  <c r="Y225" i="3"/>
  <c r="CU225" i="3"/>
  <c r="CV225" i="3"/>
  <c r="CX225" i="3"/>
  <c r="CY225" i="3"/>
  <c r="CZ225" i="3"/>
  <c r="DB225" i="3" s="1"/>
  <c r="DA225" i="3"/>
  <c r="DC225" i="3"/>
  <c r="DH225" i="3"/>
  <c r="A226" i="3"/>
  <c r="Y226" i="3"/>
  <c r="CX226" i="3" s="1"/>
  <c r="DH226" i="3" s="1"/>
  <c r="CY226" i="3"/>
  <c r="CZ226" i="3"/>
  <c r="DA226" i="3"/>
  <c r="DB226" i="3"/>
  <c r="DC226" i="3"/>
  <c r="A227" i="3"/>
  <c r="Y227" i="3"/>
  <c r="CU227" i="3"/>
  <c r="CV227" i="3"/>
  <c r="CX227" i="3"/>
  <c r="DI227" i="3" s="1"/>
  <c r="DJ227" i="3" s="1"/>
  <c r="CY227" i="3"/>
  <c r="CZ227" i="3"/>
  <c r="DA227" i="3"/>
  <c r="DB227" i="3"/>
  <c r="DC227" i="3"/>
  <c r="DG227" i="3"/>
  <c r="DH227" i="3"/>
  <c r="A228" i="3"/>
  <c r="Y228" i="3"/>
  <c r="CX228" i="3"/>
  <c r="CY228" i="3"/>
  <c r="CZ228" i="3"/>
  <c r="DA228" i="3"/>
  <c r="DB228" i="3"/>
  <c r="DC228" i="3"/>
  <c r="DF228" i="3"/>
  <c r="DG228" i="3"/>
  <c r="DJ228" i="3"/>
  <c r="A229" i="3"/>
  <c r="Y229" i="3"/>
  <c r="CU229" i="3"/>
  <c r="CY229" i="3"/>
  <c r="CZ229" i="3"/>
  <c r="DA229" i="3"/>
  <c r="DB229" i="3"/>
  <c r="DC229" i="3"/>
  <c r="A230" i="3"/>
  <c r="Y230" i="3"/>
  <c r="CX230" i="3" s="1"/>
  <c r="CW230" i="3"/>
  <c r="CY230" i="3"/>
  <c r="CZ230" i="3"/>
  <c r="DB230" i="3" s="1"/>
  <c r="DA230" i="3"/>
  <c r="DC230" i="3"/>
  <c r="A231" i="3"/>
  <c r="Y231" i="3"/>
  <c r="CW231" i="3"/>
  <c r="CX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X233" i="3"/>
  <c r="DG233" i="3" s="1"/>
  <c r="CY233" i="3"/>
  <c r="CZ233" i="3"/>
  <c r="DB233" i="3" s="1"/>
  <c r="DA233" i="3"/>
  <c r="DC233" i="3"/>
  <c r="DH233" i="3"/>
  <c r="A234" i="3"/>
  <c r="Y234" i="3"/>
  <c r="CX234" i="3" s="1"/>
  <c r="CY234" i="3"/>
  <c r="CZ234" i="3"/>
  <c r="DA234" i="3"/>
  <c r="DB234" i="3"/>
  <c r="DC234" i="3"/>
  <c r="A235" i="3"/>
  <c r="Y235" i="3"/>
  <c r="CX235" i="3"/>
  <c r="CY235" i="3"/>
  <c r="CZ235" i="3"/>
  <c r="DA235" i="3"/>
  <c r="DB235" i="3"/>
  <c r="DC235" i="3"/>
  <c r="DF235" i="3"/>
  <c r="DJ235" i="3" s="1"/>
  <c r="DG235" i="3"/>
  <c r="A236" i="3"/>
  <c r="Y236" i="3"/>
  <c r="CX236" i="3" s="1"/>
  <c r="CY236" i="3"/>
  <c r="CZ236" i="3"/>
  <c r="DA236" i="3"/>
  <c r="DB236" i="3"/>
  <c r="DC236" i="3"/>
  <c r="DI236" i="3"/>
  <c r="A237" i="3"/>
  <c r="Y237" i="3"/>
  <c r="CX237" i="3" s="1"/>
  <c r="DF237" i="3" s="1"/>
  <c r="DJ237" i="3" s="1"/>
  <c r="CY237" i="3"/>
  <c r="CZ237" i="3"/>
  <c r="DB237" i="3" s="1"/>
  <c r="DA237" i="3"/>
  <c r="DC237" i="3"/>
  <c r="DG237" i="3"/>
  <c r="A238" i="3"/>
  <c r="Y238" i="3"/>
  <c r="CX238" i="3"/>
  <c r="DG238" i="3" s="1"/>
  <c r="CY238" i="3"/>
  <c r="CZ238" i="3"/>
  <c r="DB238" i="3" s="1"/>
  <c r="DA238" i="3"/>
  <c r="DC238" i="3"/>
  <c r="DF238" i="3"/>
  <c r="DJ238" i="3" s="1"/>
  <c r="A239" i="3"/>
  <c r="Y239" i="3"/>
  <c r="CX239" i="3"/>
  <c r="CY239" i="3"/>
  <c r="CZ239" i="3"/>
  <c r="DB239" i="3" s="1"/>
  <c r="DA239" i="3"/>
  <c r="DC239" i="3"/>
  <c r="A240" i="3"/>
  <c r="Y240" i="3"/>
  <c r="CU240" i="3"/>
  <c r="CY240" i="3"/>
  <c r="CZ240" i="3"/>
  <c r="DB240" i="3" s="1"/>
  <c r="DA240" i="3"/>
  <c r="DC240" i="3"/>
  <c r="A241" i="3"/>
  <c r="Y241" i="3"/>
  <c r="CW241" i="3"/>
  <c r="CX241" i="3"/>
  <c r="CY241" i="3"/>
  <c r="CZ241" i="3"/>
  <c r="DA241" i="3"/>
  <c r="DB241" i="3"/>
  <c r="DC241" i="3"/>
  <c r="A242" i="3"/>
  <c r="Y242" i="3"/>
  <c r="CY242" i="3"/>
  <c r="CZ242" i="3"/>
  <c r="DA242" i="3"/>
  <c r="DB242" i="3"/>
  <c r="DC242" i="3"/>
  <c r="A243" i="3"/>
  <c r="Y243" i="3"/>
  <c r="CW243" i="3"/>
  <c r="CX243" i="3"/>
  <c r="DF243" i="3" s="1"/>
  <c r="CY243" i="3"/>
  <c r="CZ243" i="3"/>
  <c r="DB243" i="3" s="1"/>
  <c r="DA243" i="3"/>
  <c r="DC243" i="3"/>
  <c r="DH243" i="3"/>
  <c r="A244" i="3"/>
  <c r="Y244" i="3"/>
  <c r="CX244" i="3" s="1"/>
  <c r="CY244" i="3"/>
  <c r="CZ244" i="3"/>
  <c r="DB244" i="3" s="1"/>
  <c r="DA244" i="3"/>
  <c r="DC244" i="3"/>
  <c r="DG244" i="3"/>
  <c r="A245" i="3"/>
  <c r="Y245" i="3"/>
  <c r="CX245" i="3"/>
  <c r="DG245" i="3" s="1"/>
  <c r="CY245" i="3"/>
  <c r="CZ245" i="3"/>
  <c r="DB245" i="3" s="1"/>
  <c r="DA245" i="3"/>
  <c r="DC245" i="3"/>
  <c r="DF245" i="3"/>
  <c r="DJ245" i="3" s="1"/>
  <c r="A246" i="3"/>
  <c r="Y246" i="3"/>
  <c r="CX246" i="3"/>
  <c r="CY246" i="3"/>
  <c r="CZ246" i="3"/>
  <c r="DB246" i="3" s="1"/>
  <c r="DA246" i="3"/>
  <c r="DC246" i="3"/>
  <c r="A247" i="3"/>
  <c r="Y247" i="3"/>
  <c r="CX247" i="3" s="1"/>
  <c r="CY247" i="3"/>
  <c r="CZ247" i="3"/>
  <c r="DA247" i="3"/>
  <c r="DB247" i="3"/>
  <c r="DC247" i="3"/>
  <c r="A248" i="3"/>
  <c r="Y248" i="3"/>
  <c r="CX248" i="3"/>
  <c r="CY248" i="3"/>
  <c r="CZ248" i="3"/>
  <c r="DB248" i="3" s="1"/>
  <c r="DA248" i="3"/>
  <c r="DC248" i="3"/>
  <c r="A249" i="3"/>
  <c r="Y249" i="3"/>
  <c r="CX249" i="3" s="1"/>
  <c r="CY249" i="3"/>
  <c r="CZ249" i="3"/>
  <c r="DB249" i="3" s="1"/>
  <c r="DA249" i="3"/>
  <c r="DC249" i="3"/>
  <c r="DI249" i="3"/>
  <c r="A250" i="3"/>
  <c r="Y250" i="3"/>
  <c r="CX250" i="3"/>
  <c r="DI250" i="3" s="1"/>
  <c r="CY250" i="3"/>
  <c r="CZ250" i="3"/>
  <c r="DA250" i="3"/>
  <c r="DB250" i="3"/>
  <c r="DC250" i="3"/>
  <c r="DF250" i="3"/>
  <c r="DG250" i="3"/>
  <c r="DH250" i="3"/>
  <c r="DJ250" i="3"/>
  <c r="A251" i="3"/>
  <c r="Y251" i="3"/>
  <c r="CY251" i="3"/>
  <c r="CZ251" i="3"/>
  <c r="DA251" i="3"/>
  <c r="DB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A256" i="3"/>
  <c r="DB256" i="3"/>
  <c r="DC256" i="3"/>
  <c r="A257" i="3"/>
  <c r="Y257" i="3"/>
  <c r="CY257" i="3"/>
  <c r="CZ257" i="3"/>
  <c r="DB257" i="3" s="1"/>
  <c r="DA257" i="3"/>
  <c r="DC257" i="3"/>
  <c r="A258" i="3"/>
  <c r="Y258" i="3"/>
  <c r="CY258" i="3"/>
  <c r="CZ258" i="3"/>
  <c r="DB258" i="3" s="1"/>
  <c r="DA258" i="3"/>
  <c r="DC258" i="3"/>
  <c r="A259" i="3"/>
  <c r="Y259" i="3"/>
  <c r="CY259" i="3"/>
  <c r="CZ259" i="3"/>
  <c r="DA259" i="3"/>
  <c r="DB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B262" i="3" s="1"/>
  <c r="DA262" i="3"/>
  <c r="DC262" i="3"/>
  <c r="A263" i="3"/>
  <c r="Y263" i="3"/>
  <c r="CY263" i="3"/>
  <c r="CZ263" i="3"/>
  <c r="DA263" i="3"/>
  <c r="DB263" i="3"/>
  <c r="DC263" i="3"/>
  <c r="A264" i="3"/>
  <c r="Y264" i="3"/>
  <c r="CY264" i="3"/>
  <c r="CZ264" i="3"/>
  <c r="DB264" i="3" s="1"/>
  <c r="DA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B266" i="3" s="1"/>
  <c r="DA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A269" i="3"/>
  <c r="DB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B271" i="3" s="1"/>
  <c r="DA271" i="3"/>
  <c r="DC271" i="3"/>
  <c r="A272" i="3"/>
  <c r="Y272" i="3"/>
  <c r="CY272" i="3"/>
  <c r="CZ272" i="3"/>
  <c r="DB272" i="3" s="1"/>
  <c r="DA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A274" i="3"/>
  <c r="DB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B277" i="3" s="1"/>
  <c r="DA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A279" i="3"/>
  <c r="DB279" i="3"/>
  <c r="DC279" i="3"/>
  <c r="A280" i="3"/>
  <c r="Y280" i="3"/>
  <c r="CY280" i="3"/>
  <c r="CZ280" i="3"/>
  <c r="DA280" i="3"/>
  <c r="DB280" i="3"/>
  <c r="DC280" i="3"/>
  <c r="A281" i="3"/>
  <c r="Y281" i="3"/>
  <c r="CY281" i="3"/>
  <c r="CZ281" i="3"/>
  <c r="DB281" i="3" s="1"/>
  <c r="DA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A286" i="3"/>
  <c r="DB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B291" i="3" s="1"/>
  <c r="DA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A293" i="3"/>
  <c r="DB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B295" i="3" s="1"/>
  <c r="DA295" i="3"/>
  <c r="DC295" i="3"/>
  <c r="A296" i="3"/>
  <c r="Y296" i="3"/>
  <c r="CY296" i="3"/>
  <c r="CZ296" i="3"/>
  <c r="DB296" i="3" s="1"/>
  <c r="DA296" i="3"/>
  <c r="DC296" i="3"/>
  <c r="A297" i="3"/>
  <c r="Y297" i="3"/>
  <c r="CY297" i="3"/>
  <c r="CZ297" i="3"/>
  <c r="DA297" i="3"/>
  <c r="DB297" i="3"/>
  <c r="DC297" i="3"/>
  <c r="A298" i="3"/>
  <c r="Y298" i="3"/>
  <c r="CY298" i="3"/>
  <c r="CZ298" i="3"/>
  <c r="DB298" i="3" s="1"/>
  <c r="DA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B302" i="3" s="1"/>
  <c r="DA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A305" i="3"/>
  <c r="DB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B311" i="3" s="1"/>
  <c r="DA311" i="3"/>
  <c r="DC311" i="3"/>
  <c r="A312" i="3"/>
  <c r="Y312" i="3"/>
  <c r="CY312" i="3"/>
  <c r="CZ312" i="3"/>
  <c r="DB312" i="3" s="1"/>
  <c r="DA312" i="3"/>
  <c r="DC312" i="3"/>
  <c r="A313" i="3"/>
  <c r="Y313" i="3"/>
  <c r="CY313" i="3"/>
  <c r="CZ313" i="3"/>
  <c r="DA313" i="3"/>
  <c r="DB313" i="3"/>
  <c r="DC313" i="3"/>
  <c r="A314" i="3"/>
  <c r="Y314" i="3"/>
  <c r="CY314" i="3"/>
  <c r="CZ314" i="3"/>
  <c r="DB314" i="3" s="1"/>
  <c r="DA314" i="3"/>
  <c r="DC314" i="3"/>
  <c r="A315" i="3"/>
  <c r="Y315" i="3"/>
  <c r="CY315" i="3"/>
  <c r="CZ315" i="3"/>
  <c r="DB315" i="3" s="1"/>
  <c r="DA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B318" i="3" s="1"/>
  <c r="DA318" i="3"/>
  <c r="DC318" i="3"/>
  <c r="A319" i="3"/>
  <c r="Y319" i="3"/>
  <c r="CY319" i="3"/>
  <c r="CZ319" i="3"/>
  <c r="DB319" i="3" s="1"/>
  <c r="DA319" i="3"/>
  <c r="DC319" i="3"/>
  <c r="A320" i="3"/>
  <c r="Y320" i="3"/>
  <c r="CY320" i="3"/>
  <c r="CZ320" i="3"/>
  <c r="DA320" i="3"/>
  <c r="DB320" i="3"/>
  <c r="DC320" i="3"/>
  <c r="A321" i="3"/>
  <c r="Y321" i="3"/>
  <c r="CY321" i="3"/>
  <c r="CZ321" i="3"/>
  <c r="DB321" i="3" s="1"/>
  <c r="DA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A323" i="3"/>
  <c r="DB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B325" i="3" s="1"/>
  <c r="DA325" i="3"/>
  <c r="DC325" i="3"/>
  <c r="A326" i="3"/>
  <c r="Y326" i="3"/>
  <c r="CY326" i="3"/>
  <c r="CZ326" i="3"/>
  <c r="DB326" i="3" s="1"/>
  <c r="DA326" i="3"/>
  <c r="DC326" i="3"/>
  <c r="A327" i="3"/>
  <c r="Y327" i="3"/>
  <c r="CY327" i="3"/>
  <c r="CZ327" i="3"/>
  <c r="DA327" i="3"/>
  <c r="DB327" i="3"/>
  <c r="DC327" i="3"/>
  <c r="A328" i="3"/>
  <c r="Y328" i="3"/>
  <c r="CY328" i="3"/>
  <c r="CZ328" i="3"/>
  <c r="DB328" i="3" s="1"/>
  <c r="DA328" i="3"/>
  <c r="DC328" i="3"/>
  <c r="A329" i="3"/>
  <c r="Y329" i="3"/>
  <c r="CY329" i="3"/>
  <c r="CZ329" i="3"/>
  <c r="DA329" i="3"/>
  <c r="DB329" i="3"/>
  <c r="DC329" i="3"/>
  <c r="A330" i="3"/>
  <c r="Y330" i="3"/>
  <c r="CY330" i="3"/>
  <c r="CZ330" i="3"/>
  <c r="DB330" i="3" s="1"/>
  <c r="DA330" i="3"/>
  <c r="DC330" i="3"/>
  <c r="A331" i="3"/>
  <c r="Y331" i="3"/>
  <c r="CY331" i="3"/>
  <c r="CZ331" i="3"/>
  <c r="DA331" i="3"/>
  <c r="DB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B333" i="3" s="1"/>
  <c r="DA333" i="3"/>
  <c r="DC333" i="3"/>
  <c r="A334" i="3"/>
  <c r="Y334" i="3"/>
  <c r="CY334" i="3"/>
  <c r="CZ334" i="3"/>
  <c r="DB334" i="3" s="1"/>
  <c r="DA334" i="3"/>
  <c r="DC334" i="3"/>
  <c r="A335" i="3"/>
  <c r="Y335" i="3"/>
  <c r="CY335" i="3"/>
  <c r="CZ335" i="3"/>
  <c r="DA335" i="3"/>
  <c r="DB335" i="3"/>
  <c r="DC335" i="3"/>
  <c r="A336" i="3"/>
  <c r="Y336" i="3"/>
  <c r="CY336" i="3"/>
  <c r="CZ336" i="3"/>
  <c r="DB336" i="3" s="1"/>
  <c r="DA336" i="3"/>
  <c r="DC336" i="3"/>
  <c r="A337" i="3"/>
  <c r="Y337" i="3"/>
  <c r="CY337" i="3"/>
  <c r="CZ337" i="3"/>
  <c r="DB337" i="3" s="1"/>
  <c r="DA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A339" i="3"/>
  <c r="DB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A341" i="3"/>
  <c r="DB341" i="3"/>
  <c r="DC341" i="3"/>
  <c r="A342" i="3"/>
  <c r="Y342" i="3"/>
  <c r="CY342" i="3"/>
  <c r="CZ342" i="3"/>
  <c r="DB342" i="3" s="1"/>
  <c r="DA342" i="3"/>
  <c r="DC342" i="3"/>
  <c r="A343" i="3"/>
  <c r="Y343" i="3"/>
  <c r="CY343" i="3"/>
  <c r="CZ343" i="3"/>
  <c r="DA343" i="3"/>
  <c r="DB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B345" i="3" s="1"/>
  <c r="DA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A347" i="3"/>
  <c r="DB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B349" i="3" s="1"/>
  <c r="DA349" i="3"/>
  <c r="DC349" i="3"/>
  <c r="A350" i="3"/>
  <c r="Y350" i="3"/>
  <c r="CY350" i="3"/>
  <c r="CZ350" i="3"/>
  <c r="DB350" i="3" s="1"/>
  <c r="DA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A356" i="3"/>
  <c r="DB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B358" i="3" s="1"/>
  <c r="DA358" i="3"/>
  <c r="DC358" i="3"/>
  <c r="A359" i="3"/>
  <c r="Y359" i="3"/>
  <c r="CY359" i="3"/>
  <c r="CZ359" i="3"/>
  <c r="DA359" i="3"/>
  <c r="DB359" i="3"/>
  <c r="DC359" i="3"/>
  <c r="A360" i="3"/>
  <c r="Y360" i="3"/>
  <c r="CY360" i="3"/>
  <c r="CZ360" i="3"/>
  <c r="DA360" i="3"/>
  <c r="DB360" i="3"/>
  <c r="DC360" i="3"/>
  <c r="A361" i="3"/>
  <c r="Y361" i="3"/>
  <c r="CY361" i="3"/>
  <c r="CZ361" i="3"/>
  <c r="DB361" i="3" s="1"/>
  <c r="DA361" i="3"/>
  <c r="DC361" i="3"/>
  <c r="A362" i="3"/>
  <c r="Y362" i="3"/>
  <c r="CY362" i="3"/>
  <c r="CZ362" i="3"/>
  <c r="DB362" i="3" s="1"/>
  <c r="DA362" i="3"/>
  <c r="DC362" i="3"/>
  <c r="A363" i="3"/>
  <c r="Y363" i="3"/>
  <c r="CY363" i="3"/>
  <c r="CZ363" i="3"/>
  <c r="DA363" i="3"/>
  <c r="DB363" i="3"/>
  <c r="DC363" i="3"/>
  <c r="A364" i="3"/>
  <c r="Y364" i="3"/>
  <c r="CY364" i="3"/>
  <c r="CZ364" i="3"/>
  <c r="DB364" i="3" s="1"/>
  <c r="DA364" i="3"/>
  <c r="DC364" i="3"/>
  <c r="A365" i="3"/>
  <c r="Y365" i="3"/>
  <c r="CY365" i="3"/>
  <c r="CZ365" i="3"/>
  <c r="DB365" i="3" s="1"/>
  <c r="DA365" i="3"/>
  <c r="DC365" i="3"/>
  <c r="A366" i="3"/>
  <c r="Y366" i="3"/>
  <c r="CY366" i="3"/>
  <c r="CZ366" i="3"/>
  <c r="DB366" i="3" s="1"/>
  <c r="DA366" i="3"/>
  <c r="DC366" i="3"/>
  <c r="A367" i="3"/>
  <c r="Y367" i="3"/>
  <c r="CY367" i="3"/>
  <c r="CZ367" i="3"/>
  <c r="DA367" i="3"/>
  <c r="DB367" i="3"/>
  <c r="DC367" i="3"/>
  <c r="A368" i="3"/>
  <c r="Y368" i="3"/>
  <c r="CY368" i="3"/>
  <c r="CZ368" i="3"/>
  <c r="DA368" i="3"/>
  <c r="DB368" i="3"/>
  <c r="DC368" i="3"/>
  <c r="A369" i="3"/>
  <c r="Y369" i="3"/>
  <c r="CY369" i="3"/>
  <c r="CZ369" i="3"/>
  <c r="DB369" i="3" s="1"/>
  <c r="DA369" i="3"/>
  <c r="DC369" i="3"/>
  <c r="A370" i="3"/>
  <c r="Y370" i="3"/>
  <c r="CY370" i="3"/>
  <c r="CZ370" i="3"/>
  <c r="DB370" i="3" s="1"/>
  <c r="DA370" i="3"/>
  <c r="DC370" i="3"/>
  <c r="A371" i="3"/>
  <c r="Y371" i="3"/>
  <c r="CY371" i="3"/>
  <c r="CZ371" i="3"/>
  <c r="DB371" i="3" s="1"/>
  <c r="DA371" i="3"/>
  <c r="DC371" i="3"/>
  <c r="A372" i="3"/>
  <c r="Y372" i="3"/>
  <c r="CY372" i="3"/>
  <c r="CZ372" i="3"/>
  <c r="DA372" i="3"/>
  <c r="DB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A375" i="3"/>
  <c r="DB375" i="3"/>
  <c r="DC375" i="3"/>
  <c r="A376" i="3"/>
  <c r="Y376" i="3"/>
  <c r="CY376" i="3"/>
  <c r="CZ376" i="3"/>
  <c r="DB376" i="3" s="1"/>
  <c r="DA376" i="3"/>
  <c r="DC376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AC28" i="1"/>
  <c r="CQ28" i="1" s="1"/>
  <c r="AE28" i="1"/>
  <c r="AD28" i="1" s="1"/>
  <c r="AF28" i="1"/>
  <c r="AG28" i="1"/>
  <c r="CU28" i="1" s="1"/>
  <c r="AH28" i="1"/>
  <c r="AI28" i="1"/>
  <c r="AJ28" i="1"/>
  <c r="CV28" i="1"/>
  <c r="CW28" i="1"/>
  <c r="CX28" i="1"/>
  <c r="GL28" i="1"/>
  <c r="GN28" i="1"/>
  <c r="GP28" i="1"/>
  <c r="GV28" i="1"/>
  <c r="HC28" i="1" s="1"/>
  <c r="C29" i="1"/>
  <c r="D29" i="1"/>
  <c r="I29" i="1"/>
  <c r="K29" i="1"/>
  <c r="P29" i="1"/>
  <c r="S29" i="1"/>
  <c r="X29" i="1" s="1"/>
  <c r="AC29" i="1"/>
  <c r="CQ29" i="1" s="1"/>
  <c r="AE29" i="1"/>
  <c r="AF29" i="1"/>
  <c r="AG29" i="1"/>
  <c r="AH29" i="1"/>
  <c r="AI29" i="1"/>
  <c r="CW29" i="1" s="1"/>
  <c r="V29" i="1" s="1"/>
  <c r="AJ29" i="1"/>
  <c r="CX29" i="1" s="1"/>
  <c r="W29" i="1" s="1"/>
  <c r="CT29" i="1"/>
  <c r="CU29" i="1"/>
  <c r="T29" i="1" s="1"/>
  <c r="CV29" i="1"/>
  <c r="U29" i="1" s="1"/>
  <c r="GL29" i="1"/>
  <c r="GN29" i="1"/>
  <c r="GP29" i="1"/>
  <c r="GV29" i="1"/>
  <c r="HC29" i="1"/>
  <c r="GX29" i="1" s="1"/>
  <c r="C30" i="1"/>
  <c r="D30" i="1"/>
  <c r="P30" i="1"/>
  <c r="T30" i="1"/>
  <c r="AC30" i="1"/>
  <c r="AE30" i="1"/>
  <c r="CR30" i="1" s="1"/>
  <c r="AF30" i="1"/>
  <c r="S30" i="1" s="1"/>
  <c r="AG30" i="1"/>
  <c r="AH30" i="1"/>
  <c r="CV30" i="1" s="1"/>
  <c r="U30" i="1" s="1"/>
  <c r="AI30" i="1"/>
  <c r="CW30" i="1" s="1"/>
  <c r="V30" i="1" s="1"/>
  <c r="AJ30" i="1"/>
  <c r="CX30" i="1" s="1"/>
  <c r="W30" i="1" s="1"/>
  <c r="CQ30" i="1"/>
  <c r="CT30" i="1"/>
  <c r="CU30" i="1"/>
  <c r="GL30" i="1"/>
  <c r="GN30" i="1"/>
  <c r="GP30" i="1"/>
  <c r="GV30" i="1"/>
  <c r="HC30" i="1"/>
  <c r="GX30" i="1" s="1"/>
  <c r="C31" i="1"/>
  <c r="D31" i="1"/>
  <c r="S31" i="1"/>
  <c r="AC31" i="1"/>
  <c r="CQ31" i="1" s="1"/>
  <c r="AE31" i="1"/>
  <c r="CR31" i="1" s="1"/>
  <c r="AF31" i="1"/>
  <c r="AG31" i="1"/>
  <c r="CU31" i="1" s="1"/>
  <c r="T31" i="1" s="1"/>
  <c r="AH31" i="1"/>
  <c r="AI31" i="1"/>
  <c r="AJ31" i="1"/>
  <c r="CT31" i="1"/>
  <c r="CV31" i="1"/>
  <c r="U31" i="1" s="1"/>
  <c r="CW31" i="1"/>
  <c r="V31" i="1" s="1"/>
  <c r="CX31" i="1"/>
  <c r="W31" i="1" s="1"/>
  <c r="GL31" i="1"/>
  <c r="GN31" i="1"/>
  <c r="GP31" i="1"/>
  <c r="GV31" i="1"/>
  <c r="HC31" i="1"/>
  <c r="GX31" i="1" s="1"/>
  <c r="C32" i="1"/>
  <c r="D32" i="1"/>
  <c r="I32" i="1"/>
  <c r="K32" i="1"/>
  <c r="T32" i="1"/>
  <c r="V32" i="1"/>
  <c r="AC32" i="1"/>
  <c r="AE32" i="1"/>
  <c r="CR32" i="1" s="1"/>
  <c r="AF32" i="1"/>
  <c r="S32" i="1" s="1"/>
  <c r="AG32" i="1"/>
  <c r="AH32" i="1"/>
  <c r="CV32" i="1" s="1"/>
  <c r="U32" i="1" s="1"/>
  <c r="AI32" i="1"/>
  <c r="AJ32" i="1"/>
  <c r="CX32" i="1" s="1"/>
  <c r="W32" i="1" s="1"/>
  <c r="CQ32" i="1"/>
  <c r="CT32" i="1"/>
  <c r="CU32" i="1"/>
  <c r="CW32" i="1"/>
  <c r="GL32" i="1"/>
  <c r="GN32" i="1"/>
  <c r="GP32" i="1"/>
  <c r="GV32" i="1"/>
  <c r="HC32" i="1"/>
  <c r="GX32" i="1" s="1"/>
  <c r="C33" i="1"/>
  <c r="D33" i="1"/>
  <c r="I33" i="1"/>
  <c r="K33" i="1"/>
  <c r="AC33" i="1"/>
  <c r="CQ33" i="1" s="1"/>
  <c r="AE33" i="1"/>
  <c r="AF33" i="1"/>
  <c r="S33" i="1" s="1"/>
  <c r="AG33" i="1"/>
  <c r="AH33" i="1"/>
  <c r="AI33" i="1"/>
  <c r="CW33" i="1" s="1"/>
  <c r="V33" i="1" s="1"/>
  <c r="AJ33" i="1"/>
  <c r="CX33" i="1" s="1"/>
  <c r="W33" i="1" s="1"/>
  <c r="CT33" i="1"/>
  <c r="CU33" i="1"/>
  <c r="T33" i="1" s="1"/>
  <c r="CV33" i="1"/>
  <c r="U33" i="1" s="1"/>
  <c r="GL33" i="1"/>
  <c r="GN33" i="1"/>
  <c r="GP33" i="1"/>
  <c r="GV33" i="1"/>
  <c r="HC33" i="1"/>
  <c r="GX33" i="1" s="1"/>
  <c r="C34" i="1"/>
  <c r="D34" i="1"/>
  <c r="I34" i="1"/>
  <c r="Q34" i="1" s="1"/>
  <c r="K34" i="1"/>
  <c r="R34" i="1"/>
  <c r="V34" i="1"/>
  <c r="AC34" i="1"/>
  <c r="CQ34" i="1" s="1"/>
  <c r="AE34" i="1"/>
  <c r="AD34" i="1" s="1"/>
  <c r="AF34" i="1"/>
  <c r="CT34" i="1" s="1"/>
  <c r="AG34" i="1"/>
  <c r="CU34" i="1" s="1"/>
  <c r="T34" i="1" s="1"/>
  <c r="AH34" i="1"/>
  <c r="CV34" i="1" s="1"/>
  <c r="U34" i="1" s="1"/>
  <c r="AI34" i="1"/>
  <c r="AJ34" i="1"/>
  <c r="CX34" i="1" s="1"/>
  <c r="W34" i="1" s="1"/>
  <c r="CR34" i="1"/>
  <c r="CS34" i="1"/>
  <c r="CW34" i="1"/>
  <c r="GL34" i="1"/>
  <c r="GN34" i="1"/>
  <c r="GP34" i="1"/>
  <c r="GV34" i="1"/>
  <c r="HC34" i="1" s="1"/>
  <c r="GX34" i="1" s="1"/>
  <c r="C35" i="1"/>
  <c r="D35" i="1"/>
  <c r="I35" i="1"/>
  <c r="K35" i="1"/>
  <c r="AC35" i="1"/>
  <c r="AE35" i="1"/>
  <c r="AD35" i="1" s="1"/>
  <c r="AF35" i="1"/>
  <c r="S35" i="1" s="1"/>
  <c r="AG35" i="1"/>
  <c r="CU35" i="1" s="1"/>
  <c r="T35" i="1" s="1"/>
  <c r="AH35" i="1"/>
  <c r="CV35" i="1" s="1"/>
  <c r="U35" i="1" s="1"/>
  <c r="AI35" i="1"/>
  <c r="AJ35" i="1"/>
  <c r="CR35" i="1"/>
  <c r="CS35" i="1"/>
  <c r="CT35" i="1"/>
  <c r="CW35" i="1"/>
  <c r="V35" i="1" s="1"/>
  <c r="CX35" i="1"/>
  <c r="GL35" i="1"/>
  <c r="GN35" i="1"/>
  <c r="GP35" i="1"/>
  <c r="GV35" i="1"/>
  <c r="HC35" i="1" s="1"/>
  <c r="GX35" i="1" s="1"/>
  <c r="C36" i="1"/>
  <c r="D36" i="1"/>
  <c r="I36" i="1"/>
  <c r="CU27" i="3" s="1"/>
  <c r="K36" i="1"/>
  <c r="P36" i="1"/>
  <c r="R36" i="1"/>
  <c r="T36" i="1"/>
  <c r="W36" i="1"/>
  <c r="AC36" i="1"/>
  <c r="AB36" i="1" s="1"/>
  <c r="AD36" i="1"/>
  <c r="AE36" i="1"/>
  <c r="CS36" i="1" s="1"/>
  <c r="AF36" i="1"/>
  <c r="CT36" i="1" s="1"/>
  <c r="AG36" i="1"/>
  <c r="AH36" i="1"/>
  <c r="CV36" i="1" s="1"/>
  <c r="U36" i="1" s="1"/>
  <c r="AI36" i="1"/>
  <c r="AJ36" i="1"/>
  <c r="CQ36" i="1"/>
  <c r="CR36" i="1"/>
  <c r="CU36" i="1"/>
  <c r="CW36" i="1"/>
  <c r="V36" i="1" s="1"/>
  <c r="CX36" i="1"/>
  <c r="GL36" i="1"/>
  <c r="GN36" i="1"/>
  <c r="GP36" i="1"/>
  <c r="GV36" i="1"/>
  <c r="GX36" i="1"/>
  <c r="HC36" i="1"/>
  <c r="C37" i="1"/>
  <c r="D37" i="1"/>
  <c r="I37" i="1"/>
  <c r="K37" i="1"/>
  <c r="AC37" i="1"/>
  <c r="AB37" i="1" s="1"/>
  <c r="AD37" i="1"/>
  <c r="AE37" i="1"/>
  <c r="CS37" i="1" s="1"/>
  <c r="AF37" i="1"/>
  <c r="CT37" i="1" s="1"/>
  <c r="AG37" i="1"/>
  <c r="AH37" i="1"/>
  <c r="AI37" i="1"/>
  <c r="CW37" i="1" s="1"/>
  <c r="V37" i="1" s="1"/>
  <c r="AJ37" i="1"/>
  <c r="CX37" i="1" s="1"/>
  <c r="W37" i="1" s="1"/>
  <c r="CQ37" i="1"/>
  <c r="CR37" i="1"/>
  <c r="CU37" i="1"/>
  <c r="T37" i="1" s="1"/>
  <c r="CV37" i="1"/>
  <c r="GL37" i="1"/>
  <c r="GN37" i="1"/>
  <c r="GP37" i="1"/>
  <c r="GV37" i="1"/>
  <c r="HC37" i="1"/>
  <c r="C38" i="1"/>
  <c r="D38" i="1"/>
  <c r="I38" i="1"/>
  <c r="CU29" i="3" s="1"/>
  <c r="K38" i="1"/>
  <c r="P38" i="1"/>
  <c r="R38" i="1"/>
  <c r="AC38" i="1"/>
  <c r="CQ38" i="1" s="1"/>
  <c r="AD38" i="1"/>
  <c r="AB38" i="1" s="1"/>
  <c r="AE38" i="1"/>
  <c r="CR38" i="1" s="1"/>
  <c r="AF38" i="1"/>
  <c r="AG38" i="1"/>
  <c r="AH38" i="1"/>
  <c r="AI38" i="1"/>
  <c r="AJ38" i="1"/>
  <c r="CX38" i="1" s="1"/>
  <c r="W38" i="1" s="1"/>
  <c r="CS38" i="1"/>
  <c r="CU38" i="1"/>
  <c r="T38" i="1" s="1"/>
  <c r="CV38" i="1"/>
  <c r="U38" i="1" s="1"/>
  <c r="CW38" i="1"/>
  <c r="V38" i="1" s="1"/>
  <c r="GL38" i="1"/>
  <c r="GN38" i="1"/>
  <c r="GP38" i="1"/>
  <c r="GV38" i="1"/>
  <c r="GX38" i="1"/>
  <c r="HC38" i="1"/>
  <c r="C39" i="1"/>
  <c r="D39" i="1"/>
  <c r="I39" i="1"/>
  <c r="K39" i="1"/>
  <c r="P39" i="1"/>
  <c r="R39" i="1"/>
  <c r="S39" i="1"/>
  <c r="X39" i="1" s="1"/>
  <c r="W39" i="1"/>
  <c r="AC39" i="1"/>
  <c r="CQ39" i="1" s="1"/>
  <c r="AD39" i="1"/>
  <c r="AB39" i="1" s="1"/>
  <c r="AE39" i="1"/>
  <c r="CR39" i="1" s="1"/>
  <c r="AF39" i="1"/>
  <c r="AG39" i="1"/>
  <c r="CU39" i="1" s="1"/>
  <c r="T39" i="1" s="1"/>
  <c r="AH39" i="1"/>
  <c r="CV39" i="1" s="1"/>
  <c r="U39" i="1" s="1"/>
  <c r="AI39" i="1"/>
  <c r="CW39" i="1" s="1"/>
  <c r="V39" i="1" s="1"/>
  <c r="AJ39" i="1"/>
  <c r="CS39" i="1"/>
  <c r="CT39" i="1"/>
  <c r="CX39" i="1"/>
  <c r="CZ39" i="1"/>
  <c r="GL39" i="1"/>
  <c r="GN39" i="1"/>
  <c r="GP39" i="1"/>
  <c r="GV39" i="1"/>
  <c r="HC39" i="1" s="1"/>
  <c r="GX39" i="1" s="1"/>
  <c r="C40" i="1"/>
  <c r="D40" i="1"/>
  <c r="I40" i="1"/>
  <c r="K40" i="1"/>
  <c r="P40" i="1"/>
  <c r="S40" i="1"/>
  <c r="CY40" i="1" s="1"/>
  <c r="X40" i="1"/>
  <c r="AC40" i="1"/>
  <c r="AD40" i="1"/>
  <c r="AB40" i="1" s="1"/>
  <c r="AE40" i="1"/>
  <c r="AF40" i="1"/>
  <c r="AG40" i="1"/>
  <c r="AH40" i="1"/>
  <c r="CV40" i="1" s="1"/>
  <c r="U40" i="1" s="1"/>
  <c r="AI40" i="1"/>
  <c r="CW40" i="1" s="1"/>
  <c r="V40" i="1" s="1"/>
  <c r="AJ40" i="1"/>
  <c r="CQ40" i="1"/>
  <c r="CR40" i="1"/>
  <c r="CS40" i="1"/>
  <c r="CT40" i="1"/>
  <c r="CU40" i="1"/>
  <c r="T40" i="1" s="1"/>
  <c r="CX40" i="1"/>
  <c r="W40" i="1" s="1"/>
  <c r="CZ40" i="1"/>
  <c r="GL40" i="1"/>
  <c r="GN40" i="1"/>
  <c r="GP40" i="1"/>
  <c r="GV40" i="1"/>
  <c r="HC40" i="1" s="1"/>
  <c r="GX40" i="1"/>
  <c r="C41" i="1"/>
  <c r="D41" i="1"/>
  <c r="I41" i="1"/>
  <c r="R41" i="1" s="1"/>
  <c r="K41" i="1"/>
  <c r="P41" i="1"/>
  <c r="S41" i="1"/>
  <c r="X41" i="1" s="1"/>
  <c r="U41" i="1"/>
  <c r="AC41" i="1"/>
  <c r="AE41" i="1"/>
  <c r="CR41" i="1" s="1"/>
  <c r="AF41" i="1"/>
  <c r="CT41" i="1" s="1"/>
  <c r="AG41" i="1"/>
  <c r="CU41" i="1" s="1"/>
  <c r="T41" i="1" s="1"/>
  <c r="AH41" i="1"/>
  <c r="AI41" i="1"/>
  <c r="CW41" i="1" s="1"/>
  <c r="V41" i="1" s="1"/>
  <c r="AJ41" i="1"/>
  <c r="CQ41" i="1"/>
  <c r="CV41" i="1"/>
  <c r="CX41" i="1"/>
  <c r="W41" i="1" s="1"/>
  <c r="CZ41" i="1"/>
  <c r="GL41" i="1"/>
  <c r="GN41" i="1"/>
  <c r="GP41" i="1"/>
  <c r="GV41" i="1"/>
  <c r="HC41" i="1"/>
  <c r="GX41" i="1" s="1"/>
  <c r="C42" i="1"/>
  <c r="D42" i="1"/>
  <c r="I42" i="1"/>
  <c r="CU37" i="3" s="1"/>
  <c r="K42" i="1"/>
  <c r="S42" i="1"/>
  <c r="CY42" i="1" s="1"/>
  <c r="U42" i="1"/>
  <c r="X42" i="1"/>
  <c r="AC42" i="1"/>
  <c r="P42" i="1" s="1"/>
  <c r="AE42" i="1"/>
  <c r="AD42" i="1" s="1"/>
  <c r="AB42" i="1" s="1"/>
  <c r="AF42" i="1"/>
  <c r="CT42" i="1" s="1"/>
  <c r="AG42" i="1"/>
  <c r="CU42" i="1" s="1"/>
  <c r="T42" i="1" s="1"/>
  <c r="AH42" i="1"/>
  <c r="AI42" i="1"/>
  <c r="CW42" i="1" s="1"/>
  <c r="V42" i="1" s="1"/>
  <c r="AJ42" i="1"/>
  <c r="CX42" i="1" s="1"/>
  <c r="W42" i="1" s="1"/>
  <c r="CQ42" i="1"/>
  <c r="CS42" i="1"/>
  <c r="CV42" i="1"/>
  <c r="CZ42" i="1"/>
  <c r="GL42" i="1"/>
  <c r="GN42" i="1"/>
  <c r="GP42" i="1"/>
  <c r="GV42" i="1"/>
  <c r="HC42" i="1"/>
  <c r="GX42" i="1" s="1"/>
  <c r="C43" i="1"/>
  <c r="D43" i="1"/>
  <c r="I43" i="1"/>
  <c r="K43" i="1"/>
  <c r="S43" i="1"/>
  <c r="AC43" i="1"/>
  <c r="CQ43" i="1" s="1"/>
  <c r="AE43" i="1"/>
  <c r="CR43" i="1" s="1"/>
  <c r="AF43" i="1"/>
  <c r="AG43" i="1"/>
  <c r="CU43" i="1" s="1"/>
  <c r="T43" i="1" s="1"/>
  <c r="AH43" i="1"/>
  <c r="AI43" i="1"/>
  <c r="AJ43" i="1"/>
  <c r="CT43" i="1"/>
  <c r="CV43" i="1"/>
  <c r="U43" i="1" s="1"/>
  <c r="CW43" i="1"/>
  <c r="V43" i="1" s="1"/>
  <c r="CX43" i="1"/>
  <c r="W43" i="1" s="1"/>
  <c r="GL43" i="1"/>
  <c r="GN43" i="1"/>
  <c r="GP43" i="1"/>
  <c r="GV43" i="1"/>
  <c r="HC43" i="1" s="1"/>
  <c r="GX43" i="1" s="1"/>
  <c r="C44" i="1"/>
  <c r="D44" i="1"/>
  <c r="I44" i="1"/>
  <c r="R44" i="1" s="1"/>
  <c r="K44" i="1"/>
  <c r="S44" i="1"/>
  <c r="Y44" i="1" s="1"/>
  <c r="T44" i="1"/>
  <c r="X44" i="1"/>
  <c r="AC44" i="1"/>
  <c r="AE44" i="1"/>
  <c r="CR44" i="1" s="1"/>
  <c r="AF44" i="1"/>
  <c r="AG44" i="1"/>
  <c r="CU44" i="1" s="1"/>
  <c r="AH44" i="1"/>
  <c r="CV44" i="1" s="1"/>
  <c r="U44" i="1" s="1"/>
  <c r="AI44" i="1"/>
  <c r="CW44" i="1" s="1"/>
  <c r="V44" i="1" s="1"/>
  <c r="AJ44" i="1"/>
  <c r="CQ44" i="1"/>
  <c r="CT44" i="1"/>
  <c r="CX44" i="1"/>
  <c r="W44" i="1" s="1"/>
  <c r="CY44" i="1"/>
  <c r="GL44" i="1"/>
  <c r="GN44" i="1"/>
  <c r="GP44" i="1"/>
  <c r="GV44" i="1"/>
  <c r="HC44" i="1"/>
  <c r="GX44" i="1" s="1"/>
  <c r="C45" i="1"/>
  <c r="D45" i="1"/>
  <c r="I45" i="1"/>
  <c r="K45" i="1"/>
  <c r="X45" i="1"/>
  <c r="AC45" i="1"/>
  <c r="AE45" i="1"/>
  <c r="AF45" i="1"/>
  <c r="S45" i="1" s="1"/>
  <c r="AG45" i="1"/>
  <c r="AH45" i="1"/>
  <c r="AI45" i="1"/>
  <c r="CW45" i="1" s="1"/>
  <c r="V45" i="1" s="1"/>
  <c r="AJ45" i="1"/>
  <c r="CX45" i="1" s="1"/>
  <c r="W45" i="1" s="1"/>
  <c r="CR45" i="1"/>
  <c r="CT45" i="1"/>
  <c r="CU45" i="1"/>
  <c r="CV45" i="1"/>
  <c r="U45" i="1" s="1"/>
  <c r="GL45" i="1"/>
  <c r="GN45" i="1"/>
  <c r="GP45" i="1"/>
  <c r="GV45" i="1"/>
  <c r="HC45" i="1"/>
  <c r="GX45" i="1" s="1"/>
  <c r="C46" i="1"/>
  <c r="D46" i="1"/>
  <c r="S46" i="1"/>
  <c r="CY46" i="1" s="1"/>
  <c r="T46" i="1"/>
  <c r="AC46" i="1"/>
  <c r="AE46" i="1"/>
  <c r="CR46" i="1" s="1"/>
  <c r="AF46" i="1"/>
  <c r="AG46" i="1"/>
  <c r="CU46" i="1" s="1"/>
  <c r="AH46" i="1"/>
  <c r="CV46" i="1" s="1"/>
  <c r="U46" i="1" s="1"/>
  <c r="AI46" i="1"/>
  <c r="CW46" i="1" s="1"/>
  <c r="V46" i="1" s="1"/>
  <c r="AJ46" i="1"/>
  <c r="CQ46" i="1"/>
  <c r="CT46" i="1"/>
  <c r="CX46" i="1"/>
  <c r="W46" i="1" s="1"/>
  <c r="GL46" i="1"/>
  <c r="GN46" i="1"/>
  <c r="GP46" i="1"/>
  <c r="GV46" i="1"/>
  <c r="HC46" i="1"/>
  <c r="GX46" i="1" s="1"/>
  <c r="C47" i="1"/>
  <c r="D47" i="1"/>
  <c r="S47" i="1"/>
  <c r="V47" i="1"/>
  <c r="AC47" i="1"/>
  <c r="AE47" i="1"/>
  <c r="AF47" i="1"/>
  <c r="AG47" i="1"/>
  <c r="CU47" i="1" s="1"/>
  <c r="T47" i="1" s="1"/>
  <c r="AH47" i="1"/>
  <c r="AI47" i="1"/>
  <c r="AJ47" i="1"/>
  <c r="CT47" i="1"/>
  <c r="CV47" i="1"/>
  <c r="U47" i="1" s="1"/>
  <c r="CW47" i="1"/>
  <c r="CX47" i="1"/>
  <c r="W47" i="1" s="1"/>
  <c r="GL47" i="1"/>
  <c r="GN47" i="1"/>
  <c r="GP47" i="1"/>
  <c r="GV47" i="1"/>
  <c r="HC47" i="1" s="1"/>
  <c r="GX47" i="1" s="1"/>
  <c r="C48" i="1"/>
  <c r="D48" i="1"/>
  <c r="I48" i="1"/>
  <c r="R48" i="1" s="1"/>
  <c r="K48" i="1"/>
  <c r="S48" i="1"/>
  <c r="CY48" i="1" s="1"/>
  <c r="T48" i="1"/>
  <c r="AC48" i="1"/>
  <c r="AE48" i="1"/>
  <c r="CR48" i="1" s="1"/>
  <c r="AF48" i="1"/>
  <c r="AG48" i="1"/>
  <c r="CU48" i="1" s="1"/>
  <c r="AH48" i="1"/>
  <c r="CV48" i="1" s="1"/>
  <c r="U48" i="1" s="1"/>
  <c r="AI48" i="1"/>
  <c r="CW48" i="1" s="1"/>
  <c r="V48" i="1" s="1"/>
  <c r="AJ48" i="1"/>
  <c r="CQ48" i="1"/>
  <c r="CT48" i="1"/>
  <c r="CX48" i="1"/>
  <c r="W48" i="1" s="1"/>
  <c r="GL48" i="1"/>
  <c r="GN48" i="1"/>
  <c r="GP48" i="1"/>
  <c r="GV48" i="1"/>
  <c r="HC48" i="1" s="1"/>
  <c r="GX48" i="1" s="1"/>
  <c r="C49" i="1"/>
  <c r="D49" i="1"/>
  <c r="I49" i="1"/>
  <c r="K49" i="1"/>
  <c r="AC49" i="1"/>
  <c r="AE49" i="1"/>
  <c r="AF49" i="1"/>
  <c r="AG49" i="1"/>
  <c r="AH49" i="1"/>
  <c r="AI49" i="1"/>
  <c r="AJ49" i="1"/>
  <c r="CX49" i="1" s="1"/>
  <c r="W49" i="1" s="1"/>
  <c r="CT49" i="1"/>
  <c r="CU49" i="1"/>
  <c r="CV49" i="1"/>
  <c r="CW49" i="1"/>
  <c r="GL49" i="1"/>
  <c r="GN49" i="1"/>
  <c r="GP49" i="1"/>
  <c r="GV49" i="1"/>
  <c r="HC49" i="1"/>
  <c r="GX49" i="1" s="1"/>
  <c r="C50" i="1"/>
  <c r="D50" i="1"/>
  <c r="S50" i="1"/>
  <c r="CY50" i="1" s="1"/>
  <c r="T50" i="1"/>
  <c r="AC50" i="1"/>
  <c r="AE50" i="1"/>
  <c r="CR50" i="1" s="1"/>
  <c r="AF50" i="1"/>
  <c r="AG50" i="1"/>
  <c r="CU50" i="1" s="1"/>
  <c r="AH50" i="1"/>
  <c r="CV50" i="1" s="1"/>
  <c r="U50" i="1" s="1"/>
  <c r="AI50" i="1"/>
  <c r="CW50" i="1" s="1"/>
  <c r="V50" i="1" s="1"/>
  <c r="AJ50" i="1"/>
  <c r="CQ50" i="1"/>
  <c r="CT50" i="1"/>
  <c r="CX50" i="1"/>
  <c r="W50" i="1" s="1"/>
  <c r="GL50" i="1"/>
  <c r="GN50" i="1"/>
  <c r="GP50" i="1"/>
  <c r="GV50" i="1"/>
  <c r="HC50" i="1" s="1"/>
  <c r="GX50" i="1" s="1"/>
  <c r="C51" i="1"/>
  <c r="D51" i="1"/>
  <c r="S51" i="1"/>
  <c r="V51" i="1"/>
  <c r="AC51" i="1"/>
  <c r="AE51" i="1"/>
  <c r="AF51" i="1"/>
  <c r="AG51" i="1"/>
  <c r="CU51" i="1" s="1"/>
  <c r="T51" i="1" s="1"/>
  <c r="AH51" i="1"/>
  <c r="AI51" i="1"/>
  <c r="AJ51" i="1"/>
  <c r="CS51" i="1"/>
  <c r="CT51" i="1"/>
  <c r="CV51" i="1"/>
  <c r="U51" i="1" s="1"/>
  <c r="CW51" i="1"/>
  <c r="CX51" i="1"/>
  <c r="W51" i="1" s="1"/>
  <c r="GL51" i="1"/>
  <c r="GN51" i="1"/>
  <c r="GP51" i="1"/>
  <c r="GV51" i="1"/>
  <c r="HC51" i="1" s="1"/>
  <c r="GX51" i="1" s="1"/>
  <c r="C52" i="1"/>
  <c r="D52" i="1"/>
  <c r="I52" i="1"/>
  <c r="R52" i="1" s="1"/>
  <c r="K52" i="1"/>
  <c r="S52" i="1"/>
  <c r="T52" i="1"/>
  <c r="X52" i="1"/>
  <c r="AC52" i="1"/>
  <c r="AE52" i="1"/>
  <c r="CR52" i="1" s="1"/>
  <c r="AF52" i="1"/>
  <c r="AG52" i="1"/>
  <c r="CU52" i="1" s="1"/>
  <c r="AH52" i="1"/>
  <c r="CV52" i="1" s="1"/>
  <c r="U52" i="1" s="1"/>
  <c r="AI52" i="1"/>
  <c r="CW52" i="1" s="1"/>
  <c r="V52" i="1" s="1"/>
  <c r="AJ52" i="1"/>
  <c r="CX52" i="1" s="1"/>
  <c r="W52" i="1" s="1"/>
  <c r="CQ52" i="1"/>
  <c r="CT52" i="1"/>
  <c r="CY52" i="1"/>
  <c r="GL52" i="1"/>
  <c r="GN52" i="1"/>
  <c r="GP52" i="1"/>
  <c r="GV52" i="1"/>
  <c r="HC52" i="1" s="1"/>
  <c r="GX52" i="1" s="1"/>
  <c r="C53" i="1"/>
  <c r="D53" i="1"/>
  <c r="I53" i="1"/>
  <c r="K53" i="1"/>
  <c r="AC53" i="1"/>
  <c r="AE53" i="1"/>
  <c r="AF53" i="1"/>
  <c r="AG53" i="1"/>
  <c r="AH53" i="1"/>
  <c r="AI53" i="1"/>
  <c r="AJ53" i="1"/>
  <c r="CX53" i="1" s="1"/>
  <c r="W53" i="1" s="1"/>
  <c r="CQ53" i="1"/>
  <c r="CT53" i="1"/>
  <c r="CU53" i="1"/>
  <c r="CV53" i="1"/>
  <c r="CW53" i="1"/>
  <c r="GL53" i="1"/>
  <c r="GN53" i="1"/>
  <c r="GP53" i="1"/>
  <c r="GV53" i="1"/>
  <c r="HC53" i="1"/>
  <c r="GX53" i="1" s="1"/>
  <c r="C54" i="1"/>
  <c r="D54" i="1"/>
  <c r="S54" i="1"/>
  <c r="T54" i="1"/>
  <c r="X54" i="1"/>
  <c r="AC54" i="1"/>
  <c r="AE54" i="1"/>
  <c r="CR54" i="1" s="1"/>
  <c r="AF54" i="1"/>
  <c r="AG54" i="1"/>
  <c r="CU54" i="1" s="1"/>
  <c r="AH54" i="1"/>
  <c r="CV54" i="1" s="1"/>
  <c r="U54" i="1" s="1"/>
  <c r="AI54" i="1"/>
  <c r="CW54" i="1" s="1"/>
  <c r="V54" i="1" s="1"/>
  <c r="AJ54" i="1"/>
  <c r="CX54" i="1" s="1"/>
  <c r="W54" i="1" s="1"/>
  <c r="CQ54" i="1"/>
  <c r="CT54" i="1"/>
  <c r="CY54" i="1"/>
  <c r="GL54" i="1"/>
  <c r="GN54" i="1"/>
  <c r="GP54" i="1"/>
  <c r="GV54" i="1"/>
  <c r="HC54" i="1" s="1"/>
  <c r="GX54" i="1" s="1"/>
  <c r="C55" i="1"/>
  <c r="D55" i="1"/>
  <c r="Q55" i="1"/>
  <c r="S55" i="1"/>
  <c r="V55" i="1"/>
  <c r="AC55" i="1"/>
  <c r="AE55" i="1"/>
  <c r="AF55" i="1"/>
  <c r="AG55" i="1"/>
  <c r="CU55" i="1" s="1"/>
  <c r="T55" i="1" s="1"/>
  <c r="AH55" i="1"/>
  <c r="AI55" i="1"/>
  <c r="AJ55" i="1"/>
  <c r="CS55" i="1"/>
  <c r="CT55" i="1"/>
  <c r="CV55" i="1"/>
  <c r="U55" i="1" s="1"/>
  <c r="CW55" i="1"/>
  <c r="CX55" i="1"/>
  <c r="W55" i="1" s="1"/>
  <c r="GL55" i="1"/>
  <c r="GN55" i="1"/>
  <c r="GP55" i="1"/>
  <c r="GV55" i="1"/>
  <c r="HC55" i="1"/>
  <c r="GX55" i="1" s="1"/>
  <c r="C56" i="1"/>
  <c r="D56" i="1"/>
  <c r="Q56" i="1"/>
  <c r="S56" i="1"/>
  <c r="CY56" i="1" s="1"/>
  <c r="X56" i="1"/>
  <c r="AC56" i="1"/>
  <c r="P56" i="1" s="1"/>
  <c r="AE56" i="1"/>
  <c r="AF56" i="1"/>
  <c r="AG56" i="1"/>
  <c r="CU56" i="1" s="1"/>
  <c r="T56" i="1" s="1"/>
  <c r="AH56" i="1"/>
  <c r="AI56" i="1"/>
  <c r="CW56" i="1" s="1"/>
  <c r="V56" i="1" s="1"/>
  <c r="AJ56" i="1"/>
  <c r="CX56" i="1" s="1"/>
  <c r="W56" i="1" s="1"/>
  <c r="CQ56" i="1"/>
  <c r="CT56" i="1"/>
  <c r="CV56" i="1"/>
  <c r="U56" i="1" s="1"/>
  <c r="GL56" i="1"/>
  <c r="GN56" i="1"/>
  <c r="GP56" i="1"/>
  <c r="GV56" i="1"/>
  <c r="HC56" i="1"/>
  <c r="GX56" i="1" s="1"/>
  <c r="C57" i="1"/>
  <c r="D57" i="1"/>
  <c r="P57" i="1"/>
  <c r="S57" i="1"/>
  <c r="X57" i="1"/>
  <c r="AC57" i="1"/>
  <c r="AD57" i="1"/>
  <c r="AB57" i="1" s="1"/>
  <c r="AE57" i="1"/>
  <c r="AF57" i="1"/>
  <c r="CT57" i="1" s="1"/>
  <c r="AG57" i="1"/>
  <c r="CU57" i="1" s="1"/>
  <c r="T57" i="1" s="1"/>
  <c r="AH57" i="1"/>
  <c r="AI57" i="1"/>
  <c r="CW57" i="1" s="1"/>
  <c r="V57" i="1" s="1"/>
  <c r="AJ57" i="1"/>
  <c r="CQ57" i="1"/>
  <c r="CV57" i="1"/>
  <c r="U57" i="1" s="1"/>
  <c r="CX57" i="1"/>
  <c r="W57" i="1" s="1"/>
  <c r="CZ57" i="1"/>
  <c r="GL57" i="1"/>
  <c r="GN57" i="1"/>
  <c r="GP57" i="1"/>
  <c r="GV57" i="1"/>
  <c r="HC57" i="1"/>
  <c r="GX57" i="1" s="1"/>
  <c r="C58" i="1"/>
  <c r="D58" i="1"/>
  <c r="I58" i="1"/>
  <c r="K58" i="1"/>
  <c r="S58" i="1"/>
  <c r="X58" i="1" s="1"/>
  <c r="U58" i="1"/>
  <c r="AC58" i="1"/>
  <c r="P58" i="1" s="1"/>
  <c r="AE58" i="1"/>
  <c r="AF58" i="1"/>
  <c r="AG58" i="1"/>
  <c r="CU58" i="1" s="1"/>
  <c r="T58" i="1" s="1"/>
  <c r="AH58" i="1"/>
  <c r="AI58" i="1"/>
  <c r="CW58" i="1" s="1"/>
  <c r="V58" i="1" s="1"/>
  <c r="AJ58" i="1"/>
  <c r="CQ58" i="1"/>
  <c r="CT58" i="1"/>
  <c r="CV58" i="1"/>
  <c r="CX58" i="1"/>
  <c r="W58" i="1" s="1"/>
  <c r="CZ58" i="1"/>
  <c r="GL58" i="1"/>
  <c r="GN58" i="1"/>
  <c r="GP58" i="1"/>
  <c r="GV58" i="1"/>
  <c r="HC58" i="1"/>
  <c r="GX58" i="1" s="1"/>
  <c r="C59" i="1"/>
  <c r="D59" i="1"/>
  <c r="I59" i="1"/>
  <c r="K59" i="1"/>
  <c r="P59" i="1"/>
  <c r="S59" i="1"/>
  <c r="V59" i="1"/>
  <c r="AC59" i="1"/>
  <c r="CQ59" i="1" s="1"/>
  <c r="AE59" i="1"/>
  <c r="AF59" i="1"/>
  <c r="AG59" i="1"/>
  <c r="AH59" i="1"/>
  <c r="AI59" i="1"/>
  <c r="AJ59" i="1"/>
  <c r="CS59" i="1"/>
  <c r="CT59" i="1"/>
  <c r="CU59" i="1"/>
  <c r="T59" i="1" s="1"/>
  <c r="CV59" i="1"/>
  <c r="U59" i="1" s="1"/>
  <c r="CW59" i="1"/>
  <c r="CX59" i="1"/>
  <c r="W59" i="1" s="1"/>
  <c r="GL59" i="1"/>
  <c r="GN59" i="1"/>
  <c r="GP59" i="1"/>
  <c r="GV59" i="1"/>
  <c r="HC59" i="1" s="1"/>
  <c r="GX59" i="1" s="1"/>
  <c r="C60" i="1"/>
  <c r="D60" i="1"/>
  <c r="I60" i="1"/>
  <c r="Q60" i="1" s="1"/>
  <c r="K60" i="1"/>
  <c r="U60" i="1"/>
  <c r="V60" i="1"/>
  <c r="AC60" i="1"/>
  <c r="CQ60" i="1" s="1"/>
  <c r="AE60" i="1"/>
  <c r="AF60" i="1"/>
  <c r="AG60" i="1"/>
  <c r="CU60" i="1" s="1"/>
  <c r="T60" i="1" s="1"/>
  <c r="AH60" i="1"/>
  <c r="AI60" i="1"/>
  <c r="CW60" i="1" s="1"/>
  <c r="AJ60" i="1"/>
  <c r="CX60" i="1" s="1"/>
  <c r="W60" i="1" s="1"/>
  <c r="CR60" i="1"/>
  <c r="CT60" i="1"/>
  <c r="CV60" i="1"/>
  <c r="GL60" i="1"/>
  <c r="GN60" i="1"/>
  <c r="GP60" i="1"/>
  <c r="GV60" i="1"/>
  <c r="HC60" i="1" s="1"/>
  <c r="GX60" i="1" s="1"/>
  <c r="C61" i="1"/>
  <c r="D61" i="1"/>
  <c r="I61" i="1"/>
  <c r="K61" i="1"/>
  <c r="T61" i="1"/>
  <c r="AC61" i="1"/>
  <c r="P61" i="1" s="1"/>
  <c r="AE61" i="1"/>
  <c r="AD61" i="1" s="1"/>
  <c r="AF61" i="1"/>
  <c r="S61" i="1" s="1"/>
  <c r="AG61" i="1"/>
  <c r="AH61" i="1"/>
  <c r="AI61" i="1"/>
  <c r="AJ61" i="1"/>
  <c r="CX61" i="1" s="1"/>
  <c r="W61" i="1" s="1"/>
  <c r="CT61" i="1"/>
  <c r="CU61" i="1"/>
  <c r="CV61" i="1"/>
  <c r="U61" i="1" s="1"/>
  <c r="CW61" i="1"/>
  <c r="V61" i="1" s="1"/>
  <c r="GL61" i="1"/>
  <c r="GN61" i="1"/>
  <c r="GP61" i="1"/>
  <c r="GV61" i="1"/>
  <c r="HC61" i="1" s="1"/>
  <c r="GX61" i="1" s="1"/>
  <c r="C62" i="1"/>
  <c r="D62" i="1"/>
  <c r="I62" i="1"/>
  <c r="K62" i="1"/>
  <c r="S62" i="1"/>
  <c r="Y62" i="1" s="1"/>
  <c r="V62" i="1"/>
  <c r="AC62" i="1"/>
  <c r="AE62" i="1"/>
  <c r="AF62" i="1"/>
  <c r="AG62" i="1"/>
  <c r="CU62" i="1" s="1"/>
  <c r="T62" i="1" s="1"/>
  <c r="AH62" i="1"/>
  <c r="CV62" i="1" s="1"/>
  <c r="U62" i="1" s="1"/>
  <c r="AI62" i="1"/>
  <c r="AJ62" i="1"/>
  <c r="CR62" i="1"/>
  <c r="CT62" i="1"/>
  <c r="CW62" i="1"/>
  <c r="CX62" i="1"/>
  <c r="W62" i="1" s="1"/>
  <c r="GL62" i="1"/>
  <c r="GN62" i="1"/>
  <c r="GP62" i="1"/>
  <c r="GV62" i="1"/>
  <c r="HC62" i="1" s="1"/>
  <c r="GX62" i="1" s="1"/>
  <c r="C63" i="1"/>
  <c r="D63" i="1"/>
  <c r="I63" i="1"/>
  <c r="K63" i="1"/>
  <c r="R63" i="1"/>
  <c r="T63" i="1"/>
  <c r="X63" i="1"/>
  <c r="Y63" i="1"/>
  <c r="AB63" i="1"/>
  <c r="AC63" i="1"/>
  <c r="P63" i="1" s="1"/>
  <c r="AD63" i="1"/>
  <c r="AE63" i="1"/>
  <c r="AF63" i="1"/>
  <c r="S63" i="1" s="1"/>
  <c r="CZ63" i="1" s="1"/>
  <c r="AG63" i="1"/>
  <c r="AH63" i="1"/>
  <c r="CV63" i="1" s="1"/>
  <c r="U63" i="1" s="1"/>
  <c r="AI63" i="1"/>
  <c r="AJ63" i="1"/>
  <c r="CX63" i="1" s="1"/>
  <c r="W63" i="1" s="1"/>
  <c r="CQ63" i="1"/>
  <c r="CR63" i="1"/>
  <c r="CS63" i="1"/>
  <c r="CT63" i="1"/>
  <c r="CU63" i="1"/>
  <c r="CW63" i="1"/>
  <c r="V63" i="1" s="1"/>
  <c r="CY63" i="1"/>
  <c r="GL63" i="1"/>
  <c r="GN63" i="1"/>
  <c r="GP63" i="1"/>
  <c r="GV63" i="1"/>
  <c r="HC63" i="1" s="1"/>
  <c r="GX63" i="1" s="1"/>
  <c r="C64" i="1"/>
  <c r="D64" i="1"/>
  <c r="I64" i="1"/>
  <c r="K64" i="1"/>
  <c r="Q64" i="1"/>
  <c r="R64" i="1"/>
  <c r="AC64" i="1"/>
  <c r="P64" i="1" s="1"/>
  <c r="CP64" i="1" s="1"/>
  <c r="O64" i="1" s="1"/>
  <c r="AE64" i="1"/>
  <c r="CS64" i="1" s="1"/>
  <c r="AF64" i="1"/>
  <c r="S64" i="1" s="1"/>
  <c r="AG64" i="1"/>
  <c r="AH64" i="1"/>
  <c r="CV64" i="1" s="1"/>
  <c r="U64" i="1" s="1"/>
  <c r="AI64" i="1"/>
  <c r="CW64" i="1" s="1"/>
  <c r="V64" i="1" s="1"/>
  <c r="AJ64" i="1"/>
  <c r="CR64" i="1"/>
  <c r="CU64" i="1"/>
  <c r="T64" i="1" s="1"/>
  <c r="CX64" i="1"/>
  <c r="W64" i="1" s="1"/>
  <c r="GL64" i="1"/>
  <c r="GN64" i="1"/>
  <c r="GP64" i="1"/>
  <c r="GV64" i="1"/>
  <c r="HC64" i="1" s="1"/>
  <c r="GX64" i="1" s="1"/>
  <c r="C65" i="1"/>
  <c r="D65" i="1"/>
  <c r="I65" i="1"/>
  <c r="K65" i="1"/>
  <c r="P65" i="1"/>
  <c r="R65" i="1"/>
  <c r="V65" i="1"/>
  <c r="AC65" i="1"/>
  <c r="AD65" i="1"/>
  <c r="AB65" i="1" s="1"/>
  <c r="AE65" i="1"/>
  <c r="AF65" i="1"/>
  <c r="AG65" i="1"/>
  <c r="AH65" i="1"/>
  <c r="AI65" i="1"/>
  <c r="AJ65" i="1"/>
  <c r="CX65" i="1" s="1"/>
  <c r="W65" i="1" s="1"/>
  <c r="CQ65" i="1"/>
  <c r="CR65" i="1"/>
  <c r="CS65" i="1"/>
  <c r="CU65" i="1"/>
  <c r="T65" i="1" s="1"/>
  <c r="CV65" i="1"/>
  <c r="U65" i="1" s="1"/>
  <c r="CW65" i="1"/>
  <c r="GL65" i="1"/>
  <c r="GN65" i="1"/>
  <c r="GP65" i="1"/>
  <c r="GV65" i="1"/>
  <c r="HC65" i="1"/>
  <c r="GX65" i="1" s="1"/>
  <c r="C66" i="1"/>
  <c r="D66" i="1"/>
  <c r="I66" i="1"/>
  <c r="K66" i="1"/>
  <c r="AC66" i="1"/>
  <c r="CQ66" i="1" s="1"/>
  <c r="AD66" i="1"/>
  <c r="AE66" i="1"/>
  <c r="AF66" i="1"/>
  <c r="AG66" i="1"/>
  <c r="AH66" i="1"/>
  <c r="AI66" i="1"/>
  <c r="CW66" i="1" s="1"/>
  <c r="V66" i="1" s="1"/>
  <c r="AJ66" i="1"/>
  <c r="CX66" i="1" s="1"/>
  <c r="W66" i="1" s="1"/>
  <c r="CR66" i="1"/>
  <c r="CS66" i="1"/>
  <c r="CT66" i="1"/>
  <c r="CU66" i="1"/>
  <c r="T66" i="1" s="1"/>
  <c r="CV66" i="1"/>
  <c r="U66" i="1" s="1"/>
  <c r="GL66" i="1"/>
  <c r="GO66" i="1"/>
  <c r="GP66" i="1"/>
  <c r="GV66" i="1"/>
  <c r="HC66" i="1" s="1"/>
  <c r="GX66" i="1" s="1"/>
  <c r="C67" i="1"/>
  <c r="D67" i="1"/>
  <c r="I67" i="1"/>
  <c r="K67" i="1"/>
  <c r="T67" i="1"/>
  <c r="W67" i="1"/>
  <c r="AC67" i="1"/>
  <c r="AE67" i="1"/>
  <c r="CR67" i="1" s="1"/>
  <c r="AF67" i="1"/>
  <c r="S67" i="1" s="1"/>
  <c r="AG67" i="1"/>
  <c r="AH67" i="1"/>
  <c r="AI67" i="1"/>
  <c r="CW67" i="1" s="1"/>
  <c r="V67" i="1" s="1"/>
  <c r="AJ67" i="1"/>
  <c r="CQ67" i="1"/>
  <c r="CT67" i="1"/>
  <c r="CU67" i="1"/>
  <c r="CV67" i="1"/>
  <c r="U67" i="1" s="1"/>
  <c r="CX67" i="1"/>
  <c r="GL67" i="1"/>
  <c r="GO67" i="1"/>
  <c r="GP67" i="1"/>
  <c r="GV67" i="1"/>
  <c r="HC67" i="1" s="1"/>
  <c r="GX67" i="1" s="1"/>
  <c r="C68" i="1"/>
  <c r="D68" i="1"/>
  <c r="I68" i="1"/>
  <c r="CU103" i="3" s="1"/>
  <c r="K68" i="1"/>
  <c r="P68" i="1"/>
  <c r="AC68" i="1"/>
  <c r="AE68" i="1"/>
  <c r="CR68" i="1" s="1"/>
  <c r="AF68" i="1"/>
  <c r="S68" i="1" s="1"/>
  <c r="AG68" i="1"/>
  <c r="AH68" i="1"/>
  <c r="AI68" i="1"/>
  <c r="CW68" i="1" s="1"/>
  <c r="V68" i="1" s="1"/>
  <c r="AJ68" i="1"/>
  <c r="CX68" i="1" s="1"/>
  <c r="W68" i="1" s="1"/>
  <c r="CQ68" i="1"/>
  <c r="CU68" i="1"/>
  <c r="T68" i="1" s="1"/>
  <c r="CV68" i="1"/>
  <c r="U68" i="1" s="1"/>
  <c r="GL68" i="1"/>
  <c r="GO68" i="1"/>
  <c r="GP68" i="1"/>
  <c r="GV68" i="1"/>
  <c r="HC68" i="1"/>
  <c r="GX68" i="1" s="1"/>
  <c r="C69" i="1"/>
  <c r="D69" i="1"/>
  <c r="I69" i="1"/>
  <c r="Q69" i="1" s="1"/>
  <c r="K69" i="1"/>
  <c r="U69" i="1"/>
  <c r="AC69" i="1"/>
  <c r="CQ69" i="1" s="1"/>
  <c r="AD69" i="1"/>
  <c r="AE69" i="1"/>
  <c r="AF69" i="1"/>
  <c r="S69" i="1" s="1"/>
  <c r="AG69" i="1"/>
  <c r="CU69" i="1" s="1"/>
  <c r="T69" i="1" s="1"/>
  <c r="AH69" i="1"/>
  <c r="AI69" i="1"/>
  <c r="CW69" i="1" s="1"/>
  <c r="V69" i="1" s="1"/>
  <c r="AJ69" i="1"/>
  <c r="CX69" i="1" s="1"/>
  <c r="W69" i="1" s="1"/>
  <c r="CR69" i="1"/>
  <c r="CS69" i="1"/>
  <c r="CT69" i="1"/>
  <c r="CV69" i="1"/>
  <c r="GL69" i="1"/>
  <c r="GO69" i="1"/>
  <c r="GP69" i="1"/>
  <c r="GV69" i="1"/>
  <c r="HC69" i="1" s="1"/>
  <c r="GX69" i="1" s="1"/>
  <c r="C70" i="1"/>
  <c r="D70" i="1"/>
  <c r="I70" i="1"/>
  <c r="K70" i="1"/>
  <c r="R70" i="1"/>
  <c r="W70" i="1"/>
  <c r="AC70" i="1"/>
  <c r="P70" i="1" s="1"/>
  <c r="AD70" i="1"/>
  <c r="AE70" i="1"/>
  <c r="AF70" i="1"/>
  <c r="S70" i="1" s="1"/>
  <c r="AG70" i="1"/>
  <c r="CU70" i="1" s="1"/>
  <c r="T70" i="1" s="1"/>
  <c r="AH70" i="1"/>
  <c r="CV70" i="1" s="1"/>
  <c r="U70" i="1" s="1"/>
  <c r="AI70" i="1"/>
  <c r="AJ70" i="1"/>
  <c r="CR70" i="1"/>
  <c r="CS70" i="1"/>
  <c r="CT70" i="1"/>
  <c r="CW70" i="1"/>
  <c r="V70" i="1" s="1"/>
  <c r="CX70" i="1"/>
  <c r="GL70" i="1"/>
  <c r="GO70" i="1"/>
  <c r="GP70" i="1"/>
  <c r="GV70" i="1"/>
  <c r="HC70" i="1" s="1"/>
  <c r="GX70" i="1" s="1"/>
  <c r="C71" i="1"/>
  <c r="D71" i="1"/>
  <c r="I71" i="1"/>
  <c r="P71" i="1" s="1"/>
  <c r="K71" i="1"/>
  <c r="S71" i="1"/>
  <c r="CZ71" i="1" s="1"/>
  <c r="AC71" i="1"/>
  <c r="AD71" i="1"/>
  <c r="AB71" i="1" s="1"/>
  <c r="AE71" i="1"/>
  <c r="CS71" i="1" s="1"/>
  <c r="AF71" i="1"/>
  <c r="AG71" i="1"/>
  <c r="CU71" i="1" s="1"/>
  <c r="T71" i="1" s="1"/>
  <c r="AH71" i="1"/>
  <c r="CV71" i="1" s="1"/>
  <c r="U71" i="1" s="1"/>
  <c r="AI71" i="1"/>
  <c r="AJ71" i="1"/>
  <c r="CQ71" i="1"/>
  <c r="CR71" i="1"/>
  <c r="CT71" i="1"/>
  <c r="CW71" i="1"/>
  <c r="V71" i="1" s="1"/>
  <c r="CX71" i="1"/>
  <c r="W71" i="1" s="1"/>
  <c r="CY71" i="1"/>
  <c r="GL71" i="1"/>
  <c r="GO71" i="1"/>
  <c r="GP71" i="1"/>
  <c r="GV71" i="1"/>
  <c r="HC71" i="1"/>
  <c r="B73" i="1"/>
  <c r="B26" i="1" s="1"/>
  <c r="C73" i="1"/>
  <c r="C26" i="1" s="1"/>
  <c r="D73" i="1"/>
  <c r="D26" i="1" s="1"/>
  <c r="F73" i="1"/>
  <c r="F26" i="1" s="1"/>
  <c r="G73" i="1"/>
  <c r="G26" i="1" s="1"/>
  <c r="AP73" i="1"/>
  <c r="AP26" i="1" s="1"/>
  <c r="AQ73" i="1"/>
  <c r="AQ26" i="1" s="1"/>
  <c r="AU73" i="1"/>
  <c r="BB73" i="1"/>
  <c r="BX73" i="1"/>
  <c r="BY73" i="1"/>
  <c r="BY26" i="1" s="1"/>
  <c r="BZ73" i="1"/>
  <c r="CD73" i="1"/>
  <c r="CD26" i="1" s="1"/>
  <c r="CG73" i="1"/>
  <c r="CG26" i="1" s="1"/>
  <c r="CK73" i="1"/>
  <c r="CK26" i="1" s="1"/>
  <c r="CL73" i="1"/>
  <c r="CL26" i="1" s="1"/>
  <c r="CM73" i="1"/>
  <c r="EG73" i="1"/>
  <c r="EG26" i="1" s="1"/>
  <c r="EH73" i="1"/>
  <c r="ET73" i="1"/>
  <c r="ET26" i="1" s="1"/>
  <c r="EV73" i="1"/>
  <c r="FP73" i="1"/>
  <c r="FP26" i="1" s="1"/>
  <c r="FQ73" i="1"/>
  <c r="FQ26" i="1" s="1"/>
  <c r="FR73" i="1"/>
  <c r="FR26" i="1" s="1"/>
  <c r="FV73" i="1"/>
  <c r="FY73" i="1"/>
  <c r="FY26" i="1" s="1"/>
  <c r="GA73" i="1"/>
  <c r="GC73" i="1"/>
  <c r="GC26" i="1" s="1"/>
  <c r="GD73" i="1"/>
  <c r="GD26" i="1" s="1"/>
  <c r="GE73" i="1"/>
  <c r="GE26" i="1" s="1"/>
  <c r="P77" i="1"/>
  <c r="F82" i="1"/>
  <c r="F83" i="1"/>
  <c r="P86" i="1"/>
  <c r="D103" i="1"/>
  <c r="B105" i="1"/>
  <c r="E105" i="1"/>
  <c r="Z105" i="1"/>
  <c r="AA105" i="1"/>
  <c r="AM105" i="1"/>
  <c r="AN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R105" i="1"/>
  <c r="DS105" i="1"/>
  <c r="EE105" i="1"/>
  <c r="EF105" i="1"/>
  <c r="EW105" i="1"/>
  <c r="EX105" i="1"/>
  <c r="EY105" i="1"/>
  <c r="EZ105" i="1"/>
  <c r="FA105" i="1"/>
  <c r="FB105" i="1"/>
  <c r="FC105" i="1"/>
  <c r="FD105" i="1"/>
  <c r="FE105" i="1"/>
  <c r="FF105" i="1"/>
  <c r="FG105" i="1"/>
  <c r="FH105" i="1"/>
  <c r="FI105" i="1"/>
  <c r="FJ105" i="1"/>
  <c r="FK105" i="1"/>
  <c r="FL105" i="1"/>
  <c r="FM105" i="1"/>
  <c r="FN105" i="1"/>
  <c r="FO105" i="1"/>
  <c r="FR105" i="1"/>
  <c r="GD105" i="1"/>
  <c r="GF105" i="1"/>
  <c r="GG105" i="1"/>
  <c r="GH105" i="1"/>
  <c r="GI105" i="1"/>
  <c r="GJ105" i="1"/>
  <c r="GK105" i="1"/>
  <c r="GL105" i="1"/>
  <c r="GM105" i="1"/>
  <c r="GN105" i="1"/>
  <c r="GO105" i="1"/>
  <c r="GP105" i="1"/>
  <c r="GQ105" i="1"/>
  <c r="GR105" i="1"/>
  <c r="GS105" i="1"/>
  <c r="GT105" i="1"/>
  <c r="GU105" i="1"/>
  <c r="GV105" i="1"/>
  <c r="GW105" i="1"/>
  <c r="GX105" i="1"/>
  <c r="C107" i="1"/>
  <c r="D107" i="1"/>
  <c r="I107" i="1"/>
  <c r="K107" i="1"/>
  <c r="Q107" i="1"/>
  <c r="U107" i="1"/>
  <c r="AC107" i="1"/>
  <c r="P107" i="1" s="1"/>
  <c r="AE107" i="1"/>
  <c r="AF107" i="1"/>
  <c r="S107" i="1" s="1"/>
  <c r="AG107" i="1"/>
  <c r="CU107" i="1" s="1"/>
  <c r="T107" i="1" s="1"/>
  <c r="AG112" i="1" s="1"/>
  <c r="AH107" i="1"/>
  <c r="AI107" i="1"/>
  <c r="CW107" i="1" s="1"/>
  <c r="V107" i="1" s="1"/>
  <c r="AJ107" i="1"/>
  <c r="CX107" i="1" s="1"/>
  <c r="W107" i="1" s="1"/>
  <c r="CQ107" i="1"/>
  <c r="CT107" i="1"/>
  <c r="CV107" i="1"/>
  <c r="GL107" i="1"/>
  <c r="BZ112" i="1" s="1"/>
  <c r="GN107" i="1"/>
  <c r="GP107" i="1"/>
  <c r="CD112" i="1" s="1"/>
  <c r="GV107" i="1"/>
  <c r="HC107" i="1"/>
  <c r="GX107" i="1" s="1"/>
  <c r="CJ112" i="1" s="1"/>
  <c r="CJ105" i="1" s="1"/>
  <c r="C108" i="1"/>
  <c r="D108" i="1"/>
  <c r="I108" i="1"/>
  <c r="K108" i="1"/>
  <c r="Q108" i="1"/>
  <c r="S108" i="1"/>
  <c r="V108" i="1"/>
  <c r="AC108" i="1"/>
  <c r="CQ108" i="1" s="1"/>
  <c r="AE108" i="1"/>
  <c r="AD108" i="1" s="1"/>
  <c r="AB108" i="1" s="1"/>
  <c r="AF108" i="1"/>
  <c r="AG108" i="1"/>
  <c r="AH108" i="1"/>
  <c r="AI108" i="1"/>
  <c r="AJ108" i="1"/>
  <c r="CX108" i="1" s="1"/>
  <c r="W108" i="1" s="1"/>
  <c r="CS108" i="1"/>
  <c r="CT108" i="1"/>
  <c r="CU108" i="1"/>
  <c r="T108" i="1" s="1"/>
  <c r="CV108" i="1"/>
  <c r="U108" i="1" s="1"/>
  <c r="CW108" i="1"/>
  <c r="GL108" i="1"/>
  <c r="GN108" i="1"/>
  <c r="GP108" i="1"/>
  <c r="GV108" i="1"/>
  <c r="GX108" i="1"/>
  <c r="HC108" i="1"/>
  <c r="I109" i="1"/>
  <c r="Q109" i="1" s="1"/>
  <c r="R109" i="1"/>
  <c r="U109" i="1"/>
  <c r="AC109" i="1"/>
  <c r="AD109" i="1"/>
  <c r="AE109" i="1"/>
  <c r="AF109" i="1"/>
  <c r="S109" i="1" s="1"/>
  <c r="CY109" i="1" s="1"/>
  <c r="AG109" i="1"/>
  <c r="AH109" i="1"/>
  <c r="CV109" i="1" s="1"/>
  <c r="AI109" i="1"/>
  <c r="CW109" i="1" s="1"/>
  <c r="V109" i="1" s="1"/>
  <c r="AJ109" i="1"/>
  <c r="CX109" i="1" s="1"/>
  <c r="W109" i="1" s="1"/>
  <c r="CR109" i="1"/>
  <c r="CS109" i="1"/>
  <c r="CU109" i="1"/>
  <c r="T109" i="1" s="1"/>
  <c r="CZ109" i="1"/>
  <c r="GL109" i="1"/>
  <c r="GN109" i="1"/>
  <c r="GO109" i="1"/>
  <c r="GP109" i="1"/>
  <c r="GV109" i="1"/>
  <c r="HC109" i="1"/>
  <c r="GX109" i="1" s="1"/>
  <c r="AC110" i="1"/>
  <c r="CQ110" i="1" s="1"/>
  <c r="AE110" i="1"/>
  <c r="CS110" i="1" s="1"/>
  <c r="AF110" i="1"/>
  <c r="CT110" i="1" s="1"/>
  <c r="AG110" i="1"/>
  <c r="AH110" i="1"/>
  <c r="CV110" i="1" s="1"/>
  <c r="AI110" i="1"/>
  <c r="AJ110" i="1"/>
  <c r="CX110" i="1" s="1"/>
  <c r="CU110" i="1"/>
  <c r="CW110" i="1"/>
  <c r="GL110" i="1"/>
  <c r="GN110" i="1"/>
  <c r="FT112" i="1" s="1"/>
  <c r="GO110" i="1"/>
  <c r="GP110" i="1"/>
  <c r="GV110" i="1"/>
  <c r="HC110" i="1"/>
  <c r="B112" i="1"/>
  <c r="C112" i="1"/>
  <c r="C105" i="1" s="1"/>
  <c r="D112" i="1"/>
  <c r="D105" i="1" s="1"/>
  <c r="F112" i="1"/>
  <c r="F105" i="1" s="1"/>
  <c r="G112" i="1"/>
  <c r="G105" i="1" s="1"/>
  <c r="U112" i="1"/>
  <c r="AH112" i="1"/>
  <c r="AH105" i="1" s="1"/>
  <c r="AO112" i="1"/>
  <c r="AO105" i="1" s="1"/>
  <c r="BA112" i="1"/>
  <c r="BB112" i="1"/>
  <c r="BB105" i="1" s="1"/>
  <c r="BX112" i="1"/>
  <c r="CB112" i="1"/>
  <c r="CK112" i="1"/>
  <c r="CK105" i="1" s="1"/>
  <c r="CL112" i="1"/>
  <c r="CM112" i="1"/>
  <c r="BD112" i="1" s="1"/>
  <c r="BD105" i="1" s="1"/>
  <c r="FP112" i="1"/>
  <c r="FP105" i="1" s="1"/>
  <c r="FR112" i="1"/>
  <c r="EI112" i="1" s="1"/>
  <c r="FV112" i="1"/>
  <c r="GC112" i="1"/>
  <c r="GC105" i="1" s="1"/>
  <c r="GD112" i="1"/>
  <c r="EU112" i="1" s="1"/>
  <c r="GE112" i="1"/>
  <c r="EV112" i="1" s="1"/>
  <c r="F116" i="1"/>
  <c r="D142" i="1"/>
  <c r="D144" i="1"/>
  <c r="E144" i="1"/>
  <c r="Z144" i="1"/>
  <c r="AA144" i="1"/>
  <c r="AM144" i="1"/>
  <c r="AN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R144" i="1"/>
  <c r="DS144" i="1"/>
  <c r="EE144" i="1"/>
  <c r="EF144" i="1"/>
  <c r="EW144" i="1"/>
  <c r="EX144" i="1"/>
  <c r="EY144" i="1"/>
  <c r="EZ144" i="1"/>
  <c r="FA144" i="1"/>
  <c r="FB144" i="1"/>
  <c r="FC144" i="1"/>
  <c r="FD144" i="1"/>
  <c r="FE144" i="1"/>
  <c r="FF144" i="1"/>
  <c r="FG144" i="1"/>
  <c r="FH144" i="1"/>
  <c r="FI144" i="1"/>
  <c r="FJ144" i="1"/>
  <c r="FK144" i="1"/>
  <c r="FL144" i="1"/>
  <c r="FM144" i="1"/>
  <c r="FN144" i="1"/>
  <c r="FO144" i="1"/>
  <c r="GD144" i="1"/>
  <c r="GF144" i="1"/>
  <c r="GG144" i="1"/>
  <c r="GH144" i="1"/>
  <c r="GI144" i="1"/>
  <c r="GJ144" i="1"/>
  <c r="GK144" i="1"/>
  <c r="GL144" i="1"/>
  <c r="GM144" i="1"/>
  <c r="GN144" i="1"/>
  <c r="GO144" i="1"/>
  <c r="GP144" i="1"/>
  <c r="GQ144" i="1"/>
  <c r="GR144" i="1"/>
  <c r="GS144" i="1"/>
  <c r="GT144" i="1"/>
  <c r="GU144" i="1"/>
  <c r="GV144" i="1"/>
  <c r="GW144" i="1"/>
  <c r="GX144" i="1"/>
  <c r="C146" i="1"/>
  <c r="D146" i="1"/>
  <c r="P146" i="1"/>
  <c r="R146" i="1"/>
  <c r="U146" i="1"/>
  <c r="W146" i="1"/>
  <c r="AC146" i="1"/>
  <c r="CQ146" i="1" s="1"/>
  <c r="AD146" i="1"/>
  <c r="AB146" i="1" s="1"/>
  <c r="AE146" i="1"/>
  <c r="Q146" i="1" s="1"/>
  <c r="AF146" i="1"/>
  <c r="AG146" i="1"/>
  <c r="AH146" i="1"/>
  <c r="AI146" i="1"/>
  <c r="AJ146" i="1"/>
  <c r="CR146" i="1"/>
  <c r="CS146" i="1"/>
  <c r="CU146" i="1"/>
  <c r="T146" i="1" s="1"/>
  <c r="CV146" i="1"/>
  <c r="CW146" i="1"/>
  <c r="V146" i="1" s="1"/>
  <c r="CX146" i="1"/>
  <c r="GL146" i="1"/>
  <c r="GN146" i="1"/>
  <c r="GP146" i="1"/>
  <c r="GV146" i="1"/>
  <c r="HC146" i="1" s="1"/>
  <c r="GX146" i="1"/>
  <c r="C147" i="1"/>
  <c r="D147" i="1"/>
  <c r="P147" i="1"/>
  <c r="T147" i="1"/>
  <c r="U147" i="1"/>
  <c r="AC147" i="1"/>
  <c r="AE147" i="1"/>
  <c r="CS147" i="1" s="1"/>
  <c r="AF147" i="1"/>
  <c r="CT147" i="1" s="1"/>
  <c r="AG147" i="1"/>
  <c r="AH147" i="1"/>
  <c r="CV147" i="1" s="1"/>
  <c r="AI147" i="1"/>
  <c r="CW147" i="1" s="1"/>
  <c r="V147" i="1" s="1"/>
  <c r="AJ147" i="1"/>
  <c r="CX147" i="1" s="1"/>
  <c r="W147" i="1" s="1"/>
  <c r="CQ147" i="1"/>
  <c r="CR147" i="1"/>
  <c r="CU147" i="1"/>
  <c r="GL147" i="1"/>
  <c r="GN147" i="1"/>
  <c r="GP147" i="1"/>
  <c r="GV147" i="1"/>
  <c r="HC147" i="1"/>
  <c r="GX147" i="1" s="1"/>
  <c r="R148" i="1"/>
  <c r="AC148" i="1"/>
  <c r="CQ148" i="1" s="1"/>
  <c r="AE148" i="1"/>
  <c r="AF148" i="1"/>
  <c r="AG148" i="1"/>
  <c r="CU148" i="1" s="1"/>
  <c r="T148" i="1" s="1"/>
  <c r="AH148" i="1"/>
  <c r="AI148" i="1"/>
  <c r="AJ148" i="1"/>
  <c r="CX148" i="1" s="1"/>
  <c r="W148" i="1" s="1"/>
  <c r="CV148" i="1"/>
  <c r="U148" i="1" s="1"/>
  <c r="CW148" i="1"/>
  <c r="V148" i="1" s="1"/>
  <c r="GL148" i="1"/>
  <c r="GN148" i="1"/>
  <c r="GO148" i="1"/>
  <c r="GP148" i="1"/>
  <c r="GV148" i="1"/>
  <c r="HC148" i="1"/>
  <c r="GX148" i="1" s="1"/>
  <c r="P149" i="1"/>
  <c r="R149" i="1"/>
  <c r="U149" i="1"/>
  <c r="AC149" i="1"/>
  <c r="CQ149" i="1" s="1"/>
  <c r="AD149" i="1"/>
  <c r="AB149" i="1" s="1"/>
  <c r="AE149" i="1"/>
  <c r="Q149" i="1" s="1"/>
  <c r="AF149" i="1"/>
  <c r="AG149" i="1"/>
  <c r="AH149" i="1"/>
  <c r="AI149" i="1"/>
  <c r="AJ149" i="1"/>
  <c r="CX149" i="1" s="1"/>
  <c r="W149" i="1" s="1"/>
  <c r="CR149" i="1"/>
  <c r="CS149" i="1"/>
  <c r="CU149" i="1"/>
  <c r="T149" i="1" s="1"/>
  <c r="CV149" i="1"/>
  <c r="CW149" i="1"/>
  <c r="V149" i="1" s="1"/>
  <c r="GL149" i="1"/>
  <c r="GN149" i="1"/>
  <c r="GO149" i="1"/>
  <c r="GP149" i="1"/>
  <c r="GV149" i="1"/>
  <c r="HC149" i="1"/>
  <c r="GX149" i="1" s="1"/>
  <c r="C150" i="1"/>
  <c r="D150" i="1"/>
  <c r="S150" i="1"/>
  <c r="CY150" i="1" s="1"/>
  <c r="T150" i="1"/>
  <c r="AC150" i="1"/>
  <c r="AE150" i="1"/>
  <c r="CR150" i="1" s="1"/>
  <c r="AF150" i="1"/>
  <c r="AG150" i="1"/>
  <c r="CU150" i="1" s="1"/>
  <c r="AH150" i="1"/>
  <c r="CV150" i="1" s="1"/>
  <c r="U150" i="1" s="1"/>
  <c r="AI150" i="1"/>
  <c r="CW150" i="1" s="1"/>
  <c r="V150" i="1" s="1"/>
  <c r="AJ150" i="1"/>
  <c r="CQ150" i="1"/>
  <c r="CT150" i="1"/>
  <c r="CX150" i="1"/>
  <c r="W150" i="1" s="1"/>
  <c r="GL150" i="1"/>
  <c r="GN150" i="1"/>
  <c r="GP150" i="1"/>
  <c r="GV150" i="1"/>
  <c r="HC150" i="1"/>
  <c r="GX150" i="1" s="1"/>
  <c r="C151" i="1"/>
  <c r="D151" i="1"/>
  <c r="Q151" i="1"/>
  <c r="S151" i="1"/>
  <c r="V151" i="1"/>
  <c r="AC151" i="1"/>
  <c r="AE151" i="1"/>
  <c r="AF151" i="1"/>
  <c r="AG151" i="1"/>
  <c r="CU151" i="1" s="1"/>
  <c r="T151" i="1" s="1"/>
  <c r="AH151" i="1"/>
  <c r="AI151" i="1"/>
  <c r="AJ151" i="1"/>
  <c r="CS151" i="1"/>
  <c r="CT151" i="1"/>
  <c r="CV151" i="1"/>
  <c r="U151" i="1" s="1"/>
  <c r="CW151" i="1"/>
  <c r="CX151" i="1"/>
  <c r="W151" i="1" s="1"/>
  <c r="GL151" i="1"/>
  <c r="GN151" i="1"/>
  <c r="GP151" i="1"/>
  <c r="GV151" i="1"/>
  <c r="HC151" i="1" s="1"/>
  <c r="GX151" i="1" s="1"/>
  <c r="I152" i="1"/>
  <c r="Q152" i="1" s="1"/>
  <c r="R152" i="1"/>
  <c r="T152" i="1"/>
  <c r="V152" i="1"/>
  <c r="W152" i="1"/>
  <c r="AC152" i="1"/>
  <c r="AD152" i="1"/>
  <c r="AE152" i="1"/>
  <c r="AF152" i="1"/>
  <c r="S152" i="1" s="1"/>
  <c r="AG152" i="1"/>
  <c r="AH152" i="1"/>
  <c r="CV152" i="1" s="1"/>
  <c r="U152" i="1" s="1"/>
  <c r="AI152" i="1"/>
  <c r="AJ152" i="1"/>
  <c r="CX152" i="1" s="1"/>
  <c r="CR152" i="1"/>
  <c r="CS152" i="1"/>
  <c r="CT152" i="1"/>
  <c r="CU152" i="1"/>
  <c r="CW152" i="1"/>
  <c r="GL152" i="1"/>
  <c r="GN152" i="1"/>
  <c r="GO152" i="1"/>
  <c r="GP152" i="1"/>
  <c r="GV152" i="1"/>
  <c r="HC152" i="1"/>
  <c r="GX152" i="1" s="1"/>
  <c r="I153" i="1"/>
  <c r="Q153" i="1"/>
  <c r="AC153" i="1"/>
  <c r="CQ153" i="1" s="1"/>
  <c r="AE153" i="1"/>
  <c r="AF153" i="1"/>
  <c r="AG153" i="1"/>
  <c r="CU153" i="1" s="1"/>
  <c r="T153" i="1" s="1"/>
  <c r="AH153" i="1"/>
  <c r="CV153" i="1" s="1"/>
  <c r="U153" i="1" s="1"/>
  <c r="AI153" i="1"/>
  <c r="AJ153" i="1"/>
  <c r="CX153" i="1" s="1"/>
  <c r="W153" i="1" s="1"/>
  <c r="CW153" i="1"/>
  <c r="V153" i="1" s="1"/>
  <c r="GL153" i="1"/>
  <c r="GN153" i="1"/>
  <c r="GO153" i="1"/>
  <c r="GP153" i="1"/>
  <c r="GV153" i="1"/>
  <c r="GX153" i="1"/>
  <c r="HC153" i="1"/>
  <c r="C154" i="1"/>
  <c r="D154" i="1"/>
  <c r="I154" i="1"/>
  <c r="K154" i="1"/>
  <c r="S154" i="1"/>
  <c r="Y154" i="1" s="1"/>
  <c r="U154" i="1"/>
  <c r="X154" i="1"/>
  <c r="AC154" i="1"/>
  <c r="P154" i="1" s="1"/>
  <c r="AE154" i="1"/>
  <c r="CR154" i="1" s="1"/>
  <c r="AF154" i="1"/>
  <c r="AG154" i="1"/>
  <c r="CU154" i="1" s="1"/>
  <c r="T154" i="1" s="1"/>
  <c r="AH154" i="1"/>
  <c r="AI154" i="1"/>
  <c r="CW154" i="1" s="1"/>
  <c r="V154" i="1" s="1"/>
  <c r="AJ154" i="1"/>
  <c r="CX154" i="1" s="1"/>
  <c r="W154" i="1" s="1"/>
  <c r="CQ154" i="1"/>
  <c r="CS154" i="1"/>
  <c r="CT154" i="1"/>
  <c r="CV154" i="1"/>
  <c r="CZ154" i="1"/>
  <c r="GL154" i="1"/>
  <c r="GN154" i="1"/>
  <c r="GP154" i="1"/>
  <c r="GV154" i="1"/>
  <c r="HC154" i="1"/>
  <c r="GX154" i="1" s="1"/>
  <c r="C155" i="1"/>
  <c r="D155" i="1"/>
  <c r="I155" i="1"/>
  <c r="K155" i="1"/>
  <c r="S155" i="1"/>
  <c r="V155" i="1"/>
  <c r="AC155" i="1"/>
  <c r="AE155" i="1"/>
  <c r="AF155" i="1"/>
  <c r="AG155" i="1"/>
  <c r="CU155" i="1" s="1"/>
  <c r="T155" i="1" s="1"/>
  <c r="AH155" i="1"/>
  <c r="AI155" i="1"/>
  <c r="AJ155" i="1"/>
  <c r="CT155" i="1"/>
  <c r="CV155" i="1"/>
  <c r="U155" i="1" s="1"/>
  <c r="CW155" i="1"/>
  <c r="CX155" i="1"/>
  <c r="W155" i="1" s="1"/>
  <c r="GL155" i="1"/>
  <c r="GN155" i="1"/>
  <c r="GP155" i="1"/>
  <c r="GV155" i="1"/>
  <c r="HC155" i="1" s="1"/>
  <c r="GX155" i="1" s="1"/>
  <c r="I156" i="1"/>
  <c r="Q156" i="1" s="1"/>
  <c r="R156" i="1"/>
  <c r="T156" i="1"/>
  <c r="V156" i="1"/>
  <c r="W156" i="1"/>
  <c r="AC156" i="1"/>
  <c r="AD156" i="1"/>
  <c r="AE156" i="1"/>
  <c r="AF156" i="1"/>
  <c r="S156" i="1" s="1"/>
  <c r="Y156" i="1" s="1"/>
  <c r="AG156" i="1"/>
  <c r="AH156" i="1"/>
  <c r="CV156" i="1" s="1"/>
  <c r="U156" i="1" s="1"/>
  <c r="AI156" i="1"/>
  <c r="AJ156" i="1"/>
  <c r="CX156" i="1" s="1"/>
  <c r="CR156" i="1"/>
  <c r="CS156" i="1"/>
  <c r="CT156" i="1"/>
  <c r="CU156" i="1"/>
  <c r="CW156" i="1"/>
  <c r="GL156" i="1"/>
  <c r="GN156" i="1"/>
  <c r="GO156" i="1"/>
  <c r="GP156" i="1"/>
  <c r="GV156" i="1"/>
  <c r="HC156" i="1"/>
  <c r="GX156" i="1" s="1"/>
  <c r="I157" i="1"/>
  <c r="T157" i="1"/>
  <c r="V157" i="1"/>
  <c r="AC157" i="1"/>
  <c r="CQ157" i="1" s="1"/>
  <c r="AE157" i="1"/>
  <c r="Q157" i="1" s="1"/>
  <c r="AF157" i="1"/>
  <c r="AG157" i="1"/>
  <c r="CU157" i="1" s="1"/>
  <c r="AH157" i="1"/>
  <c r="AI157" i="1"/>
  <c r="AJ157" i="1"/>
  <c r="CX157" i="1" s="1"/>
  <c r="W157" i="1" s="1"/>
  <c r="CV157" i="1"/>
  <c r="U157" i="1" s="1"/>
  <c r="CW157" i="1"/>
  <c r="GL157" i="1"/>
  <c r="GN157" i="1"/>
  <c r="GO157" i="1"/>
  <c r="GP157" i="1"/>
  <c r="GV157" i="1"/>
  <c r="HC157" i="1"/>
  <c r="GX157" i="1" s="1"/>
  <c r="C158" i="1"/>
  <c r="D158" i="1"/>
  <c r="I158" i="1"/>
  <c r="R158" i="1" s="1"/>
  <c r="K158" i="1"/>
  <c r="Q158" i="1"/>
  <c r="S158" i="1"/>
  <c r="Y158" i="1" s="1"/>
  <c r="U158" i="1"/>
  <c r="V158" i="1"/>
  <c r="AC158" i="1"/>
  <c r="P158" i="1" s="1"/>
  <c r="AE158" i="1"/>
  <c r="AF158" i="1"/>
  <c r="AG158" i="1"/>
  <c r="CU158" i="1" s="1"/>
  <c r="T158" i="1" s="1"/>
  <c r="AH158" i="1"/>
  <c r="AI158" i="1"/>
  <c r="CW158" i="1" s="1"/>
  <c r="AJ158" i="1"/>
  <c r="CX158" i="1" s="1"/>
  <c r="W158" i="1" s="1"/>
  <c r="CQ158" i="1"/>
  <c r="CT158" i="1"/>
  <c r="CV158" i="1"/>
  <c r="CZ158" i="1"/>
  <c r="GL158" i="1"/>
  <c r="GN158" i="1"/>
  <c r="GP158" i="1"/>
  <c r="GV158" i="1"/>
  <c r="HC158" i="1"/>
  <c r="GX158" i="1" s="1"/>
  <c r="C159" i="1"/>
  <c r="D159" i="1"/>
  <c r="I159" i="1"/>
  <c r="K159" i="1"/>
  <c r="S159" i="1"/>
  <c r="T159" i="1"/>
  <c r="V159" i="1"/>
  <c r="AC159" i="1"/>
  <c r="P159" i="1" s="1"/>
  <c r="AE159" i="1"/>
  <c r="AF159" i="1"/>
  <c r="AG159" i="1"/>
  <c r="CU159" i="1" s="1"/>
  <c r="AH159" i="1"/>
  <c r="CV159" i="1" s="1"/>
  <c r="U159" i="1" s="1"/>
  <c r="AI159" i="1"/>
  <c r="AJ159" i="1"/>
  <c r="CT159" i="1"/>
  <c r="CW159" i="1"/>
  <c r="CX159" i="1"/>
  <c r="W159" i="1" s="1"/>
  <c r="CY159" i="1"/>
  <c r="GL159" i="1"/>
  <c r="FR167" i="1" s="1"/>
  <c r="FR144" i="1" s="1"/>
  <c r="GN159" i="1"/>
  <c r="GP159" i="1"/>
  <c r="FV167" i="1" s="1"/>
  <c r="GV159" i="1"/>
  <c r="HC159" i="1"/>
  <c r="GX159" i="1" s="1"/>
  <c r="I160" i="1"/>
  <c r="Q160" i="1" s="1"/>
  <c r="P160" i="1"/>
  <c r="FR160" i="1" s="1"/>
  <c r="R160" i="1"/>
  <c r="T160" i="1"/>
  <c r="V160" i="1"/>
  <c r="W160" i="1"/>
  <c r="Y160" i="1"/>
  <c r="AC160" i="1"/>
  <c r="AD160" i="1"/>
  <c r="AE160" i="1"/>
  <c r="AF160" i="1"/>
  <c r="S160" i="1" s="1"/>
  <c r="AG160" i="1"/>
  <c r="AH160" i="1"/>
  <c r="CV160" i="1" s="1"/>
  <c r="U160" i="1" s="1"/>
  <c r="AI160" i="1"/>
  <c r="AJ160" i="1"/>
  <c r="CX160" i="1" s="1"/>
  <c r="CR160" i="1"/>
  <c r="CS160" i="1"/>
  <c r="CT160" i="1"/>
  <c r="CU160" i="1"/>
  <c r="CW160" i="1"/>
  <c r="GL160" i="1"/>
  <c r="GN160" i="1"/>
  <c r="GO160" i="1"/>
  <c r="GP160" i="1"/>
  <c r="GV160" i="1"/>
  <c r="HC160" i="1"/>
  <c r="GX160" i="1" s="1"/>
  <c r="I161" i="1"/>
  <c r="R161" i="1"/>
  <c r="AC161" i="1"/>
  <c r="AE161" i="1"/>
  <c r="AF161" i="1"/>
  <c r="S161" i="1" s="1"/>
  <c r="X161" i="1" s="1"/>
  <c r="AG161" i="1"/>
  <c r="CU161" i="1" s="1"/>
  <c r="T161" i="1" s="1"/>
  <c r="AH161" i="1"/>
  <c r="CV161" i="1" s="1"/>
  <c r="U161" i="1" s="1"/>
  <c r="AI161" i="1"/>
  <c r="AJ161" i="1"/>
  <c r="CX161" i="1" s="1"/>
  <c r="W161" i="1" s="1"/>
  <c r="CW161" i="1"/>
  <c r="V161" i="1" s="1"/>
  <c r="CZ161" i="1"/>
  <c r="GL161" i="1"/>
  <c r="GN161" i="1"/>
  <c r="GO161" i="1"/>
  <c r="GP161" i="1"/>
  <c r="GV161" i="1"/>
  <c r="GX161" i="1"/>
  <c r="HC161" i="1"/>
  <c r="I162" i="1"/>
  <c r="P162" i="1" s="1"/>
  <c r="Q162" i="1"/>
  <c r="T162" i="1"/>
  <c r="AG167" i="1" s="1"/>
  <c r="AC162" i="1"/>
  <c r="AD162" i="1"/>
  <c r="AB162" i="1" s="1"/>
  <c r="AE162" i="1"/>
  <c r="CR162" i="1" s="1"/>
  <c r="AF162" i="1"/>
  <c r="AG162" i="1"/>
  <c r="AH162" i="1"/>
  <c r="AI162" i="1"/>
  <c r="CW162" i="1" s="1"/>
  <c r="V162" i="1" s="1"/>
  <c r="AJ162" i="1"/>
  <c r="CX162" i="1" s="1"/>
  <c r="CQ162" i="1"/>
  <c r="CU162" i="1"/>
  <c r="CV162" i="1"/>
  <c r="U162" i="1" s="1"/>
  <c r="GL162" i="1"/>
  <c r="GN162" i="1"/>
  <c r="GO162" i="1"/>
  <c r="GP162" i="1"/>
  <c r="GV162" i="1"/>
  <c r="HC162" i="1"/>
  <c r="GX162" i="1" s="1"/>
  <c r="I163" i="1"/>
  <c r="P163" i="1"/>
  <c r="S163" i="1"/>
  <c r="AC163" i="1"/>
  <c r="AE163" i="1"/>
  <c r="Q163" i="1" s="1"/>
  <c r="AF163" i="1"/>
  <c r="AG163" i="1"/>
  <c r="AH163" i="1"/>
  <c r="CV163" i="1" s="1"/>
  <c r="U163" i="1" s="1"/>
  <c r="AI163" i="1"/>
  <c r="CW163" i="1" s="1"/>
  <c r="V163" i="1" s="1"/>
  <c r="AJ163" i="1"/>
  <c r="CX163" i="1" s="1"/>
  <c r="W163" i="1" s="1"/>
  <c r="CT163" i="1"/>
  <c r="CU163" i="1"/>
  <c r="T163" i="1" s="1"/>
  <c r="FR163" i="1"/>
  <c r="GL163" i="1"/>
  <c r="GN163" i="1"/>
  <c r="GO163" i="1"/>
  <c r="GP163" i="1"/>
  <c r="GV163" i="1"/>
  <c r="HC163" i="1" s="1"/>
  <c r="GX163" i="1"/>
  <c r="I164" i="1"/>
  <c r="P164" i="1"/>
  <c r="R164" i="1"/>
  <c r="AC164" i="1"/>
  <c r="CQ164" i="1" s="1"/>
  <c r="AE164" i="1"/>
  <c r="CR164" i="1" s="1"/>
  <c r="AF164" i="1"/>
  <c r="AG164" i="1"/>
  <c r="CU164" i="1" s="1"/>
  <c r="T164" i="1" s="1"/>
  <c r="AH164" i="1"/>
  <c r="CV164" i="1" s="1"/>
  <c r="U164" i="1" s="1"/>
  <c r="AI164" i="1"/>
  <c r="AJ164" i="1"/>
  <c r="CX164" i="1" s="1"/>
  <c r="W164" i="1" s="1"/>
  <c r="CW164" i="1"/>
  <c r="V164" i="1" s="1"/>
  <c r="GL164" i="1"/>
  <c r="GN164" i="1"/>
  <c r="GO164" i="1"/>
  <c r="GP164" i="1"/>
  <c r="GV164" i="1"/>
  <c r="HC164" i="1" s="1"/>
  <c r="GX164" i="1" s="1"/>
  <c r="I165" i="1"/>
  <c r="Q165" i="1"/>
  <c r="AC165" i="1"/>
  <c r="AE165" i="1"/>
  <c r="AD165" i="1" s="1"/>
  <c r="AF165" i="1"/>
  <c r="AG165" i="1"/>
  <c r="AH165" i="1"/>
  <c r="CV165" i="1" s="1"/>
  <c r="AI165" i="1"/>
  <c r="AJ165" i="1"/>
  <c r="CR165" i="1"/>
  <c r="CU165" i="1"/>
  <c r="CW165" i="1"/>
  <c r="V165" i="1" s="1"/>
  <c r="CX165" i="1"/>
  <c r="GL165" i="1"/>
  <c r="GN165" i="1"/>
  <c r="FT167" i="1" s="1"/>
  <c r="GO165" i="1"/>
  <c r="GP165" i="1"/>
  <c r="GV165" i="1"/>
  <c r="HC165" i="1" s="1"/>
  <c r="GX165" i="1" s="1"/>
  <c r="GB167" i="1" s="1"/>
  <c r="B167" i="1"/>
  <c r="B144" i="1" s="1"/>
  <c r="C167" i="1"/>
  <c r="C144" i="1" s="1"/>
  <c r="D167" i="1"/>
  <c r="F167" i="1"/>
  <c r="F144" i="1" s="1"/>
  <c r="G167" i="1"/>
  <c r="G144" i="1" s="1"/>
  <c r="BD167" i="1"/>
  <c r="BX167" i="1"/>
  <c r="AO167" i="1" s="1"/>
  <c r="AO144" i="1" s="1"/>
  <c r="BZ167" i="1"/>
  <c r="CB167" i="1"/>
  <c r="CD167" i="1"/>
  <c r="CK167" i="1"/>
  <c r="BB167" i="1" s="1"/>
  <c r="CL167" i="1"/>
  <c r="CM167" i="1"/>
  <c r="CM144" i="1" s="1"/>
  <c r="EG167" i="1"/>
  <c r="EI167" i="1"/>
  <c r="ET167" i="1"/>
  <c r="ET144" i="1" s="1"/>
  <c r="EU167" i="1"/>
  <c r="FP167" i="1"/>
  <c r="GC167" i="1"/>
  <c r="GC144" i="1" s="1"/>
  <c r="GD167" i="1"/>
  <c r="GE167" i="1"/>
  <c r="GE144" i="1" s="1"/>
  <c r="P180" i="1"/>
  <c r="D197" i="1"/>
  <c r="C199" i="1"/>
  <c r="E199" i="1"/>
  <c r="Z199" i="1"/>
  <c r="AA199" i="1"/>
  <c r="AM199" i="1"/>
  <c r="AN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R199" i="1"/>
  <c r="DS199" i="1"/>
  <c r="EE199" i="1"/>
  <c r="EF199" i="1"/>
  <c r="EW199" i="1"/>
  <c r="EX199" i="1"/>
  <c r="EY199" i="1"/>
  <c r="EZ199" i="1"/>
  <c r="FA199" i="1"/>
  <c r="FB199" i="1"/>
  <c r="FC199" i="1"/>
  <c r="FD199" i="1"/>
  <c r="FE199" i="1"/>
  <c r="FF199" i="1"/>
  <c r="FG199" i="1"/>
  <c r="FH199" i="1"/>
  <c r="FI199" i="1"/>
  <c r="FJ199" i="1"/>
  <c r="FK199" i="1"/>
  <c r="FL199" i="1"/>
  <c r="FM199" i="1"/>
  <c r="FN199" i="1"/>
  <c r="FO199" i="1"/>
  <c r="GF199" i="1"/>
  <c r="GG199" i="1"/>
  <c r="GH199" i="1"/>
  <c r="GI199" i="1"/>
  <c r="GJ199" i="1"/>
  <c r="GK199" i="1"/>
  <c r="GL199" i="1"/>
  <c r="GM199" i="1"/>
  <c r="GN199" i="1"/>
  <c r="GO199" i="1"/>
  <c r="GP199" i="1"/>
  <c r="GQ199" i="1"/>
  <c r="GR199" i="1"/>
  <c r="GS199" i="1"/>
  <c r="GT199" i="1"/>
  <c r="GU199" i="1"/>
  <c r="GV199" i="1"/>
  <c r="GW199" i="1"/>
  <c r="GX199" i="1"/>
  <c r="C201" i="1"/>
  <c r="D201" i="1"/>
  <c r="I201" i="1"/>
  <c r="K201" i="1"/>
  <c r="P201" i="1"/>
  <c r="R201" i="1"/>
  <c r="W201" i="1"/>
  <c r="AC201" i="1"/>
  <c r="CQ201" i="1" s="1"/>
  <c r="AD201" i="1"/>
  <c r="AE201" i="1"/>
  <c r="AF201" i="1"/>
  <c r="AG201" i="1"/>
  <c r="AH201" i="1"/>
  <c r="CV201" i="1" s="1"/>
  <c r="U201" i="1" s="1"/>
  <c r="AI201" i="1"/>
  <c r="AJ201" i="1"/>
  <c r="CX201" i="1" s="1"/>
  <c r="CR201" i="1"/>
  <c r="CS201" i="1"/>
  <c r="CU201" i="1"/>
  <c r="T201" i="1" s="1"/>
  <c r="CW201" i="1"/>
  <c r="V201" i="1" s="1"/>
  <c r="GL201" i="1"/>
  <c r="GN201" i="1"/>
  <c r="GP201" i="1"/>
  <c r="GV201" i="1"/>
  <c r="HC201" i="1" s="1"/>
  <c r="GX201" i="1"/>
  <c r="C202" i="1"/>
  <c r="D202" i="1"/>
  <c r="I202" i="1"/>
  <c r="K202" i="1"/>
  <c r="P202" i="1"/>
  <c r="R202" i="1"/>
  <c r="S202" i="1"/>
  <c r="U202" i="1"/>
  <c r="AC202" i="1"/>
  <c r="CQ202" i="1" s="1"/>
  <c r="AD202" i="1"/>
  <c r="AE202" i="1"/>
  <c r="CR202" i="1" s="1"/>
  <c r="AF202" i="1"/>
  <c r="CT202" i="1" s="1"/>
  <c r="AG202" i="1"/>
  <c r="AH202" i="1"/>
  <c r="AI202" i="1"/>
  <c r="CW202" i="1" s="1"/>
  <c r="V202" i="1" s="1"/>
  <c r="AJ202" i="1"/>
  <c r="CU202" i="1"/>
  <c r="T202" i="1" s="1"/>
  <c r="CV202" i="1"/>
  <c r="CX202" i="1"/>
  <c r="W202" i="1" s="1"/>
  <c r="GL202" i="1"/>
  <c r="GN202" i="1"/>
  <c r="GP202" i="1"/>
  <c r="GV202" i="1"/>
  <c r="GX202" i="1"/>
  <c r="HC202" i="1"/>
  <c r="I203" i="1"/>
  <c r="AC203" i="1"/>
  <c r="AE203" i="1"/>
  <c r="AF203" i="1"/>
  <c r="AG203" i="1"/>
  <c r="CU203" i="1" s="1"/>
  <c r="AH203" i="1"/>
  <c r="AI203" i="1"/>
  <c r="CW203" i="1" s="1"/>
  <c r="AJ203" i="1"/>
  <c r="CQ203" i="1"/>
  <c r="CS203" i="1"/>
  <c r="CT203" i="1"/>
  <c r="CV203" i="1"/>
  <c r="CX203" i="1"/>
  <c r="GL203" i="1"/>
  <c r="GN203" i="1"/>
  <c r="GO203" i="1"/>
  <c r="GP203" i="1"/>
  <c r="GV203" i="1"/>
  <c r="HC203" i="1" s="1"/>
  <c r="GX203" i="1"/>
  <c r="I204" i="1"/>
  <c r="AC204" i="1"/>
  <c r="AE204" i="1"/>
  <c r="CR204" i="1" s="1"/>
  <c r="AF204" i="1"/>
  <c r="CT204" i="1" s="1"/>
  <c r="AG204" i="1"/>
  <c r="CU204" i="1" s="1"/>
  <c r="AH204" i="1"/>
  <c r="CV204" i="1" s="1"/>
  <c r="AI204" i="1"/>
  <c r="CW204" i="1" s="1"/>
  <c r="AJ204" i="1"/>
  <c r="CX204" i="1" s="1"/>
  <c r="CQ204" i="1"/>
  <c r="CS204" i="1"/>
  <c r="GL204" i="1"/>
  <c r="GN204" i="1"/>
  <c r="GO204" i="1"/>
  <c r="GP204" i="1"/>
  <c r="GV204" i="1"/>
  <c r="HC204" i="1"/>
  <c r="I205" i="1"/>
  <c r="Q205" i="1" s="1"/>
  <c r="P205" i="1"/>
  <c r="S205" i="1"/>
  <c r="U205" i="1"/>
  <c r="AC205" i="1"/>
  <c r="CQ205" i="1" s="1"/>
  <c r="AE205" i="1"/>
  <c r="CR205" i="1" s="1"/>
  <c r="AF205" i="1"/>
  <c r="AG205" i="1"/>
  <c r="CU205" i="1" s="1"/>
  <c r="T205" i="1" s="1"/>
  <c r="AH205" i="1"/>
  <c r="AI205" i="1"/>
  <c r="CW205" i="1" s="1"/>
  <c r="V205" i="1" s="1"/>
  <c r="AJ205" i="1"/>
  <c r="CT205" i="1"/>
  <c r="CV205" i="1"/>
  <c r="CX205" i="1"/>
  <c r="W205" i="1" s="1"/>
  <c r="GL205" i="1"/>
  <c r="GN205" i="1"/>
  <c r="GO205" i="1"/>
  <c r="GP205" i="1"/>
  <c r="GV205" i="1"/>
  <c r="HC205" i="1" s="1"/>
  <c r="GX205" i="1"/>
  <c r="I206" i="1"/>
  <c r="P206" i="1"/>
  <c r="FR206" i="1" s="1"/>
  <c r="AC206" i="1"/>
  <c r="AD206" i="1"/>
  <c r="AB206" i="1" s="1"/>
  <c r="AE206" i="1"/>
  <c r="AF206" i="1"/>
  <c r="CT206" i="1" s="1"/>
  <c r="AG206" i="1"/>
  <c r="AH206" i="1"/>
  <c r="CV206" i="1" s="1"/>
  <c r="U206" i="1" s="1"/>
  <c r="AI206" i="1"/>
  <c r="CW206" i="1" s="1"/>
  <c r="V206" i="1" s="1"/>
  <c r="AJ206" i="1"/>
  <c r="CX206" i="1" s="1"/>
  <c r="W206" i="1" s="1"/>
  <c r="CQ206" i="1"/>
  <c r="CR206" i="1"/>
  <c r="CS206" i="1"/>
  <c r="CU206" i="1"/>
  <c r="T206" i="1" s="1"/>
  <c r="GL206" i="1"/>
  <c r="GN206" i="1"/>
  <c r="GO206" i="1"/>
  <c r="GP206" i="1"/>
  <c r="GV206" i="1"/>
  <c r="HC206" i="1" s="1"/>
  <c r="GX206" i="1" s="1"/>
  <c r="C207" i="1"/>
  <c r="D207" i="1"/>
  <c r="I207" i="1"/>
  <c r="K207" i="1"/>
  <c r="P207" i="1"/>
  <c r="R207" i="1"/>
  <c r="T207" i="1"/>
  <c r="AC207" i="1"/>
  <c r="AD207" i="1"/>
  <c r="AE207" i="1"/>
  <c r="AF207" i="1"/>
  <c r="AG207" i="1"/>
  <c r="AH207" i="1"/>
  <c r="CV207" i="1" s="1"/>
  <c r="U207" i="1" s="1"/>
  <c r="AI207" i="1"/>
  <c r="AJ207" i="1"/>
  <c r="CR207" i="1"/>
  <c r="CS207" i="1"/>
  <c r="CT207" i="1"/>
  <c r="CU207" i="1"/>
  <c r="CW207" i="1"/>
  <c r="V207" i="1" s="1"/>
  <c r="CX207" i="1"/>
  <c r="GL207" i="1"/>
  <c r="GN207" i="1"/>
  <c r="GP207" i="1"/>
  <c r="GV207" i="1"/>
  <c r="HC207" i="1" s="1"/>
  <c r="GX207" i="1"/>
  <c r="C208" i="1"/>
  <c r="D208" i="1"/>
  <c r="I208" i="1"/>
  <c r="R208" i="1" s="1"/>
  <c r="K208" i="1"/>
  <c r="AC208" i="1"/>
  <c r="CQ208" i="1" s="1"/>
  <c r="AD208" i="1"/>
  <c r="AE208" i="1"/>
  <c r="CS208" i="1" s="1"/>
  <c r="AF208" i="1"/>
  <c r="AG208" i="1"/>
  <c r="CU208" i="1" s="1"/>
  <c r="T208" i="1" s="1"/>
  <c r="AH208" i="1"/>
  <c r="CV208" i="1" s="1"/>
  <c r="U208" i="1" s="1"/>
  <c r="AI208" i="1"/>
  <c r="CW208" i="1" s="1"/>
  <c r="V208" i="1" s="1"/>
  <c r="AJ208" i="1"/>
  <c r="CR208" i="1"/>
  <c r="CX208" i="1"/>
  <c r="GL208" i="1"/>
  <c r="GN208" i="1"/>
  <c r="GP208" i="1"/>
  <c r="GV208" i="1"/>
  <c r="HC208" i="1" s="1"/>
  <c r="T209" i="1"/>
  <c r="V209" i="1"/>
  <c r="AC209" i="1"/>
  <c r="AE209" i="1"/>
  <c r="AF209" i="1"/>
  <c r="AG209" i="1"/>
  <c r="AH209" i="1"/>
  <c r="CV209" i="1" s="1"/>
  <c r="U209" i="1" s="1"/>
  <c r="AI209" i="1"/>
  <c r="AJ209" i="1"/>
  <c r="CX209" i="1" s="1"/>
  <c r="W209" i="1" s="1"/>
  <c r="CU209" i="1"/>
  <c r="CW209" i="1"/>
  <c r="GL209" i="1"/>
  <c r="GN209" i="1"/>
  <c r="GO209" i="1"/>
  <c r="GP209" i="1"/>
  <c r="GV209" i="1"/>
  <c r="HC209" i="1" s="1"/>
  <c r="GX209" i="1" s="1"/>
  <c r="P210" i="1"/>
  <c r="FR210" i="1" s="1"/>
  <c r="R210" i="1"/>
  <c r="U210" i="1"/>
  <c r="W210" i="1"/>
  <c r="AB210" i="1"/>
  <c r="AC210" i="1"/>
  <c r="AD210" i="1"/>
  <c r="AE210" i="1"/>
  <c r="Q210" i="1" s="1"/>
  <c r="AF210" i="1"/>
  <c r="AG210" i="1"/>
  <c r="AH210" i="1"/>
  <c r="AI210" i="1"/>
  <c r="AJ210" i="1"/>
  <c r="CX210" i="1" s="1"/>
  <c r="CQ210" i="1"/>
  <c r="CR210" i="1"/>
  <c r="CS210" i="1"/>
  <c r="CU210" i="1"/>
  <c r="T210" i="1" s="1"/>
  <c r="CV210" i="1"/>
  <c r="CW210" i="1"/>
  <c r="V210" i="1" s="1"/>
  <c r="GL210" i="1"/>
  <c r="GN210" i="1"/>
  <c r="GO210" i="1"/>
  <c r="GP210" i="1"/>
  <c r="GV210" i="1"/>
  <c r="HC210" i="1"/>
  <c r="GX210" i="1" s="1"/>
  <c r="P211" i="1"/>
  <c r="S211" i="1"/>
  <c r="T211" i="1"/>
  <c r="AC211" i="1"/>
  <c r="AE211" i="1"/>
  <c r="CR211" i="1" s="1"/>
  <c r="AF211" i="1"/>
  <c r="CT211" i="1" s="1"/>
  <c r="AG211" i="1"/>
  <c r="CU211" i="1" s="1"/>
  <c r="AH211" i="1"/>
  <c r="CV211" i="1" s="1"/>
  <c r="U211" i="1" s="1"/>
  <c r="AI211" i="1"/>
  <c r="CW211" i="1" s="1"/>
  <c r="V211" i="1" s="1"/>
  <c r="AJ211" i="1"/>
  <c r="CX211" i="1" s="1"/>
  <c r="W211" i="1" s="1"/>
  <c r="CQ211" i="1"/>
  <c r="CS211" i="1"/>
  <c r="FR211" i="1"/>
  <c r="GL211" i="1"/>
  <c r="GN211" i="1"/>
  <c r="GO211" i="1"/>
  <c r="GP211" i="1"/>
  <c r="GV211" i="1"/>
  <c r="HC211" i="1" s="1"/>
  <c r="GX211" i="1" s="1"/>
  <c r="AC212" i="1"/>
  <c r="AE212" i="1"/>
  <c r="CS212" i="1" s="1"/>
  <c r="AF212" i="1"/>
  <c r="S212" i="1" s="1"/>
  <c r="AG212" i="1"/>
  <c r="CU212" i="1" s="1"/>
  <c r="T212" i="1" s="1"/>
  <c r="AH212" i="1"/>
  <c r="CV212" i="1" s="1"/>
  <c r="U212" i="1" s="1"/>
  <c r="AI212" i="1"/>
  <c r="AJ212" i="1"/>
  <c r="CW212" i="1"/>
  <c r="V212" i="1" s="1"/>
  <c r="CX212" i="1"/>
  <c r="W212" i="1" s="1"/>
  <c r="GL212" i="1"/>
  <c r="GN212" i="1"/>
  <c r="GO212" i="1"/>
  <c r="GP212" i="1"/>
  <c r="GV212" i="1"/>
  <c r="HC212" i="1"/>
  <c r="GX212" i="1" s="1"/>
  <c r="C213" i="1"/>
  <c r="D213" i="1"/>
  <c r="I213" i="1"/>
  <c r="P213" i="1" s="1"/>
  <c r="K213" i="1"/>
  <c r="Q213" i="1"/>
  <c r="S213" i="1"/>
  <c r="T213" i="1"/>
  <c r="AC213" i="1"/>
  <c r="AE213" i="1"/>
  <c r="AF213" i="1"/>
  <c r="CT213" i="1" s="1"/>
  <c r="AG213" i="1"/>
  <c r="CU213" i="1" s="1"/>
  <c r="AH213" i="1"/>
  <c r="CV213" i="1" s="1"/>
  <c r="U213" i="1" s="1"/>
  <c r="AI213" i="1"/>
  <c r="CW213" i="1" s="1"/>
  <c r="V213" i="1" s="1"/>
  <c r="AJ213" i="1"/>
  <c r="CX213" i="1" s="1"/>
  <c r="W213" i="1" s="1"/>
  <c r="CQ213" i="1"/>
  <c r="GL213" i="1"/>
  <c r="GN213" i="1"/>
  <c r="GP213" i="1"/>
  <c r="GV213" i="1"/>
  <c r="HC213" i="1"/>
  <c r="GX213" i="1" s="1"/>
  <c r="C214" i="1"/>
  <c r="D214" i="1"/>
  <c r="I214" i="1"/>
  <c r="K214" i="1"/>
  <c r="Q214" i="1"/>
  <c r="S214" i="1"/>
  <c r="V214" i="1"/>
  <c r="X214" i="1"/>
  <c r="Y214" i="1"/>
  <c r="AC214" i="1"/>
  <c r="AE214" i="1"/>
  <c r="AD214" i="1" s="1"/>
  <c r="AF214" i="1"/>
  <c r="AG214" i="1"/>
  <c r="AH214" i="1"/>
  <c r="AI214" i="1"/>
  <c r="AJ214" i="1"/>
  <c r="CX214" i="1" s="1"/>
  <c r="W214" i="1" s="1"/>
  <c r="CQ214" i="1"/>
  <c r="CR214" i="1"/>
  <c r="CS214" i="1"/>
  <c r="CT214" i="1"/>
  <c r="CU214" i="1"/>
  <c r="T214" i="1" s="1"/>
  <c r="CV214" i="1"/>
  <c r="CW214" i="1"/>
  <c r="GL214" i="1"/>
  <c r="GN214" i="1"/>
  <c r="GP214" i="1"/>
  <c r="GV214" i="1"/>
  <c r="GX214" i="1"/>
  <c r="HC214" i="1"/>
  <c r="I215" i="1"/>
  <c r="Q215" i="1" s="1"/>
  <c r="R215" i="1"/>
  <c r="T215" i="1"/>
  <c r="W215" i="1"/>
  <c r="AC215" i="1"/>
  <c r="AE215" i="1"/>
  <c r="AD215" i="1" s="1"/>
  <c r="AF215" i="1"/>
  <c r="AG215" i="1"/>
  <c r="AH215" i="1"/>
  <c r="CV215" i="1" s="1"/>
  <c r="U215" i="1" s="1"/>
  <c r="AI215" i="1"/>
  <c r="AJ215" i="1"/>
  <c r="CX215" i="1" s="1"/>
  <c r="CR215" i="1"/>
  <c r="CS215" i="1"/>
  <c r="CU215" i="1"/>
  <c r="CW215" i="1"/>
  <c r="V215" i="1" s="1"/>
  <c r="GL215" i="1"/>
  <c r="GN215" i="1"/>
  <c r="GO215" i="1"/>
  <c r="GP215" i="1"/>
  <c r="GV215" i="1"/>
  <c r="HC215" i="1"/>
  <c r="GX215" i="1" s="1"/>
  <c r="AC216" i="1"/>
  <c r="AE216" i="1"/>
  <c r="CS216" i="1" s="1"/>
  <c r="AF216" i="1"/>
  <c r="AG216" i="1"/>
  <c r="CU216" i="1" s="1"/>
  <c r="AH216" i="1"/>
  <c r="CV216" i="1" s="1"/>
  <c r="AI216" i="1"/>
  <c r="AJ216" i="1"/>
  <c r="CW216" i="1"/>
  <c r="CX216" i="1"/>
  <c r="GL216" i="1"/>
  <c r="GN216" i="1"/>
  <c r="GO216" i="1"/>
  <c r="GP216" i="1"/>
  <c r="GV216" i="1"/>
  <c r="HC216" i="1" s="1"/>
  <c r="C217" i="1"/>
  <c r="D217" i="1"/>
  <c r="I217" i="1"/>
  <c r="K217" i="1"/>
  <c r="Q217" i="1"/>
  <c r="S217" i="1"/>
  <c r="AC217" i="1"/>
  <c r="AE217" i="1"/>
  <c r="AD217" i="1" s="1"/>
  <c r="AF217" i="1"/>
  <c r="AG217" i="1"/>
  <c r="CU217" i="1" s="1"/>
  <c r="T217" i="1" s="1"/>
  <c r="AH217" i="1"/>
  <c r="CV217" i="1" s="1"/>
  <c r="U217" i="1" s="1"/>
  <c r="AI217" i="1"/>
  <c r="AJ217" i="1"/>
  <c r="CT217" i="1"/>
  <c r="CW217" i="1"/>
  <c r="V217" i="1" s="1"/>
  <c r="CX217" i="1"/>
  <c r="W217" i="1" s="1"/>
  <c r="CZ217" i="1"/>
  <c r="GL217" i="1"/>
  <c r="GN217" i="1"/>
  <c r="GP217" i="1"/>
  <c r="GV217" i="1"/>
  <c r="HC217" i="1"/>
  <c r="C218" i="1"/>
  <c r="D218" i="1"/>
  <c r="I218" i="1"/>
  <c r="K218" i="1"/>
  <c r="AC218" i="1"/>
  <c r="AE218" i="1"/>
  <c r="AD218" i="1" s="1"/>
  <c r="AF218" i="1"/>
  <c r="AG218" i="1"/>
  <c r="AH218" i="1"/>
  <c r="AI218" i="1"/>
  <c r="AJ218" i="1"/>
  <c r="CX218" i="1" s="1"/>
  <c r="W218" i="1" s="1"/>
  <c r="CR218" i="1"/>
  <c r="CS218" i="1"/>
  <c r="CT218" i="1"/>
  <c r="CU218" i="1"/>
  <c r="T218" i="1" s="1"/>
  <c r="CV218" i="1"/>
  <c r="U218" i="1" s="1"/>
  <c r="CW218" i="1"/>
  <c r="GL218" i="1"/>
  <c r="GN218" i="1"/>
  <c r="GP218" i="1"/>
  <c r="GV218" i="1"/>
  <c r="HC218" i="1" s="1"/>
  <c r="GX218" i="1" s="1"/>
  <c r="P219" i="1"/>
  <c r="S219" i="1"/>
  <c r="Y219" i="1" s="1"/>
  <c r="W219" i="1"/>
  <c r="X219" i="1"/>
  <c r="AC219" i="1"/>
  <c r="AE219" i="1"/>
  <c r="AD219" i="1" s="1"/>
  <c r="AB219" i="1" s="1"/>
  <c r="AF219" i="1"/>
  <c r="AG219" i="1"/>
  <c r="CU219" i="1" s="1"/>
  <c r="T219" i="1" s="1"/>
  <c r="AH219" i="1"/>
  <c r="CV219" i="1" s="1"/>
  <c r="U219" i="1" s="1"/>
  <c r="AI219" i="1"/>
  <c r="CW219" i="1" s="1"/>
  <c r="V219" i="1" s="1"/>
  <c r="AJ219" i="1"/>
  <c r="CX219" i="1" s="1"/>
  <c r="CQ219" i="1"/>
  <c r="CR219" i="1"/>
  <c r="CS219" i="1"/>
  <c r="CT219" i="1"/>
  <c r="CY219" i="1"/>
  <c r="CZ219" i="1"/>
  <c r="FR219" i="1"/>
  <c r="GL219" i="1"/>
  <c r="GN219" i="1"/>
  <c r="GO219" i="1"/>
  <c r="GP219" i="1"/>
  <c r="GV219" i="1"/>
  <c r="HC219" i="1" s="1"/>
  <c r="GX219" i="1" s="1"/>
  <c r="P220" i="1"/>
  <c r="FR220" i="1" s="1"/>
  <c r="R220" i="1"/>
  <c r="S220" i="1"/>
  <c r="T220" i="1"/>
  <c r="AC220" i="1"/>
  <c r="CQ220" i="1" s="1"/>
  <c r="AE220" i="1"/>
  <c r="CR220" i="1" s="1"/>
  <c r="AF220" i="1"/>
  <c r="CT220" i="1" s="1"/>
  <c r="AG220" i="1"/>
  <c r="CU220" i="1" s="1"/>
  <c r="AH220" i="1"/>
  <c r="CV220" i="1" s="1"/>
  <c r="U220" i="1" s="1"/>
  <c r="AI220" i="1"/>
  <c r="AJ220" i="1"/>
  <c r="CW220" i="1"/>
  <c r="V220" i="1" s="1"/>
  <c r="CX220" i="1"/>
  <c r="W220" i="1" s="1"/>
  <c r="CY220" i="1"/>
  <c r="GL220" i="1"/>
  <c r="GN220" i="1"/>
  <c r="GO220" i="1"/>
  <c r="GP220" i="1"/>
  <c r="GV220" i="1"/>
  <c r="HC220" i="1"/>
  <c r="GX220" i="1" s="1"/>
  <c r="C221" i="1"/>
  <c r="D221" i="1"/>
  <c r="I221" i="1"/>
  <c r="P221" i="1" s="1"/>
  <c r="K221" i="1"/>
  <c r="S221" i="1"/>
  <c r="Y221" i="1" s="1"/>
  <c r="V221" i="1"/>
  <c r="W221" i="1"/>
  <c r="X221" i="1"/>
  <c r="AC221" i="1"/>
  <c r="AE221" i="1"/>
  <c r="AD221" i="1" s="1"/>
  <c r="AB221" i="1" s="1"/>
  <c r="AF221" i="1"/>
  <c r="AG221" i="1"/>
  <c r="CU221" i="1" s="1"/>
  <c r="T221" i="1" s="1"/>
  <c r="AH221" i="1"/>
  <c r="CV221" i="1" s="1"/>
  <c r="U221" i="1" s="1"/>
  <c r="AI221" i="1"/>
  <c r="CW221" i="1" s="1"/>
  <c r="AJ221" i="1"/>
  <c r="CX221" i="1" s="1"/>
  <c r="CQ221" i="1"/>
  <c r="CR221" i="1"/>
  <c r="CS221" i="1"/>
  <c r="CT221" i="1"/>
  <c r="CY221" i="1"/>
  <c r="CZ221" i="1"/>
  <c r="GL221" i="1"/>
  <c r="GN221" i="1"/>
  <c r="GP221" i="1"/>
  <c r="GV221" i="1"/>
  <c r="HC221" i="1"/>
  <c r="GX221" i="1" s="1"/>
  <c r="C222" i="1"/>
  <c r="D222" i="1"/>
  <c r="I222" i="1"/>
  <c r="K222" i="1"/>
  <c r="Q222" i="1"/>
  <c r="AC222" i="1"/>
  <c r="AD222" i="1"/>
  <c r="AE222" i="1"/>
  <c r="AF222" i="1"/>
  <c r="AG222" i="1"/>
  <c r="AH222" i="1"/>
  <c r="AI222" i="1"/>
  <c r="AJ222" i="1"/>
  <c r="CT222" i="1"/>
  <c r="CU222" i="1"/>
  <c r="T222" i="1" s="1"/>
  <c r="CV222" i="1"/>
  <c r="U222" i="1" s="1"/>
  <c r="CW222" i="1"/>
  <c r="V222" i="1" s="1"/>
  <c r="CX222" i="1"/>
  <c r="W222" i="1" s="1"/>
  <c r="GL222" i="1"/>
  <c r="GN222" i="1"/>
  <c r="GP222" i="1"/>
  <c r="GV222" i="1"/>
  <c r="HC222" i="1"/>
  <c r="GX222" i="1" s="1"/>
  <c r="I223" i="1"/>
  <c r="Q223" i="1" s="1"/>
  <c r="T223" i="1"/>
  <c r="X223" i="1"/>
  <c r="Y223" i="1"/>
  <c r="AC223" i="1"/>
  <c r="AE223" i="1"/>
  <c r="AD223" i="1" s="1"/>
  <c r="AF223" i="1"/>
  <c r="S223" i="1" s="1"/>
  <c r="AG223" i="1"/>
  <c r="AH223" i="1"/>
  <c r="CV223" i="1" s="1"/>
  <c r="U223" i="1" s="1"/>
  <c r="AI223" i="1"/>
  <c r="CW223" i="1" s="1"/>
  <c r="V223" i="1" s="1"/>
  <c r="AJ223" i="1"/>
  <c r="CX223" i="1" s="1"/>
  <c r="W223" i="1" s="1"/>
  <c r="CQ223" i="1"/>
  <c r="CR223" i="1"/>
  <c r="CS223" i="1"/>
  <c r="CT223" i="1"/>
  <c r="CU223" i="1"/>
  <c r="GL223" i="1"/>
  <c r="GN223" i="1"/>
  <c r="GO223" i="1"/>
  <c r="GP223" i="1"/>
  <c r="GV223" i="1"/>
  <c r="HC223" i="1"/>
  <c r="GX223" i="1" s="1"/>
  <c r="AC224" i="1"/>
  <c r="CQ224" i="1" s="1"/>
  <c r="AE224" i="1"/>
  <c r="CR224" i="1" s="1"/>
  <c r="AF224" i="1"/>
  <c r="CT224" i="1" s="1"/>
  <c r="AG224" i="1"/>
  <c r="CU224" i="1" s="1"/>
  <c r="AH224" i="1"/>
  <c r="CV224" i="1" s="1"/>
  <c r="AI224" i="1"/>
  <c r="AJ224" i="1"/>
  <c r="CW224" i="1"/>
  <c r="CX224" i="1"/>
  <c r="GL224" i="1"/>
  <c r="GN224" i="1"/>
  <c r="GO224" i="1"/>
  <c r="GP224" i="1"/>
  <c r="GV224" i="1"/>
  <c r="HC224" i="1"/>
  <c r="C225" i="1"/>
  <c r="D225" i="1"/>
  <c r="I225" i="1"/>
  <c r="CU171" i="3" s="1"/>
  <c r="K225" i="1"/>
  <c r="S225" i="1"/>
  <c r="Y225" i="1" s="1"/>
  <c r="V225" i="1"/>
  <c r="X225" i="1"/>
  <c r="AC225" i="1"/>
  <c r="AE225" i="1"/>
  <c r="AD225" i="1" s="1"/>
  <c r="AB225" i="1" s="1"/>
  <c r="AF225" i="1"/>
  <c r="AG225" i="1"/>
  <c r="CU225" i="1" s="1"/>
  <c r="T225" i="1" s="1"/>
  <c r="AH225" i="1"/>
  <c r="CV225" i="1" s="1"/>
  <c r="U225" i="1" s="1"/>
  <c r="AI225" i="1"/>
  <c r="CW225" i="1" s="1"/>
  <c r="AJ225" i="1"/>
  <c r="CX225" i="1" s="1"/>
  <c r="W225" i="1" s="1"/>
  <c r="CQ225" i="1"/>
  <c r="CR225" i="1"/>
  <c r="CS225" i="1"/>
  <c r="CT225" i="1"/>
  <c r="CY225" i="1"/>
  <c r="CZ225" i="1"/>
  <c r="GL225" i="1"/>
  <c r="GN225" i="1"/>
  <c r="GP225" i="1"/>
  <c r="GV225" i="1"/>
  <c r="HC225" i="1"/>
  <c r="GX225" i="1" s="1"/>
  <c r="C226" i="1"/>
  <c r="D226" i="1"/>
  <c r="I226" i="1"/>
  <c r="K226" i="1"/>
  <c r="P226" i="1"/>
  <c r="Q226" i="1"/>
  <c r="AC226" i="1"/>
  <c r="AD226" i="1"/>
  <c r="AE226" i="1"/>
  <c r="AF226" i="1"/>
  <c r="AG226" i="1"/>
  <c r="AH226" i="1"/>
  <c r="AI226" i="1"/>
  <c r="AJ226" i="1"/>
  <c r="CT226" i="1"/>
  <c r="CU226" i="1"/>
  <c r="T226" i="1" s="1"/>
  <c r="CV226" i="1"/>
  <c r="U226" i="1" s="1"/>
  <c r="CW226" i="1"/>
  <c r="V226" i="1" s="1"/>
  <c r="CX226" i="1"/>
  <c r="W226" i="1" s="1"/>
  <c r="GL226" i="1"/>
  <c r="GN226" i="1"/>
  <c r="GP226" i="1"/>
  <c r="GV226" i="1"/>
  <c r="HC226" i="1"/>
  <c r="GX226" i="1" s="1"/>
  <c r="I227" i="1"/>
  <c r="Q227" i="1" s="1"/>
  <c r="Y227" i="1"/>
  <c r="AC227" i="1"/>
  <c r="AB227" i="1" s="1"/>
  <c r="AE227" i="1"/>
  <c r="AD227" i="1" s="1"/>
  <c r="AF227" i="1"/>
  <c r="S227" i="1" s="1"/>
  <c r="AG227" i="1"/>
  <c r="AH227" i="1"/>
  <c r="CV227" i="1" s="1"/>
  <c r="U227" i="1" s="1"/>
  <c r="AI227" i="1"/>
  <c r="CW227" i="1" s="1"/>
  <c r="V227" i="1" s="1"/>
  <c r="AJ227" i="1"/>
  <c r="CX227" i="1" s="1"/>
  <c r="W227" i="1" s="1"/>
  <c r="CQ227" i="1"/>
  <c r="CR227" i="1"/>
  <c r="CS227" i="1"/>
  <c r="CT227" i="1"/>
  <c r="CU227" i="1"/>
  <c r="GL227" i="1"/>
  <c r="GN227" i="1"/>
  <c r="GO227" i="1"/>
  <c r="GP227" i="1"/>
  <c r="GV227" i="1"/>
  <c r="HC227" i="1"/>
  <c r="GX227" i="1" s="1"/>
  <c r="AC228" i="1"/>
  <c r="CQ228" i="1" s="1"/>
  <c r="AE228" i="1"/>
  <c r="CR228" i="1" s="1"/>
  <c r="AF228" i="1"/>
  <c r="CT228" i="1" s="1"/>
  <c r="AG228" i="1"/>
  <c r="CU228" i="1" s="1"/>
  <c r="AH228" i="1"/>
  <c r="CV228" i="1" s="1"/>
  <c r="AI228" i="1"/>
  <c r="AJ228" i="1"/>
  <c r="CW228" i="1"/>
  <c r="CX228" i="1"/>
  <c r="GL228" i="1"/>
  <c r="GN228" i="1"/>
  <c r="GO228" i="1"/>
  <c r="GP228" i="1"/>
  <c r="GV228" i="1"/>
  <c r="HC228" i="1"/>
  <c r="C229" i="1"/>
  <c r="D229" i="1"/>
  <c r="I229" i="1"/>
  <c r="P229" i="1" s="1"/>
  <c r="K229" i="1"/>
  <c r="V229" i="1"/>
  <c r="AC229" i="1"/>
  <c r="AE229" i="1"/>
  <c r="AD229" i="1" s="1"/>
  <c r="AB229" i="1" s="1"/>
  <c r="AF229" i="1"/>
  <c r="AG229" i="1"/>
  <c r="CU229" i="1" s="1"/>
  <c r="T229" i="1" s="1"/>
  <c r="AH229" i="1"/>
  <c r="CV229" i="1" s="1"/>
  <c r="U229" i="1" s="1"/>
  <c r="AI229" i="1"/>
  <c r="CW229" i="1" s="1"/>
  <c r="AJ229" i="1"/>
  <c r="CX229" i="1" s="1"/>
  <c r="W229" i="1" s="1"/>
  <c r="CQ229" i="1"/>
  <c r="CR229" i="1"/>
  <c r="CS229" i="1"/>
  <c r="CT229" i="1"/>
  <c r="GL229" i="1"/>
  <c r="GN229" i="1"/>
  <c r="GP229" i="1"/>
  <c r="GV229" i="1"/>
  <c r="HC229" i="1"/>
  <c r="GX229" i="1" s="1"/>
  <c r="C230" i="1"/>
  <c r="D230" i="1"/>
  <c r="I230" i="1"/>
  <c r="K230" i="1"/>
  <c r="Q230" i="1"/>
  <c r="AC230" i="1"/>
  <c r="AD230" i="1"/>
  <c r="AE230" i="1"/>
  <c r="AF230" i="1"/>
  <c r="AG230" i="1"/>
  <c r="AH230" i="1"/>
  <c r="AI230" i="1"/>
  <c r="AJ230" i="1"/>
  <c r="CT230" i="1"/>
  <c r="CU230" i="1"/>
  <c r="T230" i="1" s="1"/>
  <c r="CV230" i="1"/>
  <c r="U230" i="1" s="1"/>
  <c r="CW230" i="1"/>
  <c r="V230" i="1" s="1"/>
  <c r="CX230" i="1"/>
  <c r="W230" i="1" s="1"/>
  <c r="GL230" i="1"/>
  <c r="GN230" i="1"/>
  <c r="GP230" i="1"/>
  <c r="GV230" i="1"/>
  <c r="HC230" i="1"/>
  <c r="GX230" i="1" s="1"/>
  <c r="P231" i="1"/>
  <c r="S231" i="1"/>
  <c r="CY231" i="1" s="1"/>
  <c r="U231" i="1"/>
  <c r="X231" i="1"/>
  <c r="Y231" i="1"/>
  <c r="AB231" i="1"/>
  <c r="AC231" i="1"/>
  <c r="AD231" i="1"/>
  <c r="AE231" i="1"/>
  <c r="Q231" i="1" s="1"/>
  <c r="CP231" i="1" s="1"/>
  <c r="O231" i="1" s="1"/>
  <c r="AF231" i="1"/>
  <c r="AG231" i="1"/>
  <c r="AH231" i="1"/>
  <c r="AI231" i="1"/>
  <c r="CW231" i="1" s="1"/>
  <c r="V231" i="1" s="1"/>
  <c r="AJ231" i="1"/>
  <c r="CX231" i="1" s="1"/>
  <c r="W231" i="1" s="1"/>
  <c r="CQ231" i="1"/>
  <c r="CR231" i="1"/>
  <c r="CS231" i="1"/>
  <c r="CT231" i="1"/>
  <c r="CU231" i="1"/>
  <c r="T231" i="1" s="1"/>
  <c r="CV231" i="1"/>
  <c r="CZ231" i="1"/>
  <c r="FR231" i="1"/>
  <c r="GL231" i="1"/>
  <c r="GM231" i="1"/>
  <c r="GN231" i="1"/>
  <c r="GO231" i="1"/>
  <c r="GP231" i="1"/>
  <c r="GV231" i="1"/>
  <c r="HC231" i="1" s="1"/>
  <c r="GX231" i="1" s="1"/>
  <c r="R232" i="1"/>
  <c r="S232" i="1"/>
  <c r="CZ232" i="1" s="1"/>
  <c r="V232" i="1"/>
  <c r="AC232" i="1"/>
  <c r="AE232" i="1"/>
  <c r="CR232" i="1" s="1"/>
  <c r="AF232" i="1"/>
  <c r="CT232" i="1" s="1"/>
  <c r="AG232" i="1"/>
  <c r="CU232" i="1" s="1"/>
  <c r="T232" i="1" s="1"/>
  <c r="AH232" i="1"/>
  <c r="CV232" i="1" s="1"/>
  <c r="U232" i="1" s="1"/>
  <c r="AI232" i="1"/>
  <c r="CW232" i="1" s="1"/>
  <c r="AJ232" i="1"/>
  <c r="CQ232" i="1"/>
  <c r="CX232" i="1"/>
  <c r="W232" i="1" s="1"/>
  <c r="CY232" i="1"/>
  <c r="GL232" i="1"/>
  <c r="GN232" i="1"/>
  <c r="GO232" i="1"/>
  <c r="GP232" i="1"/>
  <c r="GV232" i="1"/>
  <c r="HC232" i="1"/>
  <c r="GX232" i="1" s="1"/>
  <c r="P233" i="1"/>
  <c r="Q233" i="1"/>
  <c r="R233" i="1"/>
  <c r="AC233" i="1"/>
  <c r="AD233" i="1"/>
  <c r="AE233" i="1"/>
  <c r="AF233" i="1"/>
  <c r="S233" i="1" s="1"/>
  <c r="AG233" i="1"/>
  <c r="AH233" i="1"/>
  <c r="AI233" i="1"/>
  <c r="AJ233" i="1"/>
  <c r="CU233" i="1"/>
  <c r="T233" i="1" s="1"/>
  <c r="CV233" i="1"/>
  <c r="U233" i="1" s="1"/>
  <c r="CW233" i="1"/>
  <c r="V233" i="1" s="1"/>
  <c r="CX233" i="1"/>
  <c r="W233" i="1" s="1"/>
  <c r="GL233" i="1"/>
  <c r="GN233" i="1"/>
  <c r="GO233" i="1"/>
  <c r="GP233" i="1"/>
  <c r="CD240" i="1" s="1"/>
  <c r="GV233" i="1"/>
  <c r="HC233" i="1" s="1"/>
  <c r="GX233" i="1"/>
  <c r="P234" i="1"/>
  <c r="R234" i="1"/>
  <c r="S234" i="1"/>
  <c r="CY234" i="1" s="1"/>
  <c r="U234" i="1"/>
  <c r="X234" i="1"/>
  <c r="Y234" i="1"/>
  <c r="AB234" i="1"/>
  <c r="AC234" i="1"/>
  <c r="AD234" i="1"/>
  <c r="AE234" i="1"/>
  <c r="Q234" i="1" s="1"/>
  <c r="CP234" i="1" s="1"/>
  <c r="O234" i="1" s="1"/>
  <c r="GM234" i="1" s="1"/>
  <c r="AF234" i="1"/>
  <c r="AG234" i="1"/>
  <c r="AH234" i="1"/>
  <c r="AI234" i="1"/>
  <c r="CW234" i="1" s="1"/>
  <c r="V234" i="1" s="1"/>
  <c r="AJ234" i="1"/>
  <c r="CX234" i="1" s="1"/>
  <c r="W234" i="1" s="1"/>
  <c r="CQ234" i="1"/>
  <c r="CR234" i="1"/>
  <c r="CS234" i="1"/>
  <c r="CT234" i="1"/>
  <c r="CU234" i="1"/>
  <c r="T234" i="1" s="1"/>
  <c r="CV234" i="1"/>
  <c r="CZ234" i="1"/>
  <c r="FR234" i="1"/>
  <c r="GL234" i="1"/>
  <c r="GN234" i="1"/>
  <c r="GO234" i="1"/>
  <c r="GP234" i="1"/>
  <c r="GV234" i="1"/>
  <c r="HC234" i="1" s="1"/>
  <c r="GX234" i="1" s="1"/>
  <c r="C235" i="1"/>
  <c r="D235" i="1"/>
  <c r="I235" i="1"/>
  <c r="K235" i="1"/>
  <c r="Q235" i="1"/>
  <c r="R235" i="1"/>
  <c r="AC235" i="1"/>
  <c r="AE235" i="1"/>
  <c r="AF235" i="1"/>
  <c r="S235" i="1" s="1"/>
  <c r="AG235" i="1"/>
  <c r="AH235" i="1"/>
  <c r="AI235" i="1"/>
  <c r="AJ235" i="1"/>
  <c r="CU235" i="1"/>
  <c r="T235" i="1" s="1"/>
  <c r="CV235" i="1"/>
  <c r="U235" i="1" s="1"/>
  <c r="CW235" i="1"/>
  <c r="V235" i="1" s="1"/>
  <c r="CX235" i="1"/>
  <c r="W235" i="1" s="1"/>
  <c r="GL235" i="1"/>
  <c r="GN235" i="1"/>
  <c r="GP235" i="1"/>
  <c r="GV235" i="1"/>
  <c r="GX235" i="1"/>
  <c r="HC235" i="1"/>
  <c r="C236" i="1"/>
  <c r="D236" i="1"/>
  <c r="I236" i="1"/>
  <c r="P236" i="1" s="1"/>
  <c r="K236" i="1"/>
  <c r="S236" i="1"/>
  <c r="X236" i="1" s="1"/>
  <c r="T236" i="1"/>
  <c r="AC236" i="1"/>
  <c r="AB236" i="1" s="1"/>
  <c r="AD236" i="1"/>
  <c r="AE236" i="1"/>
  <c r="AF236" i="1"/>
  <c r="CT236" i="1" s="1"/>
  <c r="AG236" i="1"/>
  <c r="CU236" i="1" s="1"/>
  <c r="AH236" i="1"/>
  <c r="CV236" i="1" s="1"/>
  <c r="U236" i="1" s="1"/>
  <c r="AI236" i="1"/>
  <c r="CW236" i="1" s="1"/>
  <c r="V236" i="1" s="1"/>
  <c r="AJ236" i="1"/>
  <c r="CX236" i="1" s="1"/>
  <c r="W236" i="1" s="1"/>
  <c r="CQ236" i="1"/>
  <c r="CR236" i="1"/>
  <c r="CS236" i="1"/>
  <c r="CY236" i="1"/>
  <c r="CZ236" i="1"/>
  <c r="GL236" i="1"/>
  <c r="GN236" i="1"/>
  <c r="GP236" i="1"/>
  <c r="GV236" i="1"/>
  <c r="HC236" i="1" s="1"/>
  <c r="GX236" i="1" s="1"/>
  <c r="I237" i="1"/>
  <c r="P237" i="1"/>
  <c r="AC237" i="1"/>
  <c r="CQ237" i="1" s="1"/>
  <c r="AD237" i="1"/>
  <c r="AE237" i="1"/>
  <c r="AF237" i="1"/>
  <c r="AG237" i="1"/>
  <c r="AH237" i="1"/>
  <c r="AI237" i="1"/>
  <c r="AJ237" i="1"/>
  <c r="CU237" i="1"/>
  <c r="T237" i="1" s="1"/>
  <c r="CV237" i="1"/>
  <c r="U237" i="1" s="1"/>
  <c r="CW237" i="1"/>
  <c r="V237" i="1" s="1"/>
  <c r="CX237" i="1"/>
  <c r="W237" i="1" s="1"/>
  <c r="GL237" i="1"/>
  <c r="GN237" i="1"/>
  <c r="GP237" i="1"/>
  <c r="GV237" i="1"/>
  <c r="HC237" i="1"/>
  <c r="GX237" i="1" s="1"/>
  <c r="I238" i="1"/>
  <c r="AC238" i="1"/>
  <c r="AE238" i="1"/>
  <c r="AD238" i="1" s="1"/>
  <c r="AB238" i="1" s="1"/>
  <c r="AF238" i="1"/>
  <c r="AG238" i="1"/>
  <c r="AH238" i="1"/>
  <c r="AI238" i="1"/>
  <c r="AJ238" i="1"/>
  <c r="CX238" i="1" s="1"/>
  <c r="CQ238" i="1"/>
  <c r="CR238" i="1"/>
  <c r="CS238" i="1"/>
  <c r="CT238" i="1"/>
  <c r="CU238" i="1"/>
  <c r="CV238" i="1"/>
  <c r="CW238" i="1"/>
  <c r="GL238" i="1"/>
  <c r="GN238" i="1"/>
  <c r="GP238" i="1"/>
  <c r="GV238" i="1"/>
  <c r="HC238" i="1" s="1"/>
  <c r="B240" i="1"/>
  <c r="B199" i="1" s="1"/>
  <c r="C240" i="1"/>
  <c r="D240" i="1"/>
  <c r="D199" i="1" s="1"/>
  <c r="F240" i="1"/>
  <c r="F199" i="1" s="1"/>
  <c r="G240" i="1"/>
  <c r="G199" i="1" s="1"/>
  <c r="BD240" i="1"/>
  <c r="BX240" i="1"/>
  <c r="BZ240" i="1"/>
  <c r="CK240" i="1"/>
  <c r="CL240" i="1"/>
  <c r="CM240" i="1"/>
  <c r="CM199" i="1" s="1"/>
  <c r="EG240" i="1"/>
  <c r="ET240" i="1"/>
  <c r="ET199" i="1" s="1"/>
  <c r="EU240" i="1"/>
  <c r="EU199" i="1" s="1"/>
  <c r="FP240" i="1"/>
  <c r="FP199" i="1" s="1"/>
  <c r="FV240" i="1"/>
  <c r="GC240" i="1"/>
  <c r="GC199" i="1" s="1"/>
  <c r="GD240" i="1"/>
  <c r="GD199" i="1" s="1"/>
  <c r="GE240" i="1"/>
  <c r="GE199" i="1" s="1"/>
  <c r="P253" i="1"/>
  <c r="D270" i="1"/>
  <c r="E272" i="1"/>
  <c r="Z272" i="1"/>
  <c r="AA272" i="1"/>
  <c r="AM272" i="1"/>
  <c r="AN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V272" i="1"/>
  <c r="BW272" i="1"/>
  <c r="CK272" i="1"/>
  <c r="CL272" i="1"/>
  <c r="CN272" i="1"/>
  <c r="CO272" i="1"/>
  <c r="CP272" i="1"/>
  <c r="CQ272" i="1"/>
  <c r="CR272" i="1"/>
  <c r="CS272" i="1"/>
  <c r="CT272" i="1"/>
  <c r="CU272" i="1"/>
  <c r="CV272" i="1"/>
  <c r="CW272" i="1"/>
  <c r="CX272" i="1"/>
  <c r="CY272" i="1"/>
  <c r="CZ272" i="1"/>
  <c r="DA272" i="1"/>
  <c r="DB272" i="1"/>
  <c r="DC272" i="1"/>
  <c r="DD272" i="1"/>
  <c r="DE272" i="1"/>
  <c r="DF272" i="1"/>
  <c r="DR272" i="1"/>
  <c r="DS272" i="1"/>
  <c r="EE272" i="1"/>
  <c r="EF272" i="1"/>
  <c r="EW272" i="1"/>
  <c r="EX272" i="1"/>
  <c r="EY272" i="1"/>
  <c r="EZ272" i="1"/>
  <c r="FA272" i="1"/>
  <c r="FB272" i="1"/>
  <c r="FC272" i="1"/>
  <c r="FD272" i="1"/>
  <c r="FE272" i="1"/>
  <c r="FF272" i="1"/>
  <c r="FG272" i="1"/>
  <c r="FH272" i="1"/>
  <c r="FI272" i="1"/>
  <c r="FJ272" i="1"/>
  <c r="FK272" i="1"/>
  <c r="FL272" i="1"/>
  <c r="FM272" i="1"/>
  <c r="FN272" i="1"/>
  <c r="FO272" i="1"/>
  <c r="FP272" i="1"/>
  <c r="GC272" i="1"/>
  <c r="GD272" i="1"/>
  <c r="GF272" i="1"/>
  <c r="GG272" i="1"/>
  <c r="GH272" i="1"/>
  <c r="GI272" i="1"/>
  <c r="GJ272" i="1"/>
  <c r="GK272" i="1"/>
  <c r="GL272" i="1"/>
  <c r="GM272" i="1"/>
  <c r="GN272" i="1"/>
  <c r="GO272" i="1"/>
  <c r="GP272" i="1"/>
  <c r="GQ272" i="1"/>
  <c r="GR272" i="1"/>
  <c r="GS272" i="1"/>
  <c r="GT272" i="1"/>
  <c r="GU272" i="1"/>
  <c r="GV272" i="1"/>
  <c r="GW272" i="1"/>
  <c r="GX272" i="1"/>
  <c r="R274" i="1"/>
  <c r="AC274" i="1"/>
  <c r="CQ274" i="1" s="1"/>
  <c r="AE274" i="1"/>
  <c r="CR274" i="1" s="1"/>
  <c r="AF274" i="1"/>
  <c r="S274" i="1" s="1"/>
  <c r="AG274" i="1"/>
  <c r="AH274" i="1"/>
  <c r="AI274" i="1"/>
  <c r="AJ274" i="1"/>
  <c r="CU274" i="1"/>
  <c r="T274" i="1" s="1"/>
  <c r="CV274" i="1"/>
  <c r="U274" i="1" s="1"/>
  <c r="CW274" i="1"/>
  <c r="V274" i="1" s="1"/>
  <c r="CX274" i="1"/>
  <c r="W274" i="1" s="1"/>
  <c r="GL274" i="1"/>
  <c r="GN274" i="1"/>
  <c r="GO274" i="1"/>
  <c r="CC281" i="1" s="1"/>
  <c r="GP274" i="1"/>
  <c r="CD281" i="1" s="1"/>
  <c r="GV274" i="1"/>
  <c r="HC274" i="1" s="1"/>
  <c r="GX274" i="1"/>
  <c r="P275" i="1"/>
  <c r="R275" i="1"/>
  <c r="W275" i="1"/>
  <c r="AC275" i="1"/>
  <c r="AD275" i="1"/>
  <c r="AE275" i="1"/>
  <c r="Q275" i="1" s="1"/>
  <c r="AF275" i="1"/>
  <c r="AG275" i="1"/>
  <c r="AH275" i="1"/>
  <c r="CV275" i="1" s="1"/>
  <c r="U275" i="1" s="1"/>
  <c r="AI275" i="1"/>
  <c r="AJ275" i="1"/>
  <c r="CX275" i="1" s="1"/>
  <c r="CQ275" i="1"/>
  <c r="CR275" i="1"/>
  <c r="CS275" i="1"/>
  <c r="CU275" i="1"/>
  <c r="T275" i="1" s="1"/>
  <c r="CW275" i="1"/>
  <c r="V275" i="1" s="1"/>
  <c r="FR275" i="1"/>
  <c r="GL275" i="1"/>
  <c r="FR281" i="1" s="1"/>
  <c r="GN275" i="1"/>
  <c r="FT281" i="1" s="1"/>
  <c r="GO275" i="1"/>
  <c r="GP275" i="1"/>
  <c r="GV275" i="1"/>
  <c r="HC275" i="1" s="1"/>
  <c r="GX275" i="1" s="1"/>
  <c r="R276" i="1"/>
  <c r="T276" i="1"/>
  <c r="U276" i="1"/>
  <c r="AC276" i="1"/>
  <c r="P276" i="1" s="1"/>
  <c r="AE276" i="1"/>
  <c r="CR276" i="1" s="1"/>
  <c r="AF276" i="1"/>
  <c r="CT276" i="1" s="1"/>
  <c r="AG276" i="1"/>
  <c r="CU276" i="1" s="1"/>
  <c r="AH276" i="1"/>
  <c r="CV276" i="1" s="1"/>
  <c r="AI276" i="1"/>
  <c r="AJ276" i="1"/>
  <c r="CQ276" i="1"/>
  <c r="CS276" i="1"/>
  <c r="CW276" i="1"/>
  <c r="V276" i="1" s="1"/>
  <c r="AI281" i="1" s="1"/>
  <c r="CX276" i="1"/>
  <c r="W276" i="1" s="1"/>
  <c r="FR276" i="1"/>
  <c r="GL276" i="1"/>
  <c r="GN276" i="1"/>
  <c r="GO276" i="1"/>
  <c r="GP276" i="1"/>
  <c r="GV276" i="1"/>
  <c r="HC276" i="1"/>
  <c r="GX276" i="1" s="1"/>
  <c r="P277" i="1"/>
  <c r="T277" i="1"/>
  <c r="V277" i="1"/>
  <c r="AC277" i="1"/>
  <c r="CQ277" i="1" s="1"/>
  <c r="AE277" i="1"/>
  <c r="CR277" i="1" s="1"/>
  <c r="AF277" i="1"/>
  <c r="AG277" i="1"/>
  <c r="AH277" i="1"/>
  <c r="CV277" i="1" s="1"/>
  <c r="U277" i="1" s="1"/>
  <c r="AI277" i="1"/>
  <c r="AJ277" i="1"/>
  <c r="CX277" i="1" s="1"/>
  <c r="W277" i="1" s="1"/>
  <c r="CU277" i="1"/>
  <c r="CW277" i="1"/>
  <c r="GL277" i="1"/>
  <c r="GN277" i="1"/>
  <c r="GO277" i="1"/>
  <c r="GP277" i="1"/>
  <c r="FV281" i="1" s="1"/>
  <c r="GV277" i="1"/>
  <c r="HC277" i="1"/>
  <c r="GX277" i="1" s="1"/>
  <c r="P278" i="1"/>
  <c r="R278" i="1"/>
  <c r="AE281" i="1" s="1"/>
  <c r="U278" i="1"/>
  <c r="V278" i="1"/>
  <c r="W278" i="1"/>
  <c r="AB278" i="1"/>
  <c r="AC278" i="1"/>
  <c r="AD278" i="1"/>
  <c r="AE278" i="1"/>
  <c r="Q278" i="1" s="1"/>
  <c r="AF278" i="1"/>
  <c r="AG278" i="1"/>
  <c r="AH278" i="1"/>
  <c r="AI278" i="1"/>
  <c r="AJ278" i="1"/>
  <c r="CX278" i="1" s="1"/>
  <c r="CQ278" i="1"/>
  <c r="CR278" i="1"/>
  <c r="CS278" i="1"/>
  <c r="CU278" i="1"/>
  <c r="T278" i="1" s="1"/>
  <c r="CV278" i="1"/>
  <c r="CW278" i="1"/>
  <c r="FR278" i="1"/>
  <c r="GL278" i="1"/>
  <c r="GN278" i="1"/>
  <c r="GO278" i="1"/>
  <c r="GP278" i="1"/>
  <c r="GV278" i="1"/>
  <c r="HC278" i="1" s="1"/>
  <c r="GX278" i="1" s="1"/>
  <c r="R279" i="1"/>
  <c r="S279" i="1"/>
  <c r="AC279" i="1"/>
  <c r="P279" i="1" s="1"/>
  <c r="AE279" i="1"/>
  <c r="CR279" i="1" s="1"/>
  <c r="AF279" i="1"/>
  <c r="CT279" i="1" s="1"/>
  <c r="AG279" i="1"/>
  <c r="CU279" i="1" s="1"/>
  <c r="T279" i="1" s="1"/>
  <c r="AH279" i="1"/>
  <c r="CV279" i="1" s="1"/>
  <c r="U279" i="1" s="1"/>
  <c r="DZ281" i="1" s="1"/>
  <c r="AI279" i="1"/>
  <c r="CW279" i="1" s="1"/>
  <c r="V279" i="1" s="1"/>
  <c r="AJ279" i="1"/>
  <c r="CX279" i="1" s="1"/>
  <c r="W279" i="1" s="1"/>
  <c r="CQ279" i="1"/>
  <c r="CS279" i="1"/>
  <c r="FR279" i="1"/>
  <c r="GL279" i="1"/>
  <c r="GN279" i="1"/>
  <c r="GO279" i="1"/>
  <c r="GP279" i="1"/>
  <c r="GV279" i="1"/>
  <c r="HC279" i="1"/>
  <c r="GX279" i="1" s="1"/>
  <c r="B281" i="1"/>
  <c r="B272" i="1" s="1"/>
  <c r="C281" i="1"/>
  <c r="C272" i="1" s="1"/>
  <c r="D281" i="1"/>
  <c r="D272" i="1" s="1"/>
  <c r="F281" i="1"/>
  <c r="F272" i="1" s="1"/>
  <c r="G281" i="1"/>
  <c r="G272" i="1" s="1"/>
  <c r="AH281" i="1"/>
  <c r="AJ281" i="1"/>
  <c r="BC281" i="1"/>
  <c r="BX281" i="1"/>
  <c r="AO281" i="1" s="1"/>
  <c r="CB281" i="1"/>
  <c r="CB272" i="1" s="1"/>
  <c r="CK281" i="1"/>
  <c r="BB281" i="1" s="1"/>
  <c r="BB272" i="1" s="1"/>
  <c r="CL281" i="1"/>
  <c r="CM281" i="1"/>
  <c r="EA281" i="1"/>
  <c r="ET281" i="1"/>
  <c r="ET272" i="1" s="1"/>
  <c r="EU281" i="1"/>
  <c r="FP281" i="1"/>
  <c r="EG281" i="1" s="1"/>
  <c r="EG272" i="1" s="1"/>
  <c r="FY281" i="1"/>
  <c r="GC281" i="1"/>
  <c r="GD281" i="1"/>
  <c r="GE281" i="1"/>
  <c r="GE272" i="1" s="1"/>
  <c r="P285" i="1"/>
  <c r="P294" i="1"/>
  <c r="D311" i="1"/>
  <c r="E313" i="1"/>
  <c r="Z313" i="1"/>
  <c r="AA313" i="1"/>
  <c r="AM313" i="1"/>
  <c r="AN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U313" i="1"/>
  <c r="BV313" i="1"/>
  <c r="BW313" i="1"/>
  <c r="CN313" i="1"/>
  <c r="CO313" i="1"/>
  <c r="CP313" i="1"/>
  <c r="CQ313" i="1"/>
  <c r="CR313" i="1"/>
  <c r="CS313" i="1"/>
  <c r="CT313" i="1"/>
  <c r="CU313" i="1"/>
  <c r="CV313" i="1"/>
  <c r="CW313" i="1"/>
  <c r="CX313" i="1"/>
  <c r="CY313" i="1"/>
  <c r="CZ313" i="1"/>
  <c r="DA313" i="1"/>
  <c r="DB313" i="1"/>
  <c r="DC313" i="1"/>
  <c r="DD313" i="1"/>
  <c r="DE313" i="1"/>
  <c r="DF313" i="1"/>
  <c r="DR313" i="1"/>
  <c r="DS313" i="1"/>
  <c r="EE313" i="1"/>
  <c r="EF313" i="1"/>
  <c r="EW313" i="1"/>
  <c r="EX313" i="1"/>
  <c r="EY313" i="1"/>
  <c r="EZ313" i="1"/>
  <c r="FA313" i="1"/>
  <c r="FB313" i="1"/>
  <c r="FC313" i="1"/>
  <c r="FD313" i="1"/>
  <c r="FE313" i="1"/>
  <c r="FF313" i="1"/>
  <c r="FG313" i="1"/>
  <c r="FH313" i="1"/>
  <c r="FI313" i="1"/>
  <c r="FJ313" i="1"/>
  <c r="FK313" i="1"/>
  <c r="FL313" i="1"/>
  <c r="FM313" i="1"/>
  <c r="FN313" i="1"/>
  <c r="FO313" i="1"/>
  <c r="GF313" i="1"/>
  <c r="GG313" i="1"/>
  <c r="GH313" i="1"/>
  <c r="GI313" i="1"/>
  <c r="GJ313" i="1"/>
  <c r="GK313" i="1"/>
  <c r="GL313" i="1"/>
  <c r="GM313" i="1"/>
  <c r="GN313" i="1"/>
  <c r="GO313" i="1"/>
  <c r="GP313" i="1"/>
  <c r="GQ313" i="1"/>
  <c r="GR313" i="1"/>
  <c r="GS313" i="1"/>
  <c r="GT313" i="1"/>
  <c r="GU313" i="1"/>
  <c r="GV313" i="1"/>
  <c r="GW313" i="1"/>
  <c r="GX313" i="1"/>
  <c r="C315" i="1"/>
  <c r="D315" i="1"/>
  <c r="R315" i="1"/>
  <c r="T315" i="1"/>
  <c r="V315" i="1"/>
  <c r="AC315" i="1"/>
  <c r="P315" i="1" s="1"/>
  <c r="AE315" i="1"/>
  <c r="CS315" i="1" s="1"/>
  <c r="AF315" i="1"/>
  <c r="CT315" i="1" s="1"/>
  <c r="AG315" i="1"/>
  <c r="AH315" i="1"/>
  <c r="CV315" i="1" s="1"/>
  <c r="U315" i="1" s="1"/>
  <c r="AI315" i="1"/>
  <c r="AJ315" i="1"/>
  <c r="CX315" i="1" s="1"/>
  <c r="W315" i="1" s="1"/>
  <c r="CQ315" i="1"/>
  <c r="CR315" i="1"/>
  <c r="CU315" i="1"/>
  <c r="CW315" i="1"/>
  <c r="GL315" i="1"/>
  <c r="GN315" i="1"/>
  <c r="GP315" i="1"/>
  <c r="GV315" i="1"/>
  <c r="HC315" i="1"/>
  <c r="GX315" i="1" s="1"/>
  <c r="C316" i="1"/>
  <c r="D316" i="1"/>
  <c r="Q316" i="1"/>
  <c r="T316" i="1"/>
  <c r="AC316" i="1"/>
  <c r="CQ316" i="1" s="1"/>
  <c r="AE316" i="1"/>
  <c r="AF316" i="1"/>
  <c r="AG316" i="1"/>
  <c r="CU316" i="1" s="1"/>
  <c r="AH316" i="1"/>
  <c r="AI316" i="1"/>
  <c r="AJ316" i="1"/>
  <c r="CV316" i="1"/>
  <c r="U316" i="1" s="1"/>
  <c r="CW316" i="1"/>
  <c r="V316" i="1" s="1"/>
  <c r="CX316" i="1"/>
  <c r="W316" i="1" s="1"/>
  <c r="GL316" i="1"/>
  <c r="GN316" i="1"/>
  <c r="GP316" i="1"/>
  <c r="GV316" i="1"/>
  <c r="HC316" i="1"/>
  <c r="GX316" i="1" s="1"/>
  <c r="S317" i="1"/>
  <c r="AC317" i="1"/>
  <c r="AE317" i="1"/>
  <c r="AF317" i="1"/>
  <c r="AG317" i="1"/>
  <c r="AH317" i="1"/>
  <c r="AI317" i="1"/>
  <c r="CW317" i="1" s="1"/>
  <c r="V317" i="1" s="1"/>
  <c r="AJ317" i="1"/>
  <c r="CX317" i="1" s="1"/>
  <c r="W317" i="1" s="1"/>
  <c r="CT317" i="1"/>
  <c r="CU317" i="1"/>
  <c r="T317" i="1" s="1"/>
  <c r="CV317" i="1"/>
  <c r="U317" i="1" s="1"/>
  <c r="GL317" i="1"/>
  <c r="GN317" i="1"/>
  <c r="GO317" i="1"/>
  <c r="GP317" i="1"/>
  <c r="GV317" i="1"/>
  <c r="HC317" i="1" s="1"/>
  <c r="GX317" i="1"/>
  <c r="P318" i="1"/>
  <c r="R318" i="1"/>
  <c r="T318" i="1"/>
  <c r="V318" i="1"/>
  <c r="W318" i="1"/>
  <c r="AC318" i="1"/>
  <c r="AE318" i="1"/>
  <c r="CS318" i="1" s="1"/>
  <c r="AF318" i="1"/>
  <c r="CT318" i="1" s="1"/>
  <c r="AG318" i="1"/>
  <c r="AH318" i="1"/>
  <c r="CV318" i="1" s="1"/>
  <c r="U318" i="1" s="1"/>
  <c r="AI318" i="1"/>
  <c r="AJ318" i="1"/>
  <c r="CX318" i="1" s="1"/>
  <c r="CQ318" i="1"/>
  <c r="CR318" i="1"/>
  <c r="CU318" i="1"/>
  <c r="CW318" i="1"/>
  <c r="FR318" i="1"/>
  <c r="GL318" i="1"/>
  <c r="FR334" i="1" s="1"/>
  <c r="GN318" i="1"/>
  <c r="GO318" i="1"/>
  <c r="GP318" i="1"/>
  <c r="GV318" i="1"/>
  <c r="HC318" i="1"/>
  <c r="GX318" i="1" s="1"/>
  <c r="C319" i="1"/>
  <c r="D319" i="1"/>
  <c r="P319" i="1"/>
  <c r="S319" i="1"/>
  <c r="AC319" i="1"/>
  <c r="AE319" i="1"/>
  <c r="AF319" i="1"/>
  <c r="CT319" i="1" s="1"/>
  <c r="AG319" i="1"/>
  <c r="AH319" i="1"/>
  <c r="AI319" i="1"/>
  <c r="AJ319" i="1"/>
  <c r="CQ319" i="1"/>
  <c r="CU319" i="1"/>
  <c r="T319" i="1" s="1"/>
  <c r="CV319" i="1"/>
  <c r="U319" i="1" s="1"/>
  <c r="CW319" i="1"/>
  <c r="V319" i="1" s="1"/>
  <c r="CX319" i="1"/>
  <c r="W319" i="1" s="1"/>
  <c r="GL319" i="1"/>
  <c r="GN319" i="1"/>
  <c r="GP319" i="1"/>
  <c r="GV319" i="1"/>
  <c r="HC319" i="1"/>
  <c r="GX319" i="1" s="1"/>
  <c r="C320" i="1"/>
  <c r="D320" i="1"/>
  <c r="P320" i="1"/>
  <c r="S320" i="1"/>
  <c r="X320" i="1" s="1"/>
  <c r="U320" i="1"/>
  <c r="W320" i="1"/>
  <c r="Y320" i="1"/>
  <c r="AC320" i="1"/>
  <c r="AE320" i="1"/>
  <c r="AD320" i="1" s="1"/>
  <c r="AB320" i="1" s="1"/>
  <c r="AF320" i="1"/>
  <c r="CT320" i="1" s="1"/>
  <c r="AG320" i="1"/>
  <c r="CU320" i="1" s="1"/>
  <c r="T320" i="1" s="1"/>
  <c r="AH320" i="1"/>
  <c r="AI320" i="1"/>
  <c r="CW320" i="1" s="1"/>
  <c r="V320" i="1" s="1"/>
  <c r="AJ320" i="1"/>
  <c r="CQ320" i="1"/>
  <c r="CR320" i="1"/>
  <c r="CS320" i="1"/>
  <c r="CV320" i="1"/>
  <c r="CX320" i="1"/>
  <c r="GL320" i="1"/>
  <c r="GN320" i="1"/>
  <c r="GP320" i="1"/>
  <c r="GV320" i="1"/>
  <c r="HC320" i="1"/>
  <c r="GX320" i="1" s="1"/>
  <c r="I321" i="1"/>
  <c r="R321" i="1" s="1"/>
  <c r="S321" i="1"/>
  <c r="AC321" i="1"/>
  <c r="AE321" i="1"/>
  <c r="CR321" i="1" s="1"/>
  <c r="AF321" i="1"/>
  <c r="AG321" i="1"/>
  <c r="CU321" i="1" s="1"/>
  <c r="T321" i="1" s="1"/>
  <c r="AH321" i="1"/>
  <c r="CV321" i="1" s="1"/>
  <c r="U321" i="1" s="1"/>
  <c r="AI321" i="1"/>
  <c r="CW321" i="1" s="1"/>
  <c r="V321" i="1" s="1"/>
  <c r="AJ321" i="1"/>
  <c r="CT321" i="1"/>
  <c r="CX321" i="1"/>
  <c r="W321" i="1" s="1"/>
  <c r="GL321" i="1"/>
  <c r="GN321" i="1"/>
  <c r="GO321" i="1"/>
  <c r="GP321" i="1"/>
  <c r="GV321" i="1"/>
  <c r="GX321" i="1"/>
  <c r="HC321" i="1"/>
  <c r="I322" i="1"/>
  <c r="AC322" i="1"/>
  <c r="CQ322" i="1" s="1"/>
  <c r="AE322" i="1"/>
  <c r="CR322" i="1" s="1"/>
  <c r="AF322" i="1"/>
  <c r="AG322" i="1"/>
  <c r="AH322" i="1"/>
  <c r="AI322" i="1"/>
  <c r="CW322" i="1" s="1"/>
  <c r="V322" i="1" s="1"/>
  <c r="AJ322" i="1"/>
  <c r="CX322" i="1" s="1"/>
  <c r="W322" i="1" s="1"/>
  <c r="CT322" i="1"/>
  <c r="CU322" i="1"/>
  <c r="CV322" i="1"/>
  <c r="GL322" i="1"/>
  <c r="GN322" i="1"/>
  <c r="GO322" i="1"/>
  <c r="GP322" i="1"/>
  <c r="GV322" i="1"/>
  <c r="HC322" i="1" s="1"/>
  <c r="GX322" i="1" s="1"/>
  <c r="C323" i="1"/>
  <c r="D323" i="1"/>
  <c r="I323" i="1"/>
  <c r="CU187" i="3" s="1"/>
  <c r="K323" i="1"/>
  <c r="P323" i="1"/>
  <c r="R323" i="1"/>
  <c r="T323" i="1"/>
  <c r="U323" i="1"/>
  <c r="AB323" i="1"/>
  <c r="AC323" i="1"/>
  <c r="AD323" i="1"/>
  <c r="AE323" i="1"/>
  <c r="AF323" i="1"/>
  <c r="CT323" i="1" s="1"/>
  <c r="AG323" i="1"/>
  <c r="CU323" i="1" s="1"/>
  <c r="AH323" i="1"/>
  <c r="CV323" i="1" s="1"/>
  <c r="AI323" i="1"/>
  <c r="AJ323" i="1"/>
  <c r="CQ323" i="1"/>
  <c r="CR323" i="1"/>
  <c r="CS323" i="1"/>
  <c r="CW323" i="1"/>
  <c r="V323" i="1" s="1"/>
  <c r="CX323" i="1"/>
  <c r="W323" i="1" s="1"/>
  <c r="GL323" i="1"/>
  <c r="GN323" i="1"/>
  <c r="GP323" i="1"/>
  <c r="GV323" i="1"/>
  <c r="GX323" i="1"/>
  <c r="HC323" i="1"/>
  <c r="C324" i="1"/>
  <c r="D324" i="1"/>
  <c r="I324" i="1"/>
  <c r="K324" i="1"/>
  <c r="AC324" i="1"/>
  <c r="AE324" i="1"/>
  <c r="AD324" i="1" s="1"/>
  <c r="AB324" i="1" s="1"/>
  <c r="AF324" i="1"/>
  <c r="CT324" i="1" s="1"/>
  <c r="AG324" i="1"/>
  <c r="CU324" i="1" s="1"/>
  <c r="AH324" i="1"/>
  <c r="AI324" i="1"/>
  <c r="CW324" i="1" s="1"/>
  <c r="AJ324" i="1"/>
  <c r="CQ324" i="1"/>
  <c r="CR324" i="1"/>
  <c r="CS324" i="1"/>
  <c r="CV324" i="1"/>
  <c r="CX324" i="1"/>
  <c r="GL324" i="1"/>
  <c r="GN324" i="1"/>
  <c r="GP324" i="1"/>
  <c r="FV334" i="1" s="1"/>
  <c r="FV313" i="1" s="1"/>
  <c r="GV324" i="1"/>
  <c r="HC324" i="1"/>
  <c r="I325" i="1"/>
  <c r="R325" i="1" s="1"/>
  <c r="S325" i="1"/>
  <c r="AC325" i="1"/>
  <c r="AE325" i="1"/>
  <c r="CR325" i="1" s="1"/>
  <c r="AF325" i="1"/>
  <c r="AG325" i="1"/>
  <c r="CU325" i="1" s="1"/>
  <c r="T325" i="1" s="1"/>
  <c r="AH325" i="1"/>
  <c r="CV325" i="1" s="1"/>
  <c r="U325" i="1" s="1"/>
  <c r="AI325" i="1"/>
  <c r="CW325" i="1" s="1"/>
  <c r="V325" i="1" s="1"/>
  <c r="AJ325" i="1"/>
  <c r="CX325" i="1" s="1"/>
  <c r="W325" i="1" s="1"/>
  <c r="CT325" i="1"/>
  <c r="CY325" i="1"/>
  <c r="CZ325" i="1"/>
  <c r="GL325" i="1"/>
  <c r="GN325" i="1"/>
  <c r="GO325" i="1"/>
  <c r="GP325" i="1"/>
  <c r="CD334" i="1" s="1"/>
  <c r="CD313" i="1" s="1"/>
  <c r="GV325" i="1"/>
  <c r="GX325" i="1"/>
  <c r="HC325" i="1"/>
  <c r="AC326" i="1"/>
  <c r="CQ326" i="1" s="1"/>
  <c r="AE326" i="1"/>
  <c r="AF326" i="1"/>
  <c r="AG326" i="1"/>
  <c r="AH326" i="1"/>
  <c r="AI326" i="1"/>
  <c r="CW326" i="1" s="1"/>
  <c r="AJ326" i="1"/>
  <c r="CX326" i="1" s="1"/>
  <c r="CT326" i="1"/>
  <c r="CU326" i="1"/>
  <c r="CV326" i="1"/>
  <c r="GL326" i="1"/>
  <c r="GN326" i="1"/>
  <c r="GO326" i="1"/>
  <c r="GP326" i="1"/>
  <c r="GV326" i="1"/>
  <c r="HC326" i="1" s="1"/>
  <c r="AC327" i="1"/>
  <c r="AE327" i="1"/>
  <c r="AF327" i="1"/>
  <c r="AG327" i="1"/>
  <c r="AH327" i="1"/>
  <c r="AI327" i="1"/>
  <c r="CW327" i="1" s="1"/>
  <c r="AJ327" i="1"/>
  <c r="CX327" i="1" s="1"/>
  <c r="CQ327" i="1"/>
  <c r="CT327" i="1"/>
  <c r="CU327" i="1"/>
  <c r="CV327" i="1"/>
  <c r="GL327" i="1"/>
  <c r="BZ334" i="1" s="1"/>
  <c r="GN327" i="1"/>
  <c r="GO327" i="1"/>
  <c r="GP327" i="1"/>
  <c r="GV327" i="1"/>
  <c r="HC327" i="1" s="1"/>
  <c r="AC328" i="1"/>
  <c r="AD328" i="1"/>
  <c r="AB328" i="1" s="1"/>
  <c r="AE328" i="1"/>
  <c r="AF328" i="1"/>
  <c r="AG328" i="1"/>
  <c r="CU328" i="1" s="1"/>
  <c r="AH328" i="1"/>
  <c r="AI328" i="1"/>
  <c r="AJ328" i="1"/>
  <c r="CQ328" i="1"/>
  <c r="CV328" i="1"/>
  <c r="CW328" i="1"/>
  <c r="CX328" i="1"/>
  <c r="GL328" i="1"/>
  <c r="GN328" i="1"/>
  <c r="GO328" i="1"/>
  <c r="GP328" i="1"/>
  <c r="GV328" i="1"/>
  <c r="HC328" i="1"/>
  <c r="C329" i="1"/>
  <c r="D329" i="1"/>
  <c r="P329" i="1"/>
  <c r="R329" i="1"/>
  <c r="T329" i="1"/>
  <c r="V329" i="1"/>
  <c r="W329" i="1"/>
  <c r="AC329" i="1"/>
  <c r="AE329" i="1"/>
  <c r="CS329" i="1" s="1"/>
  <c r="AF329" i="1"/>
  <c r="AG329" i="1"/>
  <c r="AH329" i="1"/>
  <c r="AI329" i="1"/>
  <c r="AJ329" i="1"/>
  <c r="CX329" i="1" s="1"/>
  <c r="CQ329" i="1"/>
  <c r="CR329" i="1"/>
  <c r="CU329" i="1"/>
  <c r="CV329" i="1"/>
  <c r="U329" i="1" s="1"/>
  <c r="CW329" i="1"/>
  <c r="GL329" i="1"/>
  <c r="GN329" i="1"/>
  <c r="GP329" i="1"/>
  <c r="GV329" i="1"/>
  <c r="HC329" i="1"/>
  <c r="GX329" i="1" s="1"/>
  <c r="C330" i="1"/>
  <c r="D330" i="1"/>
  <c r="AC330" i="1"/>
  <c r="AE330" i="1"/>
  <c r="AF330" i="1"/>
  <c r="CT330" i="1" s="1"/>
  <c r="AG330" i="1"/>
  <c r="CU330" i="1" s="1"/>
  <c r="T330" i="1" s="1"/>
  <c r="AH330" i="1"/>
  <c r="CV330" i="1" s="1"/>
  <c r="U330" i="1" s="1"/>
  <c r="AI330" i="1"/>
  <c r="AJ330" i="1"/>
  <c r="CQ330" i="1"/>
  <c r="CW330" i="1"/>
  <c r="V330" i="1" s="1"/>
  <c r="CX330" i="1"/>
  <c r="W330" i="1" s="1"/>
  <c r="GL330" i="1"/>
  <c r="GN330" i="1"/>
  <c r="GP330" i="1"/>
  <c r="GV330" i="1"/>
  <c r="HC330" i="1"/>
  <c r="GX330" i="1" s="1"/>
  <c r="I331" i="1"/>
  <c r="AC331" i="1"/>
  <c r="CQ331" i="1" s="1"/>
  <c r="AD331" i="1"/>
  <c r="AE331" i="1"/>
  <c r="AF331" i="1"/>
  <c r="AG331" i="1"/>
  <c r="AH331" i="1"/>
  <c r="CV331" i="1" s="1"/>
  <c r="U331" i="1" s="1"/>
  <c r="AI331" i="1"/>
  <c r="CW331" i="1" s="1"/>
  <c r="V331" i="1" s="1"/>
  <c r="AJ331" i="1"/>
  <c r="CR331" i="1"/>
  <c r="CS331" i="1"/>
  <c r="CT331" i="1"/>
  <c r="CU331" i="1"/>
  <c r="T331" i="1" s="1"/>
  <c r="CX331" i="1"/>
  <c r="GL331" i="1"/>
  <c r="GN331" i="1"/>
  <c r="GO331" i="1"/>
  <c r="GP331" i="1"/>
  <c r="GV331" i="1"/>
  <c r="HC331" i="1" s="1"/>
  <c r="GX331" i="1" s="1"/>
  <c r="I332" i="1"/>
  <c r="Q332" i="1" s="1"/>
  <c r="P332" i="1"/>
  <c r="R332" i="1"/>
  <c r="V332" i="1"/>
  <c r="W332" i="1"/>
  <c r="AC332" i="1"/>
  <c r="CQ332" i="1" s="1"/>
  <c r="AD332" i="1"/>
  <c r="AE332" i="1"/>
  <c r="AF332" i="1"/>
  <c r="S332" i="1" s="1"/>
  <c r="AG332" i="1"/>
  <c r="AH332" i="1"/>
  <c r="CV332" i="1" s="1"/>
  <c r="U332" i="1" s="1"/>
  <c r="AI332" i="1"/>
  <c r="CW332" i="1" s="1"/>
  <c r="AJ332" i="1"/>
  <c r="CX332" i="1" s="1"/>
  <c r="CR332" i="1"/>
  <c r="CS332" i="1"/>
  <c r="CT332" i="1"/>
  <c r="CU332" i="1"/>
  <c r="T332" i="1" s="1"/>
  <c r="CY332" i="1"/>
  <c r="FR332" i="1"/>
  <c r="GL332" i="1"/>
  <c r="GN332" i="1"/>
  <c r="GO332" i="1"/>
  <c r="GP332" i="1"/>
  <c r="GV332" i="1"/>
  <c r="HC332" i="1" s="1"/>
  <c r="GX332" i="1" s="1"/>
  <c r="B334" i="1"/>
  <c r="B313" i="1" s="1"/>
  <c r="C334" i="1"/>
  <c r="C313" i="1" s="1"/>
  <c r="D334" i="1"/>
  <c r="D313" i="1" s="1"/>
  <c r="F334" i="1"/>
  <c r="F313" i="1" s="1"/>
  <c r="G334" i="1"/>
  <c r="G313" i="1" s="1"/>
  <c r="AO334" i="1"/>
  <c r="AO313" i="1" s="1"/>
  <c r="BB334" i="1"/>
  <c r="BB313" i="1" s="1"/>
  <c r="BD334" i="1"/>
  <c r="BD313" i="1" s="1"/>
  <c r="BX334" i="1"/>
  <c r="BX313" i="1" s="1"/>
  <c r="CK334" i="1"/>
  <c r="CK313" i="1" s="1"/>
  <c r="CL334" i="1"/>
  <c r="CM334" i="1"/>
  <c r="CM313" i="1" s="1"/>
  <c r="EG334" i="1"/>
  <c r="FP334" i="1"/>
  <c r="GC334" i="1"/>
  <c r="GD334" i="1"/>
  <c r="GE334" i="1"/>
  <c r="F347" i="1"/>
  <c r="F359" i="1"/>
  <c r="D364" i="1"/>
  <c r="E366" i="1"/>
  <c r="Z366" i="1"/>
  <c r="AA366" i="1"/>
  <c r="AM366" i="1"/>
  <c r="AN366" i="1"/>
  <c r="BE366" i="1"/>
  <c r="BF366" i="1"/>
  <c r="BG366" i="1"/>
  <c r="BH366" i="1"/>
  <c r="BI366" i="1"/>
  <c r="BJ366" i="1"/>
  <c r="BK366" i="1"/>
  <c r="BL366" i="1"/>
  <c r="BM366" i="1"/>
  <c r="BN366" i="1"/>
  <c r="BO366" i="1"/>
  <c r="BP366" i="1"/>
  <c r="BQ366" i="1"/>
  <c r="BR366" i="1"/>
  <c r="BS366" i="1"/>
  <c r="BT366" i="1"/>
  <c r="BU366" i="1"/>
  <c r="BV366" i="1"/>
  <c r="BW366" i="1"/>
  <c r="CK366" i="1"/>
  <c r="CN366" i="1"/>
  <c r="CO366" i="1"/>
  <c r="CP366" i="1"/>
  <c r="CQ366" i="1"/>
  <c r="CR366" i="1"/>
  <c r="CS366" i="1"/>
  <c r="CT366" i="1"/>
  <c r="CU366" i="1"/>
  <c r="CV366" i="1"/>
  <c r="CW366" i="1"/>
  <c r="CX366" i="1"/>
  <c r="CY366" i="1"/>
  <c r="CZ366" i="1"/>
  <c r="DA366" i="1"/>
  <c r="DB366" i="1"/>
  <c r="DC366" i="1"/>
  <c r="DD366" i="1"/>
  <c r="DE366" i="1"/>
  <c r="DF366" i="1"/>
  <c r="DR366" i="1"/>
  <c r="DS366" i="1"/>
  <c r="EE366" i="1"/>
  <c r="EF366" i="1"/>
  <c r="EW366" i="1"/>
  <c r="EX366" i="1"/>
  <c r="EY366" i="1"/>
  <c r="EZ366" i="1"/>
  <c r="FA366" i="1"/>
  <c r="FB366" i="1"/>
  <c r="FC366" i="1"/>
  <c r="FD366" i="1"/>
  <c r="FE366" i="1"/>
  <c r="FF366" i="1"/>
  <c r="FG366" i="1"/>
  <c r="FH366" i="1"/>
  <c r="FI366" i="1"/>
  <c r="FJ366" i="1"/>
  <c r="FK366" i="1"/>
  <c r="FL366" i="1"/>
  <c r="FM366" i="1"/>
  <c r="FN366" i="1"/>
  <c r="FO366" i="1"/>
  <c r="GF366" i="1"/>
  <c r="GG366" i="1"/>
  <c r="GH366" i="1"/>
  <c r="GI366" i="1"/>
  <c r="GJ366" i="1"/>
  <c r="GK366" i="1"/>
  <c r="GL366" i="1"/>
  <c r="GM366" i="1"/>
  <c r="GN366" i="1"/>
  <c r="GO366" i="1"/>
  <c r="GP366" i="1"/>
  <c r="GQ366" i="1"/>
  <c r="GR366" i="1"/>
  <c r="GS366" i="1"/>
  <c r="GT366" i="1"/>
  <c r="GU366" i="1"/>
  <c r="GV366" i="1"/>
  <c r="GW366" i="1"/>
  <c r="GX366" i="1"/>
  <c r="C368" i="1"/>
  <c r="D368" i="1"/>
  <c r="P368" i="1"/>
  <c r="R368" i="1"/>
  <c r="T368" i="1"/>
  <c r="V368" i="1"/>
  <c r="AC368" i="1"/>
  <c r="AD368" i="1"/>
  <c r="AE368" i="1"/>
  <c r="Q368" i="1" s="1"/>
  <c r="AF368" i="1"/>
  <c r="S368" i="1" s="1"/>
  <c r="AG368" i="1"/>
  <c r="AH368" i="1"/>
  <c r="CV368" i="1" s="1"/>
  <c r="U368" i="1" s="1"/>
  <c r="AI368" i="1"/>
  <c r="CW368" i="1" s="1"/>
  <c r="AJ368" i="1"/>
  <c r="CX368" i="1" s="1"/>
  <c r="W368" i="1" s="1"/>
  <c r="CP368" i="1"/>
  <c r="O368" i="1" s="1"/>
  <c r="CR368" i="1"/>
  <c r="CS368" i="1"/>
  <c r="CT368" i="1"/>
  <c r="CU368" i="1"/>
  <c r="CZ368" i="1"/>
  <c r="GL368" i="1"/>
  <c r="GN368" i="1"/>
  <c r="GP368" i="1"/>
  <c r="GV368" i="1"/>
  <c r="HC368" i="1" s="1"/>
  <c r="GX368" i="1" s="1"/>
  <c r="C369" i="1"/>
  <c r="D369" i="1"/>
  <c r="W369" i="1"/>
  <c r="AC369" i="1"/>
  <c r="AD369" i="1"/>
  <c r="AE369" i="1"/>
  <c r="AF369" i="1"/>
  <c r="S369" i="1" s="1"/>
  <c r="AG369" i="1"/>
  <c r="AH369" i="1"/>
  <c r="AI369" i="1"/>
  <c r="AJ369" i="1"/>
  <c r="CX369" i="1" s="1"/>
  <c r="CT369" i="1"/>
  <c r="CU369" i="1"/>
  <c r="T369" i="1" s="1"/>
  <c r="CV369" i="1"/>
  <c r="U369" i="1" s="1"/>
  <c r="CW369" i="1"/>
  <c r="V369" i="1" s="1"/>
  <c r="CZ369" i="1"/>
  <c r="GL369" i="1"/>
  <c r="GN369" i="1"/>
  <c r="GP369" i="1"/>
  <c r="GV369" i="1"/>
  <c r="HC369" i="1"/>
  <c r="GX369" i="1" s="1"/>
  <c r="I370" i="1"/>
  <c r="P370" i="1" s="1"/>
  <c r="R370" i="1"/>
  <c r="W370" i="1"/>
  <c r="AB370" i="1"/>
  <c r="AC370" i="1"/>
  <c r="AE370" i="1"/>
  <c r="AD370" i="1" s="1"/>
  <c r="AF370" i="1"/>
  <c r="CT370" i="1" s="1"/>
  <c r="AG370" i="1"/>
  <c r="CU370" i="1" s="1"/>
  <c r="T370" i="1" s="1"/>
  <c r="AH370" i="1"/>
  <c r="AI370" i="1"/>
  <c r="AJ370" i="1"/>
  <c r="CQ370" i="1"/>
  <c r="CR370" i="1"/>
  <c r="CS370" i="1"/>
  <c r="CV370" i="1"/>
  <c r="U370" i="1" s="1"/>
  <c r="CW370" i="1"/>
  <c r="CX370" i="1"/>
  <c r="GL370" i="1"/>
  <c r="GN370" i="1"/>
  <c r="GP370" i="1"/>
  <c r="GV370" i="1"/>
  <c r="HC370" i="1"/>
  <c r="GX370" i="1" s="1"/>
  <c r="I371" i="1"/>
  <c r="S371" i="1" s="1"/>
  <c r="AC371" i="1"/>
  <c r="AE371" i="1"/>
  <c r="AD371" i="1" s="1"/>
  <c r="AB371" i="1" s="1"/>
  <c r="AF371" i="1"/>
  <c r="AG371" i="1"/>
  <c r="CU371" i="1" s="1"/>
  <c r="T371" i="1" s="1"/>
  <c r="AH371" i="1"/>
  <c r="CV371" i="1" s="1"/>
  <c r="U371" i="1" s="1"/>
  <c r="AI371" i="1"/>
  <c r="CW371" i="1" s="1"/>
  <c r="V371" i="1" s="1"/>
  <c r="AJ371" i="1"/>
  <c r="CX371" i="1" s="1"/>
  <c r="W371" i="1" s="1"/>
  <c r="CR371" i="1"/>
  <c r="CS371" i="1"/>
  <c r="CT371" i="1"/>
  <c r="GL371" i="1"/>
  <c r="GN371" i="1"/>
  <c r="GP371" i="1"/>
  <c r="GV371" i="1"/>
  <c r="HC371" i="1" s="1"/>
  <c r="P372" i="1"/>
  <c r="V372" i="1"/>
  <c r="W372" i="1"/>
  <c r="AC372" i="1"/>
  <c r="AE372" i="1"/>
  <c r="AF372" i="1"/>
  <c r="AG372" i="1"/>
  <c r="AH372" i="1"/>
  <c r="AI372" i="1"/>
  <c r="AJ372" i="1"/>
  <c r="CQ372" i="1"/>
  <c r="CU372" i="1"/>
  <c r="T372" i="1" s="1"/>
  <c r="CV372" i="1"/>
  <c r="U372" i="1" s="1"/>
  <c r="CW372" i="1"/>
  <c r="CX372" i="1"/>
  <c r="FR372" i="1"/>
  <c r="GL372" i="1"/>
  <c r="GN372" i="1"/>
  <c r="GO372" i="1"/>
  <c r="GP372" i="1"/>
  <c r="GV372" i="1"/>
  <c r="GX372" i="1"/>
  <c r="HC372" i="1"/>
  <c r="R373" i="1"/>
  <c r="T373" i="1"/>
  <c r="V373" i="1"/>
  <c r="AC373" i="1"/>
  <c r="P373" i="1" s="1"/>
  <c r="AE373" i="1"/>
  <c r="AD373" i="1" s="1"/>
  <c r="AF373" i="1"/>
  <c r="S373" i="1" s="1"/>
  <c r="AG373" i="1"/>
  <c r="CU373" i="1" s="1"/>
  <c r="AH373" i="1"/>
  <c r="CV373" i="1" s="1"/>
  <c r="U373" i="1" s="1"/>
  <c r="AI373" i="1"/>
  <c r="AJ373" i="1"/>
  <c r="CX373" i="1" s="1"/>
  <c r="W373" i="1" s="1"/>
  <c r="CQ373" i="1"/>
  <c r="CR373" i="1"/>
  <c r="CS373" i="1"/>
  <c r="CT373" i="1"/>
  <c r="CW373" i="1"/>
  <c r="FR373" i="1"/>
  <c r="GL373" i="1"/>
  <c r="GN373" i="1"/>
  <c r="GO373" i="1"/>
  <c r="GP373" i="1"/>
  <c r="GV373" i="1"/>
  <c r="HC373" i="1"/>
  <c r="GX373" i="1" s="1"/>
  <c r="C374" i="1"/>
  <c r="D374" i="1"/>
  <c r="I374" i="1"/>
  <c r="K374" i="1"/>
  <c r="P374" i="1"/>
  <c r="CP374" i="1" s="1"/>
  <c r="O374" i="1" s="1"/>
  <c r="Q374" i="1"/>
  <c r="S374" i="1"/>
  <c r="V374" i="1"/>
  <c r="W374" i="1"/>
  <c r="X374" i="1"/>
  <c r="AC374" i="1"/>
  <c r="AE374" i="1"/>
  <c r="CR374" i="1" s="1"/>
  <c r="AF374" i="1"/>
  <c r="CT374" i="1" s="1"/>
  <c r="AG374" i="1"/>
  <c r="CU374" i="1" s="1"/>
  <c r="T374" i="1" s="1"/>
  <c r="AH374" i="1"/>
  <c r="AI374" i="1"/>
  <c r="AJ374" i="1"/>
  <c r="CX374" i="1" s="1"/>
  <c r="CQ374" i="1"/>
  <c r="CS374" i="1"/>
  <c r="CV374" i="1"/>
  <c r="U374" i="1" s="1"/>
  <c r="CW374" i="1"/>
  <c r="GL374" i="1"/>
  <c r="GN374" i="1"/>
  <c r="GP374" i="1"/>
  <c r="GV374" i="1"/>
  <c r="HC374" i="1"/>
  <c r="GX374" i="1" s="1"/>
  <c r="C375" i="1"/>
  <c r="D375" i="1"/>
  <c r="I375" i="1"/>
  <c r="K375" i="1"/>
  <c r="S375" i="1"/>
  <c r="X375" i="1"/>
  <c r="AC375" i="1"/>
  <c r="AE375" i="1"/>
  <c r="AF375" i="1"/>
  <c r="AG375" i="1"/>
  <c r="AH375" i="1"/>
  <c r="AI375" i="1"/>
  <c r="CW375" i="1" s="1"/>
  <c r="V375" i="1" s="1"/>
  <c r="AJ375" i="1"/>
  <c r="CX375" i="1" s="1"/>
  <c r="W375" i="1" s="1"/>
  <c r="CT375" i="1"/>
  <c r="CU375" i="1"/>
  <c r="T375" i="1" s="1"/>
  <c r="CV375" i="1"/>
  <c r="U375" i="1" s="1"/>
  <c r="CZ375" i="1"/>
  <c r="GL375" i="1"/>
  <c r="GN375" i="1"/>
  <c r="GP375" i="1"/>
  <c r="GV375" i="1"/>
  <c r="HC375" i="1"/>
  <c r="GX375" i="1" s="1"/>
  <c r="I376" i="1"/>
  <c r="Q376" i="1"/>
  <c r="R376" i="1"/>
  <c r="S376" i="1"/>
  <c r="W376" i="1"/>
  <c r="AC376" i="1"/>
  <c r="AE376" i="1"/>
  <c r="AF376" i="1"/>
  <c r="CT376" i="1" s="1"/>
  <c r="AG376" i="1"/>
  <c r="CU376" i="1" s="1"/>
  <c r="T376" i="1" s="1"/>
  <c r="AH376" i="1"/>
  <c r="CV376" i="1" s="1"/>
  <c r="U376" i="1" s="1"/>
  <c r="AI376" i="1"/>
  <c r="AJ376" i="1"/>
  <c r="CR376" i="1"/>
  <c r="CW376" i="1"/>
  <c r="V376" i="1" s="1"/>
  <c r="CX376" i="1"/>
  <c r="GL376" i="1"/>
  <c r="GN376" i="1"/>
  <c r="GO376" i="1"/>
  <c r="GP376" i="1"/>
  <c r="GV376" i="1"/>
  <c r="HC376" i="1"/>
  <c r="GX376" i="1" s="1"/>
  <c r="I377" i="1"/>
  <c r="Q377" i="1" s="1"/>
  <c r="AB377" i="1"/>
  <c r="AC377" i="1"/>
  <c r="AE377" i="1"/>
  <c r="AD377" i="1" s="1"/>
  <c r="AF377" i="1"/>
  <c r="AG377" i="1"/>
  <c r="CU377" i="1" s="1"/>
  <c r="T377" i="1" s="1"/>
  <c r="AH377" i="1"/>
  <c r="CV377" i="1" s="1"/>
  <c r="AI377" i="1"/>
  <c r="AJ377" i="1"/>
  <c r="CX377" i="1" s="1"/>
  <c r="W377" i="1" s="1"/>
  <c r="CQ377" i="1"/>
  <c r="CR377" i="1"/>
  <c r="CS377" i="1"/>
  <c r="CT377" i="1"/>
  <c r="CW377" i="1"/>
  <c r="V377" i="1" s="1"/>
  <c r="GL377" i="1"/>
  <c r="GN377" i="1"/>
  <c r="GO377" i="1"/>
  <c r="GP377" i="1"/>
  <c r="GV377" i="1"/>
  <c r="HC377" i="1"/>
  <c r="GX377" i="1" s="1"/>
  <c r="C378" i="1"/>
  <c r="D378" i="1"/>
  <c r="P378" i="1"/>
  <c r="R378" i="1"/>
  <c r="T378" i="1"/>
  <c r="U378" i="1"/>
  <c r="AC378" i="1"/>
  <c r="AD378" i="1"/>
  <c r="AE378" i="1"/>
  <c r="Q378" i="1" s="1"/>
  <c r="AF378" i="1"/>
  <c r="AG378" i="1"/>
  <c r="AH378" i="1"/>
  <c r="CV378" i="1" s="1"/>
  <c r="AI378" i="1"/>
  <c r="AJ378" i="1"/>
  <c r="CQ378" i="1"/>
  <c r="CR378" i="1"/>
  <c r="CS378" i="1"/>
  <c r="CU378" i="1"/>
  <c r="CW378" i="1"/>
  <c r="V378" i="1" s="1"/>
  <c r="CX378" i="1"/>
  <c r="W378" i="1" s="1"/>
  <c r="GL378" i="1"/>
  <c r="GN378" i="1"/>
  <c r="GP378" i="1"/>
  <c r="GV378" i="1"/>
  <c r="GX378" i="1"/>
  <c r="HC378" i="1"/>
  <c r="C379" i="1"/>
  <c r="D379" i="1"/>
  <c r="P379" i="1"/>
  <c r="CP379" i="1" s="1"/>
  <c r="O379" i="1" s="1"/>
  <c r="S379" i="1"/>
  <c r="CZ379" i="1" s="1"/>
  <c r="AC379" i="1"/>
  <c r="CQ379" i="1" s="1"/>
  <c r="AD379" i="1"/>
  <c r="AB379" i="1" s="1"/>
  <c r="AE379" i="1"/>
  <c r="Q379" i="1" s="1"/>
  <c r="AF379" i="1"/>
  <c r="AG379" i="1"/>
  <c r="CU379" i="1" s="1"/>
  <c r="T379" i="1" s="1"/>
  <c r="AH379" i="1"/>
  <c r="CV379" i="1" s="1"/>
  <c r="U379" i="1" s="1"/>
  <c r="AI379" i="1"/>
  <c r="CW379" i="1" s="1"/>
  <c r="V379" i="1" s="1"/>
  <c r="AJ379" i="1"/>
  <c r="CR379" i="1"/>
  <c r="CS379" i="1"/>
  <c r="CT379" i="1"/>
  <c r="CX379" i="1"/>
  <c r="W379" i="1" s="1"/>
  <c r="GL379" i="1"/>
  <c r="GN379" i="1"/>
  <c r="GP379" i="1"/>
  <c r="GV379" i="1"/>
  <c r="HC379" i="1" s="1"/>
  <c r="GX379" i="1"/>
  <c r="I380" i="1"/>
  <c r="P380" i="1"/>
  <c r="FR380" i="1" s="1"/>
  <c r="S380" i="1"/>
  <c r="U380" i="1"/>
  <c r="W380" i="1"/>
  <c r="AC380" i="1"/>
  <c r="AE380" i="1"/>
  <c r="Q380" i="1" s="1"/>
  <c r="CP380" i="1" s="1"/>
  <c r="O380" i="1" s="1"/>
  <c r="AF380" i="1"/>
  <c r="AG380" i="1"/>
  <c r="CU380" i="1" s="1"/>
  <c r="T380" i="1" s="1"/>
  <c r="AH380" i="1"/>
  <c r="AI380" i="1"/>
  <c r="CW380" i="1" s="1"/>
  <c r="V380" i="1" s="1"/>
  <c r="AJ380" i="1"/>
  <c r="CX380" i="1" s="1"/>
  <c r="CQ380" i="1"/>
  <c r="CT380" i="1"/>
  <c r="CV380" i="1"/>
  <c r="GL380" i="1"/>
  <c r="GN380" i="1"/>
  <c r="GO380" i="1"/>
  <c r="GP380" i="1"/>
  <c r="CD423" i="1" s="1"/>
  <c r="GV380" i="1"/>
  <c r="HC380" i="1" s="1"/>
  <c r="GX380" i="1"/>
  <c r="I381" i="1"/>
  <c r="P381" i="1"/>
  <c r="FR381" i="1" s="1"/>
  <c r="S381" i="1"/>
  <c r="AC381" i="1"/>
  <c r="AE381" i="1"/>
  <c r="AF381" i="1"/>
  <c r="CT381" i="1" s="1"/>
  <c r="AG381" i="1"/>
  <c r="AH381" i="1"/>
  <c r="AI381" i="1"/>
  <c r="AJ381" i="1"/>
  <c r="CQ381" i="1"/>
  <c r="CU381" i="1"/>
  <c r="T381" i="1" s="1"/>
  <c r="CV381" i="1"/>
  <c r="U381" i="1" s="1"/>
  <c r="CW381" i="1"/>
  <c r="V381" i="1" s="1"/>
  <c r="CX381" i="1"/>
  <c r="W381" i="1" s="1"/>
  <c r="GL381" i="1"/>
  <c r="GN381" i="1"/>
  <c r="GO381" i="1"/>
  <c r="GP381" i="1"/>
  <c r="GV381" i="1"/>
  <c r="HC381" i="1"/>
  <c r="GX381" i="1" s="1"/>
  <c r="C382" i="1"/>
  <c r="D382" i="1"/>
  <c r="P382" i="1"/>
  <c r="AC382" i="1"/>
  <c r="AD382" i="1"/>
  <c r="AB382" i="1" s="1"/>
  <c r="AE382" i="1"/>
  <c r="CS382" i="1" s="1"/>
  <c r="AF382" i="1"/>
  <c r="AG382" i="1"/>
  <c r="AH382" i="1"/>
  <c r="AI382" i="1"/>
  <c r="AJ382" i="1"/>
  <c r="CX382" i="1" s="1"/>
  <c r="W382" i="1" s="1"/>
  <c r="CQ382" i="1"/>
  <c r="CR382" i="1"/>
  <c r="CU382" i="1"/>
  <c r="T382" i="1" s="1"/>
  <c r="CV382" i="1"/>
  <c r="U382" i="1" s="1"/>
  <c r="CW382" i="1"/>
  <c r="V382" i="1" s="1"/>
  <c r="GL382" i="1"/>
  <c r="GN382" i="1"/>
  <c r="GP382" i="1"/>
  <c r="GV382" i="1"/>
  <c r="GX382" i="1"/>
  <c r="HC382" i="1"/>
  <c r="C383" i="1"/>
  <c r="D383" i="1"/>
  <c r="P383" i="1"/>
  <c r="W383" i="1"/>
  <c r="AC383" i="1"/>
  <c r="AD383" i="1"/>
  <c r="AE383" i="1"/>
  <c r="AF383" i="1"/>
  <c r="S383" i="1" s="1"/>
  <c r="AG383" i="1"/>
  <c r="CU383" i="1" s="1"/>
  <c r="T383" i="1" s="1"/>
  <c r="AH383" i="1"/>
  <c r="AI383" i="1"/>
  <c r="AJ383" i="1"/>
  <c r="CQ383" i="1"/>
  <c r="CT383" i="1"/>
  <c r="CV383" i="1"/>
  <c r="U383" i="1" s="1"/>
  <c r="CW383" i="1"/>
  <c r="V383" i="1" s="1"/>
  <c r="CX383" i="1"/>
  <c r="CY383" i="1"/>
  <c r="GL383" i="1"/>
  <c r="GN383" i="1"/>
  <c r="GP383" i="1"/>
  <c r="GV383" i="1"/>
  <c r="GX383" i="1"/>
  <c r="HC383" i="1"/>
  <c r="I384" i="1"/>
  <c r="AC384" i="1"/>
  <c r="CQ384" i="1" s="1"/>
  <c r="AD384" i="1"/>
  <c r="AE384" i="1"/>
  <c r="AF384" i="1"/>
  <c r="AG384" i="1"/>
  <c r="AH384" i="1"/>
  <c r="CV384" i="1" s="1"/>
  <c r="AI384" i="1"/>
  <c r="CW384" i="1" s="1"/>
  <c r="AJ384" i="1"/>
  <c r="CR384" i="1"/>
  <c r="CS384" i="1"/>
  <c r="CT384" i="1"/>
  <c r="CU384" i="1"/>
  <c r="CX384" i="1"/>
  <c r="GL384" i="1"/>
  <c r="GN384" i="1"/>
  <c r="GO384" i="1"/>
  <c r="GP384" i="1"/>
  <c r="GV384" i="1"/>
  <c r="HC384" i="1" s="1"/>
  <c r="I385" i="1"/>
  <c r="Q385" i="1" s="1"/>
  <c r="R385" i="1"/>
  <c r="S385" i="1"/>
  <c r="U385" i="1"/>
  <c r="AC385" i="1"/>
  <c r="CQ385" i="1" s="1"/>
  <c r="AD385" i="1"/>
  <c r="AE385" i="1"/>
  <c r="AF385" i="1"/>
  <c r="CT385" i="1" s="1"/>
  <c r="AG385" i="1"/>
  <c r="AH385" i="1"/>
  <c r="CV385" i="1" s="1"/>
  <c r="AI385" i="1"/>
  <c r="CW385" i="1" s="1"/>
  <c r="V385" i="1" s="1"/>
  <c r="AJ385" i="1"/>
  <c r="CX385" i="1" s="1"/>
  <c r="W385" i="1" s="1"/>
  <c r="CR385" i="1"/>
  <c r="CS385" i="1"/>
  <c r="CU385" i="1"/>
  <c r="T385" i="1" s="1"/>
  <c r="GL385" i="1"/>
  <c r="GN385" i="1"/>
  <c r="GO385" i="1"/>
  <c r="GP385" i="1"/>
  <c r="GV385" i="1"/>
  <c r="HC385" i="1" s="1"/>
  <c r="GX385" i="1" s="1"/>
  <c r="C386" i="1"/>
  <c r="D386" i="1"/>
  <c r="Q386" i="1"/>
  <c r="S386" i="1"/>
  <c r="T386" i="1"/>
  <c r="V386" i="1"/>
  <c r="Y386" i="1"/>
  <c r="AC386" i="1"/>
  <c r="AB386" i="1" s="1"/>
  <c r="AD386" i="1"/>
  <c r="AE386" i="1"/>
  <c r="R386" i="1" s="1"/>
  <c r="AF386" i="1"/>
  <c r="AG386" i="1"/>
  <c r="AH386" i="1"/>
  <c r="CV386" i="1" s="1"/>
  <c r="U386" i="1" s="1"/>
  <c r="AI386" i="1"/>
  <c r="CW386" i="1" s="1"/>
  <c r="AJ386" i="1"/>
  <c r="CX386" i="1" s="1"/>
  <c r="W386" i="1" s="1"/>
  <c r="CQ386" i="1"/>
  <c r="CS386" i="1"/>
  <c r="CT386" i="1"/>
  <c r="CU386" i="1"/>
  <c r="CY386" i="1"/>
  <c r="CZ386" i="1"/>
  <c r="GL386" i="1"/>
  <c r="GN386" i="1"/>
  <c r="GP386" i="1"/>
  <c r="GV386" i="1"/>
  <c r="HC386" i="1" s="1"/>
  <c r="GX386" i="1" s="1"/>
  <c r="C387" i="1"/>
  <c r="D387" i="1"/>
  <c r="S387" i="1"/>
  <c r="T387" i="1"/>
  <c r="AC387" i="1"/>
  <c r="P387" i="1" s="1"/>
  <c r="AE387" i="1"/>
  <c r="CZ387" i="1" s="1"/>
  <c r="AF387" i="1"/>
  <c r="AG387" i="1"/>
  <c r="CU387" i="1" s="1"/>
  <c r="AH387" i="1"/>
  <c r="CV387" i="1" s="1"/>
  <c r="U387" i="1" s="1"/>
  <c r="AI387" i="1"/>
  <c r="CW387" i="1" s="1"/>
  <c r="V387" i="1" s="1"/>
  <c r="AJ387" i="1"/>
  <c r="CX387" i="1" s="1"/>
  <c r="W387" i="1" s="1"/>
  <c r="CQ387" i="1"/>
  <c r="CT387" i="1"/>
  <c r="CY387" i="1"/>
  <c r="GL387" i="1"/>
  <c r="GN387" i="1"/>
  <c r="GP387" i="1"/>
  <c r="GV387" i="1"/>
  <c r="HC387" i="1"/>
  <c r="GX387" i="1" s="1"/>
  <c r="P388" i="1"/>
  <c r="S388" i="1"/>
  <c r="AC388" i="1"/>
  <c r="AE388" i="1"/>
  <c r="AF388" i="1"/>
  <c r="CT388" i="1" s="1"/>
  <c r="AG388" i="1"/>
  <c r="AH388" i="1"/>
  <c r="AI388" i="1"/>
  <c r="CW388" i="1" s="1"/>
  <c r="V388" i="1" s="1"/>
  <c r="AJ388" i="1"/>
  <c r="CQ388" i="1"/>
  <c r="CU388" i="1"/>
  <c r="T388" i="1" s="1"/>
  <c r="CV388" i="1"/>
  <c r="U388" i="1" s="1"/>
  <c r="CX388" i="1"/>
  <c r="W388" i="1" s="1"/>
  <c r="GL388" i="1"/>
  <c r="GN388" i="1"/>
  <c r="GO388" i="1"/>
  <c r="GP388" i="1"/>
  <c r="GV388" i="1"/>
  <c r="HC388" i="1"/>
  <c r="GX388" i="1" s="1"/>
  <c r="S389" i="1"/>
  <c r="V389" i="1"/>
  <c r="Y389" i="1"/>
  <c r="AC389" i="1"/>
  <c r="AD389" i="1"/>
  <c r="AE389" i="1"/>
  <c r="R389" i="1" s="1"/>
  <c r="AF389" i="1"/>
  <c r="AG389" i="1"/>
  <c r="AH389" i="1"/>
  <c r="AI389" i="1"/>
  <c r="CW389" i="1" s="1"/>
  <c r="AJ389" i="1"/>
  <c r="CX389" i="1" s="1"/>
  <c r="W389" i="1" s="1"/>
  <c r="CS389" i="1"/>
  <c r="CT389" i="1"/>
  <c r="CU389" i="1"/>
  <c r="T389" i="1" s="1"/>
  <c r="CV389" i="1"/>
  <c r="U389" i="1" s="1"/>
  <c r="CY389" i="1"/>
  <c r="CZ389" i="1"/>
  <c r="GL389" i="1"/>
  <c r="GN389" i="1"/>
  <c r="GO389" i="1"/>
  <c r="GP389" i="1"/>
  <c r="GV389" i="1"/>
  <c r="HC389" i="1" s="1"/>
  <c r="GX389" i="1" s="1"/>
  <c r="P390" i="1"/>
  <c r="Q390" i="1"/>
  <c r="T390" i="1"/>
  <c r="W390" i="1"/>
  <c r="AC390" i="1"/>
  <c r="AD390" i="1"/>
  <c r="AE390" i="1"/>
  <c r="CS390" i="1" s="1"/>
  <c r="AF390" i="1"/>
  <c r="AG390" i="1"/>
  <c r="AH390" i="1"/>
  <c r="CV390" i="1" s="1"/>
  <c r="U390" i="1" s="1"/>
  <c r="AI390" i="1"/>
  <c r="CW390" i="1" s="1"/>
  <c r="V390" i="1" s="1"/>
  <c r="AJ390" i="1"/>
  <c r="CX390" i="1" s="1"/>
  <c r="CQ390" i="1"/>
  <c r="CR390" i="1"/>
  <c r="CU390" i="1"/>
  <c r="FR390" i="1"/>
  <c r="GL390" i="1"/>
  <c r="GN390" i="1"/>
  <c r="GO390" i="1"/>
  <c r="GP390" i="1"/>
  <c r="GV390" i="1"/>
  <c r="HC390" i="1" s="1"/>
  <c r="GX390" i="1" s="1"/>
  <c r="P391" i="1"/>
  <c r="Q391" i="1"/>
  <c r="R391" i="1"/>
  <c r="S391" i="1"/>
  <c r="AC391" i="1"/>
  <c r="AD391" i="1"/>
  <c r="AB391" i="1" s="1"/>
  <c r="AE391" i="1"/>
  <c r="CR391" i="1" s="1"/>
  <c r="AF391" i="1"/>
  <c r="CT391" i="1" s="1"/>
  <c r="AG391" i="1"/>
  <c r="CU391" i="1" s="1"/>
  <c r="T391" i="1" s="1"/>
  <c r="AH391" i="1"/>
  <c r="CV391" i="1" s="1"/>
  <c r="U391" i="1" s="1"/>
  <c r="AI391" i="1"/>
  <c r="CW391" i="1" s="1"/>
  <c r="V391" i="1" s="1"/>
  <c r="AJ391" i="1"/>
  <c r="CQ391" i="1"/>
  <c r="CS391" i="1"/>
  <c r="CX391" i="1"/>
  <c r="W391" i="1" s="1"/>
  <c r="GL391" i="1"/>
  <c r="GN391" i="1"/>
  <c r="GO391" i="1"/>
  <c r="GP391" i="1"/>
  <c r="GV391" i="1"/>
  <c r="HC391" i="1"/>
  <c r="GX391" i="1" s="1"/>
  <c r="Q392" i="1"/>
  <c r="T392" i="1"/>
  <c r="U392" i="1"/>
  <c r="V392" i="1"/>
  <c r="Y392" i="1"/>
  <c r="AC392" i="1"/>
  <c r="AE392" i="1"/>
  <c r="R392" i="1" s="1"/>
  <c r="AF392" i="1"/>
  <c r="S392" i="1" s="1"/>
  <c r="X392" i="1" s="1"/>
  <c r="AG392" i="1"/>
  <c r="AH392" i="1"/>
  <c r="CV392" i="1" s="1"/>
  <c r="AI392" i="1"/>
  <c r="CW392" i="1" s="1"/>
  <c r="AJ392" i="1"/>
  <c r="CX392" i="1" s="1"/>
  <c r="W392" i="1" s="1"/>
  <c r="CQ392" i="1"/>
  <c r="CS392" i="1"/>
  <c r="CT392" i="1"/>
  <c r="CU392" i="1"/>
  <c r="CY392" i="1"/>
  <c r="GL392" i="1"/>
  <c r="GN392" i="1"/>
  <c r="GO392" i="1"/>
  <c r="GP392" i="1"/>
  <c r="GV392" i="1"/>
  <c r="HC392" i="1" s="1"/>
  <c r="GX392" i="1" s="1"/>
  <c r="P393" i="1"/>
  <c r="R393" i="1"/>
  <c r="U393" i="1"/>
  <c r="AB393" i="1"/>
  <c r="AC393" i="1"/>
  <c r="AD393" i="1"/>
  <c r="AE393" i="1"/>
  <c r="Q393" i="1" s="1"/>
  <c r="AF393" i="1"/>
  <c r="CT393" i="1" s="1"/>
  <c r="AG393" i="1"/>
  <c r="CU393" i="1" s="1"/>
  <c r="T393" i="1" s="1"/>
  <c r="AH393" i="1"/>
  <c r="AI393" i="1"/>
  <c r="AJ393" i="1"/>
  <c r="CX393" i="1" s="1"/>
  <c r="W393" i="1" s="1"/>
  <c r="CQ393" i="1"/>
  <c r="CR393" i="1"/>
  <c r="CS393" i="1"/>
  <c r="CV393" i="1"/>
  <c r="CW393" i="1"/>
  <c r="V393" i="1" s="1"/>
  <c r="FR393" i="1"/>
  <c r="GL393" i="1"/>
  <c r="FR423" i="1" s="1"/>
  <c r="FR366" i="1" s="1"/>
  <c r="GN393" i="1"/>
  <c r="GO393" i="1"/>
  <c r="GP393" i="1"/>
  <c r="GV393" i="1"/>
  <c r="HC393" i="1"/>
  <c r="GX393" i="1" s="1"/>
  <c r="S394" i="1"/>
  <c r="CY394" i="1" s="1"/>
  <c r="V394" i="1"/>
  <c r="AC394" i="1"/>
  <c r="CQ394" i="1" s="1"/>
  <c r="AE394" i="1"/>
  <c r="CR394" i="1" s="1"/>
  <c r="AF394" i="1"/>
  <c r="CT394" i="1" s="1"/>
  <c r="AG394" i="1"/>
  <c r="CU394" i="1" s="1"/>
  <c r="T394" i="1" s="1"/>
  <c r="AH394" i="1"/>
  <c r="CV394" i="1" s="1"/>
  <c r="U394" i="1" s="1"/>
  <c r="AI394" i="1"/>
  <c r="AJ394" i="1"/>
  <c r="CX394" i="1" s="1"/>
  <c r="W394" i="1" s="1"/>
  <c r="CS394" i="1"/>
  <c r="CW394" i="1"/>
  <c r="GL394" i="1"/>
  <c r="GN394" i="1"/>
  <c r="GO394" i="1"/>
  <c r="GP394" i="1"/>
  <c r="GV394" i="1"/>
  <c r="GX394" i="1"/>
  <c r="HC394" i="1"/>
  <c r="R395" i="1"/>
  <c r="AC395" i="1"/>
  <c r="AD395" i="1"/>
  <c r="AE395" i="1"/>
  <c r="Q395" i="1" s="1"/>
  <c r="AF395" i="1"/>
  <c r="S395" i="1" s="1"/>
  <c r="AG395" i="1"/>
  <c r="AH395" i="1"/>
  <c r="AI395" i="1"/>
  <c r="AJ395" i="1"/>
  <c r="CX395" i="1" s="1"/>
  <c r="W395" i="1" s="1"/>
  <c r="CR395" i="1"/>
  <c r="CS395" i="1"/>
  <c r="CU395" i="1"/>
  <c r="T395" i="1" s="1"/>
  <c r="CV395" i="1"/>
  <c r="U395" i="1" s="1"/>
  <c r="CW395" i="1"/>
  <c r="V395" i="1" s="1"/>
  <c r="GL395" i="1"/>
  <c r="GN395" i="1"/>
  <c r="GO395" i="1"/>
  <c r="GP395" i="1"/>
  <c r="GV395" i="1"/>
  <c r="HC395" i="1"/>
  <c r="GX395" i="1" s="1"/>
  <c r="P396" i="1"/>
  <c r="R396" i="1"/>
  <c r="U396" i="1"/>
  <c r="W396" i="1"/>
  <c r="AB396" i="1"/>
  <c r="AC396" i="1"/>
  <c r="AD396" i="1"/>
  <c r="AE396" i="1"/>
  <c r="Q396" i="1" s="1"/>
  <c r="AF396" i="1"/>
  <c r="CT396" i="1" s="1"/>
  <c r="AG396" i="1"/>
  <c r="CU396" i="1" s="1"/>
  <c r="T396" i="1" s="1"/>
  <c r="AH396" i="1"/>
  <c r="AI396" i="1"/>
  <c r="CW396" i="1" s="1"/>
  <c r="V396" i="1" s="1"/>
  <c r="AJ396" i="1"/>
  <c r="CX396" i="1" s="1"/>
  <c r="CQ396" i="1"/>
  <c r="CR396" i="1"/>
  <c r="CS396" i="1"/>
  <c r="CV396" i="1"/>
  <c r="FR396" i="1"/>
  <c r="GL396" i="1"/>
  <c r="GN396" i="1"/>
  <c r="GO396" i="1"/>
  <c r="GP396" i="1"/>
  <c r="GV396" i="1"/>
  <c r="HC396" i="1"/>
  <c r="GX396" i="1" s="1"/>
  <c r="S397" i="1"/>
  <c r="CY397" i="1" s="1"/>
  <c r="V397" i="1"/>
  <c r="AC397" i="1"/>
  <c r="CQ397" i="1" s="1"/>
  <c r="AE397" i="1"/>
  <c r="CR397" i="1" s="1"/>
  <c r="AF397" i="1"/>
  <c r="CT397" i="1" s="1"/>
  <c r="AG397" i="1"/>
  <c r="CU397" i="1" s="1"/>
  <c r="T397" i="1" s="1"/>
  <c r="AH397" i="1"/>
  <c r="CV397" i="1" s="1"/>
  <c r="U397" i="1" s="1"/>
  <c r="AI397" i="1"/>
  <c r="AJ397" i="1"/>
  <c r="CX397" i="1" s="1"/>
  <c r="W397" i="1" s="1"/>
  <c r="CW397" i="1"/>
  <c r="GL397" i="1"/>
  <c r="GN397" i="1"/>
  <c r="GO397" i="1"/>
  <c r="GP397" i="1"/>
  <c r="GV397" i="1"/>
  <c r="GX397" i="1"/>
  <c r="HC397" i="1"/>
  <c r="C398" i="1"/>
  <c r="D398" i="1"/>
  <c r="I398" i="1"/>
  <c r="K398" i="1"/>
  <c r="R398" i="1"/>
  <c r="U398" i="1"/>
  <c r="W398" i="1"/>
  <c r="AB398" i="1"/>
  <c r="AC398" i="1"/>
  <c r="AD398" i="1"/>
  <c r="AE398" i="1"/>
  <c r="AF398" i="1"/>
  <c r="AG398" i="1"/>
  <c r="CU398" i="1" s="1"/>
  <c r="T398" i="1" s="1"/>
  <c r="AH398" i="1"/>
  <c r="AI398" i="1"/>
  <c r="AJ398" i="1"/>
  <c r="CX398" i="1" s="1"/>
  <c r="CQ398" i="1"/>
  <c r="CR398" i="1"/>
  <c r="CS398" i="1"/>
  <c r="CV398" i="1"/>
  <c r="CW398" i="1"/>
  <c r="V398" i="1" s="1"/>
  <c r="GL398" i="1"/>
  <c r="GN398" i="1"/>
  <c r="GP398" i="1"/>
  <c r="GV398" i="1"/>
  <c r="HC398" i="1"/>
  <c r="C399" i="1"/>
  <c r="D399" i="1"/>
  <c r="I399" i="1"/>
  <c r="K399" i="1"/>
  <c r="P399" i="1"/>
  <c r="CP399" i="1" s="1"/>
  <c r="O399" i="1" s="1"/>
  <c r="Q399" i="1"/>
  <c r="S399" i="1"/>
  <c r="AC399" i="1"/>
  <c r="CQ399" i="1" s="1"/>
  <c r="AE399" i="1"/>
  <c r="AF399" i="1"/>
  <c r="AG399" i="1"/>
  <c r="CU399" i="1" s="1"/>
  <c r="T399" i="1" s="1"/>
  <c r="AH399" i="1"/>
  <c r="AI399" i="1"/>
  <c r="AJ399" i="1"/>
  <c r="CT399" i="1"/>
  <c r="CV399" i="1"/>
  <c r="U399" i="1" s="1"/>
  <c r="CW399" i="1"/>
  <c r="V399" i="1" s="1"/>
  <c r="CX399" i="1"/>
  <c r="W399" i="1" s="1"/>
  <c r="GL399" i="1"/>
  <c r="GN399" i="1"/>
  <c r="GP399" i="1"/>
  <c r="GV399" i="1"/>
  <c r="GX399" i="1"/>
  <c r="HC399" i="1"/>
  <c r="I400" i="1"/>
  <c r="Q400" i="1" s="1"/>
  <c r="S400" i="1"/>
  <c r="X400" i="1" s="1"/>
  <c r="V400" i="1"/>
  <c r="Y400" i="1"/>
  <c r="AC400" i="1"/>
  <c r="AE400" i="1"/>
  <c r="AD400" i="1" s="1"/>
  <c r="AF400" i="1"/>
  <c r="AG400" i="1"/>
  <c r="CU400" i="1" s="1"/>
  <c r="T400" i="1" s="1"/>
  <c r="AH400" i="1"/>
  <c r="CV400" i="1" s="1"/>
  <c r="U400" i="1" s="1"/>
  <c r="AI400" i="1"/>
  <c r="AJ400" i="1"/>
  <c r="CR400" i="1"/>
  <c r="CS400" i="1"/>
  <c r="CT400" i="1"/>
  <c r="CW400" i="1"/>
  <c r="CX400" i="1"/>
  <c r="W400" i="1" s="1"/>
  <c r="GL400" i="1"/>
  <c r="GN400" i="1"/>
  <c r="GO400" i="1"/>
  <c r="GP400" i="1"/>
  <c r="GV400" i="1"/>
  <c r="HC400" i="1"/>
  <c r="I401" i="1"/>
  <c r="S401" i="1"/>
  <c r="CY401" i="1" s="1"/>
  <c r="T401" i="1"/>
  <c r="V401" i="1"/>
  <c r="AC401" i="1"/>
  <c r="CQ401" i="1" s="1"/>
  <c r="AE401" i="1"/>
  <c r="AF401" i="1"/>
  <c r="CT401" i="1" s="1"/>
  <c r="AG401" i="1"/>
  <c r="CU401" i="1" s="1"/>
  <c r="AH401" i="1"/>
  <c r="AI401" i="1"/>
  <c r="AJ401" i="1"/>
  <c r="CV401" i="1"/>
  <c r="U401" i="1" s="1"/>
  <c r="CW401" i="1"/>
  <c r="CX401" i="1"/>
  <c r="W401" i="1" s="1"/>
  <c r="GL401" i="1"/>
  <c r="GN401" i="1"/>
  <c r="GO401" i="1"/>
  <c r="GP401" i="1"/>
  <c r="GV401" i="1"/>
  <c r="GX401" i="1"/>
  <c r="HC401" i="1"/>
  <c r="I402" i="1"/>
  <c r="Q402" i="1" s="1"/>
  <c r="AC402" i="1"/>
  <c r="AE402" i="1"/>
  <c r="AF402" i="1"/>
  <c r="AG402" i="1"/>
  <c r="AH402" i="1"/>
  <c r="AI402" i="1"/>
  <c r="CW402" i="1" s="1"/>
  <c r="AJ402" i="1"/>
  <c r="CX402" i="1" s="1"/>
  <c r="W402" i="1" s="1"/>
  <c r="CQ402" i="1"/>
  <c r="CS402" i="1"/>
  <c r="CT402" i="1"/>
  <c r="CU402" i="1"/>
  <c r="T402" i="1" s="1"/>
  <c r="CV402" i="1"/>
  <c r="U402" i="1" s="1"/>
  <c r="GL402" i="1"/>
  <c r="GN402" i="1"/>
  <c r="GO402" i="1"/>
  <c r="GP402" i="1"/>
  <c r="GV402" i="1"/>
  <c r="HC402" i="1" s="1"/>
  <c r="GX402" i="1"/>
  <c r="I403" i="1"/>
  <c r="R403" i="1" s="1"/>
  <c r="P403" i="1"/>
  <c r="S403" i="1"/>
  <c r="U403" i="1"/>
  <c r="AC403" i="1"/>
  <c r="AD403" i="1"/>
  <c r="AB403" i="1" s="1"/>
  <c r="AE403" i="1"/>
  <c r="CR403" i="1" s="1"/>
  <c r="AF403" i="1"/>
  <c r="AG403" i="1"/>
  <c r="CU403" i="1" s="1"/>
  <c r="T403" i="1" s="1"/>
  <c r="AH403" i="1"/>
  <c r="CV403" i="1" s="1"/>
  <c r="AI403" i="1"/>
  <c r="CW403" i="1" s="1"/>
  <c r="V403" i="1" s="1"/>
  <c r="AJ403" i="1"/>
  <c r="CX403" i="1" s="1"/>
  <c r="W403" i="1" s="1"/>
  <c r="CQ403" i="1"/>
  <c r="CT403" i="1"/>
  <c r="FR403" i="1"/>
  <c r="GL403" i="1"/>
  <c r="GN403" i="1"/>
  <c r="GO403" i="1"/>
  <c r="GP403" i="1"/>
  <c r="GV403" i="1"/>
  <c r="HC403" i="1" s="1"/>
  <c r="GX403" i="1" s="1"/>
  <c r="I404" i="1"/>
  <c r="P404" i="1"/>
  <c r="AC404" i="1"/>
  <c r="CQ404" i="1" s="1"/>
  <c r="AE404" i="1"/>
  <c r="CR404" i="1" s="1"/>
  <c r="AF404" i="1"/>
  <c r="AG404" i="1"/>
  <c r="CU404" i="1" s="1"/>
  <c r="AH404" i="1"/>
  <c r="AI404" i="1"/>
  <c r="AJ404" i="1"/>
  <c r="CT404" i="1"/>
  <c r="CV404" i="1"/>
  <c r="CW404" i="1"/>
  <c r="CX404" i="1"/>
  <c r="W404" i="1" s="1"/>
  <c r="GL404" i="1"/>
  <c r="GN404" i="1"/>
  <c r="GO404" i="1"/>
  <c r="GP404" i="1"/>
  <c r="GV404" i="1"/>
  <c r="HC404" i="1" s="1"/>
  <c r="I405" i="1"/>
  <c r="R405" i="1"/>
  <c r="U405" i="1"/>
  <c r="AC405" i="1"/>
  <c r="AD405" i="1"/>
  <c r="AE405" i="1"/>
  <c r="AF405" i="1"/>
  <c r="AG405" i="1"/>
  <c r="CU405" i="1" s="1"/>
  <c r="T405" i="1" s="1"/>
  <c r="AH405" i="1"/>
  <c r="AI405" i="1"/>
  <c r="AJ405" i="1"/>
  <c r="CX405" i="1" s="1"/>
  <c r="W405" i="1" s="1"/>
  <c r="CQ405" i="1"/>
  <c r="CR405" i="1"/>
  <c r="CS405" i="1"/>
  <c r="CV405" i="1"/>
  <c r="CW405" i="1"/>
  <c r="V405" i="1" s="1"/>
  <c r="GL405" i="1"/>
  <c r="GN405" i="1"/>
  <c r="GO405" i="1"/>
  <c r="GP405" i="1"/>
  <c r="GV405" i="1"/>
  <c r="HC405" i="1"/>
  <c r="GX405" i="1" s="1"/>
  <c r="I406" i="1"/>
  <c r="P406" i="1"/>
  <c r="R406" i="1"/>
  <c r="S406" i="1"/>
  <c r="U406" i="1"/>
  <c r="Y406" i="1"/>
  <c r="AC406" i="1"/>
  <c r="AD406" i="1"/>
  <c r="AE406" i="1"/>
  <c r="CS406" i="1" s="1"/>
  <c r="AF406" i="1"/>
  <c r="CT406" i="1" s="1"/>
  <c r="AG406" i="1"/>
  <c r="CU406" i="1" s="1"/>
  <c r="T406" i="1" s="1"/>
  <c r="AH406" i="1"/>
  <c r="AI406" i="1"/>
  <c r="AJ406" i="1"/>
  <c r="CQ406" i="1"/>
  <c r="CR406" i="1"/>
  <c r="CV406" i="1"/>
  <c r="CW406" i="1"/>
  <c r="V406" i="1" s="1"/>
  <c r="CX406" i="1"/>
  <c r="W406" i="1" s="1"/>
  <c r="GL406" i="1"/>
  <c r="GN406" i="1"/>
  <c r="GO406" i="1"/>
  <c r="GP406" i="1"/>
  <c r="GV406" i="1"/>
  <c r="HC406" i="1"/>
  <c r="GX406" i="1" s="1"/>
  <c r="I407" i="1"/>
  <c r="P407" i="1" s="1"/>
  <c r="FR407" i="1" s="1"/>
  <c r="T407" i="1"/>
  <c r="W407" i="1"/>
  <c r="AC407" i="1"/>
  <c r="AD407" i="1"/>
  <c r="AB407" i="1" s="1"/>
  <c r="AE407" i="1"/>
  <c r="AF407" i="1"/>
  <c r="AG407" i="1"/>
  <c r="AH407" i="1"/>
  <c r="CV407" i="1" s="1"/>
  <c r="U407" i="1" s="1"/>
  <c r="AI407" i="1"/>
  <c r="CW407" i="1" s="1"/>
  <c r="V407" i="1" s="1"/>
  <c r="AJ407" i="1"/>
  <c r="CQ407" i="1"/>
  <c r="CR407" i="1"/>
  <c r="CS407" i="1"/>
  <c r="CT407" i="1"/>
  <c r="CU407" i="1"/>
  <c r="CX407" i="1"/>
  <c r="GL407" i="1"/>
  <c r="GN407" i="1"/>
  <c r="GO407" i="1"/>
  <c r="GP407" i="1"/>
  <c r="GV407" i="1"/>
  <c r="HC407" i="1" s="1"/>
  <c r="GX407" i="1" s="1"/>
  <c r="AC408" i="1"/>
  <c r="AD408" i="1"/>
  <c r="AE408" i="1"/>
  <c r="AF408" i="1"/>
  <c r="AG408" i="1"/>
  <c r="CU408" i="1" s="1"/>
  <c r="AH408" i="1"/>
  <c r="CV408" i="1" s="1"/>
  <c r="AI408" i="1"/>
  <c r="CW408" i="1" s="1"/>
  <c r="AJ408" i="1"/>
  <c r="CR408" i="1"/>
  <c r="CS408" i="1"/>
  <c r="CX408" i="1"/>
  <c r="GL408" i="1"/>
  <c r="GN408" i="1"/>
  <c r="GO408" i="1"/>
  <c r="GP408" i="1"/>
  <c r="GV408" i="1"/>
  <c r="HC408" i="1"/>
  <c r="I409" i="1"/>
  <c r="Q409" i="1" s="1"/>
  <c r="R409" i="1"/>
  <c r="V409" i="1"/>
  <c r="AC409" i="1"/>
  <c r="AD409" i="1"/>
  <c r="AE409" i="1"/>
  <c r="AF409" i="1"/>
  <c r="AG409" i="1"/>
  <c r="AH409" i="1"/>
  <c r="AI409" i="1"/>
  <c r="AJ409" i="1"/>
  <c r="CX409" i="1" s="1"/>
  <c r="W409" i="1" s="1"/>
  <c r="CR409" i="1"/>
  <c r="CS409" i="1"/>
  <c r="CU409" i="1"/>
  <c r="T409" i="1" s="1"/>
  <c r="CV409" i="1"/>
  <c r="U409" i="1" s="1"/>
  <c r="CW409" i="1"/>
  <c r="GL409" i="1"/>
  <c r="GN409" i="1"/>
  <c r="GO409" i="1"/>
  <c r="GP409" i="1"/>
  <c r="GV409" i="1"/>
  <c r="HC409" i="1" s="1"/>
  <c r="GX409" i="1" s="1"/>
  <c r="C410" i="1"/>
  <c r="D410" i="1"/>
  <c r="I410" i="1"/>
  <c r="K410" i="1"/>
  <c r="Q410" i="1"/>
  <c r="R410" i="1"/>
  <c r="S410" i="1"/>
  <c r="AC410" i="1"/>
  <c r="CQ410" i="1" s="1"/>
  <c r="AE410" i="1"/>
  <c r="AF410" i="1"/>
  <c r="CT410" i="1" s="1"/>
  <c r="AG410" i="1"/>
  <c r="CU410" i="1" s="1"/>
  <c r="T410" i="1" s="1"/>
  <c r="AH410" i="1"/>
  <c r="AI410" i="1"/>
  <c r="AJ410" i="1"/>
  <c r="CX410" i="1" s="1"/>
  <c r="W410" i="1" s="1"/>
  <c r="CS410" i="1"/>
  <c r="CV410" i="1"/>
  <c r="U410" i="1" s="1"/>
  <c r="CW410" i="1"/>
  <c r="V410" i="1" s="1"/>
  <c r="GL410" i="1"/>
  <c r="GN410" i="1"/>
  <c r="GP410" i="1"/>
  <c r="GV410" i="1"/>
  <c r="HC410" i="1"/>
  <c r="GX410" i="1" s="1"/>
  <c r="C411" i="1"/>
  <c r="D411" i="1"/>
  <c r="I411" i="1"/>
  <c r="K411" i="1"/>
  <c r="AC411" i="1"/>
  <c r="AE411" i="1"/>
  <c r="AD411" i="1" s="1"/>
  <c r="AF411" i="1"/>
  <c r="AG411" i="1"/>
  <c r="CU411" i="1" s="1"/>
  <c r="AH411" i="1"/>
  <c r="CV411" i="1" s="1"/>
  <c r="AI411" i="1"/>
  <c r="AJ411" i="1"/>
  <c r="CR411" i="1"/>
  <c r="CS411" i="1"/>
  <c r="CT411" i="1"/>
  <c r="CW411" i="1"/>
  <c r="CX411" i="1"/>
  <c r="W411" i="1" s="1"/>
  <c r="GL411" i="1"/>
  <c r="GN411" i="1"/>
  <c r="FT423" i="1" s="1"/>
  <c r="GP411" i="1"/>
  <c r="GV411" i="1"/>
  <c r="HC411" i="1" s="1"/>
  <c r="I412" i="1"/>
  <c r="Q412" i="1" s="1"/>
  <c r="R412" i="1"/>
  <c r="S412" i="1"/>
  <c r="T412" i="1"/>
  <c r="U412" i="1"/>
  <c r="AC412" i="1"/>
  <c r="AD412" i="1"/>
  <c r="AE412" i="1"/>
  <c r="AF412" i="1"/>
  <c r="AG412" i="1"/>
  <c r="CU412" i="1" s="1"/>
  <c r="AH412" i="1"/>
  <c r="CV412" i="1" s="1"/>
  <c r="AI412" i="1"/>
  <c r="CW412" i="1" s="1"/>
  <c r="V412" i="1" s="1"/>
  <c r="AJ412" i="1"/>
  <c r="CR412" i="1"/>
  <c r="CS412" i="1"/>
  <c r="CT412" i="1"/>
  <c r="CX412" i="1"/>
  <c r="W412" i="1" s="1"/>
  <c r="CY412" i="1"/>
  <c r="GL412" i="1"/>
  <c r="GN412" i="1"/>
  <c r="GP412" i="1"/>
  <c r="GV412" i="1"/>
  <c r="HC412" i="1" s="1"/>
  <c r="GX412" i="1" s="1"/>
  <c r="AC413" i="1"/>
  <c r="CQ413" i="1" s="1"/>
  <c r="AD413" i="1"/>
  <c r="AB413" i="1" s="1"/>
  <c r="AE413" i="1"/>
  <c r="CR413" i="1" s="1"/>
  <c r="AF413" i="1"/>
  <c r="AG413" i="1"/>
  <c r="CU413" i="1" s="1"/>
  <c r="AH413" i="1"/>
  <c r="AI413" i="1"/>
  <c r="AJ413" i="1"/>
  <c r="CS413" i="1"/>
  <c r="CT413" i="1"/>
  <c r="CV413" i="1"/>
  <c r="CW413" i="1"/>
  <c r="CX413" i="1"/>
  <c r="GL413" i="1"/>
  <c r="GN413" i="1"/>
  <c r="GP413" i="1"/>
  <c r="FV423" i="1" s="1"/>
  <c r="GV413" i="1"/>
  <c r="HC413" i="1"/>
  <c r="I414" i="1"/>
  <c r="Q414" i="1" s="1"/>
  <c r="S414" i="1"/>
  <c r="V414" i="1"/>
  <c r="X414" i="1"/>
  <c r="Y414" i="1"/>
  <c r="AC414" i="1"/>
  <c r="AE414" i="1"/>
  <c r="AD414" i="1" s="1"/>
  <c r="AF414" i="1"/>
  <c r="AG414" i="1"/>
  <c r="CU414" i="1" s="1"/>
  <c r="T414" i="1" s="1"/>
  <c r="AH414" i="1"/>
  <c r="CV414" i="1" s="1"/>
  <c r="U414" i="1" s="1"/>
  <c r="AI414" i="1"/>
  <c r="AJ414" i="1"/>
  <c r="CR414" i="1"/>
  <c r="CS414" i="1"/>
  <c r="CT414" i="1"/>
  <c r="CW414" i="1"/>
  <c r="CX414" i="1"/>
  <c r="W414" i="1" s="1"/>
  <c r="GL414" i="1"/>
  <c r="GN414" i="1"/>
  <c r="GP414" i="1"/>
  <c r="GV414" i="1"/>
  <c r="HC414" i="1" s="1"/>
  <c r="GX414" i="1" s="1"/>
  <c r="AC415" i="1"/>
  <c r="AD415" i="1"/>
  <c r="AE415" i="1"/>
  <c r="AF415" i="1"/>
  <c r="AG415" i="1"/>
  <c r="CU415" i="1" s="1"/>
  <c r="AH415" i="1"/>
  <c r="CV415" i="1" s="1"/>
  <c r="AI415" i="1"/>
  <c r="CW415" i="1" s="1"/>
  <c r="AJ415" i="1"/>
  <c r="CR415" i="1"/>
  <c r="CS415" i="1"/>
  <c r="CT415" i="1"/>
  <c r="CX415" i="1"/>
  <c r="GL415" i="1"/>
  <c r="GN415" i="1"/>
  <c r="GP415" i="1"/>
  <c r="GV415" i="1"/>
  <c r="HC415" i="1" s="1"/>
  <c r="C416" i="1"/>
  <c r="D416" i="1"/>
  <c r="I416" i="1"/>
  <c r="K416" i="1"/>
  <c r="P416" i="1"/>
  <c r="AC416" i="1"/>
  <c r="AB416" i="1" s="1"/>
  <c r="AD416" i="1"/>
  <c r="AE416" i="1"/>
  <c r="AF416" i="1"/>
  <c r="S416" i="1" s="1"/>
  <c r="CZ416" i="1" s="1"/>
  <c r="AG416" i="1"/>
  <c r="AH416" i="1"/>
  <c r="CV416" i="1" s="1"/>
  <c r="U416" i="1" s="1"/>
  <c r="AI416" i="1"/>
  <c r="CW416" i="1" s="1"/>
  <c r="V416" i="1" s="1"/>
  <c r="AJ416" i="1"/>
  <c r="CQ416" i="1"/>
  <c r="CR416" i="1"/>
  <c r="CS416" i="1"/>
  <c r="CT416" i="1"/>
  <c r="CU416" i="1"/>
  <c r="T416" i="1" s="1"/>
  <c r="CX416" i="1"/>
  <c r="CY416" i="1"/>
  <c r="GL416" i="1"/>
  <c r="GN416" i="1"/>
  <c r="GP416" i="1"/>
  <c r="GV416" i="1"/>
  <c r="HC416" i="1" s="1"/>
  <c r="GX416" i="1" s="1"/>
  <c r="C417" i="1"/>
  <c r="D417" i="1"/>
  <c r="I417" i="1"/>
  <c r="P417" i="1" s="1"/>
  <c r="K417" i="1"/>
  <c r="R417" i="1"/>
  <c r="S417" i="1"/>
  <c r="AC417" i="1"/>
  <c r="AE417" i="1"/>
  <c r="CS417" i="1" s="1"/>
  <c r="AF417" i="1"/>
  <c r="CT417" i="1" s="1"/>
  <c r="AG417" i="1"/>
  <c r="CU417" i="1" s="1"/>
  <c r="T417" i="1" s="1"/>
  <c r="AH417" i="1"/>
  <c r="CV417" i="1" s="1"/>
  <c r="U417" i="1" s="1"/>
  <c r="AI417" i="1"/>
  <c r="AJ417" i="1"/>
  <c r="CQ417" i="1"/>
  <c r="CW417" i="1"/>
  <c r="CX417" i="1"/>
  <c r="GL417" i="1"/>
  <c r="GN417" i="1"/>
  <c r="GP417" i="1"/>
  <c r="GV417" i="1"/>
  <c r="HC417" i="1"/>
  <c r="AC418" i="1"/>
  <c r="AD418" i="1"/>
  <c r="AE418" i="1"/>
  <c r="AF418" i="1"/>
  <c r="AG418" i="1"/>
  <c r="AH418" i="1"/>
  <c r="AI418" i="1"/>
  <c r="CW418" i="1" s="1"/>
  <c r="AJ418" i="1"/>
  <c r="CX418" i="1" s="1"/>
  <c r="CR418" i="1"/>
  <c r="CS418" i="1"/>
  <c r="CT418" i="1"/>
  <c r="CU418" i="1"/>
  <c r="CV418" i="1"/>
  <c r="GL418" i="1"/>
  <c r="GN418" i="1"/>
  <c r="GO418" i="1"/>
  <c r="GP418" i="1"/>
  <c r="GV418" i="1"/>
  <c r="HC418" i="1" s="1"/>
  <c r="AC419" i="1"/>
  <c r="AE419" i="1"/>
  <c r="AF419" i="1"/>
  <c r="AG419" i="1"/>
  <c r="CU419" i="1" s="1"/>
  <c r="AH419" i="1"/>
  <c r="CV419" i="1" s="1"/>
  <c r="AI419" i="1"/>
  <c r="CW419" i="1" s="1"/>
  <c r="AJ419" i="1"/>
  <c r="CX419" i="1" s="1"/>
  <c r="CQ419" i="1"/>
  <c r="CT419" i="1"/>
  <c r="GL419" i="1"/>
  <c r="GN419" i="1"/>
  <c r="GO419" i="1"/>
  <c r="GP419" i="1"/>
  <c r="GV419" i="1"/>
  <c r="HC419" i="1" s="1"/>
  <c r="I420" i="1"/>
  <c r="P420" i="1" s="1"/>
  <c r="Q420" i="1"/>
  <c r="R420" i="1"/>
  <c r="S420" i="1"/>
  <c r="X420" i="1"/>
  <c r="AC420" i="1"/>
  <c r="AE420" i="1"/>
  <c r="CR420" i="1" s="1"/>
  <c r="AF420" i="1"/>
  <c r="AG420" i="1"/>
  <c r="CU420" i="1" s="1"/>
  <c r="T420" i="1" s="1"/>
  <c r="AH420" i="1"/>
  <c r="AI420" i="1"/>
  <c r="AJ420" i="1"/>
  <c r="CQ420" i="1"/>
  <c r="CS420" i="1"/>
  <c r="CT420" i="1"/>
  <c r="CV420" i="1"/>
  <c r="CW420" i="1"/>
  <c r="V420" i="1" s="1"/>
  <c r="CX420" i="1"/>
  <c r="W420" i="1" s="1"/>
  <c r="GL420" i="1"/>
  <c r="GN420" i="1"/>
  <c r="GO420" i="1"/>
  <c r="GP420" i="1"/>
  <c r="GV420" i="1"/>
  <c r="HC420" i="1"/>
  <c r="GX420" i="1" s="1"/>
  <c r="AC421" i="1"/>
  <c r="AE421" i="1"/>
  <c r="AD421" i="1" s="1"/>
  <c r="AB421" i="1" s="1"/>
  <c r="AF421" i="1"/>
  <c r="AG421" i="1"/>
  <c r="CU421" i="1" s="1"/>
  <c r="AH421" i="1"/>
  <c r="AI421" i="1"/>
  <c r="CW421" i="1" s="1"/>
  <c r="AJ421" i="1"/>
  <c r="CQ421" i="1"/>
  <c r="CR421" i="1"/>
  <c r="CS421" i="1"/>
  <c r="CV421" i="1"/>
  <c r="CX421" i="1"/>
  <c r="GL421" i="1"/>
  <c r="GN421" i="1"/>
  <c r="GO421" i="1"/>
  <c r="GP421" i="1"/>
  <c r="GV421" i="1"/>
  <c r="HC421" i="1"/>
  <c r="B423" i="1"/>
  <c r="B366" i="1" s="1"/>
  <c r="C423" i="1"/>
  <c r="C366" i="1" s="1"/>
  <c r="D423" i="1"/>
  <c r="D366" i="1" s="1"/>
  <c r="F423" i="1"/>
  <c r="F366" i="1" s="1"/>
  <c r="G423" i="1"/>
  <c r="G366" i="1" s="1"/>
  <c r="BB423" i="1"/>
  <c r="BB366" i="1" s="1"/>
  <c r="BC423" i="1"/>
  <c r="BC366" i="1" s="1"/>
  <c r="BD423" i="1"/>
  <c r="BD366" i="1" s="1"/>
  <c r="BX423" i="1"/>
  <c r="BX366" i="1" s="1"/>
  <c r="CK423" i="1"/>
  <c r="CL423" i="1"/>
  <c r="CL366" i="1" s="1"/>
  <c r="CM423" i="1"/>
  <c r="CM366" i="1" s="1"/>
  <c r="EG423" i="1"/>
  <c r="EG366" i="1" s="1"/>
  <c r="EI423" i="1"/>
  <c r="EV423" i="1"/>
  <c r="FP423" i="1"/>
  <c r="FP366" i="1" s="1"/>
  <c r="FY423" i="1"/>
  <c r="GC423" i="1"/>
  <c r="GD423" i="1"/>
  <c r="GE423" i="1"/>
  <c r="GE366" i="1" s="1"/>
  <c r="F436" i="1"/>
  <c r="F439" i="1"/>
  <c r="F448" i="1"/>
  <c r="D453" i="1"/>
  <c r="B455" i="1"/>
  <c r="E455" i="1"/>
  <c r="Z455" i="1"/>
  <c r="AA455" i="1"/>
  <c r="AM455" i="1"/>
  <c r="AN455" i="1"/>
  <c r="BE455" i="1"/>
  <c r="BF455" i="1"/>
  <c r="BG455" i="1"/>
  <c r="BH455" i="1"/>
  <c r="BI455" i="1"/>
  <c r="BJ455" i="1"/>
  <c r="BK455" i="1"/>
  <c r="BL455" i="1"/>
  <c r="BM455" i="1"/>
  <c r="BN455" i="1"/>
  <c r="BO455" i="1"/>
  <c r="BP455" i="1"/>
  <c r="BQ455" i="1"/>
  <c r="BR455" i="1"/>
  <c r="BS455" i="1"/>
  <c r="BT455" i="1"/>
  <c r="BU455" i="1"/>
  <c r="BV455" i="1"/>
  <c r="BW455" i="1"/>
  <c r="BZ455" i="1"/>
  <c r="CL455" i="1"/>
  <c r="CM455" i="1"/>
  <c r="CN455" i="1"/>
  <c r="CO455" i="1"/>
  <c r="CP455" i="1"/>
  <c r="CQ455" i="1"/>
  <c r="CR455" i="1"/>
  <c r="CS455" i="1"/>
  <c r="CT455" i="1"/>
  <c r="CU455" i="1"/>
  <c r="CV455" i="1"/>
  <c r="CW455" i="1"/>
  <c r="CX455" i="1"/>
  <c r="CY455" i="1"/>
  <c r="CZ455" i="1"/>
  <c r="DA455" i="1"/>
  <c r="DB455" i="1"/>
  <c r="DC455" i="1"/>
  <c r="DD455" i="1"/>
  <c r="DE455" i="1"/>
  <c r="DF455" i="1"/>
  <c r="DR455" i="1"/>
  <c r="DS455" i="1"/>
  <c r="EA455" i="1"/>
  <c r="EB455" i="1"/>
  <c r="EE455" i="1"/>
  <c r="EF455" i="1"/>
  <c r="EW455" i="1"/>
  <c r="EX455" i="1"/>
  <c r="EY455" i="1"/>
  <c r="EZ455" i="1"/>
  <c r="FA455" i="1"/>
  <c r="FB455" i="1"/>
  <c r="FC455" i="1"/>
  <c r="FD455" i="1"/>
  <c r="FE455" i="1"/>
  <c r="FF455" i="1"/>
  <c r="FG455" i="1"/>
  <c r="FH455" i="1"/>
  <c r="FI455" i="1"/>
  <c r="FJ455" i="1"/>
  <c r="FK455" i="1"/>
  <c r="FL455" i="1"/>
  <c r="FM455" i="1"/>
  <c r="FN455" i="1"/>
  <c r="FO455" i="1"/>
  <c r="GF455" i="1"/>
  <c r="GG455" i="1"/>
  <c r="GH455" i="1"/>
  <c r="GI455" i="1"/>
  <c r="GJ455" i="1"/>
  <c r="GK455" i="1"/>
  <c r="GL455" i="1"/>
  <c r="GM455" i="1"/>
  <c r="GN455" i="1"/>
  <c r="GO455" i="1"/>
  <c r="GP455" i="1"/>
  <c r="GQ455" i="1"/>
  <c r="GR455" i="1"/>
  <c r="GS455" i="1"/>
  <c r="GT455" i="1"/>
  <c r="GU455" i="1"/>
  <c r="GV455" i="1"/>
  <c r="GW455" i="1"/>
  <c r="GX455" i="1"/>
  <c r="R457" i="1"/>
  <c r="S457" i="1"/>
  <c r="W457" i="1"/>
  <c r="AJ462" i="1" s="1"/>
  <c r="AC457" i="1"/>
  <c r="AD457" i="1"/>
  <c r="AE457" i="1"/>
  <c r="Q457" i="1" s="1"/>
  <c r="AF457" i="1"/>
  <c r="AG457" i="1"/>
  <c r="AH457" i="1"/>
  <c r="CV457" i="1" s="1"/>
  <c r="U457" i="1" s="1"/>
  <c r="AH462" i="1" s="1"/>
  <c r="AI457" i="1"/>
  <c r="AJ457" i="1"/>
  <c r="CR457" i="1"/>
  <c r="CS457" i="1"/>
  <c r="CT457" i="1"/>
  <c r="CU457" i="1"/>
  <c r="T457" i="1" s="1"/>
  <c r="AG462" i="1" s="1"/>
  <c r="T462" i="1" s="1"/>
  <c r="T455" i="1" s="1"/>
  <c r="CW457" i="1"/>
  <c r="V457" i="1" s="1"/>
  <c r="CX457" i="1"/>
  <c r="CY457" i="1"/>
  <c r="CZ457" i="1"/>
  <c r="GL457" i="1"/>
  <c r="BZ462" i="1" s="1"/>
  <c r="AQ462" i="1" s="1"/>
  <c r="GN457" i="1"/>
  <c r="GO457" i="1"/>
  <c r="CC462" i="1" s="1"/>
  <c r="GP457" i="1"/>
  <c r="GV457" i="1"/>
  <c r="HC457" i="1"/>
  <c r="GX457" i="1" s="1"/>
  <c r="P458" i="1"/>
  <c r="S458" i="1"/>
  <c r="AC458" i="1"/>
  <c r="AD458" i="1"/>
  <c r="AE458" i="1"/>
  <c r="AF458" i="1"/>
  <c r="CT458" i="1" s="1"/>
  <c r="AG458" i="1"/>
  <c r="CU458" i="1" s="1"/>
  <c r="T458" i="1" s="1"/>
  <c r="DY462" i="1" s="1"/>
  <c r="AH458" i="1"/>
  <c r="CV458" i="1" s="1"/>
  <c r="U458" i="1" s="1"/>
  <c r="DZ462" i="1" s="1"/>
  <c r="AI458" i="1"/>
  <c r="CW458" i="1" s="1"/>
  <c r="V458" i="1" s="1"/>
  <c r="EA462" i="1" s="1"/>
  <c r="DN462" i="1" s="1"/>
  <c r="AJ458" i="1"/>
  <c r="CQ458" i="1"/>
  <c r="CX458" i="1"/>
  <c r="W458" i="1" s="1"/>
  <c r="CZ458" i="1"/>
  <c r="FR458" i="1"/>
  <c r="GL458" i="1"/>
  <c r="GN458" i="1"/>
  <c r="FT462" i="1" s="1"/>
  <c r="GO458" i="1"/>
  <c r="GP458" i="1"/>
  <c r="GV458" i="1"/>
  <c r="GX458" i="1"/>
  <c r="GB462" i="1" s="1"/>
  <c r="ES462" i="1" s="1"/>
  <c r="ES455" i="1" s="1"/>
  <c r="HC458" i="1"/>
  <c r="Q459" i="1"/>
  <c r="R459" i="1"/>
  <c r="AC459" i="1"/>
  <c r="CQ459" i="1" s="1"/>
  <c r="AE459" i="1"/>
  <c r="AD459" i="1" s="1"/>
  <c r="AF459" i="1"/>
  <c r="AG459" i="1"/>
  <c r="AH459" i="1"/>
  <c r="AI459" i="1"/>
  <c r="AJ459" i="1"/>
  <c r="CX459" i="1" s="1"/>
  <c r="W459" i="1" s="1"/>
  <c r="CS459" i="1"/>
  <c r="CU459" i="1"/>
  <c r="T459" i="1" s="1"/>
  <c r="CV459" i="1"/>
  <c r="U459" i="1" s="1"/>
  <c r="CW459" i="1"/>
  <c r="V459" i="1" s="1"/>
  <c r="GL459" i="1"/>
  <c r="GN459" i="1"/>
  <c r="GO459" i="1"/>
  <c r="GP459" i="1"/>
  <c r="GV459" i="1"/>
  <c r="GX459" i="1"/>
  <c r="HC459" i="1"/>
  <c r="R460" i="1"/>
  <c r="U460" i="1"/>
  <c r="AB460" i="1"/>
  <c r="AC460" i="1"/>
  <c r="P460" i="1" s="1"/>
  <c r="AE460" i="1"/>
  <c r="AD460" i="1" s="1"/>
  <c r="AF460" i="1"/>
  <c r="CT460" i="1" s="1"/>
  <c r="AG460" i="1"/>
  <c r="CU460" i="1" s="1"/>
  <c r="T460" i="1" s="1"/>
  <c r="AH460" i="1"/>
  <c r="AI460" i="1"/>
  <c r="CW460" i="1" s="1"/>
  <c r="V460" i="1" s="1"/>
  <c r="AJ460" i="1"/>
  <c r="CX460" i="1" s="1"/>
  <c r="W460" i="1" s="1"/>
  <c r="CQ460" i="1"/>
  <c r="CR460" i="1"/>
  <c r="CS460" i="1"/>
  <c r="CV460" i="1"/>
  <c r="FR460" i="1"/>
  <c r="GL460" i="1"/>
  <c r="GN460" i="1"/>
  <c r="GO460" i="1"/>
  <c r="GP460" i="1"/>
  <c r="GV460" i="1"/>
  <c r="HC460" i="1"/>
  <c r="GX460" i="1" s="1"/>
  <c r="B462" i="1"/>
  <c r="C462" i="1"/>
  <c r="C455" i="1" s="1"/>
  <c r="D462" i="1"/>
  <c r="D455" i="1" s="1"/>
  <c r="F462" i="1"/>
  <c r="F455" i="1" s="1"/>
  <c r="G462" i="1"/>
  <c r="G455" i="1" s="1"/>
  <c r="AD462" i="1"/>
  <c r="AE462" i="1"/>
  <c r="AI462" i="1"/>
  <c r="V462" i="1" s="1"/>
  <c r="V455" i="1" s="1"/>
  <c r="AO462" i="1"/>
  <c r="BB462" i="1"/>
  <c r="BC462" i="1"/>
  <c r="BC455" i="1" s="1"/>
  <c r="BD462" i="1"/>
  <c r="BD455" i="1" s="1"/>
  <c r="BX462" i="1"/>
  <c r="BX455" i="1" s="1"/>
  <c r="CB462" i="1"/>
  <c r="CB455" i="1" s="1"/>
  <c r="CD462" i="1"/>
  <c r="CD455" i="1" s="1"/>
  <c r="CG462" i="1"/>
  <c r="CJ462" i="1"/>
  <c r="CJ455" i="1" s="1"/>
  <c r="CK462" i="1"/>
  <c r="CK455" i="1" s="1"/>
  <c r="CL462" i="1"/>
  <c r="CM462" i="1"/>
  <c r="DK462" i="1"/>
  <c r="DU462" i="1"/>
  <c r="DX462" i="1"/>
  <c r="DX455" i="1" s="1"/>
  <c r="EB462" i="1"/>
  <c r="DO462" i="1" s="1"/>
  <c r="EM462" i="1"/>
  <c r="EM455" i="1" s="1"/>
  <c r="EU462" i="1"/>
  <c r="FP462" i="1"/>
  <c r="FP455" i="1" s="1"/>
  <c r="FQ462" i="1"/>
  <c r="FR462" i="1"/>
  <c r="FU462" i="1"/>
  <c r="FV462" i="1"/>
  <c r="FV455" i="1" s="1"/>
  <c r="GC462" i="1"/>
  <c r="GD462" i="1"/>
  <c r="GD455" i="1" s="1"/>
  <c r="GE462" i="1"/>
  <c r="P481" i="1"/>
  <c r="P482" i="1"/>
  <c r="F485" i="1"/>
  <c r="F487" i="1"/>
  <c r="D492" i="1"/>
  <c r="E494" i="1"/>
  <c r="Z494" i="1"/>
  <c r="AA494" i="1"/>
  <c r="AM494" i="1"/>
  <c r="AN494" i="1"/>
  <c r="BE494" i="1"/>
  <c r="BF494" i="1"/>
  <c r="BG494" i="1"/>
  <c r="BH494" i="1"/>
  <c r="BI494" i="1"/>
  <c r="BJ494" i="1"/>
  <c r="BK494" i="1"/>
  <c r="BL494" i="1"/>
  <c r="BM494" i="1"/>
  <c r="BN494" i="1"/>
  <c r="BO494" i="1"/>
  <c r="BP494" i="1"/>
  <c r="BQ494" i="1"/>
  <c r="BR494" i="1"/>
  <c r="BS494" i="1"/>
  <c r="BT494" i="1"/>
  <c r="BU494" i="1"/>
  <c r="BV494" i="1"/>
  <c r="BW494" i="1"/>
  <c r="CN494" i="1"/>
  <c r="CO494" i="1"/>
  <c r="CP494" i="1"/>
  <c r="CQ494" i="1"/>
  <c r="CR494" i="1"/>
  <c r="CS494" i="1"/>
  <c r="CT494" i="1"/>
  <c r="CU494" i="1"/>
  <c r="CV494" i="1"/>
  <c r="CW494" i="1"/>
  <c r="CX494" i="1"/>
  <c r="CY494" i="1"/>
  <c r="CZ494" i="1"/>
  <c r="DA494" i="1"/>
  <c r="DB494" i="1"/>
  <c r="DC494" i="1"/>
  <c r="DD494" i="1"/>
  <c r="DE494" i="1"/>
  <c r="DF494" i="1"/>
  <c r="DR494" i="1"/>
  <c r="DS494" i="1"/>
  <c r="EE494" i="1"/>
  <c r="EF494" i="1"/>
  <c r="EW494" i="1"/>
  <c r="EX494" i="1"/>
  <c r="EY494" i="1"/>
  <c r="EZ494" i="1"/>
  <c r="FA494" i="1"/>
  <c r="FB494" i="1"/>
  <c r="FC494" i="1"/>
  <c r="FD494" i="1"/>
  <c r="FE494" i="1"/>
  <c r="FF494" i="1"/>
  <c r="FG494" i="1"/>
  <c r="FH494" i="1"/>
  <c r="FI494" i="1"/>
  <c r="FJ494" i="1"/>
  <c r="FK494" i="1"/>
  <c r="FL494" i="1"/>
  <c r="FM494" i="1"/>
  <c r="FN494" i="1"/>
  <c r="FO494" i="1"/>
  <c r="GF494" i="1"/>
  <c r="GG494" i="1"/>
  <c r="GH494" i="1"/>
  <c r="GI494" i="1"/>
  <c r="GJ494" i="1"/>
  <c r="GK494" i="1"/>
  <c r="GL494" i="1"/>
  <c r="GM494" i="1"/>
  <c r="GN494" i="1"/>
  <c r="GO494" i="1"/>
  <c r="GP494" i="1"/>
  <c r="GQ494" i="1"/>
  <c r="GR494" i="1"/>
  <c r="GS494" i="1"/>
  <c r="GT494" i="1"/>
  <c r="GU494" i="1"/>
  <c r="GV494" i="1"/>
  <c r="GW494" i="1"/>
  <c r="GX494" i="1"/>
  <c r="C496" i="1"/>
  <c r="D496" i="1"/>
  <c r="I496" i="1"/>
  <c r="Q496" i="1" s="1"/>
  <c r="K496" i="1"/>
  <c r="S496" i="1"/>
  <c r="Y496" i="1" s="1"/>
  <c r="T496" i="1"/>
  <c r="X496" i="1"/>
  <c r="AC496" i="1"/>
  <c r="AD496" i="1"/>
  <c r="AE496" i="1"/>
  <c r="CS496" i="1" s="1"/>
  <c r="AF496" i="1"/>
  <c r="AG496" i="1"/>
  <c r="AH496" i="1"/>
  <c r="CV496" i="1" s="1"/>
  <c r="U496" i="1" s="1"/>
  <c r="AI496" i="1"/>
  <c r="CW496" i="1" s="1"/>
  <c r="V496" i="1" s="1"/>
  <c r="AJ496" i="1"/>
  <c r="CQ496" i="1"/>
  <c r="CR496" i="1"/>
  <c r="CT496" i="1"/>
  <c r="CU496" i="1"/>
  <c r="CX496" i="1"/>
  <c r="W496" i="1" s="1"/>
  <c r="CY496" i="1"/>
  <c r="CZ496" i="1"/>
  <c r="GL496" i="1"/>
  <c r="GN496" i="1"/>
  <c r="GP496" i="1"/>
  <c r="GV496" i="1"/>
  <c r="HC496" i="1" s="1"/>
  <c r="GX496" i="1"/>
  <c r="C497" i="1"/>
  <c r="D497" i="1"/>
  <c r="I497" i="1"/>
  <c r="K497" i="1"/>
  <c r="P497" i="1"/>
  <c r="CP497" i="1" s="1"/>
  <c r="O497" i="1" s="1"/>
  <c r="AC497" i="1"/>
  <c r="AE497" i="1"/>
  <c r="Q497" i="1" s="1"/>
  <c r="AF497" i="1"/>
  <c r="S497" i="1" s="1"/>
  <c r="X497" i="1" s="1"/>
  <c r="AG497" i="1"/>
  <c r="AH497" i="1"/>
  <c r="CV497" i="1" s="1"/>
  <c r="U497" i="1" s="1"/>
  <c r="AI497" i="1"/>
  <c r="CW497" i="1" s="1"/>
  <c r="V497" i="1" s="1"/>
  <c r="AJ497" i="1"/>
  <c r="CX497" i="1" s="1"/>
  <c r="CQ497" i="1"/>
  <c r="CT497" i="1"/>
  <c r="CU497" i="1"/>
  <c r="T497" i="1" s="1"/>
  <c r="CY497" i="1"/>
  <c r="GL497" i="1"/>
  <c r="GN497" i="1"/>
  <c r="FT549" i="1" s="1"/>
  <c r="FT494" i="1" s="1"/>
  <c r="GP497" i="1"/>
  <c r="GV497" i="1"/>
  <c r="GX497" i="1"/>
  <c r="HC497" i="1"/>
  <c r="I498" i="1"/>
  <c r="R498" i="1" s="1"/>
  <c r="P498" i="1"/>
  <c r="V498" i="1"/>
  <c r="AC498" i="1"/>
  <c r="AD498" i="1"/>
  <c r="AB498" i="1" s="1"/>
  <c r="AE498" i="1"/>
  <c r="CS498" i="1" s="1"/>
  <c r="AF498" i="1"/>
  <c r="CT498" i="1" s="1"/>
  <c r="AG498" i="1"/>
  <c r="AH498" i="1"/>
  <c r="CV498" i="1" s="1"/>
  <c r="U498" i="1" s="1"/>
  <c r="AI498" i="1"/>
  <c r="CW498" i="1" s="1"/>
  <c r="AJ498" i="1"/>
  <c r="CX498" i="1" s="1"/>
  <c r="W498" i="1" s="1"/>
  <c r="CQ498" i="1"/>
  <c r="CR498" i="1"/>
  <c r="CU498" i="1"/>
  <c r="T498" i="1" s="1"/>
  <c r="GL498" i="1"/>
  <c r="GN498" i="1"/>
  <c r="GP498" i="1"/>
  <c r="GV498" i="1"/>
  <c r="GX498" i="1"/>
  <c r="HC498" i="1"/>
  <c r="AC499" i="1"/>
  <c r="AE499" i="1"/>
  <c r="CS499" i="1" s="1"/>
  <c r="AF499" i="1"/>
  <c r="CT499" i="1" s="1"/>
  <c r="AG499" i="1"/>
  <c r="CU499" i="1" s="1"/>
  <c r="AH499" i="1"/>
  <c r="CV499" i="1" s="1"/>
  <c r="AI499" i="1"/>
  <c r="AJ499" i="1"/>
  <c r="CQ499" i="1"/>
  <c r="CW499" i="1"/>
  <c r="CX499" i="1"/>
  <c r="GL499" i="1"/>
  <c r="GN499" i="1"/>
  <c r="GP499" i="1"/>
  <c r="GV499" i="1"/>
  <c r="HC499" i="1"/>
  <c r="P500" i="1"/>
  <c r="R500" i="1"/>
  <c r="U500" i="1"/>
  <c r="V500" i="1"/>
  <c r="Y500" i="1"/>
  <c r="AC500" i="1"/>
  <c r="CQ500" i="1" s="1"/>
  <c r="AD500" i="1"/>
  <c r="AB500" i="1" s="1"/>
  <c r="AE500" i="1"/>
  <c r="Q500" i="1" s="1"/>
  <c r="AF500" i="1"/>
  <c r="S500" i="1" s="1"/>
  <c r="AG500" i="1"/>
  <c r="AH500" i="1"/>
  <c r="AI500" i="1"/>
  <c r="AJ500" i="1"/>
  <c r="CX500" i="1" s="1"/>
  <c r="W500" i="1" s="1"/>
  <c r="CR500" i="1"/>
  <c r="CS500" i="1"/>
  <c r="CT500" i="1"/>
  <c r="CU500" i="1"/>
  <c r="T500" i="1" s="1"/>
  <c r="CV500" i="1"/>
  <c r="CW500" i="1"/>
  <c r="CZ500" i="1"/>
  <c r="GL500" i="1"/>
  <c r="GO500" i="1"/>
  <c r="GP500" i="1"/>
  <c r="GV500" i="1"/>
  <c r="GX500" i="1"/>
  <c r="HC500" i="1"/>
  <c r="R501" i="1"/>
  <c r="AC501" i="1"/>
  <c r="P501" i="1" s="1"/>
  <c r="AD501" i="1"/>
  <c r="AE501" i="1"/>
  <c r="Q501" i="1" s="1"/>
  <c r="AF501" i="1"/>
  <c r="S501" i="1" s="1"/>
  <c r="AG501" i="1"/>
  <c r="CU501" i="1" s="1"/>
  <c r="T501" i="1" s="1"/>
  <c r="AH501" i="1"/>
  <c r="CV501" i="1" s="1"/>
  <c r="U501" i="1" s="1"/>
  <c r="AI501" i="1"/>
  <c r="AJ501" i="1"/>
  <c r="CR501" i="1"/>
  <c r="CS501" i="1"/>
  <c r="CT501" i="1"/>
  <c r="CW501" i="1"/>
  <c r="V501" i="1" s="1"/>
  <c r="CX501" i="1"/>
  <c r="W501" i="1" s="1"/>
  <c r="GL501" i="1"/>
  <c r="GO501" i="1"/>
  <c r="GP501" i="1"/>
  <c r="GV501" i="1"/>
  <c r="HC501" i="1" s="1"/>
  <c r="GX501" i="1" s="1"/>
  <c r="I502" i="1"/>
  <c r="P502" i="1" s="1"/>
  <c r="K502" i="1"/>
  <c r="T502" i="1"/>
  <c r="AC502" i="1"/>
  <c r="CQ502" i="1" s="1"/>
  <c r="AE502" i="1"/>
  <c r="AD502" i="1" s="1"/>
  <c r="AB502" i="1" s="1"/>
  <c r="AF502" i="1"/>
  <c r="CT502" i="1" s="1"/>
  <c r="AG502" i="1"/>
  <c r="CU502" i="1" s="1"/>
  <c r="AH502" i="1"/>
  <c r="AI502" i="1"/>
  <c r="AJ502" i="1"/>
  <c r="CR502" i="1"/>
  <c r="CV502" i="1"/>
  <c r="U502" i="1" s="1"/>
  <c r="CW502" i="1"/>
  <c r="V502" i="1" s="1"/>
  <c r="CX502" i="1"/>
  <c r="GL502" i="1"/>
  <c r="GN502" i="1"/>
  <c r="GP502" i="1"/>
  <c r="GV502" i="1"/>
  <c r="HC502" i="1"/>
  <c r="GX502" i="1" s="1"/>
  <c r="I503" i="1"/>
  <c r="K503" i="1"/>
  <c r="T503" i="1"/>
  <c r="AC503" i="1"/>
  <c r="AD503" i="1"/>
  <c r="AB503" i="1" s="1"/>
  <c r="AE503" i="1"/>
  <c r="CR503" i="1" s="1"/>
  <c r="AF503" i="1"/>
  <c r="S503" i="1" s="1"/>
  <c r="AG503" i="1"/>
  <c r="AH503" i="1"/>
  <c r="AI503" i="1"/>
  <c r="CW503" i="1" s="1"/>
  <c r="AJ503" i="1"/>
  <c r="CX503" i="1" s="1"/>
  <c r="W503" i="1" s="1"/>
  <c r="CQ503" i="1"/>
  <c r="CT503" i="1"/>
  <c r="CU503" i="1"/>
  <c r="CV503" i="1"/>
  <c r="U503" i="1" s="1"/>
  <c r="GL503" i="1"/>
  <c r="GN503" i="1"/>
  <c r="GP503" i="1"/>
  <c r="GV503" i="1"/>
  <c r="HC503" i="1" s="1"/>
  <c r="GX503" i="1" s="1"/>
  <c r="I504" i="1"/>
  <c r="Q504" i="1" s="1"/>
  <c r="K504" i="1"/>
  <c r="P504" i="1"/>
  <c r="CP504" i="1" s="1"/>
  <c r="O504" i="1" s="1"/>
  <c r="S504" i="1"/>
  <c r="AC504" i="1"/>
  <c r="AD504" i="1"/>
  <c r="AE504" i="1"/>
  <c r="CS504" i="1" s="1"/>
  <c r="AF504" i="1"/>
  <c r="AG504" i="1"/>
  <c r="CU504" i="1" s="1"/>
  <c r="T504" i="1" s="1"/>
  <c r="AH504" i="1"/>
  <c r="CV504" i="1" s="1"/>
  <c r="U504" i="1" s="1"/>
  <c r="AI504" i="1"/>
  <c r="CW504" i="1" s="1"/>
  <c r="V504" i="1" s="1"/>
  <c r="AJ504" i="1"/>
  <c r="CX504" i="1" s="1"/>
  <c r="W504" i="1" s="1"/>
  <c r="CR504" i="1"/>
  <c r="CT504" i="1"/>
  <c r="GL504" i="1"/>
  <c r="GN504" i="1"/>
  <c r="GP504" i="1"/>
  <c r="GV504" i="1"/>
  <c r="HC504" i="1" s="1"/>
  <c r="GX504" i="1"/>
  <c r="I505" i="1"/>
  <c r="K505" i="1"/>
  <c r="Q505" i="1"/>
  <c r="R505" i="1"/>
  <c r="S505" i="1"/>
  <c r="T505" i="1"/>
  <c r="V505" i="1"/>
  <c r="AC505" i="1"/>
  <c r="CQ505" i="1" s="1"/>
  <c r="AD505" i="1"/>
  <c r="AE505" i="1"/>
  <c r="CR505" i="1" s="1"/>
  <c r="AF505" i="1"/>
  <c r="CT505" i="1" s="1"/>
  <c r="AG505" i="1"/>
  <c r="CU505" i="1" s="1"/>
  <c r="AH505" i="1"/>
  <c r="AI505" i="1"/>
  <c r="AJ505" i="1"/>
  <c r="CX505" i="1" s="1"/>
  <c r="W505" i="1" s="1"/>
  <c r="CS505" i="1"/>
  <c r="CV505" i="1"/>
  <c r="U505" i="1" s="1"/>
  <c r="CW505" i="1"/>
  <c r="GL505" i="1"/>
  <c r="GN505" i="1"/>
  <c r="GP505" i="1"/>
  <c r="GV505" i="1"/>
  <c r="HC505" i="1" s="1"/>
  <c r="GX505" i="1"/>
  <c r="I506" i="1"/>
  <c r="K506" i="1"/>
  <c r="T506" i="1"/>
  <c r="V506" i="1"/>
  <c r="W506" i="1"/>
  <c r="X506" i="1"/>
  <c r="Y506" i="1"/>
  <c r="AC506" i="1"/>
  <c r="P506" i="1" s="1"/>
  <c r="AE506" i="1"/>
  <c r="AD506" i="1" s="1"/>
  <c r="AB506" i="1" s="1"/>
  <c r="AF506" i="1"/>
  <c r="S506" i="1" s="1"/>
  <c r="CZ506" i="1" s="1"/>
  <c r="AG506" i="1"/>
  <c r="CU506" i="1" s="1"/>
  <c r="AH506" i="1"/>
  <c r="CV506" i="1" s="1"/>
  <c r="U506" i="1" s="1"/>
  <c r="AI506" i="1"/>
  <c r="AJ506" i="1"/>
  <c r="CX506" i="1" s="1"/>
  <c r="CQ506" i="1"/>
  <c r="CR506" i="1"/>
  <c r="CS506" i="1"/>
  <c r="CW506" i="1"/>
  <c r="GL506" i="1"/>
  <c r="GN506" i="1"/>
  <c r="GP506" i="1"/>
  <c r="GV506" i="1"/>
  <c r="HC506" i="1" s="1"/>
  <c r="GX506" i="1" s="1"/>
  <c r="I507" i="1"/>
  <c r="Q507" i="1" s="1"/>
  <c r="K507" i="1"/>
  <c r="P507" i="1"/>
  <c r="S507" i="1"/>
  <c r="CY507" i="1" s="1"/>
  <c r="X507" i="1"/>
  <c r="Y507" i="1"/>
  <c r="AC507" i="1"/>
  <c r="AE507" i="1"/>
  <c r="CS507" i="1" s="1"/>
  <c r="AF507" i="1"/>
  <c r="AG507" i="1"/>
  <c r="AH507" i="1"/>
  <c r="CV507" i="1" s="1"/>
  <c r="U507" i="1" s="1"/>
  <c r="AI507" i="1"/>
  <c r="CW507" i="1" s="1"/>
  <c r="V507" i="1" s="1"/>
  <c r="AJ507" i="1"/>
  <c r="CQ507" i="1"/>
  <c r="CT507" i="1"/>
  <c r="CU507" i="1"/>
  <c r="T507" i="1" s="1"/>
  <c r="CX507" i="1"/>
  <c r="W507" i="1" s="1"/>
  <c r="GL507" i="1"/>
  <c r="GN507" i="1"/>
  <c r="GP507" i="1"/>
  <c r="GV507" i="1"/>
  <c r="HC507" i="1"/>
  <c r="GX507" i="1" s="1"/>
  <c r="I508" i="1"/>
  <c r="Q508" i="1" s="1"/>
  <c r="CP508" i="1" s="1"/>
  <c r="O508" i="1" s="1"/>
  <c r="K508" i="1"/>
  <c r="P508" i="1"/>
  <c r="S508" i="1"/>
  <c r="W508" i="1"/>
  <c r="Y508" i="1"/>
  <c r="AB508" i="1"/>
  <c r="AC508" i="1"/>
  <c r="AE508" i="1"/>
  <c r="AD508" i="1" s="1"/>
  <c r="AF508" i="1"/>
  <c r="AG508" i="1"/>
  <c r="CU508" i="1" s="1"/>
  <c r="T508" i="1" s="1"/>
  <c r="AH508" i="1"/>
  <c r="AI508" i="1"/>
  <c r="CW508" i="1" s="1"/>
  <c r="V508" i="1" s="1"/>
  <c r="AJ508" i="1"/>
  <c r="CQ508" i="1"/>
  <c r="CR508" i="1"/>
  <c r="CS508" i="1"/>
  <c r="CT508" i="1"/>
  <c r="CV508" i="1"/>
  <c r="U508" i="1" s="1"/>
  <c r="CX508" i="1"/>
  <c r="GL508" i="1"/>
  <c r="GN508" i="1"/>
  <c r="GP508" i="1"/>
  <c r="GV508" i="1"/>
  <c r="HC508" i="1" s="1"/>
  <c r="GX508" i="1"/>
  <c r="I509" i="1"/>
  <c r="K509" i="1"/>
  <c r="S509" i="1"/>
  <c r="W509" i="1"/>
  <c r="X509" i="1"/>
  <c r="AC509" i="1"/>
  <c r="P509" i="1" s="1"/>
  <c r="AE509" i="1"/>
  <c r="Q509" i="1" s="1"/>
  <c r="CP509" i="1" s="1"/>
  <c r="O509" i="1" s="1"/>
  <c r="AF509" i="1"/>
  <c r="AG509" i="1"/>
  <c r="AH509" i="1"/>
  <c r="CV509" i="1" s="1"/>
  <c r="U509" i="1" s="1"/>
  <c r="AI509" i="1"/>
  <c r="AJ509" i="1"/>
  <c r="CQ509" i="1"/>
  <c r="CS509" i="1"/>
  <c r="CT509" i="1"/>
  <c r="CU509" i="1"/>
  <c r="T509" i="1" s="1"/>
  <c r="CW509" i="1"/>
  <c r="V509" i="1" s="1"/>
  <c r="CX509" i="1"/>
  <c r="GL509" i="1"/>
  <c r="GN509" i="1"/>
  <c r="GP509" i="1"/>
  <c r="GV509" i="1"/>
  <c r="HC509" i="1" s="1"/>
  <c r="GX509" i="1"/>
  <c r="I510" i="1"/>
  <c r="K510" i="1"/>
  <c r="R510" i="1"/>
  <c r="V510" i="1"/>
  <c r="W510" i="1"/>
  <c r="AC510" i="1"/>
  <c r="CQ510" i="1" s="1"/>
  <c r="AE510" i="1"/>
  <c r="CR510" i="1" s="1"/>
  <c r="AF510" i="1"/>
  <c r="CT510" i="1" s="1"/>
  <c r="AG510" i="1"/>
  <c r="CU510" i="1" s="1"/>
  <c r="T510" i="1" s="1"/>
  <c r="AH510" i="1"/>
  <c r="CV510" i="1" s="1"/>
  <c r="U510" i="1" s="1"/>
  <c r="AI510" i="1"/>
  <c r="AJ510" i="1"/>
  <c r="CX510" i="1" s="1"/>
  <c r="CS510" i="1"/>
  <c r="CW510" i="1"/>
  <c r="GL510" i="1"/>
  <c r="GN510" i="1"/>
  <c r="GP510" i="1"/>
  <c r="GV510" i="1"/>
  <c r="HC510" i="1" s="1"/>
  <c r="GX510" i="1" s="1"/>
  <c r="I511" i="1"/>
  <c r="K511" i="1"/>
  <c r="AC511" i="1"/>
  <c r="CQ511" i="1" s="1"/>
  <c r="AE511" i="1"/>
  <c r="AF511" i="1"/>
  <c r="AG511" i="1"/>
  <c r="AH511" i="1"/>
  <c r="AI511" i="1"/>
  <c r="AJ511" i="1"/>
  <c r="CX511" i="1" s="1"/>
  <c r="W511" i="1" s="1"/>
  <c r="CU511" i="1"/>
  <c r="T511" i="1" s="1"/>
  <c r="CV511" i="1"/>
  <c r="U511" i="1" s="1"/>
  <c r="CW511" i="1"/>
  <c r="V511" i="1" s="1"/>
  <c r="GL511" i="1"/>
  <c r="GN511" i="1"/>
  <c r="GP511" i="1"/>
  <c r="GV511" i="1"/>
  <c r="HC511" i="1"/>
  <c r="GX511" i="1" s="1"/>
  <c r="I512" i="1"/>
  <c r="K512" i="1"/>
  <c r="AC512" i="1"/>
  <c r="AD512" i="1"/>
  <c r="AB512" i="1" s="1"/>
  <c r="AE512" i="1"/>
  <c r="CS512" i="1" s="1"/>
  <c r="AF512" i="1"/>
  <c r="CT512" i="1" s="1"/>
  <c r="AG512" i="1"/>
  <c r="AH512" i="1"/>
  <c r="CV512" i="1" s="1"/>
  <c r="AI512" i="1"/>
  <c r="CW512" i="1" s="1"/>
  <c r="AJ512" i="1"/>
  <c r="CX512" i="1" s="1"/>
  <c r="CQ512" i="1"/>
  <c r="CR512" i="1"/>
  <c r="CU512" i="1"/>
  <c r="GL512" i="1"/>
  <c r="GN512" i="1"/>
  <c r="CB549" i="1" s="1"/>
  <c r="GP512" i="1"/>
  <c r="GV512" i="1"/>
  <c r="HC512" i="1"/>
  <c r="I513" i="1"/>
  <c r="K513" i="1"/>
  <c r="S513" i="1"/>
  <c r="T513" i="1"/>
  <c r="AC513" i="1"/>
  <c r="CQ513" i="1" s="1"/>
  <c r="AE513" i="1"/>
  <c r="CR513" i="1" s="1"/>
  <c r="AF513" i="1"/>
  <c r="AG513" i="1"/>
  <c r="CU513" i="1" s="1"/>
  <c r="AH513" i="1"/>
  <c r="CV513" i="1" s="1"/>
  <c r="U513" i="1" s="1"/>
  <c r="AI513" i="1"/>
  <c r="AJ513" i="1"/>
  <c r="CT513" i="1"/>
  <c r="CW513" i="1"/>
  <c r="V513" i="1" s="1"/>
  <c r="CX513" i="1"/>
  <c r="W513" i="1" s="1"/>
  <c r="CY513" i="1"/>
  <c r="GL513" i="1"/>
  <c r="GN513" i="1"/>
  <c r="GP513" i="1"/>
  <c r="GV513" i="1"/>
  <c r="HC513" i="1"/>
  <c r="GX513" i="1" s="1"/>
  <c r="I514" i="1"/>
  <c r="Q514" i="1" s="1"/>
  <c r="K514" i="1"/>
  <c r="R514" i="1"/>
  <c r="AC514" i="1"/>
  <c r="AD514" i="1"/>
  <c r="AE514" i="1"/>
  <c r="AF514" i="1"/>
  <c r="S514" i="1" s="1"/>
  <c r="AG514" i="1"/>
  <c r="CU514" i="1" s="1"/>
  <c r="T514" i="1" s="1"/>
  <c r="AH514" i="1"/>
  <c r="CV514" i="1" s="1"/>
  <c r="U514" i="1" s="1"/>
  <c r="AI514" i="1"/>
  <c r="AJ514" i="1"/>
  <c r="CX514" i="1" s="1"/>
  <c r="W514" i="1" s="1"/>
  <c r="CR514" i="1"/>
  <c r="CS514" i="1"/>
  <c r="CT514" i="1"/>
  <c r="CW514" i="1"/>
  <c r="V514" i="1" s="1"/>
  <c r="GL514" i="1"/>
  <c r="GN514" i="1"/>
  <c r="GP514" i="1"/>
  <c r="CD549" i="1" s="1"/>
  <c r="GV514" i="1"/>
  <c r="HC514" i="1" s="1"/>
  <c r="GX514" i="1" s="1"/>
  <c r="I515" i="1"/>
  <c r="P515" i="1" s="1"/>
  <c r="K515" i="1"/>
  <c r="U515" i="1"/>
  <c r="AC515" i="1"/>
  <c r="CQ515" i="1" s="1"/>
  <c r="AE515" i="1"/>
  <c r="CS515" i="1" s="1"/>
  <c r="AF515" i="1"/>
  <c r="CT515" i="1" s="1"/>
  <c r="AG515" i="1"/>
  <c r="CU515" i="1" s="1"/>
  <c r="T515" i="1" s="1"/>
  <c r="AH515" i="1"/>
  <c r="AI515" i="1"/>
  <c r="CW515" i="1" s="1"/>
  <c r="V515" i="1" s="1"/>
  <c r="AJ515" i="1"/>
  <c r="CX515" i="1" s="1"/>
  <c r="W515" i="1" s="1"/>
  <c r="CR515" i="1"/>
  <c r="CV515" i="1"/>
  <c r="GL515" i="1"/>
  <c r="GN515" i="1"/>
  <c r="GP515" i="1"/>
  <c r="GV515" i="1"/>
  <c r="HC515" i="1"/>
  <c r="GX515" i="1" s="1"/>
  <c r="C516" i="1"/>
  <c r="D516" i="1"/>
  <c r="I516" i="1"/>
  <c r="K516" i="1"/>
  <c r="R516" i="1"/>
  <c r="AC516" i="1"/>
  <c r="AD516" i="1"/>
  <c r="AE516" i="1"/>
  <c r="AF516" i="1"/>
  <c r="S516" i="1" s="1"/>
  <c r="AG516" i="1"/>
  <c r="CU516" i="1" s="1"/>
  <c r="T516" i="1" s="1"/>
  <c r="AH516" i="1"/>
  <c r="AI516" i="1"/>
  <c r="AJ516" i="1"/>
  <c r="CX516" i="1" s="1"/>
  <c r="W516" i="1" s="1"/>
  <c r="CR516" i="1"/>
  <c r="CS516" i="1"/>
  <c r="CT516" i="1"/>
  <c r="CV516" i="1"/>
  <c r="CW516" i="1"/>
  <c r="V516" i="1" s="1"/>
  <c r="GL516" i="1"/>
  <c r="GN516" i="1"/>
  <c r="GP516" i="1"/>
  <c r="GV516" i="1"/>
  <c r="HC516" i="1" s="1"/>
  <c r="GX516" i="1" s="1"/>
  <c r="C517" i="1"/>
  <c r="D517" i="1"/>
  <c r="I517" i="1"/>
  <c r="K517" i="1"/>
  <c r="S517" i="1"/>
  <c r="T517" i="1"/>
  <c r="AC517" i="1"/>
  <c r="CQ517" i="1" s="1"/>
  <c r="AE517" i="1"/>
  <c r="CR517" i="1" s="1"/>
  <c r="AF517" i="1"/>
  <c r="AG517" i="1"/>
  <c r="CU517" i="1" s="1"/>
  <c r="AH517" i="1"/>
  <c r="CV517" i="1" s="1"/>
  <c r="U517" i="1" s="1"/>
  <c r="AI517" i="1"/>
  <c r="AJ517" i="1"/>
  <c r="CT517" i="1"/>
  <c r="CW517" i="1"/>
  <c r="V517" i="1" s="1"/>
  <c r="CX517" i="1"/>
  <c r="W517" i="1" s="1"/>
  <c r="GL517" i="1"/>
  <c r="GN517" i="1"/>
  <c r="GP517" i="1"/>
  <c r="GV517" i="1"/>
  <c r="HC517" i="1"/>
  <c r="GX517" i="1" s="1"/>
  <c r="I518" i="1"/>
  <c r="Q518" i="1" s="1"/>
  <c r="P518" i="1"/>
  <c r="CP518" i="1" s="1"/>
  <c r="O518" i="1" s="1"/>
  <c r="S518" i="1"/>
  <c r="CY518" i="1" s="1"/>
  <c r="AC518" i="1"/>
  <c r="AD518" i="1"/>
  <c r="AE518" i="1"/>
  <c r="AF518" i="1"/>
  <c r="AG518" i="1"/>
  <c r="AH518" i="1"/>
  <c r="CV518" i="1" s="1"/>
  <c r="U518" i="1" s="1"/>
  <c r="AI518" i="1"/>
  <c r="AJ518" i="1"/>
  <c r="CR518" i="1"/>
  <c r="CS518" i="1"/>
  <c r="CT518" i="1"/>
  <c r="CU518" i="1"/>
  <c r="T518" i="1" s="1"/>
  <c r="CW518" i="1"/>
  <c r="CX518" i="1"/>
  <c r="W518" i="1" s="1"/>
  <c r="GL518" i="1"/>
  <c r="GN518" i="1"/>
  <c r="GP518" i="1"/>
  <c r="GV518" i="1"/>
  <c r="HC518" i="1" s="1"/>
  <c r="GX518" i="1" s="1"/>
  <c r="I519" i="1"/>
  <c r="Q519" i="1" s="1"/>
  <c r="R519" i="1"/>
  <c r="S519" i="1"/>
  <c r="Y519" i="1" s="1"/>
  <c r="W519" i="1"/>
  <c r="X519" i="1"/>
  <c r="AC519" i="1"/>
  <c r="AB519" i="1" s="1"/>
  <c r="AD519" i="1"/>
  <c r="AE519" i="1"/>
  <c r="AF519" i="1"/>
  <c r="AG519" i="1"/>
  <c r="CU519" i="1" s="1"/>
  <c r="T519" i="1" s="1"/>
  <c r="AH519" i="1"/>
  <c r="CV519" i="1" s="1"/>
  <c r="U519" i="1" s="1"/>
  <c r="AI519" i="1"/>
  <c r="CW519" i="1" s="1"/>
  <c r="V519" i="1" s="1"/>
  <c r="AJ519" i="1"/>
  <c r="CQ519" i="1"/>
  <c r="CR519" i="1"/>
  <c r="CS519" i="1"/>
  <c r="CT519" i="1"/>
  <c r="CX519" i="1"/>
  <c r="CZ519" i="1"/>
  <c r="GL519" i="1"/>
  <c r="GN519" i="1"/>
  <c r="GP519" i="1"/>
  <c r="GV519" i="1"/>
  <c r="HC519" i="1" s="1"/>
  <c r="GX519" i="1" s="1"/>
  <c r="AC520" i="1"/>
  <c r="CQ520" i="1" s="1"/>
  <c r="AE520" i="1"/>
  <c r="CR520" i="1" s="1"/>
  <c r="AF520" i="1"/>
  <c r="AG520" i="1"/>
  <c r="CU520" i="1" s="1"/>
  <c r="AH520" i="1"/>
  <c r="CV520" i="1" s="1"/>
  <c r="AI520" i="1"/>
  <c r="AJ520" i="1"/>
  <c r="CT520" i="1"/>
  <c r="CW520" i="1"/>
  <c r="CX520" i="1"/>
  <c r="GL520" i="1"/>
  <c r="GN520" i="1"/>
  <c r="GP520" i="1"/>
  <c r="GV520" i="1"/>
  <c r="HC520" i="1"/>
  <c r="I521" i="1"/>
  <c r="Q521" i="1" s="1"/>
  <c r="P521" i="1"/>
  <c r="S521" i="1"/>
  <c r="CY521" i="1" s="1"/>
  <c r="Y521" i="1"/>
  <c r="AC521" i="1"/>
  <c r="AD521" i="1"/>
  <c r="AE521" i="1"/>
  <c r="AF521" i="1"/>
  <c r="AG521" i="1"/>
  <c r="AH521" i="1"/>
  <c r="CV521" i="1" s="1"/>
  <c r="U521" i="1" s="1"/>
  <c r="AI521" i="1"/>
  <c r="AJ521" i="1"/>
  <c r="CR521" i="1"/>
  <c r="CS521" i="1"/>
  <c r="CT521" i="1"/>
  <c r="CU521" i="1"/>
  <c r="T521" i="1" s="1"/>
  <c r="CW521" i="1"/>
  <c r="CX521" i="1"/>
  <c r="W521" i="1" s="1"/>
  <c r="GL521" i="1"/>
  <c r="GN521" i="1"/>
  <c r="GP521" i="1"/>
  <c r="GV521" i="1"/>
  <c r="HC521" i="1" s="1"/>
  <c r="GX521" i="1"/>
  <c r="C522" i="1"/>
  <c r="D522" i="1"/>
  <c r="I522" i="1"/>
  <c r="Q522" i="1" s="1"/>
  <c r="K522" i="1"/>
  <c r="P522" i="1"/>
  <c r="R522" i="1"/>
  <c r="T522" i="1"/>
  <c r="U522" i="1"/>
  <c r="AC522" i="1"/>
  <c r="AB522" i="1" s="1"/>
  <c r="AD522" i="1"/>
  <c r="AE522" i="1"/>
  <c r="CS522" i="1" s="1"/>
  <c r="AF522" i="1"/>
  <c r="CT522" i="1" s="1"/>
  <c r="AG522" i="1"/>
  <c r="AH522" i="1"/>
  <c r="CV522" i="1" s="1"/>
  <c r="AI522" i="1"/>
  <c r="CW522" i="1" s="1"/>
  <c r="V522" i="1" s="1"/>
  <c r="AJ522" i="1"/>
  <c r="CQ522" i="1"/>
  <c r="CR522" i="1"/>
  <c r="CU522" i="1"/>
  <c r="CX522" i="1"/>
  <c r="W522" i="1" s="1"/>
  <c r="GL522" i="1"/>
  <c r="GN522" i="1"/>
  <c r="GP522" i="1"/>
  <c r="GV522" i="1"/>
  <c r="HC522" i="1" s="1"/>
  <c r="GX522" i="1" s="1"/>
  <c r="C523" i="1"/>
  <c r="D523" i="1"/>
  <c r="I523" i="1"/>
  <c r="K523" i="1"/>
  <c r="AC523" i="1"/>
  <c r="P523" i="1" s="1"/>
  <c r="AE523" i="1"/>
  <c r="AD523" i="1" s="1"/>
  <c r="AB523" i="1" s="1"/>
  <c r="AF523" i="1"/>
  <c r="CT523" i="1" s="1"/>
  <c r="AG523" i="1"/>
  <c r="AH523" i="1"/>
  <c r="AI523" i="1"/>
  <c r="CW523" i="1" s="1"/>
  <c r="V523" i="1" s="1"/>
  <c r="AJ523" i="1"/>
  <c r="CX523" i="1" s="1"/>
  <c r="W523" i="1" s="1"/>
  <c r="CQ523" i="1"/>
  <c r="CR523" i="1"/>
  <c r="CS523" i="1"/>
  <c r="CU523" i="1"/>
  <c r="CV523" i="1"/>
  <c r="U523" i="1" s="1"/>
  <c r="GL523" i="1"/>
  <c r="GN523" i="1"/>
  <c r="GP523" i="1"/>
  <c r="GV523" i="1"/>
  <c r="HC523" i="1"/>
  <c r="GX523" i="1" s="1"/>
  <c r="I524" i="1"/>
  <c r="P524" i="1" s="1"/>
  <c r="S524" i="1"/>
  <c r="X524" i="1" s="1"/>
  <c r="U524" i="1"/>
  <c r="Y524" i="1"/>
  <c r="AC524" i="1"/>
  <c r="CQ524" i="1" s="1"/>
  <c r="AE524" i="1"/>
  <c r="CS524" i="1" s="1"/>
  <c r="AF524" i="1"/>
  <c r="CT524" i="1" s="1"/>
  <c r="AG524" i="1"/>
  <c r="CU524" i="1" s="1"/>
  <c r="T524" i="1" s="1"/>
  <c r="AH524" i="1"/>
  <c r="AI524" i="1"/>
  <c r="CW524" i="1" s="1"/>
  <c r="V524" i="1" s="1"/>
  <c r="AJ524" i="1"/>
  <c r="CX524" i="1" s="1"/>
  <c r="W524" i="1" s="1"/>
  <c r="CR524" i="1"/>
  <c r="CV524" i="1"/>
  <c r="CZ524" i="1"/>
  <c r="GL524" i="1"/>
  <c r="GN524" i="1"/>
  <c r="GP524" i="1"/>
  <c r="GV524" i="1"/>
  <c r="HC524" i="1"/>
  <c r="GX524" i="1" s="1"/>
  <c r="AC525" i="1"/>
  <c r="CQ525" i="1" s="1"/>
  <c r="AE525" i="1"/>
  <c r="AF525" i="1"/>
  <c r="AG525" i="1"/>
  <c r="AH525" i="1"/>
  <c r="AI525" i="1"/>
  <c r="AJ525" i="1"/>
  <c r="CX525" i="1" s="1"/>
  <c r="CU525" i="1"/>
  <c r="CV525" i="1"/>
  <c r="CW525" i="1"/>
  <c r="GL525" i="1"/>
  <c r="GN525" i="1"/>
  <c r="GP525" i="1"/>
  <c r="GV525" i="1"/>
  <c r="HC525" i="1"/>
  <c r="I526" i="1"/>
  <c r="AC526" i="1"/>
  <c r="AE526" i="1"/>
  <c r="AD526" i="1" s="1"/>
  <c r="AB526" i="1" s="1"/>
  <c r="AF526" i="1"/>
  <c r="CT526" i="1" s="1"/>
  <c r="AG526" i="1"/>
  <c r="AH526" i="1"/>
  <c r="AI526" i="1"/>
  <c r="CW526" i="1" s="1"/>
  <c r="V526" i="1" s="1"/>
  <c r="AJ526" i="1"/>
  <c r="CX526" i="1" s="1"/>
  <c r="W526" i="1" s="1"/>
  <c r="CQ526" i="1"/>
  <c r="CR526" i="1"/>
  <c r="CS526" i="1"/>
  <c r="CU526" i="1"/>
  <c r="CV526" i="1"/>
  <c r="GL526" i="1"/>
  <c r="GN526" i="1"/>
  <c r="GP526" i="1"/>
  <c r="GV526" i="1"/>
  <c r="HC526" i="1"/>
  <c r="GX526" i="1" s="1"/>
  <c r="AC527" i="1"/>
  <c r="CQ527" i="1" s="1"/>
  <c r="AE527" i="1"/>
  <c r="CS527" i="1" s="1"/>
  <c r="AF527" i="1"/>
  <c r="CT527" i="1" s="1"/>
  <c r="AG527" i="1"/>
  <c r="CU527" i="1" s="1"/>
  <c r="AH527" i="1"/>
  <c r="AI527" i="1"/>
  <c r="CW527" i="1" s="1"/>
  <c r="AJ527" i="1"/>
  <c r="CX527" i="1" s="1"/>
  <c r="CR527" i="1"/>
  <c r="CV527" i="1"/>
  <c r="GL527" i="1"/>
  <c r="GN527" i="1"/>
  <c r="GP527" i="1"/>
  <c r="GV527" i="1"/>
  <c r="HC527" i="1"/>
  <c r="C528" i="1"/>
  <c r="D528" i="1"/>
  <c r="I528" i="1"/>
  <c r="K528" i="1"/>
  <c r="R528" i="1"/>
  <c r="AC528" i="1"/>
  <c r="AD528" i="1"/>
  <c r="AE528" i="1"/>
  <c r="AF528" i="1"/>
  <c r="S528" i="1" s="1"/>
  <c r="AG528" i="1"/>
  <c r="CU528" i="1" s="1"/>
  <c r="T528" i="1" s="1"/>
  <c r="AH528" i="1"/>
  <c r="AI528" i="1"/>
  <c r="AJ528" i="1"/>
  <c r="CX528" i="1" s="1"/>
  <c r="W528" i="1" s="1"/>
  <c r="CR528" i="1"/>
  <c r="CS528" i="1"/>
  <c r="CT528" i="1"/>
  <c r="CV528" i="1"/>
  <c r="CW528" i="1"/>
  <c r="V528" i="1" s="1"/>
  <c r="GL528" i="1"/>
  <c r="GN528" i="1"/>
  <c r="GP528" i="1"/>
  <c r="GV528" i="1"/>
  <c r="HC528" i="1" s="1"/>
  <c r="GX528" i="1" s="1"/>
  <c r="C529" i="1"/>
  <c r="D529" i="1"/>
  <c r="I529" i="1"/>
  <c r="K529" i="1"/>
  <c r="Q529" i="1"/>
  <c r="S529" i="1"/>
  <c r="T529" i="1"/>
  <c r="W529" i="1"/>
  <c r="AC529" i="1"/>
  <c r="CQ529" i="1" s="1"/>
  <c r="AE529" i="1"/>
  <c r="AF529" i="1"/>
  <c r="AG529" i="1"/>
  <c r="CU529" i="1" s="1"/>
  <c r="AH529" i="1"/>
  <c r="AI529" i="1"/>
  <c r="AJ529" i="1"/>
  <c r="CT529" i="1"/>
  <c r="CV529" i="1"/>
  <c r="U529" i="1" s="1"/>
  <c r="CW529" i="1"/>
  <c r="V529" i="1" s="1"/>
  <c r="CX529" i="1"/>
  <c r="CY529" i="1"/>
  <c r="GL529" i="1"/>
  <c r="GN529" i="1"/>
  <c r="GP529" i="1"/>
  <c r="GV529" i="1"/>
  <c r="HC529" i="1"/>
  <c r="GX529" i="1" s="1"/>
  <c r="I530" i="1"/>
  <c r="Q530" i="1" s="1"/>
  <c r="S530" i="1"/>
  <c r="Y530" i="1"/>
  <c r="AC530" i="1"/>
  <c r="P530" i="1" s="1"/>
  <c r="CP530" i="1" s="1"/>
  <c r="O530" i="1" s="1"/>
  <c r="AD530" i="1"/>
  <c r="AE530" i="1"/>
  <c r="AF530" i="1"/>
  <c r="AG530" i="1"/>
  <c r="AH530" i="1"/>
  <c r="CV530" i="1" s="1"/>
  <c r="U530" i="1" s="1"/>
  <c r="AI530" i="1"/>
  <c r="AJ530" i="1"/>
  <c r="CR530" i="1"/>
  <c r="CS530" i="1"/>
  <c r="CT530" i="1"/>
  <c r="CU530" i="1"/>
  <c r="T530" i="1" s="1"/>
  <c r="CW530" i="1"/>
  <c r="CX530" i="1"/>
  <c r="W530" i="1" s="1"/>
  <c r="GL530" i="1"/>
  <c r="GN530" i="1"/>
  <c r="GP530" i="1"/>
  <c r="GV530" i="1"/>
  <c r="HC530" i="1" s="1"/>
  <c r="GX530" i="1"/>
  <c r="I531" i="1"/>
  <c r="Q531" i="1" s="1"/>
  <c r="R531" i="1"/>
  <c r="S531" i="1"/>
  <c r="Y531" i="1" s="1"/>
  <c r="W531" i="1"/>
  <c r="X531" i="1"/>
  <c r="AC531" i="1"/>
  <c r="AD531" i="1"/>
  <c r="AE531" i="1"/>
  <c r="AF531" i="1"/>
  <c r="AG531" i="1"/>
  <c r="CU531" i="1" s="1"/>
  <c r="T531" i="1" s="1"/>
  <c r="AH531" i="1"/>
  <c r="CV531" i="1" s="1"/>
  <c r="U531" i="1" s="1"/>
  <c r="AI531" i="1"/>
  <c r="CW531" i="1" s="1"/>
  <c r="V531" i="1" s="1"/>
  <c r="AJ531" i="1"/>
  <c r="CQ531" i="1"/>
  <c r="CR531" i="1"/>
  <c r="CS531" i="1"/>
  <c r="CT531" i="1"/>
  <c r="CX531" i="1"/>
  <c r="CZ531" i="1"/>
  <c r="GL531" i="1"/>
  <c r="GN531" i="1"/>
  <c r="GP531" i="1"/>
  <c r="GV531" i="1"/>
  <c r="HC531" i="1" s="1"/>
  <c r="GX531" i="1" s="1"/>
  <c r="AC532" i="1"/>
  <c r="CQ532" i="1" s="1"/>
  <c r="AE532" i="1"/>
  <c r="AF532" i="1"/>
  <c r="AG532" i="1"/>
  <c r="CU532" i="1" s="1"/>
  <c r="AH532" i="1"/>
  <c r="CV532" i="1" s="1"/>
  <c r="AI532" i="1"/>
  <c r="AJ532" i="1"/>
  <c r="CT532" i="1"/>
  <c r="CW532" i="1"/>
  <c r="CX532" i="1"/>
  <c r="GL532" i="1"/>
  <c r="GN532" i="1"/>
  <c r="GP532" i="1"/>
  <c r="GV532" i="1"/>
  <c r="HC532" i="1"/>
  <c r="I533" i="1"/>
  <c r="Q533" i="1" s="1"/>
  <c r="P533" i="1"/>
  <c r="S533" i="1"/>
  <c r="Y533" i="1"/>
  <c r="AC533" i="1"/>
  <c r="AD533" i="1"/>
  <c r="AE533" i="1"/>
  <c r="AF533" i="1"/>
  <c r="AG533" i="1"/>
  <c r="AH533" i="1"/>
  <c r="CV533" i="1" s="1"/>
  <c r="U533" i="1" s="1"/>
  <c r="AI533" i="1"/>
  <c r="AJ533" i="1"/>
  <c r="CR533" i="1"/>
  <c r="CS533" i="1"/>
  <c r="CT533" i="1"/>
  <c r="CU533" i="1"/>
  <c r="T533" i="1" s="1"/>
  <c r="CW533" i="1"/>
  <c r="CX533" i="1"/>
  <c r="W533" i="1" s="1"/>
  <c r="GL533" i="1"/>
  <c r="GN533" i="1"/>
  <c r="GP533" i="1"/>
  <c r="GV533" i="1"/>
  <c r="HC533" i="1" s="1"/>
  <c r="GX533" i="1"/>
  <c r="AC534" i="1"/>
  <c r="AD534" i="1"/>
  <c r="AE534" i="1"/>
  <c r="AF534" i="1"/>
  <c r="AG534" i="1"/>
  <c r="CU534" i="1" s="1"/>
  <c r="AH534" i="1"/>
  <c r="AI534" i="1"/>
  <c r="CW534" i="1" s="1"/>
  <c r="AJ534" i="1"/>
  <c r="CQ534" i="1"/>
  <c r="CR534" i="1"/>
  <c r="CS534" i="1"/>
  <c r="CT534" i="1"/>
  <c r="CV534" i="1"/>
  <c r="CX534" i="1"/>
  <c r="GL534" i="1"/>
  <c r="GN534" i="1"/>
  <c r="GP534" i="1"/>
  <c r="GV534" i="1"/>
  <c r="HC534" i="1" s="1"/>
  <c r="I535" i="1"/>
  <c r="S535" i="1"/>
  <c r="CY535" i="1" s="1"/>
  <c r="AC535" i="1"/>
  <c r="CQ535" i="1" s="1"/>
  <c r="AE535" i="1"/>
  <c r="AF535" i="1"/>
  <c r="AG535" i="1"/>
  <c r="CU535" i="1" s="1"/>
  <c r="T535" i="1" s="1"/>
  <c r="AH535" i="1"/>
  <c r="AI535" i="1"/>
  <c r="AJ535" i="1"/>
  <c r="CT535" i="1"/>
  <c r="CV535" i="1"/>
  <c r="U535" i="1" s="1"/>
  <c r="CW535" i="1"/>
  <c r="V535" i="1" s="1"/>
  <c r="CX535" i="1"/>
  <c r="W535" i="1" s="1"/>
  <c r="GL535" i="1"/>
  <c r="GN535" i="1"/>
  <c r="GP535" i="1"/>
  <c r="GV535" i="1"/>
  <c r="HC535" i="1"/>
  <c r="GX535" i="1" s="1"/>
  <c r="C536" i="1"/>
  <c r="D536" i="1"/>
  <c r="I536" i="1"/>
  <c r="P536" i="1" s="1"/>
  <c r="K536" i="1"/>
  <c r="AC536" i="1"/>
  <c r="AD536" i="1"/>
  <c r="AB536" i="1" s="1"/>
  <c r="AE536" i="1"/>
  <c r="CS536" i="1" s="1"/>
  <c r="AF536" i="1"/>
  <c r="CT536" i="1" s="1"/>
  <c r="AG536" i="1"/>
  <c r="AH536" i="1"/>
  <c r="CV536" i="1" s="1"/>
  <c r="AI536" i="1"/>
  <c r="AJ536" i="1"/>
  <c r="CX536" i="1" s="1"/>
  <c r="CQ536" i="1"/>
  <c r="CR536" i="1"/>
  <c r="CU536" i="1"/>
  <c r="CW536" i="1"/>
  <c r="GL536" i="1"/>
  <c r="GN536" i="1"/>
  <c r="GP536" i="1"/>
  <c r="GV536" i="1"/>
  <c r="HC536" i="1"/>
  <c r="C537" i="1"/>
  <c r="D537" i="1"/>
  <c r="I537" i="1"/>
  <c r="K537" i="1"/>
  <c r="Q537" i="1"/>
  <c r="U537" i="1"/>
  <c r="AC537" i="1"/>
  <c r="AE537" i="1"/>
  <c r="R537" i="1" s="1"/>
  <c r="AF537" i="1"/>
  <c r="S537" i="1" s="1"/>
  <c r="AG537" i="1"/>
  <c r="AH537" i="1"/>
  <c r="AI537" i="1"/>
  <c r="AJ537" i="1"/>
  <c r="CX537" i="1" s="1"/>
  <c r="W537" i="1" s="1"/>
  <c r="CT537" i="1"/>
  <c r="CU537" i="1"/>
  <c r="T537" i="1" s="1"/>
  <c r="CV537" i="1"/>
  <c r="CW537" i="1"/>
  <c r="V537" i="1" s="1"/>
  <c r="CZ537" i="1"/>
  <c r="GL537" i="1"/>
  <c r="GN537" i="1"/>
  <c r="GP537" i="1"/>
  <c r="GV537" i="1"/>
  <c r="HC537" i="1" s="1"/>
  <c r="GX537" i="1" s="1"/>
  <c r="AC538" i="1"/>
  <c r="AE538" i="1"/>
  <c r="AD538" i="1" s="1"/>
  <c r="AB538" i="1" s="1"/>
  <c r="AF538" i="1"/>
  <c r="CT538" i="1" s="1"/>
  <c r="AG538" i="1"/>
  <c r="AH538" i="1"/>
  <c r="AI538" i="1"/>
  <c r="CW538" i="1" s="1"/>
  <c r="AJ538" i="1"/>
  <c r="CX538" i="1" s="1"/>
  <c r="CQ538" i="1"/>
  <c r="CU538" i="1"/>
  <c r="CV538" i="1"/>
  <c r="GL538" i="1"/>
  <c r="GN538" i="1"/>
  <c r="GP538" i="1"/>
  <c r="GV538" i="1"/>
  <c r="HC538" i="1"/>
  <c r="AC539" i="1"/>
  <c r="CQ539" i="1" s="1"/>
  <c r="AE539" i="1"/>
  <c r="CS539" i="1" s="1"/>
  <c r="AF539" i="1"/>
  <c r="CT539" i="1" s="1"/>
  <c r="AG539" i="1"/>
  <c r="CU539" i="1" s="1"/>
  <c r="AH539" i="1"/>
  <c r="AI539" i="1"/>
  <c r="CW539" i="1" s="1"/>
  <c r="AJ539" i="1"/>
  <c r="CR539" i="1"/>
  <c r="CV539" i="1"/>
  <c r="CX539" i="1"/>
  <c r="GL539" i="1"/>
  <c r="GN539" i="1"/>
  <c r="GP539" i="1"/>
  <c r="GV539" i="1"/>
  <c r="HC539" i="1"/>
  <c r="C540" i="1"/>
  <c r="D540" i="1"/>
  <c r="I540" i="1"/>
  <c r="K540" i="1"/>
  <c r="R540" i="1"/>
  <c r="X540" i="1"/>
  <c r="AC540" i="1"/>
  <c r="P540" i="1" s="1"/>
  <c r="AD540" i="1"/>
  <c r="AE540" i="1"/>
  <c r="AF540" i="1"/>
  <c r="S540" i="1" s="1"/>
  <c r="AG540" i="1"/>
  <c r="CU540" i="1" s="1"/>
  <c r="T540" i="1" s="1"/>
  <c r="AH540" i="1"/>
  <c r="AI540" i="1"/>
  <c r="AJ540" i="1"/>
  <c r="CX540" i="1" s="1"/>
  <c r="W540" i="1" s="1"/>
  <c r="CR540" i="1"/>
  <c r="CS540" i="1"/>
  <c r="CV540" i="1"/>
  <c r="CW540" i="1"/>
  <c r="V540" i="1" s="1"/>
  <c r="GL540" i="1"/>
  <c r="GN540" i="1"/>
  <c r="GP540" i="1"/>
  <c r="GV540" i="1"/>
  <c r="HC540" i="1" s="1"/>
  <c r="GX540" i="1" s="1"/>
  <c r="C541" i="1"/>
  <c r="D541" i="1"/>
  <c r="I541" i="1"/>
  <c r="K541" i="1"/>
  <c r="Q541" i="1"/>
  <c r="S541" i="1"/>
  <c r="T541" i="1"/>
  <c r="W541" i="1"/>
  <c r="AC541" i="1"/>
  <c r="CQ541" i="1" s="1"/>
  <c r="AE541" i="1"/>
  <c r="AF541" i="1"/>
  <c r="AG541" i="1"/>
  <c r="CU541" i="1" s="1"/>
  <c r="AH541" i="1"/>
  <c r="AI541" i="1"/>
  <c r="AJ541" i="1"/>
  <c r="CT541" i="1"/>
  <c r="CV541" i="1"/>
  <c r="U541" i="1" s="1"/>
  <c r="CW541" i="1"/>
  <c r="V541" i="1" s="1"/>
  <c r="CX541" i="1"/>
  <c r="CY541" i="1"/>
  <c r="GL541" i="1"/>
  <c r="GN541" i="1"/>
  <c r="GP541" i="1"/>
  <c r="GV541" i="1"/>
  <c r="HC541" i="1"/>
  <c r="GX541" i="1" s="1"/>
  <c r="I542" i="1"/>
  <c r="Q542" i="1" s="1"/>
  <c r="S542" i="1"/>
  <c r="Y542" i="1"/>
  <c r="AC542" i="1"/>
  <c r="P542" i="1" s="1"/>
  <c r="CP542" i="1" s="1"/>
  <c r="O542" i="1" s="1"/>
  <c r="AD542" i="1"/>
  <c r="AE542" i="1"/>
  <c r="AF542" i="1"/>
  <c r="AG542" i="1"/>
  <c r="AH542" i="1"/>
  <c r="CV542" i="1" s="1"/>
  <c r="U542" i="1" s="1"/>
  <c r="AI542" i="1"/>
  <c r="AJ542" i="1"/>
  <c r="CR542" i="1"/>
  <c r="CS542" i="1"/>
  <c r="CT542" i="1"/>
  <c r="CU542" i="1"/>
  <c r="T542" i="1" s="1"/>
  <c r="CW542" i="1"/>
  <c r="CX542" i="1"/>
  <c r="W542" i="1" s="1"/>
  <c r="GL542" i="1"/>
  <c r="GN542" i="1"/>
  <c r="GP542" i="1"/>
  <c r="GV542" i="1"/>
  <c r="HC542" i="1" s="1"/>
  <c r="GX542" i="1"/>
  <c r="I543" i="1"/>
  <c r="Q543" i="1" s="1"/>
  <c r="R543" i="1"/>
  <c r="S543" i="1"/>
  <c r="CZ543" i="1" s="1"/>
  <c r="W543" i="1"/>
  <c r="AC543" i="1"/>
  <c r="AD543" i="1"/>
  <c r="AE543" i="1"/>
  <c r="AF543" i="1"/>
  <c r="AG543" i="1"/>
  <c r="CU543" i="1" s="1"/>
  <c r="T543" i="1" s="1"/>
  <c r="AH543" i="1"/>
  <c r="CV543" i="1" s="1"/>
  <c r="U543" i="1" s="1"/>
  <c r="AI543" i="1"/>
  <c r="CW543" i="1" s="1"/>
  <c r="V543" i="1" s="1"/>
  <c r="AJ543" i="1"/>
  <c r="CQ543" i="1"/>
  <c r="CR543" i="1"/>
  <c r="CS543" i="1"/>
  <c r="CT543" i="1"/>
  <c r="CX543" i="1"/>
  <c r="GL543" i="1"/>
  <c r="GN543" i="1"/>
  <c r="GP543" i="1"/>
  <c r="GV543" i="1"/>
  <c r="HC543" i="1" s="1"/>
  <c r="GX543" i="1" s="1"/>
  <c r="AC544" i="1"/>
  <c r="AE544" i="1"/>
  <c r="AF544" i="1"/>
  <c r="AG544" i="1"/>
  <c r="CU544" i="1" s="1"/>
  <c r="AH544" i="1"/>
  <c r="CV544" i="1" s="1"/>
  <c r="AI544" i="1"/>
  <c r="AJ544" i="1"/>
  <c r="CT544" i="1"/>
  <c r="CW544" i="1"/>
  <c r="CX544" i="1"/>
  <c r="GL544" i="1"/>
  <c r="GN544" i="1"/>
  <c r="GP544" i="1"/>
  <c r="GV544" i="1"/>
  <c r="HC544" i="1"/>
  <c r="I545" i="1"/>
  <c r="Q545" i="1" s="1"/>
  <c r="CP545" i="1" s="1"/>
  <c r="O545" i="1" s="1"/>
  <c r="P545" i="1"/>
  <c r="S545" i="1"/>
  <c r="Y545" i="1" s="1"/>
  <c r="AC545" i="1"/>
  <c r="AD545" i="1"/>
  <c r="AE545" i="1"/>
  <c r="AF545" i="1"/>
  <c r="AG545" i="1"/>
  <c r="CU545" i="1" s="1"/>
  <c r="T545" i="1" s="1"/>
  <c r="AH545" i="1"/>
  <c r="CV545" i="1" s="1"/>
  <c r="U545" i="1" s="1"/>
  <c r="AI545" i="1"/>
  <c r="AJ545" i="1"/>
  <c r="CR545" i="1"/>
  <c r="CS545" i="1"/>
  <c r="CT545" i="1"/>
  <c r="CW545" i="1"/>
  <c r="CX545" i="1"/>
  <c r="W545" i="1" s="1"/>
  <c r="GL545" i="1"/>
  <c r="GN545" i="1"/>
  <c r="GP545" i="1"/>
  <c r="GV545" i="1"/>
  <c r="HC545" i="1" s="1"/>
  <c r="GX545" i="1"/>
  <c r="P546" i="1"/>
  <c r="S546" i="1"/>
  <c r="CZ546" i="1" s="1"/>
  <c r="V546" i="1"/>
  <c r="X546" i="1"/>
  <c r="Y546" i="1"/>
  <c r="AC546" i="1"/>
  <c r="AD546" i="1"/>
  <c r="AB546" i="1" s="1"/>
  <c r="AE546" i="1"/>
  <c r="CS546" i="1" s="1"/>
  <c r="AF546" i="1"/>
  <c r="AG546" i="1"/>
  <c r="AH546" i="1"/>
  <c r="CV546" i="1" s="1"/>
  <c r="U546" i="1" s="1"/>
  <c r="AI546" i="1"/>
  <c r="AJ546" i="1"/>
  <c r="CX546" i="1" s="1"/>
  <c r="W546" i="1" s="1"/>
  <c r="CQ546" i="1"/>
  <c r="CR546" i="1"/>
  <c r="CT546" i="1"/>
  <c r="CU546" i="1"/>
  <c r="T546" i="1" s="1"/>
  <c r="CW546" i="1"/>
  <c r="CY546" i="1"/>
  <c r="GL546" i="1"/>
  <c r="GN546" i="1"/>
  <c r="GP546" i="1"/>
  <c r="GV546" i="1"/>
  <c r="GX546" i="1"/>
  <c r="HC546" i="1"/>
  <c r="P547" i="1"/>
  <c r="Q547" i="1"/>
  <c r="S547" i="1"/>
  <c r="V547" i="1"/>
  <c r="Y547" i="1"/>
  <c r="AC547" i="1"/>
  <c r="AE547" i="1"/>
  <c r="AF547" i="1"/>
  <c r="AG547" i="1"/>
  <c r="CU547" i="1" s="1"/>
  <c r="T547" i="1" s="1"/>
  <c r="AH547" i="1"/>
  <c r="AI547" i="1"/>
  <c r="CW547" i="1" s="1"/>
  <c r="AJ547" i="1"/>
  <c r="CQ547" i="1"/>
  <c r="CR547" i="1"/>
  <c r="CT547" i="1"/>
  <c r="CV547" i="1"/>
  <c r="U547" i="1" s="1"/>
  <c r="CX547" i="1"/>
  <c r="W547" i="1" s="1"/>
  <c r="GL547" i="1"/>
  <c r="GN547" i="1"/>
  <c r="GP547" i="1"/>
  <c r="GV547" i="1"/>
  <c r="HC547" i="1"/>
  <c r="GX547" i="1" s="1"/>
  <c r="B549" i="1"/>
  <c r="B494" i="1" s="1"/>
  <c r="C549" i="1"/>
  <c r="C494" i="1" s="1"/>
  <c r="D549" i="1"/>
  <c r="D494" i="1" s="1"/>
  <c r="F549" i="1"/>
  <c r="F494" i="1" s="1"/>
  <c r="G549" i="1"/>
  <c r="G494" i="1" s="1"/>
  <c r="AO549" i="1"/>
  <c r="AP549" i="1"/>
  <c r="AP494" i="1" s="1"/>
  <c r="BB549" i="1"/>
  <c r="BB494" i="1" s="1"/>
  <c r="BX549" i="1"/>
  <c r="BX494" i="1" s="1"/>
  <c r="BY549" i="1"/>
  <c r="BY494" i="1" s="1"/>
  <c r="CK549" i="1"/>
  <c r="CK494" i="1" s="1"/>
  <c r="CL549" i="1"/>
  <c r="CL494" i="1" s="1"/>
  <c r="CM549" i="1"/>
  <c r="CM494" i="1" s="1"/>
  <c r="EI549" i="1"/>
  <c r="EK549" i="1"/>
  <c r="EM549" i="1"/>
  <c r="EM494" i="1" s="1"/>
  <c r="FP549" i="1"/>
  <c r="FQ549" i="1"/>
  <c r="FQ494" i="1" s="1"/>
  <c r="FR549" i="1"/>
  <c r="FR494" i="1" s="1"/>
  <c r="FV549" i="1"/>
  <c r="FV494" i="1" s="1"/>
  <c r="GC549" i="1"/>
  <c r="GD549" i="1"/>
  <c r="GD494" i="1" s="1"/>
  <c r="GE549" i="1"/>
  <c r="F558" i="1"/>
  <c r="P568" i="1"/>
  <c r="B579" i="1"/>
  <c r="B22" i="1" s="1"/>
  <c r="C579" i="1"/>
  <c r="C22" i="1" s="1"/>
  <c r="D579" i="1"/>
  <c r="D22" i="1" s="1"/>
  <c r="F579" i="1"/>
  <c r="F22" i="1" s="1"/>
  <c r="G579" i="1"/>
  <c r="G22" i="1" s="1"/>
  <c r="B612" i="1"/>
  <c r="B18" i="1" s="1"/>
  <c r="C612" i="1"/>
  <c r="C18" i="1" s="1"/>
  <c r="D612" i="1"/>
  <c r="D18" i="1" s="1"/>
  <c r="F612" i="1"/>
  <c r="F18" i="1" s="1"/>
  <c r="G612" i="1"/>
  <c r="G18" i="1" s="1"/>
  <c r="F12" i="6"/>
  <c r="G12" i="6"/>
  <c r="H401" i="7" l="1"/>
  <c r="H517" i="7"/>
  <c r="P48" i="7"/>
  <c r="P122" i="7"/>
  <c r="P197" i="7"/>
  <c r="P254" i="7"/>
  <c r="H382" i="7"/>
  <c r="J380" i="7"/>
  <c r="J450" i="7"/>
  <c r="J626" i="7"/>
  <c r="H122" i="7"/>
  <c r="O122" i="7"/>
  <c r="J290" i="7"/>
  <c r="J355" i="7"/>
  <c r="O79" i="7"/>
  <c r="P110" i="7"/>
  <c r="J270" i="7"/>
  <c r="O480" i="7"/>
  <c r="O59" i="7"/>
  <c r="P68" i="7"/>
  <c r="H164" i="7"/>
  <c r="O244" i="7"/>
  <c r="P319" i="7"/>
  <c r="J322" i="7" s="1"/>
  <c r="J367" i="7"/>
  <c r="J432" i="7"/>
  <c r="H464" i="7"/>
  <c r="O507" i="7"/>
  <c r="H590" i="7"/>
  <c r="P79" i="7"/>
  <c r="O101" i="7"/>
  <c r="J175" i="7"/>
  <c r="O549" i="7"/>
  <c r="O48" i="7"/>
  <c r="P59" i="7"/>
  <c r="O68" i="7"/>
  <c r="H66" i="7"/>
  <c r="O156" i="7"/>
  <c r="H233" i="7"/>
  <c r="P434" i="7"/>
  <c r="J467" i="7" s="1"/>
  <c r="P101" i="7"/>
  <c r="O144" i="7"/>
  <c r="O186" i="7"/>
  <c r="O221" i="7"/>
  <c r="H242" i="7"/>
  <c r="J338" i="7"/>
  <c r="P355" i="7"/>
  <c r="J404" i="7" s="1"/>
  <c r="O401" i="7"/>
  <c r="O452" i="7"/>
  <c r="H467" i="7" s="1"/>
  <c r="H505" i="7"/>
  <c r="O519" i="7"/>
  <c r="P549" i="7"/>
  <c r="J48" i="7"/>
  <c r="O91" i="7"/>
  <c r="P156" i="7"/>
  <c r="H166" i="7"/>
  <c r="O166" i="7"/>
  <c r="P233" i="7"/>
  <c r="O272" i="7"/>
  <c r="H275" i="7" s="1"/>
  <c r="H494" i="7"/>
  <c r="H492" i="7"/>
  <c r="O209" i="7"/>
  <c r="H592" i="7"/>
  <c r="J79" i="7"/>
  <c r="J89" i="7"/>
  <c r="O110" i="7"/>
  <c r="O177" i="7"/>
  <c r="J382" i="7"/>
  <c r="J567" i="7"/>
  <c r="H322" i="7"/>
  <c r="H89" i="7"/>
  <c r="H120" i="7"/>
  <c r="H142" i="7"/>
  <c r="H184" i="7"/>
  <c r="H197" i="7"/>
  <c r="H304" i="7"/>
  <c r="O304" i="7"/>
  <c r="O464" i="7"/>
  <c r="J507" i="7"/>
  <c r="O592" i="7"/>
  <c r="H626" i="7" s="1"/>
  <c r="J91" i="7"/>
  <c r="O338" i="7"/>
  <c r="H462" i="7"/>
  <c r="H48" i="7"/>
  <c r="J68" i="7"/>
  <c r="P91" i="7"/>
  <c r="H144" i="7"/>
  <c r="H244" i="7"/>
  <c r="J272" i="7"/>
  <c r="H290" i="7"/>
  <c r="H319" i="7"/>
  <c r="P369" i="7"/>
  <c r="J399" i="7"/>
  <c r="J452" i="7"/>
  <c r="J483" i="7"/>
  <c r="J492" i="7"/>
  <c r="J522" i="7"/>
  <c r="J528" i="7"/>
  <c r="J534" i="7"/>
  <c r="H564" i="7"/>
  <c r="J573" i="7"/>
  <c r="H608" i="7"/>
  <c r="J616" i="7"/>
  <c r="J57" i="7"/>
  <c r="J77" i="7"/>
  <c r="J101" i="7"/>
  <c r="J133" i="7"/>
  <c r="J177" i="7"/>
  <c r="J209" i="7"/>
  <c r="H221" i="7"/>
  <c r="H367" i="7"/>
  <c r="P382" i="7"/>
  <c r="J434" i="7"/>
  <c r="J547" i="7"/>
  <c r="J596" i="7"/>
  <c r="H110" i="7"/>
  <c r="J154" i="7"/>
  <c r="H186" i="7"/>
  <c r="H270" i="7"/>
  <c r="H380" i="7"/>
  <c r="J388" i="7"/>
  <c r="J401" i="7"/>
  <c r="H450" i="7"/>
  <c r="J478" i="7"/>
  <c r="J494" i="7"/>
  <c r="J505" i="7"/>
  <c r="J517" i="7"/>
  <c r="J590" i="7"/>
  <c r="H616" i="7"/>
  <c r="J59" i="7"/>
  <c r="H91" i="7"/>
  <c r="H99" i="7"/>
  <c r="H131" i="7"/>
  <c r="H175" i="7"/>
  <c r="J195" i="7"/>
  <c r="H207" i="7"/>
  <c r="J231" i="7"/>
  <c r="H353" i="7"/>
  <c r="H413" i="7"/>
  <c r="H432" i="7"/>
  <c r="J549" i="7"/>
  <c r="H623" i="7"/>
  <c r="J120" i="7"/>
  <c r="J156" i="7"/>
  <c r="J164" i="7"/>
  <c r="J252" i="7"/>
  <c r="H272" i="7"/>
  <c r="J302" i="7"/>
  <c r="J336" i="7"/>
  <c r="H341" i="7"/>
  <c r="H388" i="7"/>
  <c r="H399" i="7"/>
  <c r="J519" i="7"/>
  <c r="J592" i="7"/>
  <c r="H57" i="7"/>
  <c r="H77" i="7"/>
  <c r="H101" i="7"/>
  <c r="H133" i="7"/>
  <c r="H177" i="7"/>
  <c r="J197" i="7"/>
  <c r="H209" i="7"/>
  <c r="J233" i="7"/>
  <c r="H355" i="7"/>
  <c r="H434" i="7"/>
  <c r="H547" i="7"/>
  <c r="H604" i="7"/>
  <c r="J46" i="7"/>
  <c r="J122" i="7"/>
  <c r="J142" i="7"/>
  <c r="H154" i="7"/>
  <c r="J166" i="7"/>
  <c r="J242" i="7"/>
  <c r="J254" i="7"/>
  <c r="J288" i="7"/>
  <c r="H293" i="7"/>
  <c r="J304" i="7"/>
  <c r="J317" i="7"/>
  <c r="H478" i="7"/>
  <c r="J562" i="7"/>
  <c r="H59" i="7"/>
  <c r="H79" i="7"/>
  <c r="H195" i="7"/>
  <c r="J219" i="7"/>
  <c r="H231" i="7"/>
  <c r="J410" i="7"/>
  <c r="J416" i="7"/>
  <c r="J462" i="7"/>
  <c r="H549" i="7"/>
  <c r="J144" i="7"/>
  <c r="H156" i="7"/>
  <c r="J244" i="7"/>
  <c r="J319" i="7"/>
  <c r="H480" i="7"/>
  <c r="H507" i="7"/>
  <c r="H519" i="7"/>
  <c r="H525" i="7"/>
  <c r="H531" i="7"/>
  <c r="J564" i="7"/>
  <c r="GM530" i="1"/>
  <c r="GO530" i="1" s="1"/>
  <c r="CB494" i="1"/>
  <c r="AS549" i="1"/>
  <c r="T532" i="1"/>
  <c r="W544" i="1"/>
  <c r="U544" i="1"/>
  <c r="CD494" i="1"/>
  <c r="AU549" i="1"/>
  <c r="P528" i="1"/>
  <c r="CQ528" i="1"/>
  <c r="CZ517" i="1"/>
  <c r="X517" i="1"/>
  <c r="Y517" i="1"/>
  <c r="CY542" i="1"/>
  <c r="CZ542" i="1"/>
  <c r="X542" i="1"/>
  <c r="GM542" i="1" s="1"/>
  <c r="GO542" i="1" s="1"/>
  <c r="X503" i="1"/>
  <c r="Y503" i="1"/>
  <c r="CY503" i="1"/>
  <c r="CZ541" i="1"/>
  <c r="X541" i="1"/>
  <c r="Y541" i="1"/>
  <c r="CT540" i="1"/>
  <c r="AB540" i="1"/>
  <c r="U538" i="1"/>
  <c r="P538" i="1"/>
  <c r="CZ529" i="1"/>
  <c r="X529" i="1"/>
  <c r="Y529" i="1"/>
  <c r="CQ518" i="1"/>
  <c r="AB518" i="1"/>
  <c r="CZ513" i="1"/>
  <c r="X513" i="1"/>
  <c r="Y513" i="1"/>
  <c r="W512" i="1"/>
  <c r="S511" i="1"/>
  <c r="CT511" i="1"/>
  <c r="P512" i="1"/>
  <c r="GX512" i="1"/>
  <c r="CJ549" i="1" s="1"/>
  <c r="Q512" i="1"/>
  <c r="R512" i="1"/>
  <c r="S512" i="1"/>
  <c r="DY455" i="1"/>
  <c r="DL462" i="1"/>
  <c r="AO494" i="1"/>
  <c r="F553" i="1"/>
  <c r="V525" i="1"/>
  <c r="P514" i="1"/>
  <c r="CP514" i="1" s="1"/>
  <c r="O514" i="1" s="1"/>
  <c r="CQ514" i="1"/>
  <c r="V512" i="1"/>
  <c r="AI549" i="1" s="1"/>
  <c r="CR511" i="1"/>
  <c r="CS511" i="1"/>
  <c r="AD511" i="1"/>
  <c r="CS538" i="1"/>
  <c r="U525" i="1"/>
  <c r="AB514" i="1"/>
  <c r="U512" i="1"/>
  <c r="CZ503" i="1"/>
  <c r="AG549" i="1"/>
  <c r="P418" i="1"/>
  <c r="CQ418" i="1"/>
  <c r="AB418" i="1"/>
  <c r="X547" i="1"/>
  <c r="CY547" i="1"/>
  <c r="CQ540" i="1"/>
  <c r="CR538" i="1"/>
  <c r="T536" i="1"/>
  <c r="CR535" i="1"/>
  <c r="CS535" i="1"/>
  <c r="AD535" i="1"/>
  <c r="AB535" i="1" s="1"/>
  <c r="R535" i="1"/>
  <c r="R511" i="1"/>
  <c r="DO455" i="1"/>
  <c r="P486" i="1"/>
  <c r="FR404" i="1"/>
  <c r="AB528" i="1"/>
  <c r="EG549" i="1"/>
  <c r="FY549" i="1"/>
  <c r="FP494" i="1"/>
  <c r="CQ545" i="1"/>
  <c r="AB545" i="1"/>
  <c r="CR544" i="1"/>
  <c r="CS544" i="1"/>
  <c r="AD544" i="1"/>
  <c r="V536" i="1"/>
  <c r="P526" i="1"/>
  <c r="W525" i="1"/>
  <c r="CY516" i="1"/>
  <c r="CZ516" i="1"/>
  <c r="X516" i="1"/>
  <c r="Y516" i="1"/>
  <c r="Q511" i="1"/>
  <c r="CT405" i="1"/>
  <c r="S405" i="1"/>
  <c r="AB405" i="1"/>
  <c r="R404" i="1"/>
  <c r="Q404" i="1"/>
  <c r="CP404" i="1" s="1"/>
  <c r="O404" i="1" s="1"/>
  <c r="S404" i="1"/>
  <c r="CQ537" i="1"/>
  <c r="AB537" i="1"/>
  <c r="P537" i="1"/>
  <c r="CP537" i="1" s="1"/>
  <c r="O537" i="1" s="1"/>
  <c r="CY517" i="1"/>
  <c r="CY530" i="1"/>
  <c r="CZ530" i="1"/>
  <c r="X530" i="1"/>
  <c r="EU549" i="1"/>
  <c r="CQ544" i="1"/>
  <c r="AB544" i="1"/>
  <c r="P544" i="1"/>
  <c r="GX538" i="1"/>
  <c r="I538" i="1"/>
  <c r="CR532" i="1"/>
  <c r="CS532" i="1"/>
  <c r="AD532" i="1"/>
  <c r="U526" i="1"/>
  <c r="CQ521" i="1"/>
  <c r="AB521" i="1"/>
  <c r="W520" i="1"/>
  <c r="AH549" i="1"/>
  <c r="BB455" i="1"/>
  <c r="F475" i="1"/>
  <c r="CP547" i="1"/>
  <c r="O547" i="1" s="1"/>
  <c r="GM547" i="1" s="1"/>
  <c r="GO547" i="1" s="1"/>
  <c r="AB543" i="1"/>
  <c r="P543" i="1"/>
  <c r="CP543" i="1" s="1"/>
  <c r="O543" i="1" s="1"/>
  <c r="W536" i="1"/>
  <c r="AB534" i="1"/>
  <c r="CQ533" i="1"/>
  <c r="AB533" i="1"/>
  <c r="AB531" i="1"/>
  <c r="P531" i="1"/>
  <c r="CP531" i="1" s="1"/>
  <c r="O531" i="1" s="1"/>
  <c r="GM531" i="1" s="1"/>
  <c r="GO531" i="1" s="1"/>
  <c r="CU318" i="3"/>
  <c r="CX322" i="3"/>
  <c r="CX323" i="3"/>
  <c r="CX326" i="3"/>
  <c r="CX327" i="3"/>
  <c r="CW320" i="3"/>
  <c r="Q523" i="1"/>
  <c r="CP523" i="1" s="1"/>
  <c r="O523" i="1" s="1"/>
  <c r="R523" i="1"/>
  <c r="I527" i="1"/>
  <c r="T527" i="1" s="1"/>
  <c r="T523" i="1"/>
  <c r="I525" i="1"/>
  <c r="V520" i="1"/>
  <c r="Y504" i="1"/>
  <c r="X504" i="1"/>
  <c r="CY504" i="1"/>
  <c r="CZ504" i="1"/>
  <c r="Y543" i="1"/>
  <c r="CY543" i="1"/>
  <c r="U520" i="1"/>
  <c r="DZ455" i="1"/>
  <c r="DM462" i="1"/>
  <c r="CY545" i="1"/>
  <c r="CZ545" i="1"/>
  <c r="X545" i="1"/>
  <c r="GM545" i="1" s="1"/>
  <c r="GO545" i="1" s="1"/>
  <c r="X543" i="1"/>
  <c r="V538" i="1"/>
  <c r="CX358" i="3"/>
  <c r="CX359" i="3"/>
  <c r="CU353" i="3"/>
  <c r="CX353" i="3"/>
  <c r="CX355" i="3"/>
  <c r="Q536" i="1"/>
  <c r="CP536" i="1" s="1"/>
  <c r="O536" i="1" s="1"/>
  <c r="R536" i="1"/>
  <c r="S536" i="1"/>
  <c r="CZ535" i="1"/>
  <c r="X535" i="1"/>
  <c r="Y535" i="1"/>
  <c r="CY528" i="1"/>
  <c r="CZ528" i="1"/>
  <c r="X528" i="1"/>
  <c r="Y528" i="1"/>
  <c r="Q526" i="1"/>
  <c r="R526" i="1"/>
  <c r="T526" i="1"/>
  <c r="P516" i="1"/>
  <c r="CQ516" i="1"/>
  <c r="GM504" i="1"/>
  <c r="GO504" i="1" s="1"/>
  <c r="CY501" i="1"/>
  <c r="CZ501" i="1"/>
  <c r="X501" i="1"/>
  <c r="Y501" i="1"/>
  <c r="FU455" i="1"/>
  <c r="EL462" i="1"/>
  <c r="EI494" i="1"/>
  <c r="P559" i="1"/>
  <c r="CY514" i="1"/>
  <c r="CZ514" i="1"/>
  <c r="X514" i="1"/>
  <c r="Y514" i="1"/>
  <c r="X385" i="1"/>
  <c r="Y385" i="1"/>
  <c r="CY385" i="1"/>
  <c r="CZ385" i="1"/>
  <c r="GE494" i="1"/>
  <c r="EV549" i="1"/>
  <c r="F562" i="1"/>
  <c r="CS547" i="1"/>
  <c r="AD547" i="1"/>
  <c r="AB547" i="1" s="1"/>
  <c r="R547" i="1"/>
  <c r="CR541" i="1"/>
  <c r="CS541" i="1"/>
  <c r="AD541" i="1"/>
  <c r="R541" i="1"/>
  <c r="CY540" i="1"/>
  <c r="CZ540" i="1"/>
  <c r="Y540" i="1"/>
  <c r="CY537" i="1"/>
  <c r="X537" i="1"/>
  <c r="Y537" i="1"/>
  <c r="GX536" i="1"/>
  <c r="U536" i="1"/>
  <c r="Q535" i="1"/>
  <c r="CY533" i="1"/>
  <c r="CZ533" i="1"/>
  <c r="X533" i="1"/>
  <c r="CR529" i="1"/>
  <c r="CS529" i="1"/>
  <c r="AD529" i="1"/>
  <c r="R529" i="1"/>
  <c r="GX525" i="1"/>
  <c r="S525" i="1"/>
  <c r="CT525" i="1"/>
  <c r="CP524" i="1"/>
  <c r="O524" i="1" s="1"/>
  <c r="GM524" i="1" s="1"/>
  <c r="GO524" i="1" s="1"/>
  <c r="CP521" i="1"/>
  <c r="O521" i="1" s="1"/>
  <c r="GM521" i="1" s="1"/>
  <c r="GO521" i="1" s="1"/>
  <c r="AB516" i="1"/>
  <c r="CP501" i="1"/>
  <c r="O501" i="1" s="1"/>
  <c r="GM501" i="1" s="1"/>
  <c r="GN501" i="1" s="1"/>
  <c r="FT366" i="1"/>
  <c r="EK423" i="1"/>
  <c r="CZ373" i="1"/>
  <c r="CY373" i="1"/>
  <c r="X373" i="1"/>
  <c r="Y373" i="1"/>
  <c r="BZ549" i="1"/>
  <c r="GC494" i="1"/>
  <c r="ET549" i="1"/>
  <c r="EK494" i="1"/>
  <c r="P566" i="1"/>
  <c r="CZ547" i="1"/>
  <c r="CQ542" i="1"/>
  <c r="AB542" i="1"/>
  <c r="T539" i="1"/>
  <c r="CR537" i="1"/>
  <c r="CS537" i="1"/>
  <c r="AD537" i="1"/>
  <c r="CP533" i="1"/>
  <c r="O533" i="1" s="1"/>
  <c r="CQ530" i="1"/>
  <c r="AB530" i="1"/>
  <c r="CR525" i="1"/>
  <c r="CS525" i="1"/>
  <c r="AD525" i="1"/>
  <c r="T512" i="1"/>
  <c r="AD455" i="1"/>
  <c r="Q462" i="1"/>
  <c r="DN455" i="1"/>
  <c r="P485" i="1"/>
  <c r="CV371" i="3"/>
  <c r="CX371" i="3"/>
  <c r="CX373" i="3"/>
  <c r="CU371" i="3"/>
  <c r="CW331" i="3"/>
  <c r="CX331" i="3"/>
  <c r="CX334" i="3"/>
  <c r="CX335" i="3"/>
  <c r="CU329" i="3"/>
  <c r="CX339" i="3"/>
  <c r="CX329" i="3"/>
  <c r="P525" i="1"/>
  <c r="CY524" i="1"/>
  <c r="S522" i="1"/>
  <c r="R517" i="1"/>
  <c r="CX302" i="3"/>
  <c r="CU301" i="3"/>
  <c r="CX303" i="3"/>
  <c r="R513" i="1"/>
  <c r="P511" i="1"/>
  <c r="CP511" i="1" s="1"/>
  <c r="O511" i="1" s="1"/>
  <c r="X508" i="1"/>
  <c r="GM508" i="1" s="1"/>
  <c r="GO508" i="1" s="1"/>
  <c r="CR507" i="1"/>
  <c r="CZ505" i="1"/>
  <c r="X505" i="1"/>
  <c r="Y505" i="1"/>
  <c r="R503" i="1"/>
  <c r="CS502" i="1"/>
  <c r="CZ497" i="1"/>
  <c r="CX300" i="3"/>
  <c r="CU294" i="3"/>
  <c r="CW295" i="3"/>
  <c r="CX295" i="3"/>
  <c r="CX298" i="3"/>
  <c r="CW296" i="3"/>
  <c r="R497" i="1"/>
  <c r="I499" i="1"/>
  <c r="T499" i="1" s="1"/>
  <c r="DY549" i="1" s="1"/>
  <c r="AB496" i="1"/>
  <c r="FR455" i="1"/>
  <c r="FY462" i="1"/>
  <c r="BA462" i="1"/>
  <c r="AT462" i="1"/>
  <c r="CC455" i="1"/>
  <c r="AG455" i="1"/>
  <c r="EI366" i="1"/>
  <c r="P433" i="1"/>
  <c r="FR420" i="1"/>
  <c r="CP420" i="1"/>
  <c r="O420" i="1" s="1"/>
  <c r="Y518" i="1"/>
  <c r="Q517" i="1"/>
  <c r="S515" i="1"/>
  <c r="Q513" i="1"/>
  <c r="FQ455" i="1"/>
  <c r="EH462" i="1"/>
  <c r="GA462" i="1"/>
  <c r="S459" i="1"/>
  <c r="CT459" i="1"/>
  <c r="FT455" i="1"/>
  <c r="EK462" i="1"/>
  <c r="AH455" i="1"/>
  <c r="U462" i="1"/>
  <c r="FV199" i="1"/>
  <c r="EM240" i="1"/>
  <c r="GA549" i="1"/>
  <c r="P541" i="1"/>
  <c r="CP541" i="1" s="1"/>
  <c r="O541" i="1" s="1"/>
  <c r="P535" i="1"/>
  <c r="CY531" i="1"/>
  <c r="P529" i="1"/>
  <c r="CP529" i="1" s="1"/>
  <c r="O529" i="1" s="1"/>
  <c r="GM529" i="1" s="1"/>
  <c r="GO529" i="1" s="1"/>
  <c r="AB525" i="1"/>
  <c r="R524" i="1"/>
  <c r="X521" i="1"/>
  <c r="AD520" i="1"/>
  <c r="AB520" i="1" s="1"/>
  <c r="CY519" i="1"/>
  <c r="X518" i="1"/>
  <c r="GM518" i="1" s="1"/>
  <c r="GO518" i="1" s="1"/>
  <c r="AD517" i="1"/>
  <c r="AB517" i="1" s="1"/>
  <c r="P517" i="1"/>
  <c r="R515" i="1"/>
  <c r="AD513" i="1"/>
  <c r="P513" i="1"/>
  <c r="CP513" i="1" s="1"/>
  <c r="O513" i="1" s="1"/>
  <c r="GM513" i="1" s="1"/>
  <c r="GO513" i="1" s="1"/>
  <c r="AB511" i="1"/>
  <c r="S510" i="1"/>
  <c r="S502" i="1"/>
  <c r="W499" i="1"/>
  <c r="AD499" i="1"/>
  <c r="Q498" i="1"/>
  <c r="AD497" i="1"/>
  <c r="AB497" i="1" s="1"/>
  <c r="CR458" i="1"/>
  <c r="R458" i="1"/>
  <c r="DW462" i="1" s="1"/>
  <c r="CS458" i="1"/>
  <c r="Q458" i="1"/>
  <c r="DV462" i="1" s="1"/>
  <c r="F472" i="1"/>
  <c r="AQ455" i="1"/>
  <c r="GX413" i="1"/>
  <c r="CU278" i="3"/>
  <c r="CX278" i="3"/>
  <c r="CX279" i="3"/>
  <c r="CX280" i="3"/>
  <c r="CV278" i="3"/>
  <c r="Q411" i="1"/>
  <c r="R411" i="1"/>
  <c r="I415" i="1"/>
  <c r="S411" i="1"/>
  <c r="V411" i="1"/>
  <c r="I413" i="1"/>
  <c r="P338" i="1"/>
  <c r="EG313" i="1"/>
  <c r="CX366" i="3"/>
  <c r="CX367" i="3"/>
  <c r="CU362" i="3"/>
  <c r="CX370" i="3"/>
  <c r="CV362" i="3"/>
  <c r="CX362" i="3"/>
  <c r="CW364" i="3"/>
  <c r="Q524" i="1"/>
  <c r="Q515" i="1"/>
  <c r="CP515" i="1" s="1"/>
  <c r="O515" i="1" s="1"/>
  <c r="Y509" i="1"/>
  <c r="GM509" i="1" s="1"/>
  <c r="GO509" i="1" s="1"/>
  <c r="P505" i="1"/>
  <c r="CP505" i="1" s="1"/>
  <c r="O505" i="1" s="1"/>
  <c r="GM505" i="1" s="1"/>
  <c r="GO505" i="1" s="1"/>
  <c r="R502" i="1"/>
  <c r="CP500" i="1"/>
  <c r="O500" i="1" s="1"/>
  <c r="GM500" i="1" s="1"/>
  <c r="GN500" i="1" s="1"/>
  <c r="AB499" i="1"/>
  <c r="P478" i="1"/>
  <c r="EU455" i="1"/>
  <c r="DU455" i="1"/>
  <c r="FW462" i="1"/>
  <c r="FX462" i="1"/>
  <c r="DH462" i="1"/>
  <c r="AX462" i="1"/>
  <c r="CG455" i="1"/>
  <c r="AS462" i="1"/>
  <c r="X417" i="1"/>
  <c r="Y417" i="1"/>
  <c r="CY417" i="1"/>
  <c r="CZ417" i="1"/>
  <c r="CT378" i="1"/>
  <c r="S378" i="1"/>
  <c r="CR319" i="1"/>
  <c r="CS319" i="1"/>
  <c r="R319" i="1"/>
  <c r="Q319" i="1"/>
  <c r="AD319" i="1"/>
  <c r="AB319" i="1" s="1"/>
  <c r="EH549" i="1"/>
  <c r="V545" i="1"/>
  <c r="I544" i="1"/>
  <c r="V542" i="1"/>
  <c r="AB541" i="1"/>
  <c r="U540" i="1"/>
  <c r="AD539" i="1"/>
  <c r="AB539" i="1" s="1"/>
  <c r="V533" i="1"/>
  <c r="AB532" i="1"/>
  <c r="I532" i="1"/>
  <c r="GX532" i="1" s="1"/>
  <c r="V530" i="1"/>
  <c r="AB529" i="1"/>
  <c r="U528" i="1"/>
  <c r="AD527" i="1"/>
  <c r="AB527" i="1" s="1"/>
  <c r="AD524" i="1"/>
  <c r="AB524" i="1" s="1"/>
  <c r="V521" i="1"/>
  <c r="CS520" i="1"/>
  <c r="I520" i="1"/>
  <c r="V518" i="1"/>
  <c r="CS517" i="1"/>
  <c r="U516" i="1"/>
  <c r="AD515" i="1"/>
  <c r="AB515" i="1" s="1"/>
  <c r="CS513" i="1"/>
  <c r="AB513" i="1"/>
  <c r="Q510" i="1"/>
  <c r="CZ509" i="1"/>
  <c r="R509" i="1"/>
  <c r="CZ508" i="1"/>
  <c r="R507" i="1"/>
  <c r="R506" i="1"/>
  <c r="CY505" i="1"/>
  <c r="CS503" i="1"/>
  <c r="Q502" i="1"/>
  <c r="AB501" i="1"/>
  <c r="AB459" i="1"/>
  <c r="AB458" i="1"/>
  <c r="GD366" i="1"/>
  <c r="EU423" i="1"/>
  <c r="W415" i="1"/>
  <c r="FV366" i="1"/>
  <c r="EM423" i="1"/>
  <c r="R546" i="1"/>
  <c r="CU374" i="3"/>
  <c r="CX375" i="3"/>
  <c r="S538" i="1"/>
  <c r="CU341" i="3"/>
  <c r="CX350" i="3"/>
  <c r="CX341" i="3"/>
  <c r="CX351" i="3"/>
  <c r="CW343" i="3"/>
  <c r="CX343" i="3"/>
  <c r="CX347" i="3"/>
  <c r="S526" i="1"/>
  <c r="S523" i="1"/>
  <c r="CZ521" i="1"/>
  <c r="CZ518" i="1"/>
  <c r="CX306" i="3"/>
  <c r="CU304" i="3"/>
  <c r="CV304" i="3"/>
  <c r="CX304" i="3"/>
  <c r="AD510" i="1"/>
  <c r="AB510" i="1" s="1"/>
  <c r="P510" i="1"/>
  <c r="CY509" i="1"/>
  <c r="CY508" i="1"/>
  <c r="CZ507" i="1"/>
  <c r="Q506" i="1"/>
  <c r="CP506" i="1" s="1"/>
  <c r="O506" i="1" s="1"/>
  <c r="GM506" i="1" s="1"/>
  <c r="GO506" i="1" s="1"/>
  <c r="AB504" i="1"/>
  <c r="CY500" i="1"/>
  <c r="X500" i="1"/>
  <c r="CS497" i="1"/>
  <c r="Y497" i="1"/>
  <c r="GM497" i="1" s="1"/>
  <c r="GE455" i="1"/>
  <c r="EV462" i="1"/>
  <c r="GC366" i="1"/>
  <c r="ET423" i="1"/>
  <c r="CP416" i="1"/>
  <c r="O416" i="1" s="1"/>
  <c r="Y403" i="1"/>
  <c r="CY403" i="1"/>
  <c r="X403" i="1"/>
  <c r="CZ403" i="1"/>
  <c r="X371" i="1"/>
  <c r="Y371" i="1"/>
  <c r="CY371" i="1"/>
  <c r="CZ371" i="1"/>
  <c r="Q546" i="1"/>
  <c r="CP546" i="1" s="1"/>
  <c r="O546" i="1" s="1"/>
  <c r="GM546" i="1" s="1"/>
  <c r="GO546" i="1" s="1"/>
  <c r="I539" i="1"/>
  <c r="CU307" i="3"/>
  <c r="CW309" i="3"/>
  <c r="CX309" i="3"/>
  <c r="CX307" i="3"/>
  <c r="CX316" i="3"/>
  <c r="CX314" i="3"/>
  <c r="CX310" i="3"/>
  <c r="P519" i="1"/>
  <c r="CP519" i="1" s="1"/>
  <c r="O519" i="1" s="1"/>
  <c r="GM519" i="1" s="1"/>
  <c r="GO519" i="1" s="1"/>
  <c r="CP507" i="1"/>
  <c r="O507" i="1" s="1"/>
  <c r="GM507" i="1" s="1"/>
  <c r="GO507" i="1" s="1"/>
  <c r="CY506" i="1"/>
  <c r="CP502" i="1"/>
  <c r="O502" i="1" s="1"/>
  <c r="CQ501" i="1"/>
  <c r="CR499" i="1"/>
  <c r="CR497" i="1"/>
  <c r="P496" i="1"/>
  <c r="AO455" i="1"/>
  <c r="F466" i="1"/>
  <c r="Y458" i="1"/>
  <c r="ED462" i="1" s="1"/>
  <c r="X458" i="1"/>
  <c r="EC462" i="1" s="1"/>
  <c r="CY458" i="1"/>
  <c r="CQ457" i="1"/>
  <c r="AB457" i="1"/>
  <c r="P457" i="1"/>
  <c r="GB455" i="1"/>
  <c r="FY366" i="1"/>
  <c r="EP423" i="1"/>
  <c r="S409" i="1"/>
  <c r="CT409" i="1"/>
  <c r="GX404" i="1"/>
  <c r="T404" i="1"/>
  <c r="Q388" i="1"/>
  <c r="R388" i="1"/>
  <c r="CR388" i="1"/>
  <c r="CS388" i="1"/>
  <c r="AD388" i="1"/>
  <c r="AB388" i="1" s="1"/>
  <c r="CX191" i="3"/>
  <c r="CX192" i="3"/>
  <c r="CU190" i="3"/>
  <c r="CV190" i="3"/>
  <c r="P324" i="1"/>
  <c r="Q324" i="1"/>
  <c r="R324" i="1"/>
  <c r="U324" i="1"/>
  <c r="DZ334" i="1" s="1"/>
  <c r="I328" i="1"/>
  <c r="V328" i="1" s="1"/>
  <c r="I326" i="1"/>
  <c r="S324" i="1"/>
  <c r="W324" i="1"/>
  <c r="CR509" i="1"/>
  <c r="AD509" i="1"/>
  <c r="AB509" i="1" s="1"/>
  <c r="GC455" i="1"/>
  <c r="ET462" i="1"/>
  <c r="P477" i="1"/>
  <c r="DK455" i="1"/>
  <c r="CP458" i="1"/>
  <c r="O458" i="1" s="1"/>
  <c r="W462" i="1"/>
  <c r="AJ455" i="1"/>
  <c r="CB423" i="1"/>
  <c r="AU423" i="1"/>
  <c r="CD366" i="1"/>
  <c r="CI549" i="1"/>
  <c r="BD549" i="1"/>
  <c r="R545" i="1"/>
  <c r="R542" i="1"/>
  <c r="Q540" i="1"/>
  <c r="CP540" i="1" s="1"/>
  <c r="O540" i="1" s="1"/>
  <c r="GM540" i="1" s="1"/>
  <c r="GO540" i="1" s="1"/>
  <c r="I534" i="1"/>
  <c r="P534" i="1" s="1"/>
  <c r="R533" i="1"/>
  <c r="R530" i="1"/>
  <c r="Q528" i="1"/>
  <c r="R521" i="1"/>
  <c r="R518" i="1"/>
  <c r="Q516" i="1"/>
  <c r="AD507" i="1"/>
  <c r="AB507" i="1" s="1"/>
  <c r="AB505" i="1"/>
  <c r="CQ504" i="1"/>
  <c r="V503" i="1"/>
  <c r="Q503" i="1"/>
  <c r="S499" i="1"/>
  <c r="W497" i="1"/>
  <c r="FZ462" i="1"/>
  <c r="CR459" i="1"/>
  <c r="AF462" i="1"/>
  <c r="X457" i="1"/>
  <c r="AK462" i="1" s="1"/>
  <c r="Y457" i="1"/>
  <c r="AL462" i="1" s="1"/>
  <c r="CT421" i="1"/>
  <c r="U411" i="1"/>
  <c r="X410" i="1"/>
  <c r="Y410" i="1"/>
  <c r="CZ410" i="1"/>
  <c r="CY410" i="1"/>
  <c r="BC549" i="1"/>
  <c r="R508" i="1"/>
  <c r="CT506" i="1"/>
  <c r="P503" i="1"/>
  <c r="CP503" i="1" s="1"/>
  <c r="O503" i="1" s="1"/>
  <c r="GM503" i="1" s="1"/>
  <c r="GO503" i="1" s="1"/>
  <c r="W502" i="1"/>
  <c r="AJ549" i="1" s="1"/>
  <c r="F483" i="1"/>
  <c r="EI462" i="1"/>
  <c r="R462" i="1"/>
  <c r="AE455" i="1"/>
  <c r="EV366" i="1"/>
  <c r="P448" i="1"/>
  <c r="V415" i="1"/>
  <c r="CR401" i="1"/>
  <c r="AD401" i="1"/>
  <c r="AB401" i="1" s="1"/>
  <c r="Q401" i="1"/>
  <c r="CS401" i="1"/>
  <c r="Q384" i="1"/>
  <c r="R384" i="1"/>
  <c r="S384" i="1"/>
  <c r="P375" i="1"/>
  <c r="CQ375" i="1"/>
  <c r="CT372" i="1"/>
  <c r="S372" i="1"/>
  <c r="P459" i="1"/>
  <c r="Q417" i="1"/>
  <c r="CP417" i="1" s="1"/>
  <c r="O417" i="1" s="1"/>
  <c r="GM417" i="1" s="1"/>
  <c r="GO417" i="1" s="1"/>
  <c r="CQ415" i="1"/>
  <c r="AB415" i="1"/>
  <c r="P415" i="1"/>
  <c r="CQ412" i="1"/>
  <c r="AB412" i="1"/>
  <c r="P412" i="1"/>
  <c r="CP412" i="1" s="1"/>
  <c r="O412" i="1" s="1"/>
  <c r="T411" i="1"/>
  <c r="CT390" i="1"/>
  <c r="S390" i="1"/>
  <c r="BZ423" i="1"/>
  <c r="CR372" i="1"/>
  <c r="CS372" i="1"/>
  <c r="Q372" i="1"/>
  <c r="R372" i="1"/>
  <c r="AD372" i="1"/>
  <c r="AB372" i="1" s="1"/>
  <c r="CR369" i="1"/>
  <c r="CS369" i="1"/>
  <c r="Q369" i="1"/>
  <c r="R369" i="1"/>
  <c r="V327" i="1"/>
  <c r="AI334" i="1" s="1"/>
  <c r="CY319" i="1"/>
  <c r="CZ319" i="1"/>
  <c r="X319" i="1"/>
  <c r="Y319" i="1"/>
  <c r="F294" i="1"/>
  <c r="S277" i="1"/>
  <c r="CT277" i="1"/>
  <c r="AI455" i="1"/>
  <c r="CY420" i="1"/>
  <c r="CZ420" i="1"/>
  <c r="Y420" i="1"/>
  <c r="CU281" i="3"/>
  <c r="CV281" i="3"/>
  <c r="CX281" i="3"/>
  <c r="Q416" i="1"/>
  <c r="R416" i="1"/>
  <c r="CQ409" i="1"/>
  <c r="AB409" i="1"/>
  <c r="Q407" i="1"/>
  <c r="CP407" i="1" s="1"/>
  <c r="O407" i="1" s="1"/>
  <c r="R407" i="1"/>
  <c r="X406" i="1"/>
  <c r="CY406" i="1"/>
  <c r="X379" i="1"/>
  <c r="GM379" i="1" s="1"/>
  <c r="GO379" i="1" s="1"/>
  <c r="Y379" i="1"/>
  <c r="CY379" i="1"/>
  <c r="AB378" i="1"/>
  <c r="P400" i="1"/>
  <c r="AB400" i="1"/>
  <c r="CQ389" i="1"/>
  <c r="AB389" i="1"/>
  <c r="CY388" i="1"/>
  <c r="CZ376" i="1"/>
  <c r="X376" i="1"/>
  <c r="Y376" i="1"/>
  <c r="CY376" i="1"/>
  <c r="GM374" i="1"/>
  <c r="GO374" i="1" s="1"/>
  <c r="CL313" i="1"/>
  <c r="BC334" i="1"/>
  <c r="FV272" i="1"/>
  <c r="EM281" i="1"/>
  <c r="AI272" i="1"/>
  <c r="V281" i="1"/>
  <c r="CJ281" i="1"/>
  <c r="CX284" i="3"/>
  <c r="CU284" i="3"/>
  <c r="CX285" i="3"/>
  <c r="I419" i="1"/>
  <c r="V419" i="1" s="1"/>
  <c r="P414" i="1"/>
  <c r="CP414" i="1" s="1"/>
  <c r="O414" i="1" s="1"/>
  <c r="GM414" i="1" s="1"/>
  <c r="GO414" i="1" s="1"/>
  <c r="AB414" i="1"/>
  <c r="P411" i="1"/>
  <c r="CP411" i="1" s="1"/>
  <c r="O411" i="1" s="1"/>
  <c r="AB411" i="1"/>
  <c r="FR406" i="1"/>
  <c r="R402" i="1"/>
  <c r="S402" i="1"/>
  <c r="X401" i="1"/>
  <c r="Y401" i="1"/>
  <c r="CZ401" i="1"/>
  <c r="CY395" i="1"/>
  <c r="CZ395" i="1"/>
  <c r="X395" i="1"/>
  <c r="Y395" i="1"/>
  <c r="U384" i="1"/>
  <c r="AH423" i="1" s="1"/>
  <c r="CR381" i="1"/>
  <c r="Q381" i="1"/>
  <c r="R381" i="1"/>
  <c r="CS381" i="1"/>
  <c r="AD381" i="1"/>
  <c r="AB381" i="1" s="1"/>
  <c r="V324" i="1"/>
  <c r="DZ272" i="1"/>
  <c r="DM281" i="1"/>
  <c r="R504" i="1"/>
  <c r="S498" i="1"/>
  <c r="R496" i="1"/>
  <c r="P427" i="1"/>
  <c r="CR419" i="1"/>
  <c r="CS419" i="1"/>
  <c r="GX415" i="1"/>
  <c r="X412" i="1"/>
  <c r="Y412" i="1"/>
  <c r="S407" i="1"/>
  <c r="V404" i="1"/>
  <c r="AD404" i="1"/>
  <c r="AB404" i="1" s="1"/>
  <c r="V402" i="1"/>
  <c r="CR399" i="1"/>
  <c r="R399" i="1"/>
  <c r="AB392" i="1"/>
  <c r="CZ383" i="1"/>
  <c r="X383" i="1"/>
  <c r="Y383" i="1"/>
  <c r="CT382" i="1"/>
  <c r="S382" i="1"/>
  <c r="Y380" i="1"/>
  <c r="CY380" i="1"/>
  <c r="X380" i="1"/>
  <c r="GM380" i="1" s="1"/>
  <c r="CZ380" i="1"/>
  <c r="CP372" i="1"/>
  <c r="O372" i="1" s="1"/>
  <c r="GD313" i="1"/>
  <c r="EU334" i="1"/>
  <c r="X321" i="1"/>
  <c r="Y321" i="1"/>
  <c r="CY321" i="1"/>
  <c r="CZ321" i="1"/>
  <c r="GB281" i="1"/>
  <c r="CD272" i="1"/>
  <c r="AU281" i="1"/>
  <c r="S460" i="1"/>
  <c r="AD419" i="1"/>
  <c r="W417" i="1"/>
  <c r="AD417" i="1"/>
  <c r="AB417" i="1" s="1"/>
  <c r="CR410" i="1"/>
  <c r="AD410" i="1"/>
  <c r="AB410" i="1" s="1"/>
  <c r="P409" i="1"/>
  <c r="CQ408" i="1"/>
  <c r="AB408" i="1"/>
  <c r="U404" i="1"/>
  <c r="R401" i="1"/>
  <c r="AD399" i="1"/>
  <c r="AB399" i="1" s="1"/>
  <c r="X391" i="1"/>
  <c r="Y391" i="1"/>
  <c r="CY391" i="1"/>
  <c r="CZ391" i="1"/>
  <c r="CS383" i="1"/>
  <c r="Q383" i="1"/>
  <c r="CP383" i="1" s="1"/>
  <c r="O383" i="1" s="1"/>
  <c r="GM383" i="1" s="1"/>
  <c r="GO383" i="1" s="1"/>
  <c r="R383" i="1"/>
  <c r="CR383" i="1"/>
  <c r="AO423" i="1"/>
  <c r="AB419" i="1"/>
  <c r="V417" i="1"/>
  <c r="Y416" i="1"/>
  <c r="CT408" i="1"/>
  <c r="CY400" i="1"/>
  <c r="CZ400" i="1"/>
  <c r="CQ395" i="1"/>
  <c r="AB395" i="1"/>
  <c r="P389" i="1"/>
  <c r="X381" i="1"/>
  <c r="BZ313" i="1"/>
  <c r="AQ334" i="1"/>
  <c r="CG334" i="1"/>
  <c r="GX326" i="1"/>
  <c r="R317" i="1"/>
  <c r="CY317" i="1"/>
  <c r="CZ317" i="1"/>
  <c r="X317" i="1"/>
  <c r="Y317" i="1"/>
  <c r="CR317" i="1"/>
  <c r="AD317" i="1"/>
  <c r="AB317" i="1" s="1"/>
  <c r="CS317" i="1"/>
  <c r="Q317" i="1"/>
  <c r="Q460" i="1"/>
  <c r="CP460" i="1" s="1"/>
  <c r="O460" i="1" s="1"/>
  <c r="I418" i="1"/>
  <c r="U418" i="1" s="1"/>
  <c r="X416" i="1"/>
  <c r="CQ414" i="1"/>
  <c r="V413" i="1"/>
  <c r="CQ411" i="1"/>
  <c r="CQ400" i="1"/>
  <c r="X397" i="1"/>
  <c r="Y397" i="1"/>
  <c r="CZ397" i="1"/>
  <c r="X394" i="1"/>
  <c r="Y394" i="1"/>
  <c r="CZ394" i="1"/>
  <c r="CP390" i="1"/>
  <c r="O390" i="1" s="1"/>
  <c r="GX328" i="1"/>
  <c r="CR326" i="1"/>
  <c r="CS326" i="1"/>
  <c r="AD326" i="1"/>
  <c r="F478" i="1"/>
  <c r="EG462" i="1"/>
  <c r="AU462" i="1"/>
  <c r="U420" i="1"/>
  <c r="AD420" i="1"/>
  <c r="AB420" i="1" s="1"/>
  <c r="W416" i="1"/>
  <c r="CY414" i="1"/>
  <c r="CZ414" i="1"/>
  <c r="U413" i="1"/>
  <c r="GX411" i="1"/>
  <c r="CZ406" i="1"/>
  <c r="P405" i="1"/>
  <c r="Q405" i="1"/>
  <c r="CS404" i="1"/>
  <c r="CR402" i="1"/>
  <c r="AD402" i="1"/>
  <c r="AB402" i="1" s="1"/>
  <c r="CT395" i="1"/>
  <c r="P395" i="1"/>
  <c r="W384" i="1"/>
  <c r="CP382" i="1"/>
  <c r="O382" i="1" s="1"/>
  <c r="X332" i="1"/>
  <c r="Y332" i="1"/>
  <c r="CP332" i="1"/>
  <c r="O332" i="1" s="1"/>
  <c r="GM332" i="1" s="1"/>
  <c r="CZ332" i="1"/>
  <c r="CX292" i="3"/>
  <c r="CU287" i="3"/>
  <c r="CV287" i="3"/>
  <c r="CX287" i="3"/>
  <c r="CX293" i="3"/>
  <c r="CX290" i="3"/>
  <c r="CW289" i="3"/>
  <c r="I421" i="1"/>
  <c r="S421" i="1" s="1"/>
  <c r="GX417" i="1"/>
  <c r="CR417" i="1"/>
  <c r="CZ412" i="1"/>
  <c r="AB406" i="1"/>
  <c r="P402" i="1"/>
  <c r="CS399" i="1"/>
  <c r="CY399" i="1"/>
  <c r="CZ399" i="1"/>
  <c r="X399" i="1"/>
  <c r="GM399" i="1" s="1"/>
  <c r="GO399" i="1" s="1"/>
  <c r="Y399" i="1"/>
  <c r="CT398" i="1"/>
  <c r="S398" i="1"/>
  <c r="T384" i="1"/>
  <c r="CR375" i="1"/>
  <c r="CS375" i="1"/>
  <c r="R375" i="1"/>
  <c r="Q375" i="1"/>
  <c r="AD375" i="1"/>
  <c r="AB375" i="1" s="1"/>
  <c r="Q371" i="1"/>
  <c r="R371" i="1"/>
  <c r="EM334" i="1"/>
  <c r="AU334" i="1"/>
  <c r="CT328" i="1"/>
  <c r="FR313" i="1"/>
  <c r="EI334" i="1"/>
  <c r="AB318" i="1"/>
  <c r="EU272" i="1"/>
  <c r="P297" i="1"/>
  <c r="AH272" i="1"/>
  <c r="U281" i="1"/>
  <c r="CX259" i="3"/>
  <c r="CX262" i="3"/>
  <c r="CW252" i="3"/>
  <c r="CX252" i="3"/>
  <c r="CX254" i="3"/>
  <c r="CX255" i="3"/>
  <c r="CX257" i="3"/>
  <c r="CX260" i="3"/>
  <c r="CU251" i="3"/>
  <c r="CR392" i="1"/>
  <c r="R390" i="1"/>
  <c r="P384" i="1"/>
  <c r="GX371" i="1"/>
  <c r="CY369" i="1"/>
  <c r="X369" i="1"/>
  <c r="Y369" i="1"/>
  <c r="GC313" i="1"/>
  <c r="ET334" i="1"/>
  <c r="CR328" i="1"/>
  <c r="CS328" i="1"/>
  <c r="GX324" i="1"/>
  <c r="R322" i="1"/>
  <c r="S322" i="1"/>
  <c r="CQ317" i="1"/>
  <c r="P317" i="1"/>
  <c r="EP281" i="1"/>
  <c r="FY272" i="1"/>
  <c r="AJ272" i="1"/>
  <c r="W281" i="1"/>
  <c r="BX199" i="1"/>
  <c r="AO240" i="1"/>
  <c r="CG240" i="1"/>
  <c r="FT144" i="1"/>
  <c r="EK167" i="1"/>
  <c r="Q406" i="1"/>
  <c r="CP406" i="1" s="1"/>
  <c r="O406" i="1" s="1"/>
  <c r="GM406" i="1" s="1"/>
  <c r="R397" i="1"/>
  <c r="R394" i="1"/>
  <c r="Y388" i="1"/>
  <c r="Y387" i="1"/>
  <c r="P385" i="1"/>
  <c r="AB383" i="1"/>
  <c r="S370" i="1"/>
  <c r="CQ369" i="1"/>
  <c r="AB369" i="1"/>
  <c r="CR327" i="1"/>
  <c r="CS327" i="1"/>
  <c r="AD327" i="1"/>
  <c r="CY320" i="1"/>
  <c r="CZ320" i="1"/>
  <c r="EG199" i="1"/>
  <c r="P244" i="1"/>
  <c r="Q397" i="1"/>
  <c r="Q394" i="1"/>
  <c r="FR391" i="1"/>
  <c r="CP391" i="1"/>
  <c r="O391" i="1" s="1"/>
  <c r="GM391" i="1" s="1"/>
  <c r="X388" i="1"/>
  <c r="Q387" i="1"/>
  <c r="CP387" i="1" s="1"/>
  <c r="O387" i="1" s="1"/>
  <c r="GM387" i="1" s="1"/>
  <c r="GO387" i="1" s="1"/>
  <c r="P386" i="1"/>
  <c r="CP386" i="1" s="1"/>
  <c r="O386" i="1" s="1"/>
  <c r="S377" i="1"/>
  <c r="CY374" i="1"/>
  <c r="CZ374" i="1"/>
  <c r="Y374" i="1"/>
  <c r="CS330" i="1"/>
  <c r="AD330" i="1"/>
  <c r="U328" i="1"/>
  <c r="AB327" i="1"/>
  <c r="T324" i="1"/>
  <c r="CP319" i="1"/>
  <c r="O319" i="1" s="1"/>
  <c r="Y279" i="1"/>
  <c r="X279" i="1"/>
  <c r="CY279" i="1"/>
  <c r="CZ279" i="1"/>
  <c r="DU281" i="1"/>
  <c r="FR277" i="1"/>
  <c r="FQ281" i="1" s="1"/>
  <c r="CC272" i="1"/>
  <c r="AT281" i="1"/>
  <c r="P410" i="1"/>
  <c r="CP410" i="1" s="1"/>
  <c r="O410" i="1" s="1"/>
  <c r="GM410" i="1" s="1"/>
  <c r="GO410" i="1" s="1"/>
  <c r="P401" i="1"/>
  <c r="CX268" i="3"/>
  <c r="CX271" i="3"/>
  <c r="CU263" i="3"/>
  <c r="CX272" i="3"/>
  <c r="CV263" i="3"/>
  <c r="CX263" i="3"/>
  <c r="CW264" i="3"/>
  <c r="CX266" i="3"/>
  <c r="CX274" i="3"/>
  <c r="CX269" i="3"/>
  <c r="CX264" i="3"/>
  <c r="CX273" i="3"/>
  <c r="AD397" i="1"/>
  <c r="AB397" i="1" s="1"/>
  <c r="P397" i="1"/>
  <c r="AD394" i="1"/>
  <c r="AB394" i="1" s="1"/>
  <c r="P394" i="1"/>
  <c r="P392" i="1"/>
  <c r="AB390" i="1"/>
  <c r="CR389" i="1"/>
  <c r="X389" i="1"/>
  <c r="AB384" i="1"/>
  <c r="CP381" i="1"/>
  <c r="O381" i="1" s="1"/>
  <c r="R377" i="1"/>
  <c r="CS376" i="1"/>
  <c r="AD376" i="1"/>
  <c r="AB376" i="1" s="1"/>
  <c r="R374" i="1"/>
  <c r="CQ371" i="1"/>
  <c r="P371" i="1"/>
  <c r="CP371" i="1" s="1"/>
  <c r="O371" i="1" s="1"/>
  <c r="GM371" i="1" s="1"/>
  <c r="GO371" i="1" s="1"/>
  <c r="Q370" i="1"/>
  <c r="AB331" i="1"/>
  <c r="AB330" i="1"/>
  <c r="U326" i="1"/>
  <c r="AB326" i="1"/>
  <c r="CQ325" i="1"/>
  <c r="AB325" i="1"/>
  <c r="P325" i="1"/>
  <c r="S323" i="1"/>
  <c r="AD322" i="1"/>
  <c r="AB322" i="1" s="1"/>
  <c r="Q403" i="1"/>
  <c r="CP403" i="1" s="1"/>
  <c r="O403" i="1" s="1"/>
  <c r="GM403" i="1" s="1"/>
  <c r="S396" i="1"/>
  <c r="CP396" i="1" s="1"/>
  <c r="O396" i="1" s="1"/>
  <c r="S393" i="1"/>
  <c r="CP393" i="1" s="1"/>
  <c r="O393" i="1" s="1"/>
  <c r="CZ392" i="1"/>
  <c r="GX384" i="1"/>
  <c r="CY381" i="1"/>
  <c r="CZ381" i="1"/>
  <c r="Y381" i="1"/>
  <c r="U377" i="1"/>
  <c r="P376" i="1"/>
  <c r="Y375" i="1"/>
  <c r="CY375" i="1"/>
  <c r="X368" i="1"/>
  <c r="GM368" i="1" s="1"/>
  <c r="Y368" i="1"/>
  <c r="CT329" i="1"/>
  <c r="S329" i="1"/>
  <c r="T326" i="1"/>
  <c r="CT316" i="1"/>
  <c r="S316" i="1"/>
  <c r="CB334" i="1"/>
  <c r="FT272" i="1"/>
  <c r="EK281" i="1"/>
  <c r="CT275" i="1"/>
  <c r="S275" i="1"/>
  <c r="CD199" i="1"/>
  <c r="AU240" i="1"/>
  <c r="CS397" i="1"/>
  <c r="CR387" i="1"/>
  <c r="CS387" i="1"/>
  <c r="R387" i="1"/>
  <c r="CR380" i="1"/>
  <c r="CS380" i="1"/>
  <c r="R380" i="1"/>
  <c r="FP313" i="1"/>
  <c r="FY334" i="1"/>
  <c r="U322" i="1"/>
  <c r="CQ321" i="1"/>
  <c r="P321" i="1"/>
  <c r="CR316" i="1"/>
  <c r="CS316" i="1"/>
  <c r="AD316" i="1"/>
  <c r="DN281" i="1"/>
  <c r="EA272" i="1"/>
  <c r="F285" i="1"/>
  <c r="AO272" i="1"/>
  <c r="EI281" i="1"/>
  <c r="FR272" i="1"/>
  <c r="CP275" i="1"/>
  <c r="O275" i="1" s="1"/>
  <c r="CT237" i="1"/>
  <c r="S237" i="1"/>
  <c r="R414" i="1"/>
  <c r="CU275" i="3"/>
  <c r="CX276" i="3"/>
  <c r="I408" i="1"/>
  <c r="S408" i="1" s="1"/>
  <c r="R400" i="1"/>
  <c r="Q398" i="1"/>
  <c r="AD392" i="1"/>
  <c r="AD387" i="1"/>
  <c r="AB385" i="1"/>
  <c r="AD380" i="1"/>
  <c r="AB380" i="1" s="1"/>
  <c r="CY368" i="1"/>
  <c r="F338" i="1"/>
  <c r="P331" i="1"/>
  <c r="S330" i="1"/>
  <c r="P326" i="1"/>
  <c r="T322" i="1"/>
  <c r="FT334" i="1"/>
  <c r="AB275" i="1"/>
  <c r="T228" i="1"/>
  <c r="S201" i="1"/>
  <c r="CT201" i="1"/>
  <c r="CS403" i="1"/>
  <c r="GX400" i="1"/>
  <c r="GX398" i="1"/>
  <c r="P398" i="1"/>
  <c r="CZ388" i="1"/>
  <c r="AB387" i="1"/>
  <c r="R382" i="1"/>
  <c r="P369" i="1"/>
  <c r="CQ368" i="1"/>
  <c r="AB368" i="1"/>
  <c r="CR330" i="1"/>
  <c r="R330" i="1"/>
  <c r="W326" i="1"/>
  <c r="X325" i="1"/>
  <c r="Y325" i="1"/>
  <c r="Q322" i="1"/>
  <c r="AE272" i="1"/>
  <c r="R281" i="1"/>
  <c r="AG240" i="1"/>
  <c r="GB144" i="1"/>
  <c r="ES167" i="1"/>
  <c r="Q389" i="1"/>
  <c r="FR388" i="1"/>
  <c r="CP388" i="1"/>
  <c r="O388" i="1" s="1"/>
  <c r="GM388" i="1" s="1"/>
  <c r="X387" i="1"/>
  <c r="CR386" i="1"/>
  <c r="X386" i="1"/>
  <c r="V384" i="1"/>
  <c r="Q382" i="1"/>
  <c r="CP378" i="1"/>
  <c r="O378" i="1" s="1"/>
  <c r="P377" i="1"/>
  <c r="CQ376" i="1"/>
  <c r="AD374" i="1"/>
  <c r="AB374" i="1" s="1"/>
  <c r="AB373" i="1"/>
  <c r="V370" i="1"/>
  <c r="GE313" i="1"/>
  <c r="EV334" i="1"/>
  <c r="Q331" i="1"/>
  <c r="R331" i="1"/>
  <c r="S331" i="1"/>
  <c r="W331" i="1"/>
  <c r="Q330" i="1"/>
  <c r="CS322" i="1"/>
  <c r="P322" i="1"/>
  <c r="R316" i="1"/>
  <c r="CP278" i="1"/>
  <c r="O278" i="1" s="1"/>
  <c r="DY281" i="1"/>
  <c r="P204" i="1"/>
  <c r="Q204" i="1"/>
  <c r="GX204" i="1"/>
  <c r="R204" i="1"/>
  <c r="S204" i="1"/>
  <c r="BZ199" i="1"/>
  <c r="AQ240" i="1"/>
  <c r="CR237" i="1"/>
  <c r="CS237" i="1"/>
  <c r="CZ220" i="1"/>
  <c r="X220" i="1"/>
  <c r="Y220" i="1"/>
  <c r="AB214" i="1"/>
  <c r="Y213" i="1"/>
  <c r="X213" i="1"/>
  <c r="CY213" i="1"/>
  <c r="CZ213" i="1"/>
  <c r="CY233" i="1"/>
  <c r="CZ233" i="1"/>
  <c r="X233" i="1"/>
  <c r="Y233" i="1"/>
  <c r="Y211" i="1"/>
  <c r="X211" i="1"/>
  <c r="CY211" i="1"/>
  <c r="CZ211" i="1"/>
  <c r="AH240" i="1"/>
  <c r="P330" i="1"/>
  <c r="CP330" i="1" s="1"/>
  <c r="O330" i="1" s="1"/>
  <c r="Q323" i="1"/>
  <c r="CP323" i="1" s="1"/>
  <c r="O323" i="1" s="1"/>
  <c r="P316" i="1"/>
  <c r="S276" i="1"/>
  <c r="CY274" i="1"/>
  <c r="CZ274" i="1"/>
  <c r="X274" i="1"/>
  <c r="Y274" i="1"/>
  <c r="BD199" i="1"/>
  <c r="F265" i="1"/>
  <c r="U238" i="1"/>
  <c r="P238" i="1"/>
  <c r="CY235" i="1"/>
  <c r="CZ235" i="1"/>
  <c r="X235" i="1"/>
  <c r="Y235" i="1"/>
  <c r="CR233" i="1"/>
  <c r="CS233" i="1"/>
  <c r="CR226" i="1"/>
  <c r="CS226" i="1"/>
  <c r="CP213" i="1"/>
  <c r="O213" i="1" s="1"/>
  <c r="AB201" i="1"/>
  <c r="EG144" i="1"/>
  <c r="P171" i="1"/>
  <c r="Q325" i="1"/>
  <c r="Q321" i="1"/>
  <c r="AD277" i="1"/>
  <c r="AB277" i="1" s="1"/>
  <c r="BZ281" i="1"/>
  <c r="T238" i="1"/>
  <c r="R237" i="1"/>
  <c r="CR235" i="1"/>
  <c r="CS235" i="1"/>
  <c r="CY227" i="1"/>
  <c r="CZ227" i="1"/>
  <c r="U224" i="1"/>
  <c r="DZ240" i="1" s="1"/>
  <c r="S209" i="1"/>
  <c r="CT209" i="1"/>
  <c r="X202" i="1"/>
  <c r="Y202" i="1"/>
  <c r="CY202" i="1"/>
  <c r="CZ202" i="1"/>
  <c r="EA167" i="1"/>
  <c r="CU211" i="3"/>
  <c r="CX213" i="3"/>
  <c r="CV211" i="3"/>
  <c r="AD325" i="1"/>
  <c r="AD321" i="1"/>
  <c r="AB321" i="1" s="1"/>
  <c r="S318" i="1"/>
  <c r="AB316" i="1"/>
  <c r="S315" i="1"/>
  <c r="AS281" i="1"/>
  <c r="AD274" i="1"/>
  <c r="AB274" i="1" s="1"/>
  <c r="Q237" i="1"/>
  <c r="CP237" i="1" s="1"/>
  <c r="O237" i="1" s="1"/>
  <c r="AD235" i="1"/>
  <c r="AB235" i="1" s="1"/>
  <c r="CQ233" i="1"/>
  <c r="AB233" i="1"/>
  <c r="CR230" i="1"/>
  <c r="CS230" i="1"/>
  <c r="CQ226" i="1"/>
  <c r="AB226" i="1"/>
  <c r="GX224" i="1"/>
  <c r="CY223" i="1"/>
  <c r="CZ223" i="1"/>
  <c r="CR222" i="1"/>
  <c r="CS222" i="1"/>
  <c r="CM272" i="1"/>
  <c r="BD281" i="1"/>
  <c r="EB281" i="1"/>
  <c r="CQ235" i="1"/>
  <c r="CB240" i="1"/>
  <c r="CZ212" i="1"/>
  <c r="X212" i="1"/>
  <c r="Y212" i="1"/>
  <c r="CY212" i="1"/>
  <c r="W204" i="1"/>
  <c r="Q329" i="1"/>
  <c r="CP329" i="1" s="1"/>
  <c r="O329" i="1" s="1"/>
  <c r="CS325" i="1"/>
  <c r="CS321" i="1"/>
  <c r="R320" i="1"/>
  <c r="Q318" i="1"/>
  <c r="CP318" i="1" s="1"/>
  <c r="O318" i="1" s="1"/>
  <c r="Q315" i="1"/>
  <c r="BX272" i="1"/>
  <c r="X232" i="1"/>
  <c r="Y232" i="1"/>
  <c r="CQ230" i="1"/>
  <c r="AB230" i="1"/>
  <c r="CP226" i="1"/>
  <c r="O226" i="1" s="1"/>
  <c r="AB223" i="1"/>
  <c r="CQ222" i="1"/>
  <c r="AB222" i="1"/>
  <c r="AI240" i="1"/>
  <c r="V204" i="1"/>
  <c r="AG144" i="1"/>
  <c r="T167" i="1"/>
  <c r="AI167" i="1"/>
  <c r="AB332" i="1"/>
  <c r="AD329" i="1"/>
  <c r="AB329" i="1" s="1"/>
  <c r="Q320" i="1"/>
  <c r="CP320" i="1" s="1"/>
  <c r="O320" i="1" s="1"/>
  <c r="GM320" i="1" s="1"/>
  <c r="GO320" i="1" s="1"/>
  <c r="AD318" i="1"/>
  <c r="AD315" i="1"/>
  <c r="AB315" i="1" s="1"/>
  <c r="BC272" i="1"/>
  <c r="F297" i="1"/>
  <c r="CT278" i="1"/>
  <c r="S278" i="1"/>
  <c r="FU281" i="1"/>
  <c r="AG281" i="1"/>
  <c r="CL199" i="1"/>
  <c r="BC240" i="1"/>
  <c r="Q238" i="1"/>
  <c r="R238" i="1"/>
  <c r="S238" i="1"/>
  <c r="V238" i="1"/>
  <c r="FR240" i="1"/>
  <c r="FR233" i="1"/>
  <c r="CP233" i="1"/>
  <c r="O233" i="1" s="1"/>
  <c r="X227" i="1"/>
  <c r="P218" i="1"/>
  <c r="CQ218" i="1"/>
  <c r="X217" i="1"/>
  <c r="Y217" i="1"/>
  <c r="CT208" i="1"/>
  <c r="S208" i="1"/>
  <c r="U204" i="1"/>
  <c r="CD144" i="1"/>
  <c r="AU167" i="1"/>
  <c r="R379" i="1"/>
  <c r="Q373" i="1"/>
  <c r="CP373" i="1" s="1"/>
  <c r="O373" i="1" s="1"/>
  <c r="GM373" i="1" s="1"/>
  <c r="I327" i="1"/>
  <c r="T327" i="1" s="1"/>
  <c r="AG334" i="1" s="1"/>
  <c r="CS277" i="1"/>
  <c r="R277" i="1"/>
  <c r="DW281" i="1" s="1"/>
  <c r="CP276" i="1"/>
  <c r="O276" i="1" s="1"/>
  <c r="CT274" i="1"/>
  <c r="Q274" i="1"/>
  <c r="CK199" i="1"/>
  <c r="BB240" i="1"/>
  <c r="GX238" i="1"/>
  <c r="W238" i="1"/>
  <c r="P235" i="1"/>
  <c r="CP235" i="1" s="1"/>
  <c r="O235" i="1" s="1"/>
  <c r="GM235" i="1" s="1"/>
  <c r="GO235" i="1" s="1"/>
  <c r="CT233" i="1"/>
  <c r="P230" i="1"/>
  <c r="P222" i="1"/>
  <c r="CP222" i="1" s="1"/>
  <c r="O222" i="1" s="1"/>
  <c r="AB218" i="1"/>
  <c r="CY217" i="1"/>
  <c r="R203" i="1"/>
  <c r="Q203" i="1"/>
  <c r="S203" i="1"/>
  <c r="CB144" i="1"/>
  <c r="AS167" i="1"/>
  <c r="CT165" i="1"/>
  <c r="S165" i="1"/>
  <c r="CU214" i="3"/>
  <c r="CW215" i="3"/>
  <c r="CX215" i="3"/>
  <c r="CV214" i="3"/>
  <c r="CX216" i="3"/>
  <c r="EV281" i="1"/>
  <c r="Q277" i="1"/>
  <c r="CS274" i="1"/>
  <c r="P274" i="1"/>
  <c r="CT235" i="1"/>
  <c r="S215" i="1"/>
  <c r="CT215" i="1"/>
  <c r="FT240" i="1"/>
  <c r="CV162" i="3"/>
  <c r="CU162" i="3"/>
  <c r="CX162" i="3"/>
  <c r="AB215" i="1"/>
  <c r="P215" i="1"/>
  <c r="CR209" i="1"/>
  <c r="CS209" i="1"/>
  <c r="AD209" i="1"/>
  <c r="AB209" i="1" s="1"/>
  <c r="V203" i="1"/>
  <c r="BZ144" i="1"/>
  <c r="CG167" i="1"/>
  <c r="AQ167" i="1"/>
  <c r="P165" i="1"/>
  <c r="CQ165" i="1"/>
  <c r="AB165" i="1"/>
  <c r="Q220" i="1"/>
  <c r="CU161" i="3"/>
  <c r="R217" i="1"/>
  <c r="AE240" i="1" s="1"/>
  <c r="CY214" i="1"/>
  <c r="CZ214" i="1"/>
  <c r="CQ209" i="1"/>
  <c r="P209" i="1"/>
  <c r="T204" i="1"/>
  <c r="FR162" i="1"/>
  <c r="FV144" i="1"/>
  <c r="EM167" i="1"/>
  <c r="CX176" i="3"/>
  <c r="CU176" i="3"/>
  <c r="AD228" i="1"/>
  <c r="CU173" i="3"/>
  <c r="CV173" i="3"/>
  <c r="CX173" i="3"/>
  <c r="AD224" i="1"/>
  <c r="AB224" i="1" s="1"/>
  <c r="CX170" i="3"/>
  <c r="CX168" i="3"/>
  <c r="CU167" i="3"/>
  <c r="AD220" i="1"/>
  <c r="P217" i="1"/>
  <c r="CP217" i="1" s="1"/>
  <c r="O217" i="1" s="1"/>
  <c r="AD216" i="1"/>
  <c r="AB216" i="1" s="1"/>
  <c r="AD212" i="1"/>
  <c r="CZ205" i="1"/>
  <c r="AD205" i="1"/>
  <c r="AB205" i="1" s="1"/>
  <c r="T203" i="1"/>
  <c r="BD144" i="1"/>
  <c r="F192" i="1"/>
  <c r="X163" i="1"/>
  <c r="Y163" i="1"/>
  <c r="CZ163" i="1"/>
  <c r="Q279" i="1"/>
  <c r="CP279" i="1" s="1"/>
  <c r="O279" i="1" s="1"/>
  <c r="GM279" i="1" s="1"/>
  <c r="Q276" i="1"/>
  <c r="AB237" i="1"/>
  <c r="R236" i="1"/>
  <c r="CU177" i="3"/>
  <c r="CV177" i="3"/>
  <c r="CX177" i="3"/>
  <c r="CX178" i="3"/>
  <c r="Q232" i="1"/>
  <c r="S229" i="1"/>
  <c r="T227" i="1"/>
  <c r="V218" i="1"/>
  <c r="EA240" i="1" s="1"/>
  <c r="GX217" i="1"/>
  <c r="CJ240" i="1" s="1"/>
  <c r="AB217" i="1"/>
  <c r="CQ216" i="1"/>
  <c r="P214" i="1"/>
  <c r="CP214" i="1" s="1"/>
  <c r="O214" i="1" s="1"/>
  <c r="GM214" i="1" s="1"/>
  <c r="GO214" i="1" s="1"/>
  <c r="CR213" i="1"/>
  <c r="AD213" i="1"/>
  <c r="AB213" i="1" s="1"/>
  <c r="CQ212" i="1"/>
  <c r="AB212" i="1"/>
  <c r="CU155" i="3"/>
  <c r="CV155" i="3"/>
  <c r="CX155" i="3"/>
  <c r="W207" i="1"/>
  <c r="AJ240" i="1" s="1"/>
  <c r="Q207" i="1"/>
  <c r="FP144" i="1"/>
  <c r="FY167" i="1"/>
  <c r="R165" i="1"/>
  <c r="W165" i="1"/>
  <c r="EB167" i="1" s="1"/>
  <c r="S164" i="1"/>
  <c r="CT164" i="1"/>
  <c r="CP163" i="1"/>
  <c r="O163" i="1" s="1"/>
  <c r="AD279" i="1"/>
  <c r="AB279" i="1" s="1"/>
  <c r="AD276" i="1"/>
  <c r="AB276" i="1" s="1"/>
  <c r="Q236" i="1"/>
  <c r="CP236" i="1" s="1"/>
  <c r="O236" i="1" s="1"/>
  <c r="GM236" i="1" s="1"/>
  <c r="GO236" i="1" s="1"/>
  <c r="AD232" i="1"/>
  <c r="AB232" i="1" s="1"/>
  <c r="P232" i="1"/>
  <c r="R229" i="1"/>
  <c r="CS228" i="1"/>
  <c r="AB228" i="1"/>
  <c r="I228" i="1"/>
  <c r="GX228" i="1" s="1"/>
  <c r="R225" i="1"/>
  <c r="CS224" i="1"/>
  <c r="I224" i="1"/>
  <c r="V224" i="1" s="1"/>
  <c r="R221" i="1"/>
  <c r="CS220" i="1"/>
  <c r="AB220" i="1"/>
  <c r="R219" i="1"/>
  <c r="CS217" i="1"/>
  <c r="CQ215" i="1"/>
  <c r="R209" i="1"/>
  <c r="W208" i="1"/>
  <c r="CR203" i="1"/>
  <c r="AD203" i="1"/>
  <c r="AB203" i="1" s="1"/>
  <c r="EU144" i="1"/>
  <c r="P183" i="1"/>
  <c r="T165" i="1"/>
  <c r="CY163" i="1"/>
  <c r="AH167" i="1"/>
  <c r="Q229" i="1"/>
  <c r="CP229" i="1" s="1"/>
  <c r="O229" i="1" s="1"/>
  <c r="R227" i="1"/>
  <c r="Q225" i="1"/>
  <c r="R223" i="1"/>
  <c r="Q221" i="1"/>
  <c r="CP221" i="1" s="1"/>
  <c r="O221" i="1" s="1"/>
  <c r="GM221" i="1" s="1"/>
  <c r="GO221" i="1" s="1"/>
  <c r="Q219" i="1"/>
  <c r="CP219" i="1" s="1"/>
  <c r="O219" i="1" s="1"/>
  <c r="GM219" i="1" s="1"/>
  <c r="CR217" i="1"/>
  <c r="Q209" i="1"/>
  <c r="S207" i="1"/>
  <c r="CP206" i="1"/>
  <c r="O206" i="1" s="1"/>
  <c r="P203" i="1"/>
  <c r="R155" i="1"/>
  <c r="CR155" i="1"/>
  <c r="AD155" i="1"/>
  <c r="AB155" i="1" s="1"/>
  <c r="CS155" i="1"/>
  <c r="Q155" i="1"/>
  <c r="T112" i="1"/>
  <c r="AG105" i="1"/>
  <c r="CS232" i="1"/>
  <c r="R231" i="1"/>
  <c r="P225" i="1"/>
  <c r="CP225" i="1" s="1"/>
  <c r="O225" i="1" s="1"/>
  <c r="GM225" i="1" s="1"/>
  <c r="GO225" i="1" s="1"/>
  <c r="S218" i="1"/>
  <c r="CQ217" i="1"/>
  <c r="CT216" i="1"/>
  <c r="CU159" i="3"/>
  <c r="CV159" i="3"/>
  <c r="CX159" i="3"/>
  <c r="CX160" i="3"/>
  <c r="R214" i="1"/>
  <c r="I216" i="1"/>
  <c r="V216" i="1" s="1"/>
  <c r="CT212" i="1"/>
  <c r="CY205" i="1"/>
  <c r="X205" i="1"/>
  <c r="Y205" i="1"/>
  <c r="W203" i="1"/>
  <c r="F171" i="1"/>
  <c r="EV240" i="1"/>
  <c r="P227" i="1"/>
  <c r="P223" i="1"/>
  <c r="CP220" i="1"/>
  <c r="O220" i="1" s="1"/>
  <c r="GM220" i="1" s="1"/>
  <c r="R218" i="1"/>
  <c r="CR216" i="1"/>
  <c r="U214" i="1"/>
  <c r="CS213" i="1"/>
  <c r="CR212" i="1"/>
  <c r="R212" i="1"/>
  <c r="S210" i="1"/>
  <c r="CT210" i="1"/>
  <c r="GX208" i="1"/>
  <c r="Q206" i="1"/>
  <c r="R206" i="1"/>
  <c r="S206" i="1"/>
  <c r="CS205" i="1"/>
  <c r="U203" i="1"/>
  <c r="AB202" i="1"/>
  <c r="CL144" i="1"/>
  <c r="BC167" i="1"/>
  <c r="FR164" i="1"/>
  <c r="DY167" i="1"/>
  <c r="Y236" i="1"/>
  <c r="CX180" i="3"/>
  <c r="CU179" i="3"/>
  <c r="S230" i="1"/>
  <c r="S226" i="1"/>
  <c r="S222" i="1"/>
  <c r="Q218" i="1"/>
  <c r="Q212" i="1"/>
  <c r="CQ207" i="1"/>
  <c r="AB207" i="1"/>
  <c r="FR205" i="1"/>
  <c r="CP205" i="1"/>
  <c r="O205" i="1" s="1"/>
  <c r="GM205" i="1" s="1"/>
  <c r="BB144" i="1"/>
  <c r="F180" i="1"/>
  <c r="U165" i="1"/>
  <c r="DZ167" i="1" s="1"/>
  <c r="EU105" i="1"/>
  <c r="P128" i="1"/>
  <c r="P256" i="1"/>
  <c r="R230" i="1"/>
  <c r="CU175" i="3"/>
  <c r="CX175" i="3"/>
  <c r="CV175" i="3"/>
  <c r="R226" i="1"/>
  <c r="R222" i="1"/>
  <c r="CU163" i="3"/>
  <c r="CX166" i="3"/>
  <c r="P212" i="1"/>
  <c r="CU156" i="3"/>
  <c r="CX156" i="3"/>
  <c r="P208" i="1"/>
  <c r="Q208" i="1"/>
  <c r="R205" i="1"/>
  <c r="EI144" i="1"/>
  <c r="P177" i="1"/>
  <c r="CJ167" i="1"/>
  <c r="Q164" i="1"/>
  <c r="CP164" i="1" s="1"/>
  <c r="O164" i="1" s="1"/>
  <c r="R162" i="1"/>
  <c r="R159" i="1"/>
  <c r="CR159" i="1"/>
  <c r="AD159" i="1"/>
  <c r="AB159" i="1" s="1"/>
  <c r="AB156" i="1"/>
  <c r="P156" i="1"/>
  <c r="CQ156" i="1"/>
  <c r="CQ155" i="1"/>
  <c r="P155" i="1"/>
  <c r="FR149" i="1"/>
  <c r="CP149" i="1"/>
  <c r="O149" i="1" s="1"/>
  <c r="CK144" i="1"/>
  <c r="R157" i="1"/>
  <c r="FT105" i="1"/>
  <c r="EK112" i="1"/>
  <c r="CX150" i="3"/>
  <c r="CU149" i="3"/>
  <c r="CS163" i="1"/>
  <c r="R163" i="1"/>
  <c r="S162" i="1"/>
  <c r="CY161" i="1"/>
  <c r="CS161" i="1"/>
  <c r="AD161" i="1"/>
  <c r="CP160" i="1"/>
  <c r="O160" i="1" s="1"/>
  <c r="CP154" i="1"/>
  <c r="O154" i="1" s="1"/>
  <c r="GM154" i="1" s="1"/>
  <c r="GO154" i="1" s="1"/>
  <c r="U105" i="1"/>
  <c r="F134" i="1"/>
  <c r="CD105" i="1"/>
  <c r="AU112" i="1"/>
  <c r="Q202" i="1"/>
  <c r="CP202" i="1" s="1"/>
  <c r="O202" i="1" s="1"/>
  <c r="CS165" i="1"/>
  <c r="AD164" i="1"/>
  <c r="AD163" i="1"/>
  <c r="AB163" i="1" s="1"/>
  <c r="CQ161" i="1"/>
  <c r="AB161" i="1"/>
  <c r="P161" i="1"/>
  <c r="X159" i="1"/>
  <c r="CY155" i="1"/>
  <c r="CZ155" i="1"/>
  <c r="X155" i="1"/>
  <c r="Y155" i="1"/>
  <c r="CT153" i="1"/>
  <c r="S153" i="1"/>
  <c r="FV105" i="1"/>
  <c r="EM112" i="1"/>
  <c r="BC112" i="1"/>
  <c r="CL105" i="1"/>
  <c r="V110" i="1"/>
  <c r="EA112" i="1" s="1"/>
  <c r="Y161" i="1"/>
  <c r="CR153" i="1"/>
  <c r="CS153" i="1"/>
  <c r="AD153" i="1"/>
  <c r="CY152" i="1"/>
  <c r="CZ152" i="1"/>
  <c r="X152" i="1"/>
  <c r="S149" i="1"/>
  <c r="CT149" i="1"/>
  <c r="CT148" i="1"/>
  <c r="S148" i="1"/>
  <c r="BX144" i="1"/>
  <c r="EI105" i="1"/>
  <c r="P122" i="1"/>
  <c r="T110" i="1"/>
  <c r="DY112" i="1" s="1"/>
  <c r="AQ112" i="1"/>
  <c r="BZ105" i="1"/>
  <c r="CG112" i="1"/>
  <c r="CP107" i="1"/>
  <c r="O107" i="1" s="1"/>
  <c r="AD112" i="1"/>
  <c r="R213" i="1"/>
  <c r="R211" i="1"/>
  <c r="CS164" i="1"/>
  <c r="AB164" i="1"/>
  <c r="CS159" i="1"/>
  <c r="CR158" i="1"/>
  <c r="AD158" i="1"/>
  <c r="AB158" i="1" s="1"/>
  <c r="CR148" i="1"/>
  <c r="CS148" i="1"/>
  <c r="AD148" i="1"/>
  <c r="W110" i="1"/>
  <c r="EB112" i="1" s="1"/>
  <c r="Q211" i="1"/>
  <c r="CP211" i="1" s="1"/>
  <c r="O211" i="1" s="1"/>
  <c r="GM211" i="1" s="1"/>
  <c r="CS202" i="1"/>
  <c r="CR163" i="1"/>
  <c r="CT162" i="1"/>
  <c r="CT161" i="1"/>
  <c r="CQ159" i="1"/>
  <c r="CZ159" i="1"/>
  <c r="Y159" i="1"/>
  <c r="CP158" i="1"/>
  <c r="O158" i="1" s="1"/>
  <c r="GM158" i="1" s="1"/>
  <c r="GO158" i="1" s="1"/>
  <c r="R151" i="1"/>
  <c r="CR151" i="1"/>
  <c r="AD151" i="1"/>
  <c r="S146" i="1"/>
  <c r="CP146" i="1" s="1"/>
  <c r="O146" i="1" s="1"/>
  <c r="CT146" i="1"/>
  <c r="AD211" i="1"/>
  <c r="AB211" i="1" s="1"/>
  <c r="AD204" i="1"/>
  <c r="AB204" i="1" s="1"/>
  <c r="CX152" i="3"/>
  <c r="CX153" i="3"/>
  <c r="CU152" i="3"/>
  <c r="CQ163" i="1"/>
  <c r="CS162" i="1"/>
  <c r="CR161" i="1"/>
  <c r="CZ160" i="1"/>
  <c r="X160" i="1"/>
  <c r="Q159" i="1"/>
  <c r="CP159" i="1" s="1"/>
  <c r="O159" i="1" s="1"/>
  <c r="GM159" i="1" s="1"/>
  <c r="GO159" i="1" s="1"/>
  <c r="AB152" i="1"/>
  <c r="P152" i="1"/>
  <c r="CQ152" i="1"/>
  <c r="CQ151" i="1"/>
  <c r="P151" i="1"/>
  <c r="CP151" i="1" s="1"/>
  <c r="O151" i="1" s="1"/>
  <c r="GM151" i="1" s="1"/>
  <c r="GO151" i="1" s="1"/>
  <c r="X150" i="1"/>
  <c r="F137" i="1"/>
  <c r="AB208" i="1"/>
  <c r="CY160" i="1"/>
  <c r="X158" i="1"/>
  <c r="CT157" i="1"/>
  <c r="S157" i="1"/>
  <c r="R153" i="1"/>
  <c r="Y152" i="1"/>
  <c r="AB151" i="1"/>
  <c r="AJ112" i="1"/>
  <c r="CR157" i="1"/>
  <c r="CS157" i="1"/>
  <c r="AD157" i="1"/>
  <c r="CY156" i="1"/>
  <c r="CZ156" i="1"/>
  <c r="X156" i="1"/>
  <c r="GX110" i="1"/>
  <c r="GB112" i="1" s="1"/>
  <c r="AI112" i="1"/>
  <c r="EV26" i="1"/>
  <c r="P98" i="1"/>
  <c r="CU157" i="3"/>
  <c r="CX158" i="3"/>
  <c r="CV157" i="3"/>
  <c r="Q201" i="1"/>
  <c r="CP201" i="1" s="1"/>
  <c r="O201" i="1" s="1"/>
  <c r="EV167" i="1"/>
  <c r="W162" i="1"/>
  <c r="AJ167" i="1" s="1"/>
  <c r="Q161" i="1"/>
  <c r="AB160" i="1"/>
  <c r="CQ160" i="1"/>
  <c r="CS158" i="1"/>
  <c r="CY151" i="1"/>
  <c r="CZ151" i="1"/>
  <c r="X151" i="1"/>
  <c r="Y151" i="1"/>
  <c r="Y150" i="1"/>
  <c r="CZ150" i="1"/>
  <c r="Q148" i="1"/>
  <c r="EV105" i="1"/>
  <c r="P137" i="1"/>
  <c r="CT109" i="1"/>
  <c r="AB109" i="1"/>
  <c r="CR108" i="1"/>
  <c r="GE105" i="1"/>
  <c r="AU26" i="1"/>
  <c r="F92" i="1"/>
  <c r="CP63" i="1"/>
  <c r="O63" i="1" s="1"/>
  <c r="GM63" i="1" s="1"/>
  <c r="GO63" i="1" s="1"/>
  <c r="Y109" i="1"/>
  <c r="CZ108" i="1"/>
  <c r="X108" i="1"/>
  <c r="GA26" i="1"/>
  <c r="ER73" i="1"/>
  <c r="BA105" i="1"/>
  <c r="F132" i="1"/>
  <c r="X109" i="1"/>
  <c r="Y107" i="1"/>
  <c r="AF112" i="1"/>
  <c r="Y67" i="1"/>
  <c r="CY67" i="1"/>
  <c r="CZ67" i="1"/>
  <c r="X67" i="1"/>
  <c r="CW141" i="3"/>
  <c r="CX144" i="3"/>
  <c r="CX145" i="3"/>
  <c r="CX141" i="3"/>
  <c r="CU140" i="3"/>
  <c r="CX148" i="3"/>
  <c r="CV140" i="3"/>
  <c r="CY158" i="1"/>
  <c r="P157" i="1"/>
  <c r="CU126" i="3"/>
  <c r="CV126" i="3"/>
  <c r="CX127" i="3"/>
  <c r="CX128" i="3"/>
  <c r="CX129" i="3"/>
  <c r="CX126" i="3"/>
  <c r="CX130" i="3"/>
  <c r="CY154" i="1"/>
  <c r="P153" i="1"/>
  <c r="R150" i="1"/>
  <c r="P148" i="1"/>
  <c r="S147" i="1"/>
  <c r="AD110" i="1"/>
  <c r="AB110" i="1" s="1"/>
  <c r="CQ109" i="1"/>
  <c r="P108" i="1"/>
  <c r="CZ107" i="1"/>
  <c r="CR107" i="1"/>
  <c r="AD107" i="1"/>
  <c r="AB107" i="1" s="1"/>
  <c r="R107" i="1"/>
  <c r="AE112" i="1" s="1"/>
  <c r="EP73" i="1"/>
  <c r="Q150" i="1"/>
  <c r="R147" i="1"/>
  <c r="DW167" i="1" s="1"/>
  <c r="CY107" i="1"/>
  <c r="FV26" i="1"/>
  <c r="EM73" i="1"/>
  <c r="AB157" i="1"/>
  <c r="R154" i="1"/>
  <c r="AE167" i="1" s="1"/>
  <c r="AB153" i="1"/>
  <c r="AD150" i="1"/>
  <c r="AB150" i="1" s="1"/>
  <c r="P150" i="1"/>
  <c r="AB148" i="1"/>
  <c r="Q147" i="1"/>
  <c r="CY108" i="1"/>
  <c r="BZ26" i="1"/>
  <c r="CI73" i="1"/>
  <c r="CY68" i="1"/>
  <c r="CZ68" i="1"/>
  <c r="X68" i="1"/>
  <c r="Y68" i="1"/>
  <c r="Q154" i="1"/>
  <c r="AD147" i="1"/>
  <c r="AB147" i="1" s="1"/>
  <c r="CU112" i="3"/>
  <c r="CX114" i="3"/>
  <c r="CW113" i="3"/>
  <c r="CV112" i="3"/>
  <c r="CX112" i="3"/>
  <c r="CX113" i="3"/>
  <c r="R108" i="1"/>
  <c r="I110" i="1"/>
  <c r="U110" i="1" s="1"/>
  <c r="DZ112" i="1" s="1"/>
  <c r="X107" i="1"/>
  <c r="AK112" i="1" s="1"/>
  <c r="CP71" i="1"/>
  <c r="O71" i="1" s="1"/>
  <c r="AD154" i="1"/>
  <c r="AB154" i="1" s="1"/>
  <c r="CS150" i="1"/>
  <c r="F125" i="1"/>
  <c r="EG112" i="1"/>
  <c r="CR110" i="1"/>
  <c r="P109" i="1"/>
  <c r="CS107" i="1"/>
  <c r="EH26" i="1"/>
  <c r="P82" i="1"/>
  <c r="BX26" i="1"/>
  <c r="AO73" i="1"/>
  <c r="ET112" i="1"/>
  <c r="CB105" i="1"/>
  <c r="AS112" i="1"/>
  <c r="CM26" i="1"/>
  <c r="BD73" i="1"/>
  <c r="BC73" i="1"/>
  <c r="X69" i="1"/>
  <c r="Y69" i="1"/>
  <c r="CY69" i="1"/>
  <c r="CZ69" i="1"/>
  <c r="BB26" i="1"/>
  <c r="F86" i="1"/>
  <c r="X64" i="1"/>
  <c r="GM64" i="1" s="1"/>
  <c r="GO64" i="1" s="1"/>
  <c r="Y64" i="1"/>
  <c r="CY64" i="1"/>
  <c r="CZ64" i="1"/>
  <c r="CU131" i="3"/>
  <c r="CX132" i="3"/>
  <c r="CX134" i="3"/>
  <c r="CX135" i="3"/>
  <c r="CX136" i="3"/>
  <c r="CX137" i="3"/>
  <c r="CW132" i="3"/>
  <c r="CU121" i="3"/>
  <c r="CX123" i="3"/>
  <c r="CX125" i="3"/>
  <c r="CX121" i="3"/>
  <c r="CX124" i="3"/>
  <c r="FY112" i="1"/>
  <c r="Y108" i="1"/>
  <c r="AX73" i="1"/>
  <c r="CY70" i="1"/>
  <c r="CZ70" i="1"/>
  <c r="X70" i="1"/>
  <c r="Y70" i="1"/>
  <c r="Q68" i="1"/>
  <c r="CP68" i="1" s="1"/>
  <c r="O68" i="1" s="1"/>
  <c r="GM68" i="1" s="1"/>
  <c r="GN68" i="1" s="1"/>
  <c r="AD58" i="1"/>
  <c r="AB58" i="1" s="1"/>
  <c r="CR58" i="1"/>
  <c r="CP57" i="1"/>
  <c r="O57" i="1" s="1"/>
  <c r="GM57" i="1" s="1"/>
  <c r="GO57" i="1" s="1"/>
  <c r="CV44" i="3"/>
  <c r="CU44" i="3"/>
  <c r="R49" i="1"/>
  <c r="T49" i="1"/>
  <c r="V49" i="1"/>
  <c r="EA73" i="1" s="1"/>
  <c r="CR33" i="1"/>
  <c r="CS33" i="1"/>
  <c r="AD33" i="1"/>
  <c r="AB33" i="1" s="1"/>
  <c r="AB70" i="1"/>
  <c r="AD68" i="1"/>
  <c r="AB68" i="1" s="1"/>
  <c r="CU99" i="3"/>
  <c r="CV99" i="3"/>
  <c r="CX99" i="3"/>
  <c r="CT65" i="1"/>
  <c r="S65" i="1"/>
  <c r="CP65" i="1" s="1"/>
  <c r="O65" i="1" s="1"/>
  <c r="CU59" i="3"/>
  <c r="CW60" i="3"/>
  <c r="CX59" i="3"/>
  <c r="R53" i="1"/>
  <c r="T53" i="1"/>
  <c r="V53" i="1"/>
  <c r="CP36" i="1"/>
  <c r="O36" i="1" s="1"/>
  <c r="Y30" i="1"/>
  <c r="CY30" i="1"/>
  <c r="CZ30" i="1"/>
  <c r="CP29" i="1"/>
  <c r="O29" i="1" s="1"/>
  <c r="R71" i="1"/>
  <c r="CU105" i="3"/>
  <c r="CX106" i="3"/>
  <c r="CX105" i="3"/>
  <c r="CT68" i="1"/>
  <c r="AB66" i="1"/>
  <c r="CU85" i="3"/>
  <c r="CV85" i="3"/>
  <c r="AB61" i="1"/>
  <c r="Q33" i="1"/>
  <c r="EU73" i="1"/>
  <c r="EI73" i="1"/>
  <c r="Q71" i="1"/>
  <c r="CQ70" i="1"/>
  <c r="CS68" i="1"/>
  <c r="CW95" i="3"/>
  <c r="CX96" i="3"/>
  <c r="CX98" i="3"/>
  <c r="CU93" i="3"/>
  <c r="CW94" i="3"/>
  <c r="CX95" i="3"/>
  <c r="CX93" i="3"/>
  <c r="CX94" i="3"/>
  <c r="Q65" i="1"/>
  <c r="CY62" i="1"/>
  <c r="CS62" i="1"/>
  <c r="AD62" i="1"/>
  <c r="AB62" i="1" s="1"/>
  <c r="Y61" i="1"/>
  <c r="S60" i="1"/>
  <c r="CY45" i="1"/>
  <c r="CZ45" i="1"/>
  <c r="CW319" i="3"/>
  <c r="CX317" i="3"/>
  <c r="CX240" i="3"/>
  <c r="CV240" i="3"/>
  <c r="GX71" i="1"/>
  <c r="R69" i="1"/>
  <c r="CQ62" i="1"/>
  <c r="P62" i="1"/>
  <c r="CS61" i="1"/>
  <c r="X61" i="1"/>
  <c r="CR59" i="1"/>
  <c r="R59" i="1"/>
  <c r="CS58" i="1"/>
  <c r="S49" i="1"/>
  <c r="CS45" i="1"/>
  <c r="AD45" i="1"/>
  <c r="AB45" i="1" s="1"/>
  <c r="X30" i="1"/>
  <c r="AD64" i="1"/>
  <c r="AB64" i="1" s="1"/>
  <c r="CU87" i="3"/>
  <c r="CW88" i="3"/>
  <c r="CW89" i="3"/>
  <c r="CX92" i="3"/>
  <c r="CV87" i="3"/>
  <c r="CX88" i="3"/>
  <c r="CX90" i="3"/>
  <c r="CX87" i="3"/>
  <c r="CU86" i="3"/>
  <c r="CV86" i="3"/>
  <c r="Q63" i="1"/>
  <c r="CR61" i="1"/>
  <c r="AD59" i="1"/>
  <c r="AB59" i="1" s="1"/>
  <c r="CR57" i="1"/>
  <c r="CS57" i="1"/>
  <c r="R57" i="1"/>
  <c r="S53" i="1"/>
  <c r="CS49" i="1"/>
  <c r="AD49" i="1"/>
  <c r="AB49" i="1" s="1"/>
  <c r="CR47" i="1"/>
  <c r="AD47" i="1"/>
  <c r="AB47" i="1" s="1"/>
  <c r="R47" i="1"/>
  <c r="P45" i="1"/>
  <c r="AB44" i="1"/>
  <c r="S38" i="1"/>
  <c r="CT38" i="1"/>
  <c r="CT28" i="1"/>
  <c r="S28" i="1"/>
  <c r="CW110" i="3"/>
  <c r="CU109" i="3"/>
  <c r="CV109" i="3"/>
  <c r="CX110" i="3"/>
  <c r="P69" i="1"/>
  <c r="CP69" i="1" s="1"/>
  <c r="O69" i="1" s="1"/>
  <c r="R67" i="1"/>
  <c r="CQ64" i="1"/>
  <c r="CQ61" i="1"/>
  <c r="AD56" i="1"/>
  <c r="AB56" i="1" s="1"/>
  <c r="R56" i="1"/>
  <c r="CR56" i="1"/>
  <c r="CS53" i="1"/>
  <c r="AD53" i="1"/>
  <c r="AB53" i="1" s="1"/>
  <c r="CR51" i="1"/>
  <c r="AD51" i="1"/>
  <c r="R51" i="1"/>
  <c r="X50" i="1"/>
  <c r="P49" i="1"/>
  <c r="X48" i="1"/>
  <c r="CQ47" i="1"/>
  <c r="P47" i="1"/>
  <c r="X46" i="1"/>
  <c r="Y45" i="1"/>
  <c r="CY43" i="1"/>
  <c r="CZ43" i="1"/>
  <c r="X43" i="1"/>
  <c r="Y43" i="1"/>
  <c r="GX28" i="1"/>
  <c r="CJ73" i="1" s="1"/>
  <c r="AB28" i="1"/>
  <c r="Y71" i="1"/>
  <c r="CU107" i="3"/>
  <c r="CV107" i="3"/>
  <c r="CX107" i="3"/>
  <c r="CX108" i="3"/>
  <c r="Q67" i="1"/>
  <c r="S66" i="1"/>
  <c r="R61" i="1"/>
  <c r="CU83" i="3"/>
  <c r="CV83" i="3"/>
  <c r="CX83" i="3"/>
  <c r="R60" i="1"/>
  <c r="CY58" i="1"/>
  <c r="Y58" i="1"/>
  <c r="CP56" i="1"/>
  <c r="O56" i="1" s="1"/>
  <c r="CR55" i="1"/>
  <c r="AD55" i="1"/>
  <c r="AB55" i="1" s="1"/>
  <c r="R55" i="1"/>
  <c r="P53" i="1"/>
  <c r="CQ51" i="1"/>
  <c r="P51" i="1"/>
  <c r="U49" i="1"/>
  <c r="CY35" i="1"/>
  <c r="CZ35" i="1"/>
  <c r="X35" i="1"/>
  <c r="Y35" i="1"/>
  <c r="CX324" i="3"/>
  <c r="X71" i="1"/>
  <c r="AB69" i="1"/>
  <c r="AD67" i="1"/>
  <c r="AB67" i="1" s="1"/>
  <c r="P67" i="1"/>
  <c r="R66" i="1"/>
  <c r="CT64" i="1"/>
  <c r="Q61" i="1"/>
  <c r="CP61" i="1" s="1"/>
  <c r="O61" i="1" s="1"/>
  <c r="GM61" i="1" s="1"/>
  <c r="GO61" i="1" s="1"/>
  <c r="CS60" i="1"/>
  <c r="AD60" i="1"/>
  <c r="AB60" i="1" s="1"/>
  <c r="X59" i="1"/>
  <c r="Q58" i="1"/>
  <c r="CP58" i="1" s="1"/>
  <c r="O58" i="1" s="1"/>
  <c r="GM58" i="1" s="1"/>
  <c r="GO58" i="1" s="1"/>
  <c r="CZ56" i="1"/>
  <c r="CQ55" i="1"/>
  <c r="P55" i="1"/>
  <c r="CP55" i="1" s="1"/>
  <c r="O55" i="1" s="1"/>
  <c r="GM55" i="1" s="1"/>
  <c r="GO55" i="1" s="1"/>
  <c r="U53" i="1"/>
  <c r="AB51" i="1"/>
  <c r="Q45" i="1"/>
  <c r="CP40" i="1"/>
  <c r="O40" i="1" s="1"/>
  <c r="Y32" i="1"/>
  <c r="CY32" i="1"/>
  <c r="CZ32" i="1"/>
  <c r="CU104" i="3"/>
  <c r="CX104" i="3"/>
  <c r="Q66" i="1"/>
  <c r="X62" i="1"/>
  <c r="CZ62" i="1"/>
  <c r="P60" i="1"/>
  <c r="CP60" i="1" s="1"/>
  <c r="O60" i="1" s="1"/>
  <c r="Y50" i="1"/>
  <c r="CZ50" i="1"/>
  <c r="Q49" i="1"/>
  <c r="Y48" i="1"/>
  <c r="CZ48" i="1"/>
  <c r="CY47" i="1"/>
  <c r="CZ47" i="1"/>
  <c r="X47" i="1"/>
  <c r="Y47" i="1"/>
  <c r="Y46" i="1"/>
  <c r="CZ46" i="1"/>
  <c r="P35" i="1"/>
  <c r="CQ35" i="1"/>
  <c r="AB35" i="1"/>
  <c r="CU1" i="3"/>
  <c r="CX1" i="3"/>
  <c r="Q28" i="1"/>
  <c r="R28" i="1"/>
  <c r="AE73" i="1" s="1"/>
  <c r="T28" i="1"/>
  <c r="AG73" i="1" s="1"/>
  <c r="Q70" i="1"/>
  <c r="CP70" i="1" s="1"/>
  <c r="O70" i="1" s="1"/>
  <c r="GM70" i="1" s="1"/>
  <c r="GN70" i="1" s="1"/>
  <c r="CB73" i="1" s="1"/>
  <c r="CS67" i="1"/>
  <c r="P66" i="1"/>
  <c r="CP66" i="1" s="1"/>
  <c r="O66" i="1" s="1"/>
  <c r="R62" i="1"/>
  <c r="CY59" i="1"/>
  <c r="CZ59" i="1"/>
  <c r="Y59" i="1"/>
  <c r="Y57" i="1"/>
  <c r="CY57" i="1"/>
  <c r="Y54" i="1"/>
  <c r="CZ54" i="1"/>
  <c r="Q53" i="1"/>
  <c r="Y52" i="1"/>
  <c r="CZ52" i="1"/>
  <c r="CY51" i="1"/>
  <c r="CZ51" i="1"/>
  <c r="X51" i="1"/>
  <c r="Y51" i="1"/>
  <c r="CR49" i="1"/>
  <c r="Q47" i="1"/>
  <c r="CQ45" i="1"/>
  <c r="AB32" i="1"/>
  <c r="CY31" i="1"/>
  <c r="CZ31" i="1"/>
  <c r="X31" i="1"/>
  <c r="Y31" i="1"/>
  <c r="CY29" i="1"/>
  <c r="CZ29" i="1"/>
  <c r="Y29" i="1"/>
  <c r="CR29" i="1"/>
  <c r="CS29" i="1"/>
  <c r="AD29" i="1"/>
  <c r="W28" i="1"/>
  <c r="AJ73" i="1" s="1"/>
  <c r="CX368" i="3"/>
  <c r="CW355" i="3"/>
  <c r="R68" i="1"/>
  <c r="CU101" i="3"/>
  <c r="CV101" i="3"/>
  <c r="CX101" i="3"/>
  <c r="Q62" i="1"/>
  <c r="CY61" i="1"/>
  <c r="CZ61" i="1"/>
  <c r="CU84" i="3"/>
  <c r="CV84" i="3"/>
  <c r="CX84" i="3"/>
  <c r="Q59" i="1"/>
  <c r="CP59" i="1" s="1"/>
  <c r="O59" i="1" s="1"/>
  <c r="GM59" i="1" s="1"/>
  <c r="GO59" i="1" s="1"/>
  <c r="Q57" i="1"/>
  <c r="CS56" i="1"/>
  <c r="CY55" i="1"/>
  <c r="CZ55" i="1"/>
  <c r="X55" i="1"/>
  <c r="Y55" i="1"/>
  <c r="CR53" i="1"/>
  <c r="Q51" i="1"/>
  <c r="CQ49" i="1"/>
  <c r="CS47" i="1"/>
  <c r="CU40" i="3"/>
  <c r="R45" i="1"/>
  <c r="T45" i="1"/>
  <c r="CU28" i="3"/>
  <c r="P37" i="1"/>
  <c r="GX37" i="1"/>
  <c r="GB73" i="1" s="1"/>
  <c r="Q37" i="1"/>
  <c r="R37" i="1"/>
  <c r="U37" i="1"/>
  <c r="CY33" i="1"/>
  <c r="CZ33" i="1"/>
  <c r="X33" i="1"/>
  <c r="Y33" i="1"/>
  <c r="X32" i="1"/>
  <c r="V28" i="1"/>
  <c r="AI73" i="1" s="1"/>
  <c r="CV69" i="3"/>
  <c r="CW70" i="3"/>
  <c r="CX71" i="3"/>
  <c r="CX75" i="3"/>
  <c r="CX74" i="3"/>
  <c r="CU69" i="3"/>
  <c r="Y56" i="1"/>
  <c r="R43" i="1"/>
  <c r="CR42" i="1"/>
  <c r="Y42" i="1"/>
  <c r="CY41" i="1"/>
  <c r="Q38" i="1"/>
  <c r="CP38" i="1" s="1"/>
  <c r="O38" i="1" s="1"/>
  <c r="S36" i="1"/>
  <c r="P33" i="1"/>
  <c r="CP33" i="1" s="1"/>
  <c r="O33" i="1" s="1"/>
  <c r="R31" i="1"/>
  <c r="CV353" i="3"/>
  <c r="Q43" i="1"/>
  <c r="CX26" i="3"/>
  <c r="CU21" i="3"/>
  <c r="CW22" i="3"/>
  <c r="CX23" i="3"/>
  <c r="CX21" i="3"/>
  <c r="CX22" i="3"/>
  <c r="Q31" i="1"/>
  <c r="CV374" i="3"/>
  <c r="CX374" i="3"/>
  <c r="CW363" i="3"/>
  <c r="CX348" i="3"/>
  <c r="CV341" i="3"/>
  <c r="CV329" i="3"/>
  <c r="CX311" i="3"/>
  <c r="CZ44" i="1"/>
  <c r="AD43" i="1"/>
  <c r="AB43" i="1" s="1"/>
  <c r="P43" i="1"/>
  <c r="CP43" i="1" s="1"/>
  <c r="O43" i="1" s="1"/>
  <c r="Y40" i="1"/>
  <c r="CU31" i="3"/>
  <c r="CX33" i="3"/>
  <c r="CX31" i="3"/>
  <c r="CY39" i="1"/>
  <c r="Q36" i="1"/>
  <c r="S34" i="1"/>
  <c r="AD31" i="1"/>
  <c r="AB31" i="1" s="1"/>
  <c r="P31" i="1"/>
  <c r="AB29" i="1"/>
  <c r="CU3" i="3"/>
  <c r="CV3" i="3"/>
  <c r="CX3" i="3"/>
  <c r="CW4" i="3"/>
  <c r="CX361" i="3"/>
  <c r="CX332" i="3"/>
  <c r="Q41" i="1"/>
  <c r="CP41" i="1" s="1"/>
  <c r="O41" i="1" s="1"/>
  <c r="GM41" i="1" s="1"/>
  <c r="GO41" i="1" s="1"/>
  <c r="W35" i="1"/>
  <c r="EB73" i="1" s="1"/>
  <c r="CU11" i="3"/>
  <c r="CX12" i="3"/>
  <c r="U28" i="1"/>
  <c r="AH73" i="1" s="1"/>
  <c r="CX369" i="3"/>
  <c r="CX356" i="3"/>
  <c r="CX346" i="3"/>
  <c r="CX344" i="3"/>
  <c r="CX325" i="3"/>
  <c r="CW288" i="3"/>
  <c r="CX288" i="3"/>
  <c r="CS43" i="1"/>
  <c r="AD41" i="1"/>
  <c r="AB41" i="1" s="1"/>
  <c r="CS31" i="1"/>
  <c r="CS28" i="1"/>
  <c r="CX337" i="3"/>
  <c r="CU76" i="3"/>
  <c r="CV76" i="3"/>
  <c r="CW77" i="3"/>
  <c r="CX80" i="3"/>
  <c r="CX81" i="3"/>
  <c r="CX78" i="3"/>
  <c r="R54" i="1"/>
  <c r="R50" i="1"/>
  <c r="R46" i="1"/>
  <c r="CU38" i="3"/>
  <c r="CV38" i="3"/>
  <c r="Q39" i="1"/>
  <c r="CP39" i="1" s="1"/>
  <c r="O39" i="1" s="1"/>
  <c r="S37" i="1"/>
  <c r="P34" i="1"/>
  <c r="CP34" i="1" s="1"/>
  <c r="O34" i="1" s="1"/>
  <c r="R32" i="1"/>
  <c r="R30" i="1"/>
  <c r="CR28" i="1"/>
  <c r="CW354" i="3"/>
  <c r="CW342" i="3"/>
  <c r="CW330" i="3"/>
  <c r="CX330" i="3"/>
  <c r="CX320" i="3"/>
  <c r="CV318" i="3"/>
  <c r="CX277" i="3"/>
  <c r="Q54" i="1"/>
  <c r="Q52" i="1"/>
  <c r="Q50" i="1"/>
  <c r="Q48" i="1"/>
  <c r="Q46" i="1"/>
  <c r="Q44" i="1"/>
  <c r="CS41" i="1"/>
  <c r="Q32" i="1"/>
  <c r="Q30" i="1"/>
  <c r="CP30" i="1" s="1"/>
  <c r="O30" i="1" s="1"/>
  <c r="GM30" i="1" s="1"/>
  <c r="GO30" i="1" s="1"/>
  <c r="CX372" i="3"/>
  <c r="CX364" i="3"/>
  <c r="CX349" i="3"/>
  <c r="CX333" i="3"/>
  <c r="CV275" i="3"/>
  <c r="DF217" i="3"/>
  <c r="DG217" i="3"/>
  <c r="DH217" i="3"/>
  <c r="DI217" i="3"/>
  <c r="DJ217" i="3" s="1"/>
  <c r="R58" i="1"/>
  <c r="AD54" i="1"/>
  <c r="AB54" i="1" s="1"/>
  <c r="P54" i="1"/>
  <c r="AD52" i="1"/>
  <c r="AB52" i="1" s="1"/>
  <c r="P52" i="1"/>
  <c r="CP52" i="1" s="1"/>
  <c r="O52" i="1" s="1"/>
  <c r="GM52" i="1" s="1"/>
  <c r="GO52" i="1" s="1"/>
  <c r="AD50" i="1"/>
  <c r="AB50" i="1" s="1"/>
  <c r="P50" i="1"/>
  <c r="CP50" i="1" s="1"/>
  <c r="O50" i="1" s="1"/>
  <c r="GM50" i="1" s="1"/>
  <c r="GO50" i="1" s="1"/>
  <c r="AD48" i="1"/>
  <c r="AB48" i="1" s="1"/>
  <c r="P48" i="1"/>
  <c r="AD46" i="1"/>
  <c r="AB46" i="1" s="1"/>
  <c r="P46" i="1"/>
  <c r="AD44" i="1"/>
  <c r="P44" i="1"/>
  <c r="CP44" i="1" s="1"/>
  <c r="O44" i="1" s="1"/>
  <c r="GM44" i="1" s="1"/>
  <c r="GO44" i="1" s="1"/>
  <c r="R42" i="1"/>
  <c r="Y41" i="1"/>
  <c r="CU34" i="3"/>
  <c r="CX34" i="3"/>
  <c r="CX35" i="3"/>
  <c r="AB34" i="1"/>
  <c r="AD32" i="1"/>
  <c r="P32" i="1"/>
  <c r="AD30" i="1"/>
  <c r="AB30" i="1" s="1"/>
  <c r="CX328" i="3"/>
  <c r="CX312" i="3"/>
  <c r="CX282" i="3"/>
  <c r="Q42" i="1"/>
  <c r="CP42" i="1" s="1"/>
  <c r="O42" i="1" s="1"/>
  <c r="GM42" i="1" s="1"/>
  <c r="GO42" i="1" s="1"/>
  <c r="R35" i="1"/>
  <c r="CU15" i="3"/>
  <c r="CW16" i="3"/>
  <c r="CW17" i="3"/>
  <c r="CX20" i="3"/>
  <c r="CV15" i="3"/>
  <c r="CX16" i="3"/>
  <c r="CX18" i="3"/>
  <c r="CX15" i="3"/>
  <c r="CX357" i="3"/>
  <c r="CX352" i="3"/>
  <c r="CX340" i="3"/>
  <c r="CS54" i="1"/>
  <c r="CS52" i="1"/>
  <c r="CS50" i="1"/>
  <c r="CS48" i="1"/>
  <c r="CS46" i="1"/>
  <c r="CS44" i="1"/>
  <c r="R40" i="1"/>
  <c r="Y39" i="1"/>
  <c r="CU30" i="3"/>
  <c r="CX30" i="3"/>
  <c r="Q35" i="1"/>
  <c r="CS32" i="1"/>
  <c r="CS30" i="1"/>
  <c r="R29" i="1"/>
  <c r="CX376" i="3"/>
  <c r="CX345" i="3"/>
  <c r="CX321" i="3"/>
  <c r="CX296" i="3"/>
  <c r="CU57" i="3"/>
  <c r="CV57" i="3"/>
  <c r="CW58" i="3"/>
  <c r="CV43" i="3"/>
  <c r="CX43" i="3"/>
  <c r="CU43" i="3"/>
  <c r="CU39" i="3"/>
  <c r="CV39" i="3"/>
  <c r="CX39" i="3"/>
  <c r="Q40" i="1"/>
  <c r="R33" i="1"/>
  <c r="CU7" i="3"/>
  <c r="CV7" i="3"/>
  <c r="CX7" i="3"/>
  <c r="Q29" i="1"/>
  <c r="CX365" i="3"/>
  <c r="CX360" i="3"/>
  <c r="CX338" i="3"/>
  <c r="CX336" i="3"/>
  <c r="DI234" i="3"/>
  <c r="DF234" i="3"/>
  <c r="DJ234" i="3" s="1"/>
  <c r="DG234" i="3"/>
  <c r="DH234" i="3"/>
  <c r="CX363" i="3"/>
  <c r="CX319" i="3"/>
  <c r="CX318" i="3"/>
  <c r="CX267" i="3"/>
  <c r="CV251" i="3"/>
  <c r="DF241" i="3"/>
  <c r="DH241" i="3"/>
  <c r="DG210" i="3"/>
  <c r="DI210" i="3"/>
  <c r="DF210" i="3"/>
  <c r="DJ210" i="3" s="1"/>
  <c r="DH210" i="3"/>
  <c r="CX164" i="3"/>
  <c r="CX354" i="3"/>
  <c r="CX289" i="3"/>
  <c r="CX283" i="3"/>
  <c r="CV171" i="3"/>
  <c r="CX171" i="3"/>
  <c r="CX142" i="3"/>
  <c r="CX315" i="3"/>
  <c r="CX313" i="3"/>
  <c r="CX297" i="3"/>
  <c r="DF248" i="3"/>
  <c r="DJ248" i="3" s="1"/>
  <c r="DG248" i="3"/>
  <c r="DH248" i="3"/>
  <c r="DI248" i="3"/>
  <c r="DG224" i="3"/>
  <c r="DI224" i="3"/>
  <c r="DF224" i="3"/>
  <c r="DJ224" i="3" s="1"/>
  <c r="DH224" i="3"/>
  <c r="CX140" i="3"/>
  <c r="CX13" i="3"/>
  <c r="CX291" i="3"/>
  <c r="CV284" i="3"/>
  <c r="CW242" i="3"/>
  <c r="CX242" i="3"/>
  <c r="CV229" i="3"/>
  <c r="CX229" i="3"/>
  <c r="CX305" i="3"/>
  <c r="CX286" i="3"/>
  <c r="CX261" i="3"/>
  <c r="DF246" i="3"/>
  <c r="DJ246" i="3" s="1"/>
  <c r="DG246" i="3"/>
  <c r="DH246" i="3"/>
  <c r="DI246" i="3"/>
  <c r="DF222" i="3"/>
  <c r="DJ222" i="3" s="1"/>
  <c r="DG222" i="3"/>
  <c r="DI222" i="3"/>
  <c r="DH222" i="3"/>
  <c r="DF203" i="3"/>
  <c r="DJ203" i="3" s="1"/>
  <c r="DH203" i="3"/>
  <c r="DI203" i="3"/>
  <c r="DG203" i="3"/>
  <c r="P28" i="1"/>
  <c r="CX342" i="3"/>
  <c r="CV307" i="3"/>
  <c r="CX299" i="3"/>
  <c r="DI241" i="3"/>
  <c r="DF239" i="3"/>
  <c r="DJ239" i="3" s="1"/>
  <c r="DG239" i="3"/>
  <c r="DH239" i="3"/>
  <c r="DI239" i="3"/>
  <c r="DG193" i="3"/>
  <c r="DH193" i="3"/>
  <c r="DF193" i="3"/>
  <c r="DI193" i="3"/>
  <c r="DJ193" i="3" s="1"/>
  <c r="CV167" i="3"/>
  <c r="CX167" i="3"/>
  <c r="CW308" i="3"/>
  <c r="CX308" i="3"/>
  <c r="CX270" i="3"/>
  <c r="CX258" i="3"/>
  <c r="DG241" i="3"/>
  <c r="DJ241" i="3" s="1"/>
  <c r="CX211" i="3"/>
  <c r="DH208" i="3"/>
  <c r="DI208" i="3"/>
  <c r="DF208" i="3"/>
  <c r="DJ208" i="3" s="1"/>
  <c r="CX189" i="3"/>
  <c r="CV294" i="3"/>
  <c r="CX294" i="3"/>
  <c r="CX265" i="3"/>
  <c r="CX253" i="3"/>
  <c r="DF249" i="3"/>
  <c r="DJ249" i="3" s="1"/>
  <c r="DG249" i="3"/>
  <c r="DH249" i="3"/>
  <c r="DF194" i="3"/>
  <c r="DH194" i="3"/>
  <c r="DG194" i="3"/>
  <c r="DJ194" i="3" s="1"/>
  <c r="DI194" i="3"/>
  <c r="CV179" i="3"/>
  <c r="CX179" i="3"/>
  <c r="CV301" i="3"/>
  <c r="DF209" i="3"/>
  <c r="DH209" i="3"/>
  <c r="DG209" i="3"/>
  <c r="CX256" i="3"/>
  <c r="DF244" i="3"/>
  <c r="DJ244" i="3" s="1"/>
  <c r="DH244" i="3"/>
  <c r="DI244" i="3"/>
  <c r="DF223" i="3"/>
  <c r="DJ223" i="3" s="1"/>
  <c r="DH223" i="3"/>
  <c r="DG223" i="3"/>
  <c r="DI223" i="3"/>
  <c r="CX151" i="3"/>
  <c r="CX275" i="3"/>
  <c r="DF247" i="3"/>
  <c r="DJ247" i="3" s="1"/>
  <c r="DG247" i="3"/>
  <c r="DH247" i="3"/>
  <c r="DI247" i="3"/>
  <c r="DF231" i="3"/>
  <c r="DG231" i="3"/>
  <c r="DJ231" i="3" s="1"/>
  <c r="DH231" i="3"/>
  <c r="DI231" i="3"/>
  <c r="DF226" i="3"/>
  <c r="DJ226" i="3" s="1"/>
  <c r="DI226" i="3"/>
  <c r="DG226" i="3"/>
  <c r="DF198" i="3"/>
  <c r="DJ198" i="3" s="1"/>
  <c r="DH198" i="3"/>
  <c r="DI198" i="3"/>
  <c r="DG198" i="3"/>
  <c r="DG236" i="3"/>
  <c r="DH236" i="3"/>
  <c r="DF233" i="3"/>
  <c r="DJ233" i="3" s="1"/>
  <c r="DF230" i="3"/>
  <c r="DH230" i="3"/>
  <c r="DI230" i="3"/>
  <c r="DF219" i="3"/>
  <c r="DJ219" i="3" s="1"/>
  <c r="DF184" i="3"/>
  <c r="DJ184" i="3" s="1"/>
  <c r="DG184" i="3"/>
  <c r="DH184" i="3"/>
  <c r="DI184" i="3"/>
  <c r="DG204" i="3"/>
  <c r="DH204" i="3"/>
  <c r="DH186" i="3"/>
  <c r="DI186" i="3"/>
  <c r="CX172" i="3"/>
  <c r="CV156" i="3"/>
  <c r="CV152" i="3"/>
  <c r="CV28" i="3"/>
  <c r="DF218" i="3"/>
  <c r="DJ218" i="3" s="1"/>
  <c r="DI218" i="3"/>
  <c r="CW212" i="3"/>
  <c r="CX212" i="3"/>
  <c r="CV176" i="3"/>
  <c r="CW232" i="3"/>
  <c r="CX232" i="3"/>
  <c r="DF225" i="3"/>
  <c r="DG225" i="3"/>
  <c r="DF205" i="3"/>
  <c r="DJ205" i="3" s="1"/>
  <c r="DG205" i="3"/>
  <c r="DH200" i="3"/>
  <c r="DI200" i="3"/>
  <c r="DJ200" i="3" s="1"/>
  <c r="DG199" i="3"/>
  <c r="DH199" i="3"/>
  <c r="CW195" i="3"/>
  <c r="CX195" i="3"/>
  <c r="CX190" i="3"/>
  <c r="CV187" i="3"/>
  <c r="CX187" i="3"/>
  <c r="CX138" i="3"/>
  <c r="CV131" i="3"/>
  <c r="CX131" i="3"/>
  <c r="DI245" i="3"/>
  <c r="DI238" i="3"/>
  <c r="CX165" i="3"/>
  <c r="CX157" i="3"/>
  <c r="CV149" i="3"/>
  <c r="CX149" i="3"/>
  <c r="CX146" i="3"/>
  <c r="CX103" i="3"/>
  <c r="CV103" i="3"/>
  <c r="DH50" i="3"/>
  <c r="DF50" i="3"/>
  <c r="DJ50" i="3" s="1"/>
  <c r="DG50" i="3"/>
  <c r="DI50" i="3"/>
  <c r="DG48" i="3"/>
  <c r="DF48" i="3"/>
  <c r="DJ48" i="3" s="1"/>
  <c r="DH48" i="3"/>
  <c r="DI48" i="3"/>
  <c r="CX301" i="3"/>
  <c r="CX251" i="3"/>
  <c r="DH245" i="3"/>
  <c r="DH238" i="3"/>
  <c r="DI237" i="3"/>
  <c r="DF236" i="3"/>
  <c r="DJ236" i="3" s="1"/>
  <c r="DG230" i="3"/>
  <c r="DJ230" i="3" s="1"/>
  <c r="CW201" i="3"/>
  <c r="CX201" i="3"/>
  <c r="CW142" i="3"/>
  <c r="DH62" i="3"/>
  <c r="DF62" i="3"/>
  <c r="DJ62" i="3" s="1"/>
  <c r="DG62" i="3"/>
  <c r="DI62" i="3"/>
  <c r="DI243" i="3"/>
  <c r="DH237" i="3"/>
  <c r="CV221" i="3"/>
  <c r="CX214" i="3"/>
  <c r="DF206" i="3"/>
  <c r="DJ206" i="3" s="1"/>
  <c r="DI206" i="3"/>
  <c r="DI204" i="3"/>
  <c r="DG196" i="3"/>
  <c r="DH196" i="3"/>
  <c r="CX188" i="3"/>
  <c r="DG186" i="3"/>
  <c r="DF183" i="3"/>
  <c r="DG183" i="3"/>
  <c r="DH183" i="3"/>
  <c r="DI183" i="3"/>
  <c r="DJ183" i="3" s="1"/>
  <c r="DG181" i="3"/>
  <c r="DH181" i="3"/>
  <c r="CX169" i="3"/>
  <c r="CV161" i="3"/>
  <c r="CX161" i="3"/>
  <c r="CX154" i="3"/>
  <c r="CX143" i="3"/>
  <c r="CX72" i="3"/>
  <c r="DF186" i="3"/>
  <c r="DJ186" i="3" s="1"/>
  <c r="CX139" i="3"/>
  <c r="DG243" i="3"/>
  <c r="DJ243" i="3" s="1"/>
  <c r="DH228" i="3"/>
  <c r="DI228" i="3"/>
  <c r="DG221" i="3"/>
  <c r="DH221" i="3"/>
  <c r="DG218" i="3"/>
  <c r="DI205" i="3"/>
  <c r="DG200" i="3"/>
  <c r="DF197" i="3"/>
  <c r="DJ197" i="3" s="1"/>
  <c r="DG197" i="3"/>
  <c r="DI197" i="3"/>
  <c r="CX174" i="3"/>
  <c r="CX147" i="3"/>
  <c r="DH235" i="3"/>
  <c r="DI235" i="3"/>
  <c r="DI233" i="3"/>
  <c r="DI225" i="3"/>
  <c r="DJ225" i="3" s="1"/>
  <c r="DI219" i="3"/>
  <c r="DH205" i="3"/>
  <c r="DF200" i="3"/>
  <c r="DI199" i="3"/>
  <c r="CV163" i="3"/>
  <c r="CX163" i="3"/>
  <c r="CW133" i="3"/>
  <c r="CX133" i="3"/>
  <c r="CX115" i="3"/>
  <c r="CV115" i="3"/>
  <c r="DF227" i="3"/>
  <c r="DF207" i="3"/>
  <c r="CX57" i="3"/>
  <c r="DG54" i="3"/>
  <c r="DI54" i="3"/>
  <c r="DF54" i="3"/>
  <c r="DJ54" i="3" s="1"/>
  <c r="DH54" i="3"/>
  <c r="CV37" i="3"/>
  <c r="CX24" i="3"/>
  <c r="CX11" i="3"/>
  <c r="CV11" i="3"/>
  <c r="CV1" i="3"/>
  <c r="DI117" i="3"/>
  <c r="DJ117" i="3" s="1"/>
  <c r="DF117" i="3"/>
  <c r="CX9" i="3"/>
  <c r="CX102" i="3"/>
  <c r="DH68" i="3"/>
  <c r="DF68" i="3"/>
  <c r="DG68" i="3"/>
  <c r="DI68" i="3"/>
  <c r="DJ68" i="3" s="1"/>
  <c r="CX4" i="3"/>
  <c r="DI202" i="3"/>
  <c r="DI182" i="3"/>
  <c r="DJ182" i="3" s="1"/>
  <c r="CV121" i="3"/>
  <c r="CX109" i="3"/>
  <c r="CX73" i="3"/>
  <c r="DG63" i="3"/>
  <c r="DF63" i="3"/>
  <c r="DJ63" i="3" s="1"/>
  <c r="DH63" i="3"/>
  <c r="DI63" i="3"/>
  <c r="DI49" i="3"/>
  <c r="DF49" i="3"/>
  <c r="DJ49" i="3" s="1"/>
  <c r="DG49" i="3"/>
  <c r="DH49" i="3"/>
  <c r="CV31" i="3"/>
  <c r="CV29" i="3"/>
  <c r="CV27" i="3"/>
  <c r="CX2" i="3"/>
  <c r="CV40" i="3"/>
  <c r="DG119" i="3"/>
  <c r="DI118" i="3"/>
  <c r="DH117" i="3"/>
  <c r="CW23" i="3"/>
  <c r="CX5" i="3"/>
  <c r="CV5" i="3"/>
  <c r="DF52" i="3"/>
  <c r="DG52" i="3"/>
  <c r="DJ52" i="3" s="1"/>
  <c r="DH52" i="3"/>
  <c r="DI52" i="3"/>
  <c r="CX36" i="3"/>
  <c r="CV34" i="3"/>
  <c r="CX10" i="3"/>
  <c r="DG120" i="3"/>
  <c r="DF118" i="3"/>
  <c r="DJ118" i="3" s="1"/>
  <c r="DG116" i="3"/>
  <c r="CX8" i="3"/>
  <c r="DF120" i="3"/>
  <c r="DJ120" i="3" s="1"/>
  <c r="DF116" i="3"/>
  <c r="CX76" i="3"/>
  <c r="CX44" i="3"/>
  <c r="CX111" i="3"/>
  <c r="CX69" i="3"/>
  <c r="CX67" i="3"/>
  <c r="CX64" i="3"/>
  <c r="CX60" i="3"/>
  <c r="DF55" i="3"/>
  <c r="DJ55" i="3" s="1"/>
  <c r="DH55" i="3"/>
  <c r="DG46" i="3"/>
  <c r="DJ46" i="3" s="1"/>
  <c r="DH45" i="3"/>
  <c r="DG42" i="3"/>
  <c r="DI42" i="3"/>
  <c r="DJ42" i="3" s="1"/>
  <c r="CX40" i="3"/>
  <c r="CX29" i="3"/>
  <c r="CX14" i="3"/>
  <c r="CX79" i="3"/>
  <c r="CV59" i="3"/>
  <c r="CX32" i="3"/>
  <c r="CX28" i="3"/>
  <c r="CX27" i="3"/>
  <c r="CX19" i="3"/>
  <c r="CW2" i="3"/>
  <c r="CX91" i="3"/>
  <c r="CX77" i="3"/>
  <c r="CX58" i="3"/>
  <c r="DI51" i="3"/>
  <c r="DJ51" i="3" s="1"/>
  <c r="DI41" i="3"/>
  <c r="DJ41" i="3" s="1"/>
  <c r="CV30" i="3"/>
  <c r="CV21" i="3"/>
  <c r="CX17" i="3"/>
  <c r="CV105" i="3"/>
  <c r="CV93" i="3"/>
  <c r="CX89" i="3"/>
  <c r="CX86" i="3"/>
  <c r="CX85" i="3"/>
  <c r="CX82" i="3"/>
  <c r="DH51" i="3"/>
  <c r="DH41" i="3"/>
  <c r="CX38" i="3"/>
  <c r="CX37" i="3"/>
  <c r="CX25" i="3"/>
  <c r="CX122" i="3"/>
  <c r="CV104" i="3"/>
  <c r="CX100" i="3"/>
  <c r="CX97" i="3"/>
  <c r="DI65" i="3"/>
  <c r="DH61" i="3"/>
  <c r="DG51" i="3"/>
  <c r="DF42" i="3"/>
  <c r="DG41" i="3"/>
  <c r="DH66" i="3"/>
  <c r="DH65" i="3"/>
  <c r="DI56" i="3"/>
  <c r="DF66" i="3"/>
  <c r="DJ66" i="3" s="1"/>
  <c r="DF56" i="3"/>
  <c r="DJ56" i="3" s="1"/>
  <c r="DF47" i="3"/>
  <c r="DH47" i="3"/>
  <c r="CV45" i="3"/>
  <c r="CX70" i="3"/>
  <c r="DI61" i="3"/>
  <c r="DJ61" i="3" s="1"/>
  <c r="DF61" i="3"/>
  <c r="DG6" i="3"/>
  <c r="DI6" i="3"/>
  <c r="DJ6" i="3" s="1"/>
  <c r="H637" i="7" l="1"/>
  <c r="H630" i="7"/>
  <c r="H257" i="7"/>
  <c r="H567" i="7"/>
  <c r="J637" i="7"/>
  <c r="J630" i="7"/>
  <c r="J257" i="7"/>
  <c r="H404" i="7"/>
  <c r="AE199" i="1"/>
  <c r="R240" i="1"/>
  <c r="GB105" i="1"/>
  <c r="ES112" i="1"/>
  <c r="DM240" i="1"/>
  <c r="DZ199" i="1"/>
  <c r="W549" i="1"/>
  <c r="AJ494" i="1"/>
  <c r="CY421" i="1"/>
  <c r="X421" i="1"/>
  <c r="Y421" i="1"/>
  <c r="CZ421" i="1"/>
  <c r="GO497" i="1"/>
  <c r="AJ144" i="1"/>
  <c r="W167" i="1"/>
  <c r="GO368" i="1"/>
  <c r="CB26" i="1"/>
  <c r="AS73" i="1"/>
  <c r="DZ144" i="1"/>
  <c r="DM167" i="1"/>
  <c r="T334" i="1"/>
  <c r="AG313" i="1"/>
  <c r="DM334" i="1"/>
  <c r="DZ313" i="1"/>
  <c r="AE144" i="1"/>
  <c r="R167" i="1"/>
  <c r="EA199" i="1"/>
  <c r="DN240" i="1"/>
  <c r="X408" i="1"/>
  <c r="Y408" i="1"/>
  <c r="CY408" i="1"/>
  <c r="CZ408" i="1"/>
  <c r="EH281" i="1"/>
  <c r="GA281" i="1"/>
  <c r="FQ272" i="1"/>
  <c r="AH366" i="1"/>
  <c r="U423" i="1"/>
  <c r="DM112" i="1"/>
  <c r="DZ105" i="1"/>
  <c r="DY494" i="1"/>
  <c r="DL549" i="1"/>
  <c r="CJ494" i="1"/>
  <c r="BA549" i="1"/>
  <c r="EA105" i="1"/>
  <c r="DN112" i="1"/>
  <c r="V334" i="1"/>
  <c r="AI313" i="1"/>
  <c r="V549" i="1"/>
  <c r="AI494" i="1"/>
  <c r="GM404" i="1"/>
  <c r="DG333" i="3"/>
  <c r="DH333" i="3"/>
  <c r="DI333" i="3"/>
  <c r="DF333" i="3"/>
  <c r="DJ333" i="3" s="1"/>
  <c r="DI22" i="3"/>
  <c r="DF22" i="3"/>
  <c r="DG22" i="3"/>
  <c r="DJ22" i="3" s="1"/>
  <c r="DH22" i="3"/>
  <c r="DI94" i="3"/>
  <c r="DF94" i="3"/>
  <c r="DG94" i="3"/>
  <c r="DJ94" i="3" s="1"/>
  <c r="DH94" i="3"/>
  <c r="DF135" i="3"/>
  <c r="DJ135" i="3" s="1"/>
  <c r="DG135" i="3"/>
  <c r="DH135" i="3"/>
  <c r="DI135" i="3"/>
  <c r="CP108" i="1"/>
  <c r="O108" i="1" s="1"/>
  <c r="FR331" i="1"/>
  <c r="CP331" i="1"/>
  <c r="O331" i="1" s="1"/>
  <c r="DF290" i="3"/>
  <c r="DJ290" i="3" s="1"/>
  <c r="DG290" i="3"/>
  <c r="DH290" i="3"/>
  <c r="DI290" i="3"/>
  <c r="CY324" i="1"/>
  <c r="CZ324" i="1"/>
  <c r="X324" i="1"/>
  <c r="Y324" i="1"/>
  <c r="AS455" i="1"/>
  <c r="F479" i="1"/>
  <c r="X515" i="1"/>
  <c r="GM515" i="1" s="1"/>
  <c r="GO515" i="1" s="1"/>
  <c r="Y515" i="1"/>
  <c r="CY515" i="1"/>
  <c r="CZ515" i="1"/>
  <c r="BA455" i="1"/>
  <c r="F482" i="1"/>
  <c r="DG302" i="3"/>
  <c r="DH302" i="3"/>
  <c r="DF302" i="3"/>
  <c r="DJ302" i="3" s="1"/>
  <c r="DI302" i="3"/>
  <c r="EL455" i="1"/>
  <c r="P480" i="1"/>
  <c r="DF353" i="3"/>
  <c r="DG353" i="3"/>
  <c r="DH353" i="3"/>
  <c r="DI353" i="3"/>
  <c r="DJ353" i="3" s="1"/>
  <c r="DG100" i="3"/>
  <c r="DI100" i="3"/>
  <c r="DH100" i="3"/>
  <c r="DF100" i="3"/>
  <c r="DJ100" i="3" s="1"/>
  <c r="DH27" i="3"/>
  <c r="DF27" i="3"/>
  <c r="DG27" i="3"/>
  <c r="DI27" i="3"/>
  <c r="DJ27" i="3" s="1"/>
  <c r="DH72" i="3"/>
  <c r="DF72" i="3"/>
  <c r="DJ72" i="3" s="1"/>
  <c r="DG72" i="3"/>
  <c r="DI72" i="3"/>
  <c r="DH301" i="3"/>
  <c r="DI301" i="3"/>
  <c r="DJ301" i="3" s="1"/>
  <c r="DF301" i="3"/>
  <c r="DG301" i="3"/>
  <c r="DF149" i="3"/>
  <c r="DG149" i="3"/>
  <c r="DH149" i="3"/>
  <c r="DI149" i="3"/>
  <c r="DJ149" i="3" s="1"/>
  <c r="DF195" i="3"/>
  <c r="DH195" i="3"/>
  <c r="DI195" i="3"/>
  <c r="DG195" i="3"/>
  <c r="DJ195" i="3" s="1"/>
  <c r="DF256" i="3"/>
  <c r="DJ256" i="3" s="1"/>
  <c r="DG256" i="3"/>
  <c r="DH256" i="3"/>
  <c r="DI256" i="3"/>
  <c r="DF258" i="3"/>
  <c r="DJ258" i="3" s="1"/>
  <c r="DG258" i="3"/>
  <c r="DH258" i="3"/>
  <c r="DI258" i="3"/>
  <c r="DH242" i="3"/>
  <c r="DI242" i="3"/>
  <c r="DF242" i="3"/>
  <c r="DG242" i="3"/>
  <c r="DJ242" i="3" s="1"/>
  <c r="DF345" i="3"/>
  <c r="DJ345" i="3" s="1"/>
  <c r="DG345" i="3"/>
  <c r="DH345" i="3"/>
  <c r="DI345" i="3"/>
  <c r="DG35" i="3"/>
  <c r="DF35" i="3"/>
  <c r="DJ35" i="3" s="1"/>
  <c r="DH35" i="3"/>
  <c r="DI35" i="3"/>
  <c r="DF349" i="3"/>
  <c r="DJ349" i="3" s="1"/>
  <c r="DG349" i="3"/>
  <c r="DH349" i="3"/>
  <c r="DI349" i="3"/>
  <c r="DF277" i="3"/>
  <c r="DJ277" i="3" s="1"/>
  <c r="DG277" i="3"/>
  <c r="DH277" i="3"/>
  <c r="DI277" i="3"/>
  <c r="GM39" i="1"/>
  <c r="GO39" i="1" s="1"/>
  <c r="DF337" i="3"/>
  <c r="DJ337" i="3" s="1"/>
  <c r="DG337" i="3"/>
  <c r="DH337" i="3"/>
  <c r="DI337" i="3"/>
  <c r="DF356" i="3"/>
  <c r="DJ356" i="3" s="1"/>
  <c r="DG356" i="3"/>
  <c r="DH356" i="3"/>
  <c r="DI356" i="3"/>
  <c r="GM43" i="1"/>
  <c r="GO43" i="1" s="1"/>
  <c r="DF21" i="3"/>
  <c r="DH21" i="3"/>
  <c r="DG21" i="3"/>
  <c r="DI21" i="3"/>
  <c r="DJ21" i="3" s="1"/>
  <c r="DF84" i="3"/>
  <c r="DG84" i="3"/>
  <c r="DH84" i="3"/>
  <c r="DI84" i="3"/>
  <c r="DJ84" i="3" s="1"/>
  <c r="AJ26" i="1"/>
  <c r="W73" i="1"/>
  <c r="AD73" i="1"/>
  <c r="CP49" i="1"/>
  <c r="O49" i="1" s="1"/>
  <c r="GM49" i="1" s="1"/>
  <c r="GO49" i="1" s="1"/>
  <c r="DF90" i="3"/>
  <c r="DJ90" i="3" s="1"/>
  <c r="DG90" i="3"/>
  <c r="DI90" i="3"/>
  <c r="DH90" i="3"/>
  <c r="DF317" i="3"/>
  <c r="DJ317" i="3" s="1"/>
  <c r="DG317" i="3"/>
  <c r="DH317" i="3"/>
  <c r="DI317" i="3"/>
  <c r="DF93" i="3"/>
  <c r="DH93" i="3"/>
  <c r="DG93" i="3"/>
  <c r="DI93" i="3"/>
  <c r="DJ93" i="3" s="1"/>
  <c r="AX26" i="1"/>
  <c r="F80" i="1"/>
  <c r="DG134" i="3"/>
  <c r="DF134" i="3"/>
  <c r="DJ134" i="3" s="1"/>
  <c r="DH134" i="3"/>
  <c r="DI134" i="3"/>
  <c r="DI112" i="3"/>
  <c r="DJ112" i="3" s="1"/>
  <c r="DF112" i="3"/>
  <c r="DG112" i="3"/>
  <c r="DH112" i="3"/>
  <c r="CI26" i="1"/>
  <c r="AZ73" i="1"/>
  <c r="AD167" i="1"/>
  <c r="EV144" i="1"/>
  <c r="P192" i="1"/>
  <c r="EV579" i="1"/>
  <c r="CG105" i="1"/>
  <c r="AX112" i="1"/>
  <c r="CJ144" i="1"/>
  <c r="BA167" i="1"/>
  <c r="CY210" i="1"/>
  <c r="CZ210" i="1"/>
  <c r="CP210" i="1"/>
  <c r="O210" i="1" s="1"/>
  <c r="GM210" i="1" s="1"/>
  <c r="X210" i="1"/>
  <c r="Y210" i="1"/>
  <c r="CP232" i="1"/>
  <c r="O232" i="1" s="1"/>
  <c r="GM232" i="1" s="1"/>
  <c r="FR232" i="1"/>
  <c r="AD240" i="1"/>
  <c r="W216" i="1"/>
  <c r="DF176" i="3"/>
  <c r="DG176" i="3"/>
  <c r="DI176" i="3"/>
  <c r="DJ176" i="3" s="1"/>
  <c r="DH176" i="3"/>
  <c r="FR274" i="1"/>
  <c r="BY281" i="1" s="1"/>
  <c r="CP274" i="1"/>
  <c r="O274" i="1" s="1"/>
  <c r="AC281" i="1"/>
  <c r="AS144" i="1"/>
  <c r="F184" i="1"/>
  <c r="F186" i="1"/>
  <c r="AU144" i="1"/>
  <c r="FR199" i="1"/>
  <c r="FY240" i="1"/>
  <c r="EI240" i="1"/>
  <c r="Y276" i="1"/>
  <c r="CY276" i="1"/>
  <c r="CZ276" i="1"/>
  <c r="X276" i="1"/>
  <c r="AF281" i="1"/>
  <c r="W224" i="1"/>
  <c r="DY272" i="1"/>
  <c r="DL281" i="1"/>
  <c r="GM381" i="1"/>
  <c r="DH269" i="3"/>
  <c r="DF269" i="3"/>
  <c r="DJ269" i="3" s="1"/>
  <c r="DG269" i="3"/>
  <c r="DI269" i="3"/>
  <c r="AT272" i="1"/>
  <c r="F299" i="1"/>
  <c r="CY322" i="1"/>
  <c r="CZ322" i="1"/>
  <c r="X322" i="1"/>
  <c r="Y322" i="1"/>
  <c r="DH293" i="3"/>
  <c r="DG293" i="3"/>
  <c r="DI293" i="3"/>
  <c r="DF293" i="3"/>
  <c r="DJ293" i="3" s="1"/>
  <c r="V418" i="1"/>
  <c r="AI423" i="1" s="1"/>
  <c r="DW423" i="1"/>
  <c r="W419" i="1"/>
  <c r="F565" i="1"/>
  <c r="BC494" i="1"/>
  <c r="CB366" i="1"/>
  <c r="AS423" i="1"/>
  <c r="R326" i="1"/>
  <c r="S326" i="1"/>
  <c r="Q326" i="1"/>
  <c r="V326" i="1"/>
  <c r="EA334" i="1" s="1"/>
  <c r="P539" i="1"/>
  <c r="CP539" i="1" s="1"/>
  <c r="O539" i="1" s="1"/>
  <c r="Q539" i="1"/>
  <c r="R539" i="1"/>
  <c r="S539" i="1"/>
  <c r="U539" i="1"/>
  <c r="V421" i="1"/>
  <c r="DF347" i="3"/>
  <c r="DJ347" i="3" s="1"/>
  <c r="DG347" i="3"/>
  <c r="DH347" i="3"/>
  <c r="DI347" i="3"/>
  <c r="Q520" i="1"/>
  <c r="R520" i="1"/>
  <c r="S520" i="1"/>
  <c r="X502" i="1"/>
  <c r="CY502" i="1"/>
  <c r="CZ502" i="1"/>
  <c r="Y502" i="1"/>
  <c r="T408" i="1"/>
  <c r="FY455" i="1"/>
  <c r="EP462" i="1"/>
  <c r="DF373" i="3"/>
  <c r="DJ373" i="3" s="1"/>
  <c r="DG373" i="3"/>
  <c r="DI373" i="3"/>
  <c r="DH373" i="3"/>
  <c r="GX534" i="1"/>
  <c r="AH494" i="1"/>
  <c r="U549" i="1"/>
  <c r="U499" i="1"/>
  <c r="DZ549" i="1" s="1"/>
  <c r="CY512" i="1"/>
  <c r="CZ512" i="1"/>
  <c r="X512" i="1"/>
  <c r="Y512" i="1"/>
  <c r="DF19" i="3"/>
  <c r="DJ19" i="3" s="1"/>
  <c r="DG19" i="3"/>
  <c r="DH19" i="3"/>
  <c r="DI19" i="3"/>
  <c r="DF190" i="3"/>
  <c r="DG190" i="3"/>
  <c r="DH190" i="3"/>
  <c r="DI190" i="3"/>
  <c r="DJ190" i="3" s="1"/>
  <c r="DI87" i="3"/>
  <c r="DJ87" i="3" s="1"/>
  <c r="DF87" i="3"/>
  <c r="DG87" i="3"/>
  <c r="DH87" i="3"/>
  <c r="EU26" i="1"/>
  <c r="P89" i="1"/>
  <c r="EU579" i="1"/>
  <c r="EM26" i="1"/>
  <c r="P92" i="1"/>
  <c r="EM579" i="1"/>
  <c r="AF334" i="1"/>
  <c r="CY315" i="1"/>
  <c r="CZ315" i="1"/>
  <c r="X315" i="1"/>
  <c r="Y315" i="1"/>
  <c r="DG188" i="3"/>
  <c r="DI188" i="3"/>
  <c r="DF188" i="3"/>
  <c r="DJ188" i="3" s="1"/>
  <c r="DH188" i="3"/>
  <c r="DI270" i="3"/>
  <c r="DG270" i="3"/>
  <c r="DF270" i="3"/>
  <c r="DJ270" i="3" s="1"/>
  <c r="DH270" i="3"/>
  <c r="DI39" i="3"/>
  <c r="DJ39" i="3" s="1"/>
  <c r="DF39" i="3"/>
  <c r="DG39" i="3"/>
  <c r="DH39" i="3"/>
  <c r="DH376" i="3"/>
  <c r="DI376" i="3"/>
  <c r="DF376" i="3"/>
  <c r="DJ376" i="3" s="1"/>
  <c r="DG376" i="3"/>
  <c r="DH34" i="3"/>
  <c r="DF34" i="3"/>
  <c r="DG34" i="3"/>
  <c r="DI34" i="3"/>
  <c r="DJ34" i="3" s="1"/>
  <c r="DF364" i="3"/>
  <c r="DH364" i="3"/>
  <c r="DI364" i="3"/>
  <c r="DG364" i="3"/>
  <c r="DJ364" i="3" s="1"/>
  <c r="DG369" i="3"/>
  <c r="DH369" i="3"/>
  <c r="DI369" i="3"/>
  <c r="DF369" i="3"/>
  <c r="DJ369" i="3" s="1"/>
  <c r="DG23" i="3"/>
  <c r="DJ23" i="3" s="1"/>
  <c r="DF23" i="3"/>
  <c r="DH23" i="3"/>
  <c r="DI23" i="3"/>
  <c r="DH1" i="3"/>
  <c r="DF1" i="3"/>
  <c r="DG1" i="3"/>
  <c r="DI1" i="3"/>
  <c r="DJ1" i="3" s="1"/>
  <c r="CY38" i="1"/>
  <c r="CZ38" i="1"/>
  <c r="X38" i="1"/>
  <c r="GM38" i="1" s="1"/>
  <c r="GO38" i="1" s="1"/>
  <c r="Y38" i="1"/>
  <c r="DG88" i="3"/>
  <c r="DJ88" i="3" s="1"/>
  <c r="DF88" i="3"/>
  <c r="DH88" i="3"/>
  <c r="DI88" i="3"/>
  <c r="DG95" i="3"/>
  <c r="DJ95" i="3" s="1"/>
  <c r="DF95" i="3"/>
  <c r="DH95" i="3"/>
  <c r="DI95" i="3"/>
  <c r="DH99" i="3"/>
  <c r="DF99" i="3"/>
  <c r="DG99" i="3"/>
  <c r="DI99" i="3"/>
  <c r="DJ99" i="3" s="1"/>
  <c r="DG132" i="3"/>
  <c r="DJ132" i="3" s="1"/>
  <c r="DH132" i="3"/>
  <c r="DI132" i="3"/>
  <c r="DF132" i="3"/>
  <c r="FR109" i="1"/>
  <c r="BY112" i="1" s="1"/>
  <c r="CP109" i="1"/>
  <c r="O109" i="1" s="1"/>
  <c r="GM109" i="1" s="1"/>
  <c r="AC112" i="1"/>
  <c r="CZ153" i="1"/>
  <c r="X153" i="1"/>
  <c r="Y153" i="1"/>
  <c r="CY153" i="1"/>
  <c r="X162" i="1"/>
  <c r="Y162" i="1"/>
  <c r="CY162" i="1"/>
  <c r="CZ162" i="1"/>
  <c r="AH144" i="1"/>
  <c r="U167" i="1"/>
  <c r="AJ199" i="1"/>
  <c r="W240" i="1"/>
  <c r="CJ199" i="1"/>
  <c r="BA240" i="1"/>
  <c r="GM217" i="1"/>
  <c r="GO217" i="1" s="1"/>
  <c r="EM144" i="1"/>
  <c r="P186" i="1"/>
  <c r="CY318" i="1"/>
  <c r="CZ318" i="1"/>
  <c r="X318" i="1"/>
  <c r="Y318" i="1"/>
  <c r="CZ209" i="1"/>
  <c r="X209" i="1"/>
  <c r="Y209" i="1"/>
  <c r="CY209" i="1"/>
  <c r="CP316" i="1"/>
  <c r="O316" i="1" s="1"/>
  <c r="V228" i="1"/>
  <c r="CY237" i="1"/>
  <c r="CZ237" i="1"/>
  <c r="X237" i="1"/>
  <c r="GM237" i="1" s="1"/>
  <c r="GO237" i="1" s="1"/>
  <c r="Y237" i="1"/>
  <c r="CP321" i="1"/>
  <c r="O321" i="1" s="1"/>
  <c r="GM321" i="1" s="1"/>
  <c r="FR321" i="1"/>
  <c r="DF274" i="3"/>
  <c r="DJ274" i="3" s="1"/>
  <c r="DH274" i="3"/>
  <c r="DI274" i="3"/>
  <c r="DG274" i="3"/>
  <c r="DF287" i="3"/>
  <c r="DG287" i="3"/>
  <c r="DI287" i="3"/>
  <c r="DJ287" i="3" s="1"/>
  <c r="DH287" i="3"/>
  <c r="FR395" i="1"/>
  <c r="CP395" i="1"/>
  <c r="O395" i="1" s="1"/>
  <c r="GM395" i="1" s="1"/>
  <c r="R418" i="1"/>
  <c r="S418" i="1"/>
  <c r="Q418" i="1"/>
  <c r="GX418" i="1"/>
  <c r="AX334" i="1"/>
  <c r="CG313" i="1"/>
  <c r="AE549" i="1"/>
  <c r="EM272" i="1"/>
  <c r="P300" i="1"/>
  <c r="CP375" i="1"/>
  <c r="O375" i="1" s="1"/>
  <c r="GM375" i="1" s="1"/>
  <c r="GO375" i="1" s="1"/>
  <c r="FZ455" i="1"/>
  <c r="EQ462" i="1"/>
  <c r="P328" i="1"/>
  <c r="DU334" i="1" s="1"/>
  <c r="Q328" i="1"/>
  <c r="R328" i="1"/>
  <c r="FR457" i="1"/>
  <c r="BY462" i="1" s="1"/>
  <c r="CP457" i="1"/>
  <c r="O457" i="1" s="1"/>
  <c r="AC462" i="1"/>
  <c r="GM502" i="1"/>
  <c r="GO502" i="1" s="1"/>
  <c r="ET366" i="1"/>
  <c r="P436" i="1"/>
  <c r="DF343" i="3"/>
  <c r="DG343" i="3"/>
  <c r="DJ343" i="3" s="1"/>
  <c r="DH343" i="3"/>
  <c r="DI343" i="3"/>
  <c r="AX455" i="1"/>
  <c r="F469" i="1"/>
  <c r="X510" i="1"/>
  <c r="Y510" i="1"/>
  <c r="CY510" i="1"/>
  <c r="CZ510" i="1"/>
  <c r="F484" i="1"/>
  <c r="U455" i="1"/>
  <c r="X522" i="1"/>
  <c r="Y522" i="1"/>
  <c r="CY522" i="1"/>
  <c r="CZ522" i="1"/>
  <c r="DF371" i="3"/>
  <c r="DG371" i="3"/>
  <c r="DH371" i="3"/>
  <c r="DI371" i="3"/>
  <c r="DJ371" i="3" s="1"/>
  <c r="ET494" i="1"/>
  <c r="P562" i="1"/>
  <c r="DI359" i="3"/>
  <c r="DF359" i="3"/>
  <c r="DJ359" i="3" s="1"/>
  <c r="DG359" i="3"/>
  <c r="DH359" i="3"/>
  <c r="CY404" i="1"/>
  <c r="CZ404" i="1"/>
  <c r="X404" i="1"/>
  <c r="Y404" i="1"/>
  <c r="AG494" i="1"/>
  <c r="T549" i="1"/>
  <c r="DI20" i="3"/>
  <c r="DF20" i="3"/>
  <c r="DJ20" i="3" s="1"/>
  <c r="DG20" i="3"/>
  <c r="DH20" i="3"/>
  <c r="CY49" i="1"/>
  <c r="CZ49" i="1"/>
  <c r="X49" i="1"/>
  <c r="Y49" i="1"/>
  <c r="DF264" i="3"/>
  <c r="DG264" i="3"/>
  <c r="DJ264" i="3" s="1"/>
  <c r="DH264" i="3"/>
  <c r="DI264" i="3"/>
  <c r="U272" i="1"/>
  <c r="F303" i="1"/>
  <c r="GM416" i="1"/>
  <c r="GO416" i="1" s="1"/>
  <c r="DG28" i="3"/>
  <c r="DF28" i="3"/>
  <c r="DH28" i="3"/>
  <c r="DI28" i="3"/>
  <c r="DJ28" i="3" s="1"/>
  <c r="DG143" i="3"/>
  <c r="DH143" i="3"/>
  <c r="DF143" i="3"/>
  <c r="DJ143" i="3" s="1"/>
  <c r="DI143" i="3"/>
  <c r="DH212" i="3"/>
  <c r="DF212" i="3"/>
  <c r="DG212" i="3"/>
  <c r="DJ212" i="3" s="1"/>
  <c r="DI212" i="3"/>
  <c r="DI122" i="3"/>
  <c r="DG122" i="3"/>
  <c r="DF122" i="3"/>
  <c r="DJ122" i="3" s="1"/>
  <c r="DH122" i="3"/>
  <c r="DF17" i="3"/>
  <c r="DG17" i="3"/>
  <c r="DJ17" i="3" s="1"/>
  <c r="DH17" i="3"/>
  <c r="DI17" i="3"/>
  <c r="DG32" i="3"/>
  <c r="DI32" i="3"/>
  <c r="DF32" i="3"/>
  <c r="DJ32" i="3" s="1"/>
  <c r="DH32" i="3"/>
  <c r="DG60" i="3"/>
  <c r="DJ60" i="3" s="1"/>
  <c r="DI60" i="3"/>
  <c r="DF60" i="3"/>
  <c r="DH60" i="3"/>
  <c r="DG154" i="3"/>
  <c r="DI154" i="3"/>
  <c r="DF154" i="3"/>
  <c r="DJ154" i="3" s="1"/>
  <c r="DH154" i="3"/>
  <c r="DG157" i="3"/>
  <c r="DH157" i="3"/>
  <c r="DI157" i="3"/>
  <c r="DJ157" i="3" s="1"/>
  <c r="DF157" i="3"/>
  <c r="DF253" i="3"/>
  <c r="DJ253" i="3" s="1"/>
  <c r="DH253" i="3"/>
  <c r="DI253" i="3"/>
  <c r="DG253" i="3"/>
  <c r="DH308" i="3"/>
  <c r="DI308" i="3"/>
  <c r="DF308" i="3"/>
  <c r="DG308" i="3"/>
  <c r="DJ308" i="3" s="1"/>
  <c r="DF297" i="3"/>
  <c r="DJ297" i="3" s="1"/>
  <c r="DG297" i="3"/>
  <c r="DH297" i="3"/>
  <c r="DI297" i="3"/>
  <c r="DW73" i="1"/>
  <c r="DF372" i="3"/>
  <c r="DJ372" i="3" s="1"/>
  <c r="DG372" i="3"/>
  <c r="DH372" i="3"/>
  <c r="DI372" i="3"/>
  <c r="DF320" i="3"/>
  <c r="DG320" i="3"/>
  <c r="DJ320" i="3" s="1"/>
  <c r="DH320" i="3"/>
  <c r="DI320" i="3"/>
  <c r="AH26" i="1"/>
  <c r="U73" i="1"/>
  <c r="CP31" i="1"/>
  <c r="O31" i="1" s="1"/>
  <c r="GM31" i="1" s="1"/>
  <c r="GO31" i="1" s="1"/>
  <c r="DU73" i="1"/>
  <c r="DI83" i="3"/>
  <c r="DJ83" i="3" s="1"/>
  <c r="DF83" i="3"/>
  <c r="DG83" i="3"/>
  <c r="DH83" i="3"/>
  <c r="CJ26" i="1"/>
  <c r="BA73" i="1"/>
  <c r="CY53" i="1"/>
  <c r="CZ53" i="1"/>
  <c r="X53" i="1"/>
  <c r="EC73" i="1" s="1"/>
  <c r="Y53" i="1"/>
  <c r="FY105" i="1"/>
  <c r="EP112" i="1"/>
  <c r="BC26" i="1"/>
  <c r="F89" i="1"/>
  <c r="BC579" i="1"/>
  <c r="X147" i="1"/>
  <c r="DX167" i="1"/>
  <c r="Y147" i="1"/>
  <c r="CY147" i="1"/>
  <c r="CZ147" i="1"/>
  <c r="CP157" i="1"/>
  <c r="O157" i="1" s="1"/>
  <c r="GM157" i="1" s="1"/>
  <c r="FR157" i="1"/>
  <c r="FQ167" i="1" s="1"/>
  <c r="AQ105" i="1"/>
  <c r="F122" i="1"/>
  <c r="GM202" i="1"/>
  <c r="GO202" i="1" s="1"/>
  <c r="CP155" i="1"/>
  <c r="O155" i="1" s="1"/>
  <c r="GM155" i="1" s="1"/>
  <c r="GO155" i="1" s="1"/>
  <c r="DU167" i="1"/>
  <c r="DI175" i="3"/>
  <c r="DJ175" i="3" s="1"/>
  <c r="DF175" i="3"/>
  <c r="DG175" i="3"/>
  <c r="DH175" i="3"/>
  <c r="BC144" i="1"/>
  <c r="F183" i="1"/>
  <c r="CY218" i="1"/>
  <c r="CZ218" i="1"/>
  <c r="X218" i="1"/>
  <c r="Y218" i="1"/>
  <c r="FR203" i="1"/>
  <c r="CP203" i="1"/>
  <c r="O203" i="1" s="1"/>
  <c r="GM203" i="1" s="1"/>
  <c r="DF155" i="3"/>
  <c r="DG155" i="3"/>
  <c r="DH155" i="3"/>
  <c r="DI155" i="3"/>
  <c r="DJ155" i="3" s="1"/>
  <c r="FR215" i="1"/>
  <c r="CP215" i="1"/>
  <c r="O215" i="1" s="1"/>
  <c r="DV281" i="1"/>
  <c r="CY203" i="1"/>
  <c r="CZ203" i="1"/>
  <c r="Y203" i="1"/>
  <c r="X203" i="1"/>
  <c r="BB199" i="1"/>
  <c r="F253" i="1"/>
  <c r="BB579" i="1"/>
  <c r="CY238" i="1"/>
  <c r="CZ238" i="1"/>
  <c r="X238" i="1"/>
  <c r="Y238" i="1"/>
  <c r="DW334" i="1"/>
  <c r="ES144" i="1"/>
  <c r="P187" i="1"/>
  <c r="CY201" i="1"/>
  <c r="CZ201" i="1"/>
  <c r="X201" i="1"/>
  <c r="GM201" i="1" s="1"/>
  <c r="GO201" i="1" s="1"/>
  <c r="Y201" i="1"/>
  <c r="DF266" i="3"/>
  <c r="DJ266" i="3" s="1"/>
  <c r="DH266" i="3"/>
  <c r="DG266" i="3"/>
  <c r="DI266" i="3"/>
  <c r="CG199" i="1"/>
  <c r="AX240" i="1"/>
  <c r="GB334" i="1"/>
  <c r="AQ313" i="1"/>
  <c r="F344" i="1"/>
  <c r="AO366" i="1"/>
  <c r="F427" i="1"/>
  <c r="CY460" i="1"/>
  <c r="X460" i="1"/>
  <c r="GM460" i="1" s="1"/>
  <c r="Y460" i="1"/>
  <c r="CZ460" i="1"/>
  <c r="Y498" i="1"/>
  <c r="AL549" i="1" s="1"/>
  <c r="CY498" i="1"/>
  <c r="CZ498" i="1"/>
  <c r="AF549" i="1"/>
  <c r="X498" i="1"/>
  <c r="AK549" i="1" s="1"/>
  <c r="GM412" i="1"/>
  <c r="GO412" i="1" s="1"/>
  <c r="EB549" i="1"/>
  <c r="F486" i="1"/>
  <c r="W455" i="1"/>
  <c r="CP510" i="1"/>
  <c r="O510" i="1" s="1"/>
  <c r="GM510" i="1" s="1"/>
  <c r="GO510" i="1" s="1"/>
  <c r="GX421" i="1"/>
  <c r="X378" i="1"/>
  <c r="GM378" i="1" s="1"/>
  <c r="GO378" i="1" s="1"/>
  <c r="Y378" i="1"/>
  <c r="CY378" i="1"/>
  <c r="CZ378" i="1"/>
  <c r="P465" i="1"/>
  <c r="DH455" i="1"/>
  <c r="R413" i="1"/>
  <c r="P413" i="1"/>
  <c r="Q413" i="1"/>
  <c r="DV423" i="1" s="1"/>
  <c r="S413" i="1"/>
  <c r="W413" i="1"/>
  <c r="DF358" i="3"/>
  <c r="DJ358" i="3" s="1"/>
  <c r="DG358" i="3"/>
  <c r="DH358" i="3"/>
  <c r="DI358" i="3"/>
  <c r="P565" i="1"/>
  <c r="EU494" i="1"/>
  <c r="CP526" i="1"/>
  <c r="O526" i="1" s="1"/>
  <c r="V527" i="1"/>
  <c r="DF321" i="3"/>
  <c r="DJ321" i="3" s="1"/>
  <c r="DG321" i="3"/>
  <c r="DH321" i="3"/>
  <c r="DI321" i="3"/>
  <c r="CB199" i="1"/>
  <c r="AS240" i="1"/>
  <c r="DF313" i="3"/>
  <c r="DJ313" i="3" s="1"/>
  <c r="DG313" i="3"/>
  <c r="DH313" i="3"/>
  <c r="DI313" i="3"/>
  <c r="DW144" i="1"/>
  <c r="DJ167" i="1"/>
  <c r="AF105" i="1"/>
  <c r="S112" i="1"/>
  <c r="AJ105" i="1"/>
  <c r="W112" i="1"/>
  <c r="DF153" i="3"/>
  <c r="DJ153" i="3" s="1"/>
  <c r="DH153" i="3"/>
  <c r="DG153" i="3"/>
  <c r="DI153" i="3"/>
  <c r="DY105" i="1"/>
  <c r="DL112" i="1"/>
  <c r="AU105" i="1"/>
  <c r="F131" i="1"/>
  <c r="AU579" i="1"/>
  <c r="EV272" i="1"/>
  <c r="P306" i="1"/>
  <c r="X208" i="1"/>
  <c r="DX240" i="1"/>
  <c r="Y208" i="1"/>
  <c r="CY208" i="1"/>
  <c r="CZ208" i="1"/>
  <c r="EB272" i="1"/>
  <c r="DO281" i="1"/>
  <c r="CP322" i="1"/>
  <c r="O322" i="1" s="1"/>
  <c r="GM322" i="1" s="1"/>
  <c r="FR322" i="1"/>
  <c r="CP369" i="1"/>
  <c r="O369" i="1" s="1"/>
  <c r="DU423" i="1"/>
  <c r="CY329" i="1"/>
  <c r="CZ329" i="1"/>
  <c r="X329" i="1"/>
  <c r="GM329" i="1" s="1"/>
  <c r="GO329" i="1" s="1"/>
  <c r="Y329" i="1"/>
  <c r="CJ423" i="1"/>
  <c r="FX281" i="1"/>
  <c r="DU272" i="1"/>
  <c r="DH281" i="1"/>
  <c r="FW281" i="1"/>
  <c r="FZ281" i="1"/>
  <c r="T216" i="1"/>
  <c r="CY370" i="1"/>
  <c r="CZ370" i="1"/>
  <c r="AF423" i="1"/>
  <c r="Y370" i="1"/>
  <c r="X370" i="1"/>
  <c r="AO199" i="1"/>
  <c r="F244" i="1"/>
  <c r="DF260" i="3"/>
  <c r="DJ260" i="3" s="1"/>
  <c r="DH260" i="3"/>
  <c r="DG260" i="3"/>
  <c r="DI260" i="3"/>
  <c r="FR402" i="1"/>
  <c r="CP402" i="1"/>
  <c r="O402" i="1" s="1"/>
  <c r="AU272" i="1"/>
  <c r="F300" i="1"/>
  <c r="DV334" i="1"/>
  <c r="X499" i="1"/>
  <c r="Y499" i="1"/>
  <c r="CY499" i="1"/>
  <c r="CZ499" i="1"/>
  <c r="DX549" i="1"/>
  <c r="Q534" i="1"/>
  <c r="CP534" i="1" s="1"/>
  <c r="O534" i="1" s="1"/>
  <c r="R534" i="1"/>
  <c r="S534" i="1"/>
  <c r="U534" i="1"/>
  <c r="W534" i="1"/>
  <c r="GM458" i="1"/>
  <c r="FS462" i="1" s="1"/>
  <c r="DT462" i="1"/>
  <c r="EV455" i="1"/>
  <c r="P487" i="1"/>
  <c r="DI351" i="3"/>
  <c r="DF351" i="3"/>
  <c r="DJ351" i="3" s="1"/>
  <c r="DG351" i="3"/>
  <c r="DH351" i="3"/>
  <c r="EU366" i="1"/>
  <c r="P439" i="1"/>
  <c r="EO462" i="1"/>
  <c r="FX455" i="1"/>
  <c r="EA423" i="1"/>
  <c r="P479" i="1"/>
  <c r="EK455" i="1"/>
  <c r="T418" i="1"/>
  <c r="AG423" i="1" s="1"/>
  <c r="R499" i="1"/>
  <c r="GX499" i="1"/>
  <c r="GB549" i="1" s="1"/>
  <c r="P499" i="1"/>
  <c r="Q499" i="1"/>
  <c r="DV549" i="1" s="1"/>
  <c r="GM533" i="1"/>
  <c r="GO533" i="1" s="1"/>
  <c r="BZ494" i="1"/>
  <c r="AQ549" i="1"/>
  <c r="CG549" i="1"/>
  <c r="DF327" i="3"/>
  <c r="DJ327" i="3" s="1"/>
  <c r="DG327" i="3"/>
  <c r="DH327" i="3"/>
  <c r="DI327" i="3"/>
  <c r="CP528" i="1"/>
  <c r="O528" i="1" s="1"/>
  <c r="GM528" i="1" s="1"/>
  <c r="GO528" i="1" s="1"/>
  <c r="DF89" i="3"/>
  <c r="DG89" i="3"/>
  <c r="DJ89" i="3" s="1"/>
  <c r="DI89" i="3"/>
  <c r="DH89" i="3"/>
  <c r="CY37" i="1"/>
  <c r="CZ37" i="1"/>
  <c r="X37" i="1"/>
  <c r="Y37" i="1"/>
  <c r="ED73" i="1" s="1"/>
  <c r="DX73" i="1"/>
  <c r="DF240" i="3"/>
  <c r="DG240" i="3"/>
  <c r="DH240" i="3"/>
  <c r="DI240" i="3"/>
  <c r="DJ240" i="3" s="1"/>
  <c r="DG113" i="3"/>
  <c r="DJ113" i="3" s="1"/>
  <c r="DF113" i="3"/>
  <c r="DH113" i="3"/>
  <c r="DI113" i="3"/>
  <c r="DY144" i="1"/>
  <c r="DL167" i="1"/>
  <c r="GM318" i="1"/>
  <c r="CY526" i="1"/>
  <c r="CZ526" i="1"/>
  <c r="X526" i="1"/>
  <c r="Y526" i="1"/>
  <c r="DI278" i="3"/>
  <c r="DJ278" i="3" s="1"/>
  <c r="DG278" i="3"/>
  <c r="DF278" i="3"/>
  <c r="DH278" i="3"/>
  <c r="EG105" i="1"/>
  <c r="P116" i="1"/>
  <c r="EG579" i="1"/>
  <c r="DF114" i="3"/>
  <c r="DJ114" i="3" s="1"/>
  <c r="DG114" i="3"/>
  <c r="DH114" i="3"/>
  <c r="DI114" i="3"/>
  <c r="DF37" i="3"/>
  <c r="DG37" i="3"/>
  <c r="DH37" i="3"/>
  <c r="DI37" i="3"/>
  <c r="DJ37" i="3" s="1"/>
  <c r="DF79" i="3"/>
  <c r="DJ79" i="3" s="1"/>
  <c r="DG79" i="3"/>
  <c r="DH79" i="3"/>
  <c r="DI79" i="3"/>
  <c r="DF67" i="3"/>
  <c r="DH67" i="3"/>
  <c r="DG67" i="3"/>
  <c r="DI67" i="3"/>
  <c r="DJ67" i="3" s="1"/>
  <c r="DG9" i="3"/>
  <c r="DF9" i="3"/>
  <c r="DJ9" i="3" s="1"/>
  <c r="DH9" i="3"/>
  <c r="DI9" i="3"/>
  <c r="DG57" i="3"/>
  <c r="DF57" i="3"/>
  <c r="DH57" i="3"/>
  <c r="DI57" i="3"/>
  <c r="DJ57" i="3" s="1"/>
  <c r="DF201" i="3"/>
  <c r="DG201" i="3"/>
  <c r="DJ201" i="3" s="1"/>
  <c r="DI201" i="3"/>
  <c r="DH201" i="3"/>
  <c r="DI151" i="3"/>
  <c r="DF151" i="3"/>
  <c r="DJ151" i="3" s="1"/>
  <c r="DG151" i="3"/>
  <c r="DH151" i="3"/>
  <c r="DG294" i="3"/>
  <c r="DH294" i="3"/>
  <c r="DF294" i="3"/>
  <c r="DI294" i="3"/>
  <c r="DJ294" i="3" s="1"/>
  <c r="DF167" i="3"/>
  <c r="DG167" i="3"/>
  <c r="DH167" i="3"/>
  <c r="DI167" i="3"/>
  <c r="DJ167" i="3" s="1"/>
  <c r="DH13" i="3"/>
  <c r="DF13" i="3"/>
  <c r="DJ13" i="3" s="1"/>
  <c r="DG13" i="3"/>
  <c r="DI13" i="3"/>
  <c r="DF315" i="3"/>
  <c r="DJ315" i="3" s="1"/>
  <c r="DG315" i="3"/>
  <c r="DH315" i="3"/>
  <c r="DI315" i="3"/>
  <c r="DF338" i="3"/>
  <c r="DJ338" i="3" s="1"/>
  <c r="DG338" i="3"/>
  <c r="DH338" i="3"/>
  <c r="DI338" i="3"/>
  <c r="DF340" i="3"/>
  <c r="DJ340" i="3" s="1"/>
  <c r="DG340" i="3"/>
  <c r="DH340" i="3"/>
  <c r="DI340" i="3"/>
  <c r="DF26" i="3"/>
  <c r="DJ26" i="3" s="1"/>
  <c r="DG26" i="3"/>
  <c r="DH26" i="3"/>
  <c r="DI26" i="3"/>
  <c r="DZ73" i="1"/>
  <c r="CP45" i="1"/>
  <c r="O45" i="1" s="1"/>
  <c r="GM45" i="1" s="1"/>
  <c r="GO45" i="1" s="1"/>
  <c r="DG98" i="3"/>
  <c r="DH98" i="3"/>
  <c r="DI98" i="3"/>
  <c r="DF98" i="3"/>
  <c r="DJ98" i="3" s="1"/>
  <c r="DF121" i="3"/>
  <c r="DG121" i="3"/>
  <c r="DH121" i="3"/>
  <c r="DI121" i="3"/>
  <c r="DJ121" i="3" s="1"/>
  <c r="AL112" i="1"/>
  <c r="DF152" i="3"/>
  <c r="DG152" i="3"/>
  <c r="DI152" i="3"/>
  <c r="DJ152" i="3" s="1"/>
  <c r="DH152" i="3"/>
  <c r="DV240" i="1"/>
  <c r="CZ207" i="1"/>
  <c r="X207" i="1"/>
  <c r="Y207" i="1"/>
  <c r="CY207" i="1"/>
  <c r="AF240" i="1"/>
  <c r="P224" i="1"/>
  <c r="Q224" i="1"/>
  <c r="T224" i="1"/>
  <c r="DY240" i="1" s="1"/>
  <c r="R224" i="1"/>
  <c r="DW240" i="1" s="1"/>
  <c r="Y229" i="1"/>
  <c r="CY229" i="1"/>
  <c r="CZ229" i="1"/>
  <c r="X229" i="1"/>
  <c r="GM229" i="1" s="1"/>
  <c r="GO229" i="1" s="1"/>
  <c r="DF168" i="3"/>
  <c r="DJ168" i="3" s="1"/>
  <c r="DG168" i="3"/>
  <c r="DH168" i="3"/>
  <c r="DI168" i="3"/>
  <c r="CP162" i="1"/>
  <c r="O162" i="1" s="1"/>
  <c r="GM162" i="1" s="1"/>
  <c r="DH162" i="3"/>
  <c r="DI162" i="3"/>
  <c r="DJ162" i="3" s="1"/>
  <c r="DF162" i="3"/>
  <c r="DG162" i="3"/>
  <c r="AD281" i="1"/>
  <c r="BD272" i="1"/>
  <c r="F306" i="1"/>
  <c r="CP238" i="1"/>
  <c r="O238" i="1" s="1"/>
  <c r="U240" i="1"/>
  <c r="AH199" i="1"/>
  <c r="AQ199" i="1"/>
  <c r="F250" i="1"/>
  <c r="CP377" i="1"/>
  <c r="O377" i="1" s="1"/>
  <c r="FR377" i="1"/>
  <c r="AG199" i="1"/>
  <c r="T240" i="1"/>
  <c r="AU199" i="1"/>
  <c r="F259" i="1"/>
  <c r="DF263" i="3"/>
  <c r="DH263" i="3"/>
  <c r="DI263" i="3"/>
  <c r="DJ263" i="3" s="1"/>
  <c r="DG263" i="3"/>
  <c r="CP277" i="1"/>
  <c r="O277" i="1" s="1"/>
  <c r="W228" i="1"/>
  <c r="DF257" i="3"/>
  <c r="DJ257" i="3" s="1"/>
  <c r="DG257" i="3"/>
  <c r="DH257" i="3"/>
  <c r="DI257" i="3"/>
  <c r="P344" i="1"/>
  <c r="EI313" i="1"/>
  <c r="DI292" i="3"/>
  <c r="DG292" i="3"/>
  <c r="DH292" i="3"/>
  <c r="DF292" i="3"/>
  <c r="DJ292" i="3" s="1"/>
  <c r="P408" i="1"/>
  <c r="DM272" i="1"/>
  <c r="P303" i="1"/>
  <c r="BC313" i="1"/>
  <c r="F350" i="1"/>
  <c r="CP400" i="1"/>
  <c r="O400" i="1" s="1"/>
  <c r="GM400" i="1" s="1"/>
  <c r="FR400" i="1"/>
  <c r="CZ277" i="1"/>
  <c r="X277" i="1"/>
  <c r="Y277" i="1"/>
  <c r="CY277" i="1"/>
  <c r="X384" i="1"/>
  <c r="Y384" i="1"/>
  <c r="CZ384" i="1"/>
  <c r="CY384" i="1"/>
  <c r="F476" i="1"/>
  <c r="R455" i="1"/>
  <c r="DF304" i="3"/>
  <c r="DG304" i="3"/>
  <c r="DH304" i="3"/>
  <c r="DI304" i="3"/>
  <c r="DJ304" i="3" s="1"/>
  <c r="DI341" i="3"/>
  <c r="DJ341" i="3" s="1"/>
  <c r="DF341" i="3"/>
  <c r="DG341" i="3"/>
  <c r="DH341" i="3"/>
  <c r="FW455" i="1"/>
  <c r="EN462" i="1"/>
  <c r="CY411" i="1"/>
  <c r="CZ411" i="1"/>
  <c r="X411" i="1"/>
  <c r="GM411" i="1" s="1"/>
  <c r="GO411" i="1" s="1"/>
  <c r="Y411" i="1"/>
  <c r="DI462" i="1"/>
  <c r="DV455" i="1"/>
  <c r="GM420" i="1"/>
  <c r="DW549" i="1"/>
  <c r="DF329" i="3"/>
  <c r="DG329" i="3"/>
  <c r="DH329" i="3"/>
  <c r="DI329" i="3"/>
  <c r="DJ329" i="3" s="1"/>
  <c r="CY525" i="1"/>
  <c r="CZ525" i="1"/>
  <c r="X525" i="1"/>
  <c r="Y525" i="1"/>
  <c r="DF326" i="3"/>
  <c r="DJ326" i="3" s="1"/>
  <c r="DG326" i="3"/>
  <c r="DH326" i="3"/>
  <c r="DI326" i="3"/>
  <c r="GM543" i="1"/>
  <c r="GO543" i="1" s="1"/>
  <c r="GX520" i="1"/>
  <c r="W539" i="1"/>
  <c r="CP512" i="1"/>
  <c r="O512" i="1" s="1"/>
  <c r="GM512" i="1" s="1"/>
  <c r="GO512" i="1" s="1"/>
  <c r="U532" i="1"/>
  <c r="DF5" i="3"/>
  <c r="DG5" i="3"/>
  <c r="DH5" i="3"/>
  <c r="DI5" i="3"/>
  <c r="DJ5" i="3" s="1"/>
  <c r="DG146" i="3"/>
  <c r="DI146" i="3"/>
  <c r="DF146" i="3"/>
  <c r="DJ146" i="3" s="1"/>
  <c r="DH146" i="3"/>
  <c r="DH368" i="3"/>
  <c r="DI368" i="3"/>
  <c r="DF368" i="3"/>
  <c r="DJ368" i="3" s="1"/>
  <c r="DG368" i="3"/>
  <c r="V272" i="1"/>
  <c r="F304" i="1"/>
  <c r="DF291" i="3"/>
  <c r="DJ291" i="3" s="1"/>
  <c r="DG291" i="3"/>
  <c r="DH291" i="3"/>
  <c r="DI291" i="3"/>
  <c r="DF330" i="3"/>
  <c r="DG330" i="3"/>
  <c r="DJ330" i="3" s="1"/>
  <c r="DH330" i="3"/>
  <c r="DI330" i="3"/>
  <c r="BD26" i="1"/>
  <c r="F98" i="1"/>
  <c r="BD579" i="1"/>
  <c r="DG14" i="3"/>
  <c r="DI14" i="3"/>
  <c r="DF14" i="3"/>
  <c r="DJ14" i="3" s="1"/>
  <c r="DH14" i="3"/>
  <c r="DF36" i="3"/>
  <c r="DJ36" i="3" s="1"/>
  <c r="DG36" i="3"/>
  <c r="DH36" i="3"/>
  <c r="DI36" i="3"/>
  <c r="DF2" i="3"/>
  <c r="DH2" i="3"/>
  <c r="DG2" i="3"/>
  <c r="DJ2" i="3" s="1"/>
  <c r="DI2" i="3"/>
  <c r="DG73" i="3"/>
  <c r="DI73" i="3"/>
  <c r="DF73" i="3"/>
  <c r="DJ73" i="3" s="1"/>
  <c r="DH73" i="3"/>
  <c r="DI169" i="3"/>
  <c r="DF169" i="3"/>
  <c r="DJ169" i="3" s="1"/>
  <c r="DH169" i="3"/>
  <c r="DG169" i="3"/>
  <c r="DF179" i="3"/>
  <c r="DG179" i="3"/>
  <c r="DH179" i="3"/>
  <c r="DI179" i="3"/>
  <c r="DJ179" i="3" s="1"/>
  <c r="DG342" i="3"/>
  <c r="DJ342" i="3" s="1"/>
  <c r="DH342" i="3"/>
  <c r="DI342" i="3"/>
  <c r="DF342" i="3"/>
  <c r="DF140" i="3"/>
  <c r="DG140" i="3"/>
  <c r="DH140" i="3"/>
  <c r="DI140" i="3"/>
  <c r="DJ140" i="3" s="1"/>
  <c r="DH142" i="3"/>
  <c r="DI142" i="3"/>
  <c r="DG142" i="3"/>
  <c r="DJ142" i="3" s="1"/>
  <c r="DF142" i="3"/>
  <c r="DH360" i="3"/>
  <c r="DI360" i="3"/>
  <c r="DF360" i="3"/>
  <c r="DJ360" i="3" s="1"/>
  <c r="DG360" i="3"/>
  <c r="DI43" i="3"/>
  <c r="DJ43" i="3" s="1"/>
  <c r="DF43" i="3"/>
  <c r="DG43" i="3"/>
  <c r="DH43" i="3"/>
  <c r="DH352" i="3"/>
  <c r="DI352" i="3"/>
  <c r="DF352" i="3"/>
  <c r="DJ352" i="3" s="1"/>
  <c r="DG352" i="3"/>
  <c r="DF282" i="3"/>
  <c r="DJ282" i="3" s="1"/>
  <c r="DG282" i="3"/>
  <c r="DH282" i="3"/>
  <c r="DI282" i="3"/>
  <c r="EB26" i="1"/>
  <c r="DO73" i="1"/>
  <c r="X34" i="1"/>
  <c r="Y34" i="1"/>
  <c r="CY34" i="1"/>
  <c r="CZ34" i="1"/>
  <c r="DF74" i="3"/>
  <c r="DJ74" i="3" s="1"/>
  <c r="DH74" i="3"/>
  <c r="DG74" i="3"/>
  <c r="DI74" i="3"/>
  <c r="CP35" i="1"/>
  <c r="O35" i="1" s="1"/>
  <c r="GM35" i="1" s="1"/>
  <c r="GO35" i="1" s="1"/>
  <c r="CP67" i="1"/>
  <c r="O67" i="1" s="1"/>
  <c r="GM67" i="1" s="1"/>
  <c r="GN67" i="1" s="1"/>
  <c r="CP53" i="1"/>
  <c r="O53" i="1" s="1"/>
  <c r="GM69" i="1"/>
  <c r="GN69" i="1" s="1"/>
  <c r="CP62" i="1"/>
  <c r="O62" i="1" s="1"/>
  <c r="GM62" i="1" s="1"/>
  <c r="GO62" i="1" s="1"/>
  <c r="X60" i="1"/>
  <c r="GM60" i="1" s="1"/>
  <c r="GO60" i="1" s="1"/>
  <c r="Y60" i="1"/>
  <c r="CY60" i="1"/>
  <c r="CZ60" i="1"/>
  <c r="DF96" i="3"/>
  <c r="DJ96" i="3" s="1"/>
  <c r="DG96" i="3"/>
  <c r="DH96" i="3"/>
  <c r="DI96" i="3"/>
  <c r="DI125" i="3"/>
  <c r="DF125" i="3"/>
  <c r="DJ125" i="3" s="1"/>
  <c r="DG125" i="3"/>
  <c r="DH125" i="3"/>
  <c r="AS105" i="1"/>
  <c r="F129" i="1"/>
  <c r="CP150" i="1"/>
  <c r="O150" i="1" s="1"/>
  <c r="GM150" i="1" s="1"/>
  <c r="GO150" i="1" s="1"/>
  <c r="CP153" i="1"/>
  <c r="O153" i="1" s="1"/>
  <c r="GM153" i="1" s="1"/>
  <c r="FR153" i="1"/>
  <c r="DG148" i="3"/>
  <c r="DH148" i="3"/>
  <c r="DI148" i="3"/>
  <c r="DF148" i="3"/>
  <c r="DJ148" i="3" s="1"/>
  <c r="DF150" i="3"/>
  <c r="DJ150" i="3" s="1"/>
  <c r="DG150" i="3"/>
  <c r="DH150" i="3"/>
  <c r="DI150" i="3"/>
  <c r="FR156" i="1"/>
  <c r="CP156" i="1"/>
  <c r="O156" i="1" s="1"/>
  <c r="GM156" i="1" s="1"/>
  <c r="DU240" i="1"/>
  <c r="CP208" i="1"/>
  <c r="O208" i="1" s="1"/>
  <c r="CY222" i="1"/>
  <c r="CZ222" i="1"/>
  <c r="X222" i="1"/>
  <c r="Y222" i="1"/>
  <c r="GM163" i="1"/>
  <c r="DH170" i="3"/>
  <c r="DI170" i="3"/>
  <c r="DF170" i="3"/>
  <c r="DJ170" i="3" s="1"/>
  <c r="DG170" i="3"/>
  <c r="FR165" i="1"/>
  <c r="CP165" i="1"/>
  <c r="O165" i="1" s="1"/>
  <c r="DG216" i="3"/>
  <c r="DI216" i="3"/>
  <c r="DF216" i="3"/>
  <c r="DJ216" i="3" s="1"/>
  <c r="DH216" i="3"/>
  <c r="BC199" i="1"/>
  <c r="F256" i="1"/>
  <c r="DG213" i="3"/>
  <c r="DH213" i="3"/>
  <c r="DI213" i="3"/>
  <c r="DF213" i="3"/>
  <c r="DJ213" i="3" s="1"/>
  <c r="GM213" i="1"/>
  <c r="GO213" i="1" s="1"/>
  <c r="R272" i="1"/>
  <c r="F295" i="1"/>
  <c r="EI272" i="1"/>
  <c r="P291" i="1"/>
  <c r="CY393" i="1"/>
  <c r="CZ393" i="1"/>
  <c r="Y393" i="1"/>
  <c r="X393" i="1"/>
  <c r="GM393" i="1" s="1"/>
  <c r="AD423" i="1"/>
  <c r="CP392" i="1"/>
  <c r="O392" i="1" s="1"/>
  <c r="GM392" i="1" s="1"/>
  <c r="FR392" i="1"/>
  <c r="FR385" i="1"/>
  <c r="CP385" i="1"/>
  <c r="O385" i="1" s="1"/>
  <c r="GM385" i="1" s="1"/>
  <c r="W272" i="1"/>
  <c r="F305" i="1"/>
  <c r="ET313" i="1"/>
  <c r="P347" i="1"/>
  <c r="DF255" i="3"/>
  <c r="DJ255" i="3" s="1"/>
  <c r="DG255" i="3"/>
  <c r="DH255" i="3"/>
  <c r="DI255" i="3"/>
  <c r="T328" i="1"/>
  <c r="AU455" i="1"/>
  <c r="F481" i="1"/>
  <c r="CP389" i="1"/>
  <c r="O389" i="1" s="1"/>
  <c r="GM389" i="1" s="1"/>
  <c r="FR389" i="1"/>
  <c r="ES281" i="1"/>
  <c r="GB272" i="1"/>
  <c r="CZ407" i="1"/>
  <c r="X407" i="1"/>
  <c r="GM407" i="1" s="1"/>
  <c r="Y407" i="1"/>
  <c r="CY407" i="1"/>
  <c r="AE423" i="1"/>
  <c r="P472" i="1"/>
  <c r="EI455" i="1"/>
  <c r="CP324" i="1"/>
  <c r="O324" i="1" s="1"/>
  <c r="GM324" i="1" s="1"/>
  <c r="GO324" i="1" s="1"/>
  <c r="EC455" i="1"/>
  <c r="DP462" i="1"/>
  <c r="DF310" i="3"/>
  <c r="DJ310" i="3" s="1"/>
  <c r="DH310" i="3"/>
  <c r="DG310" i="3"/>
  <c r="DI310" i="3"/>
  <c r="DF350" i="3"/>
  <c r="DJ350" i="3" s="1"/>
  <c r="DG350" i="3"/>
  <c r="DH350" i="3"/>
  <c r="DI350" i="3"/>
  <c r="R544" i="1"/>
  <c r="Q544" i="1"/>
  <c r="CP544" i="1" s="1"/>
  <c r="O544" i="1" s="1"/>
  <c r="S544" i="1"/>
  <c r="T544" i="1"/>
  <c r="T413" i="1"/>
  <c r="DY423" i="1" s="1"/>
  <c r="Q415" i="1"/>
  <c r="R415" i="1"/>
  <c r="S415" i="1"/>
  <c r="CP415" i="1" s="1"/>
  <c r="O415" i="1" s="1"/>
  <c r="T415" i="1"/>
  <c r="U415" i="1"/>
  <c r="DZ423" i="1" s="1"/>
  <c r="P532" i="1"/>
  <c r="DF339" i="3"/>
  <c r="DJ339" i="3" s="1"/>
  <c r="DG339" i="3"/>
  <c r="DH339" i="3"/>
  <c r="DI339" i="3"/>
  <c r="V544" i="1"/>
  <c r="DI323" i="3"/>
  <c r="DF323" i="3"/>
  <c r="DJ323" i="3" s="1"/>
  <c r="DG323" i="3"/>
  <c r="DH323" i="3"/>
  <c r="CY405" i="1"/>
  <c r="Y405" i="1"/>
  <c r="X405" i="1"/>
  <c r="CZ405" i="1"/>
  <c r="AU494" i="1"/>
  <c r="F568" i="1"/>
  <c r="DF163" i="3"/>
  <c r="DH163" i="3"/>
  <c r="DG163" i="3"/>
  <c r="DI163" i="3"/>
  <c r="DJ163" i="3" s="1"/>
  <c r="DF346" i="3"/>
  <c r="DJ346" i="3" s="1"/>
  <c r="DG346" i="3"/>
  <c r="DH346" i="3"/>
  <c r="DI346" i="3"/>
  <c r="AI199" i="1"/>
  <c r="V240" i="1"/>
  <c r="FR384" i="1"/>
  <c r="CP384" i="1"/>
  <c r="O384" i="1" s="1"/>
  <c r="AC423" i="1"/>
  <c r="AU366" i="1"/>
  <c r="F442" i="1"/>
  <c r="P527" i="1"/>
  <c r="Q527" i="1"/>
  <c r="R527" i="1"/>
  <c r="S527" i="1"/>
  <c r="U527" i="1"/>
  <c r="DF165" i="3"/>
  <c r="DJ165" i="3" s="1"/>
  <c r="DH165" i="3"/>
  <c r="DI165" i="3"/>
  <c r="DG165" i="3"/>
  <c r="GM40" i="1"/>
  <c r="GO40" i="1" s="1"/>
  <c r="CP51" i="1"/>
  <c r="O51" i="1" s="1"/>
  <c r="GM51" i="1" s="1"/>
  <c r="GO51" i="1" s="1"/>
  <c r="DI92" i="3"/>
  <c r="DF92" i="3"/>
  <c r="DJ92" i="3" s="1"/>
  <c r="DG92" i="3"/>
  <c r="DH92" i="3"/>
  <c r="DF124" i="3"/>
  <c r="DJ124" i="3" s="1"/>
  <c r="DG124" i="3"/>
  <c r="DH124" i="3"/>
  <c r="DI124" i="3"/>
  <c r="DV167" i="1"/>
  <c r="CP147" i="1"/>
  <c r="O147" i="1" s="1"/>
  <c r="CP148" i="1"/>
  <c r="O148" i="1" s="1"/>
  <c r="FR148" i="1"/>
  <c r="AC167" i="1"/>
  <c r="DF158" i="3"/>
  <c r="DJ158" i="3" s="1"/>
  <c r="DG158" i="3"/>
  <c r="DI158" i="3"/>
  <c r="DH158" i="3"/>
  <c r="DG38" i="3"/>
  <c r="DI38" i="3"/>
  <c r="DJ38" i="3" s="1"/>
  <c r="DF38" i="3"/>
  <c r="DH38" i="3"/>
  <c r="DF69" i="3"/>
  <c r="DG69" i="3"/>
  <c r="DH69" i="3"/>
  <c r="DI69" i="3"/>
  <c r="DJ69" i="3" s="1"/>
  <c r="DG29" i="3"/>
  <c r="DF29" i="3"/>
  <c r="DH29" i="3"/>
  <c r="DI29" i="3"/>
  <c r="DJ29" i="3" s="1"/>
  <c r="DI111" i="3"/>
  <c r="DG111" i="3"/>
  <c r="DH111" i="3"/>
  <c r="DF111" i="3"/>
  <c r="DJ111" i="3" s="1"/>
  <c r="DF109" i="3"/>
  <c r="DH109" i="3"/>
  <c r="DI109" i="3"/>
  <c r="DJ109" i="3" s="1"/>
  <c r="DG109" i="3"/>
  <c r="DI131" i="3"/>
  <c r="DJ131" i="3" s="1"/>
  <c r="DF131" i="3"/>
  <c r="DG131" i="3"/>
  <c r="DH131" i="3"/>
  <c r="DF189" i="3"/>
  <c r="DJ189" i="3" s="1"/>
  <c r="DH189" i="3"/>
  <c r="DI189" i="3"/>
  <c r="DG189" i="3"/>
  <c r="CP28" i="1"/>
  <c r="O28" i="1" s="1"/>
  <c r="AC73" i="1"/>
  <c r="DF171" i="3"/>
  <c r="DH171" i="3"/>
  <c r="DG171" i="3"/>
  <c r="DI171" i="3"/>
  <c r="DJ171" i="3" s="1"/>
  <c r="DG365" i="3"/>
  <c r="DH365" i="3"/>
  <c r="DI365" i="3"/>
  <c r="DF365" i="3"/>
  <c r="DJ365" i="3" s="1"/>
  <c r="DF30" i="3"/>
  <c r="DG30" i="3"/>
  <c r="DH30" i="3"/>
  <c r="DI30" i="3"/>
  <c r="DJ30" i="3" s="1"/>
  <c r="DF357" i="3"/>
  <c r="DJ357" i="3" s="1"/>
  <c r="DG357" i="3"/>
  <c r="DH357" i="3"/>
  <c r="DI357" i="3"/>
  <c r="DF312" i="3"/>
  <c r="DJ312" i="3" s="1"/>
  <c r="DG312" i="3"/>
  <c r="DH312" i="3"/>
  <c r="DI312" i="3"/>
  <c r="DF78" i="3"/>
  <c r="DJ78" i="3" s="1"/>
  <c r="DG78" i="3"/>
  <c r="DH78" i="3"/>
  <c r="DI78" i="3"/>
  <c r="DF348" i="3"/>
  <c r="DJ348" i="3" s="1"/>
  <c r="DG348" i="3"/>
  <c r="DH348" i="3"/>
  <c r="DI348" i="3"/>
  <c r="DG75" i="3"/>
  <c r="DF75" i="3"/>
  <c r="DJ75" i="3" s="1"/>
  <c r="DH75" i="3"/>
  <c r="DI75" i="3"/>
  <c r="DI101" i="3"/>
  <c r="DJ101" i="3" s="1"/>
  <c r="DF101" i="3"/>
  <c r="DH101" i="3"/>
  <c r="DG101" i="3"/>
  <c r="CY66" i="1"/>
  <c r="X66" i="1"/>
  <c r="CZ66" i="1"/>
  <c r="Y66" i="1"/>
  <c r="GM66" i="1" s="1"/>
  <c r="GN66" i="1" s="1"/>
  <c r="DF110" i="3"/>
  <c r="DG110" i="3"/>
  <c r="DJ110" i="3" s="1"/>
  <c r="DH110" i="3"/>
  <c r="DI110" i="3"/>
  <c r="DG123" i="3"/>
  <c r="DF123" i="3"/>
  <c r="DJ123" i="3" s="1"/>
  <c r="DH123" i="3"/>
  <c r="DI123" i="3"/>
  <c r="EP26" i="1"/>
  <c r="P80" i="1"/>
  <c r="FR152" i="1"/>
  <c r="CP152" i="1"/>
  <c r="O152" i="1" s="1"/>
  <c r="GM152" i="1" s="1"/>
  <c r="EK105" i="1"/>
  <c r="P129" i="1"/>
  <c r="DF156" i="3"/>
  <c r="DG156" i="3"/>
  <c r="DH156" i="3"/>
  <c r="DI156" i="3"/>
  <c r="DJ156" i="3" s="1"/>
  <c r="CY226" i="1"/>
  <c r="CZ226" i="1"/>
  <c r="X226" i="1"/>
  <c r="GM226" i="1" s="1"/>
  <c r="GO226" i="1" s="1"/>
  <c r="Y226" i="1"/>
  <c r="R216" i="1"/>
  <c r="P216" i="1"/>
  <c r="Q216" i="1"/>
  <c r="DG178" i="3"/>
  <c r="DH178" i="3"/>
  <c r="DI178" i="3"/>
  <c r="DF178" i="3"/>
  <c r="DJ178" i="3" s="1"/>
  <c r="CP209" i="1"/>
  <c r="O209" i="1" s="1"/>
  <c r="GM209" i="1" s="1"/>
  <c r="AC240" i="1"/>
  <c r="FR209" i="1"/>
  <c r="AQ144" i="1"/>
  <c r="F177" i="1"/>
  <c r="GM276" i="1"/>
  <c r="AI144" i="1"/>
  <c r="V167" i="1"/>
  <c r="Y204" i="1"/>
  <c r="CY204" i="1"/>
  <c r="X204" i="1"/>
  <c r="CZ204" i="1"/>
  <c r="FT313" i="1"/>
  <c r="EK334" i="1"/>
  <c r="CY275" i="1"/>
  <c r="CZ275" i="1"/>
  <c r="X275" i="1"/>
  <c r="EC281" i="1" s="1"/>
  <c r="Y275" i="1"/>
  <c r="ED281" i="1" s="1"/>
  <c r="DX281" i="1"/>
  <c r="CY396" i="1"/>
  <c r="CZ396" i="1"/>
  <c r="Y396" i="1"/>
  <c r="X396" i="1"/>
  <c r="GM396" i="1" s="1"/>
  <c r="CP394" i="1"/>
  <c r="O394" i="1" s="1"/>
  <c r="GM394" i="1" s="1"/>
  <c r="FR394" i="1"/>
  <c r="DG272" i="3"/>
  <c r="DH272" i="3"/>
  <c r="DF272" i="3"/>
  <c r="DJ272" i="3" s="1"/>
  <c r="DI272" i="3"/>
  <c r="DG254" i="3"/>
  <c r="DH254" i="3"/>
  <c r="DI254" i="3"/>
  <c r="DF254" i="3"/>
  <c r="DJ254" i="3" s="1"/>
  <c r="S328" i="1"/>
  <c r="EG455" i="1"/>
  <c r="P466" i="1"/>
  <c r="X382" i="1"/>
  <c r="GM382" i="1" s="1"/>
  <c r="GO382" i="1" s="1"/>
  <c r="Y382" i="1"/>
  <c r="CY382" i="1"/>
  <c r="CZ382" i="1"/>
  <c r="Q419" i="1"/>
  <c r="R419" i="1"/>
  <c r="GX419" i="1"/>
  <c r="GB423" i="1" s="1"/>
  <c r="P419" i="1"/>
  <c r="S419" i="1"/>
  <c r="W328" i="1"/>
  <c r="EB334" i="1" s="1"/>
  <c r="ET455" i="1"/>
  <c r="P475" i="1"/>
  <c r="ED455" i="1"/>
  <c r="DQ462" i="1"/>
  <c r="DF314" i="3"/>
  <c r="DJ314" i="3" s="1"/>
  <c r="DG314" i="3"/>
  <c r="DH314" i="3"/>
  <c r="DI314" i="3"/>
  <c r="DF362" i="3"/>
  <c r="DG362" i="3"/>
  <c r="DH362" i="3"/>
  <c r="DI362" i="3"/>
  <c r="DJ362" i="3" s="1"/>
  <c r="DJ462" i="1"/>
  <c r="DW455" i="1"/>
  <c r="CP517" i="1"/>
  <c r="O517" i="1" s="1"/>
  <c r="GM517" i="1" s="1"/>
  <c r="GO517" i="1" s="1"/>
  <c r="CP535" i="1"/>
  <c r="O535" i="1" s="1"/>
  <c r="GM535" i="1" s="1"/>
  <c r="GO535" i="1" s="1"/>
  <c r="CY459" i="1"/>
  <c r="CZ459" i="1"/>
  <c r="X459" i="1"/>
  <c r="Y459" i="1"/>
  <c r="DF298" i="3"/>
  <c r="DJ298" i="3" s="1"/>
  <c r="DG298" i="3"/>
  <c r="DH298" i="3"/>
  <c r="DI298" i="3"/>
  <c r="Q455" i="1"/>
  <c r="F474" i="1"/>
  <c r="DF322" i="3"/>
  <c r="DJ322" i="3" s="1"/>
  <c r="DG322" i="3"/>
  <c r="DH322" i="3"/>
  <c r="DI322" i="3"/>
  <c r="GM514" i="1"/>
  <c r="GO514" i="1" s="1"/>
  <c r="V534" i="1"/>
  <c r="AS494" i="1"/>
  <c r="F566" i="1"/>
  <c r="AE26" i="1"/>
  <c r="R73" i="1"/>
  <c r="GM29" i="1"/>
  <c r="EB105" i="1"/>
  <c r="DO112" i="1"/>
  <c r="EK144" i="1"/>
  <c r="P184" i="1"/>
  <c r="FR418" i="1"/>
  <c r="CP418" i="1"/>
  <c r="O418" i="1" s="1"/>
  <c r="DF265" i="3"/>
  <c r="DJ265" i="3" s="1"/>
  <c r="DG265" i="3"/>
  <c r="DI265" i="3"/>
  <c r="DH265" i="3"/>
  <c r="DF40" i="3"/>
  <c r="DG40" i="3"/>
  <c r="DH40" i="3"/>
  <c r="DI40" i="3"/>
  <c r="DJ40" i="3" s="1"/>
  <c r="DF328" i="3"/>
  <c r="DJ328" i="3" s="1"/>
  <c r="DG328" i="3"/>
  <c r="DH328" i="3"/>
  <c r="DI328" i="3"/>
  <c r="CP46" i="1"/>
  <c r="O46" i="1" s="1"/>
  <c r="GM46" i="1" s="1"/>
  <c r="GO46" i="1" s="1"/>
  <c r="DG288" i="3"/>
  <c r="DJ288" i="3" s="1"/>
  <c r="DH288" i="3"/>
  <c r="DI288" i="3"/>
  <c r="DF288" i="3"/>
  <c r="DH332" i="3"/>
  <c r="DI332" i="3"/>
  <c r="DF332" i="3"/>
  <c r="DJ332" i="3" s="1"/>
  <c r="DG332" i="3"/>
  <c r="DI71" i="3"/>
  <c r="DF71" i="3"/>
  <c r="DJ71" i="3" s="1"/>
  <c r="DG71" i="3"/>
  <c r="DH71" i="3"/>
  <c r="GB26" i="1"/>
  <c r="ES73" i="1"/>
  <c r="DF105" i="3"/>
  <c r="DH105" i="3"/>
  <c r="DG105" i="3"/>
  <c r="DI105" i="3"/>
  <c r="DJ105" i="3" s="1"/>
  <c r="DI59" i="3"/>
  <c r="DJ59" i="3" s="1"/>
  <c r="DF59" i="3"/>
  <c r="DG59" i="3"/>
  <c r="DH59" i="3"/>
  <c r="ET105" i="1"/>
  <c r="P125" i="1"/>
  <c r="ET579" i="1"/>
  <c r="GM71" i="1"/>
  <c r="GN71" i="1" s="1"/>
  <c r="FT73" i="1" s="1"/>
  <c r="R112" i="1"/>
  <c r="AE105" i="1"/>
  <c r="DF130" i="3"/>
  <c r="DJ130" i="3" s="1"/>
  <c r="DG130" i="3"/>
  <c r="DH130" i="3"/>
  <c r="DI130" i="3"/>
  <c r="DF141" i="3"/>
  <c r="DG141" i="3"/>
  <c r="DJ141" i="3" s="1"/>
  <c r="DH141" i="3"/>
  <c r="DI141" i="3"/>
  <c r="AI105" i="1"/>
  <c r="V112" i="1"/>
  <c r="CZ157" i="1"/>
  <c r="X157" i="1"/>
  <c r="Y157" i="1"/>
  <c r="CY157" i="1"/>
  <c r="CZ148" i="1"/>
  <c r="X148" i="1"/>
  <c r="Y148" i="1"/>
  <c r="CY148" i="1"/>
  <c r="CY230" i="1"/>
  <c r="CZ230" i="1"/>
  <c r="X230" i="1"/>
  <c r="Y230" i="1"/>
  <c r="CY206" i="1"/>
  <c r="Y206" i="1"/>
  <c r="X206" i="1"/>
  <c r="GM206" i="1" s="1"/>
  <c r="CZ206" i="1"/>
  <c r="T105" i="1"/>
  <c r="F133" i="1"/>
  <c r="CZ164" i="1"/>
  <c r="Y164" i="1"/>
  <c r="X164" i="1"/>
  <c r="GM164" i="1" s="1"/>
  <c r="CY164" i="1"/>
  <c r="DF177" i="3"/>
  <c r="DH177" i="3"/>
  <c r="DI177" i="3"/>
  <c r="DJ177" i="3" s="1"/>
  <c r="DG177" i="3"/>
  <c r="DF173" i="3"/>
  <c r="DG173" i="3"/>
  <c r="DH173" i="3"/>
  <c r="DI173" i="3"/>
  <c r="DJ173" i="3" s="1"/>
  <c r="CG144" i="1"/>
  <c r="AX167" i="1"/>
  <c r="FT199" i="1"/>
  <c r="EK240" i="1"/>
  <c r="DF215" i="3"/>
  <c r="DH215" i="3"/>
  <c r="DG215" i="3"/>
  <c r="DJ215" i="3" s="1"/>
  <c r="DI215" i="3"/>
  <c r="DW272" i="1"/>
  <c r="DJ281" i="1"/>
  <c r="AG272" i="1"/>
  <c r="T281" i="1"/>
  <c r="T144" i="1"/>
  <c r="F188" i="1"/>
  <c r="EA144" i="1"/>
  <c r="DN167" i="1"/>
  <c r="CY331" i="1"/>
  <c r="X331" i="1"/>
  <c r="Y331" i="1"/>
  <c r="CZ331" i="1"/>
  <c r="FY313" i="1"/>
  <c r="EP334" i="1"/>
  <c r="CZ377" i="1"/>
  <c r="CY377" i="1"/>
  <c r="Y377" i="1"/>
  <c r="X377" i="1"/>
  <c r="DF252" i="3"/>
  <c r="DG252" i="3"/>
  <c r="DJ252" i="3" s="1"/>
  <c r="DI252" i="3"/>
  <c r="DH252" i="3"/>
  <c r="FR405" i="1"/>
  <c r="CP405" i="1"/>
  <c r="O405" i="1" s="1"/>
  <c r="GM405" i="1" s="1"/>
  <c r="CP409" i="1"/>
  <c r="O409" i="1" s="1"/>
  <c r="FR409" i="1"/>
  <c r="DH285" i="3"/>
  <c r="DF285" i="3"/>
  <c r="DJ285" i="3" s="1"/>
  <c r="DG285" i="3"/>
  <c r="DI285" i="3"/>
  <c r="BD494" i="1"/>
  <c r="F574" i="1"/>
  <c r="DF316" i="3"/>
  <c r="DJ316" i="3" s="1"/>
  <c r="DG316" i="3"/>
  <c r="DH316" i="3"/>
  <c r="DI316" i="3"/>
  <c r="DG306" i="3"/>
  <c r="DH306" i="3"/>
  <c r="DI306" i="3"/>
  <c r="DF306" i="3"/>
  <c r="DJ306" i="3" s="1"/>
  <c r="CY538" i="1"/>
  <c r="CZ538" i="1"/>
  <c r="X538" i="1"/>
  <c r="Y538" i="1"/>
  <c r="EH494" i="1"/>
  <c r="P558" i="1"/>
  <c r="GM541" i="1"/>
  <c r="GO541" i="1" s="1"/>
  <c r="ER462" i="1"/>
  <c r="GA455" i="1"/>
  <c r="DF295" i="3"/>
  <c r="DH295" i="3"/>
  <c r="DI295" i="3"/>
  <c r="DG295" i="3"/>
  <c r="DJ295" i="3" s="1"/>
  <c r="DF335" i="3"/>
  <c r="DJ335" i="3" s="1"/>
  <c r="DG335" i="3"/>
  <c r="DH335" i="3"/>
  <c r="DI335" i="3"/>
  <c r="CY536" i="1"/>
  <c r="CZ536" i="1"/>
  <c r="X536" i="1"/>
  <c r="GM536" i="1" s="1"/>
  <c r="GO536" i="1" s="1"/>
  <c r="Y536" i="1"/>
  <c r="U419" i="1"/>
  <c r="CY511" i="1"/>
  <c r="CZ511" i="1"/>
  <c r="X511" i="1"/>
  <c r="GM511" i="1" s="1"/>
  <c r="GO511" i="1" s="1"/>
  <c r="Y511" i="1"/>
  <c r="ED549" i="1" s="1"/>
  <c r="CP538" i="1"/>
  <c r="O538" i="1" s="1"/>
  <c r="CZ316" i="1"/>
  <c r="X316" i="1"/>
  <c r="Y316" i="1"/>
  <c r="CY316" i="1"/>
  <c r="DX334" i="1"/>
  <c r="DF10" i="3"/>
  <c r="DJ10" i="3" s="1"/>
  <c r="DG10" i="3"/>
  <c r="DH10" i="3"/>
  <c r="DI10" i="3"/>
  <c r="DH299" i="3"/>
  <c r="DI299" i="3"/>
  <c r="DF299" i="3"/>
  <c r="DJ299" i="3" s="1"/>
  <c r="DG299" i="3"/>
  <c r="DV73" i="1"/>
  <c r="DI15" i="3"/>
  <c r="DJ15" i="3" s="1"/>
  <c r="DF15" i="3"/>
  <c r="DG15" i="3"/>
  <c r="DH15" i="3"/>
  <c r="DG138" i="3"/>
  <c r="DI138" i="3"/>
  <c r="DH138" i="3"/>
  <c r="DF138" i="3"/>
  <c r="DJ138" i="3" s="1"/>
  <c r="DG318" i="3"/>
  <c r="DF318" i="3"/>
  <c r="DH318" i="3"/>
  <c r="DI318" i="3"/>
  <c r="DJ318" i="3" s="1"/>
  <c r="DI7" i="3"/>
  <c r="DJ7" i="3" s="1"/>
  <c r="DF7" i="3"/>
  <c r="DG7" i="3"/>
  <c r="DH7" i="3"/>
  <c r="DF18" i="3"/>
  <c r="DJ18" i="3" s="1"/>
  <c r="DG18" i="3"/>
  <c r="DH18" i="3"/>
  <c r="DI18" i="3"/>
  <c r="DI80" i="3"/>
  <c r="DF80" i="3"/>
  <c r="DJ80" i="3" s="1"/>
  <c r="DG80" i="3"/>
  <c r="DH80" i="3"/>
  <c r="DG361" i="3"/>
  <c r="DH361" i="3"/>
  <c r="DI361" i="3"/>
  <c r="DF361" i="3"/>
  <c r="DJ361" i="3" s="1"/>
  <c r="DH31" i="3"/>
  <c r="DF31" i="3"/>
  <c r="DG31" i="3"/>
  <c r="DI31" i="3"/>
  <c r="DJ31" i="3" s="1"/>
  <c r="DF374" i="3"/>
  <c r="DG374" i="3"/>
  <c r="DH374" i="3"/>
  <c r="DI374" i="3"/>
  <c r="DJ374" i="3" s="1"/>
  <c r="GM33" i="1"/>
  <c r="GO33" i="1" s="1"/>
  <c r="CP37" i="1"/>
  <c r="O37" i="1" s="1"/>
  <c r="GM37" i="1" s="1"/>
  <c r="GO37" i="1" s="1"/>
  <c r="DF108" i="3"/>
  <c r="DJ108" i="3" s="1"/>
  <c r="DG108" i="3"/>
  <c r="DH108" i="3"/>
  <c r="DI108" i="3"/>
  <c r="DG106" i="3"/>
  <c r="DF106" i="3"/>
  <c r="DJ106" i="3" s="1"/>
  <c r="DH106" i="3"/>
  <c r="DI106" i="3"/>
  <c r="AO26" i="1"/>
  <c r="F77" i="1"/>
  <c r="AO579" i="1"/>
  <c r="X112" i="1"/>
  <c r="AK105" i="1"/>
  <c r="DF126" i="3"/>
  <c r="DG126" i="3"/>
  <c r="DH126" i="3"/>
  <c r="DI126" i="3"/>
  <c r="DJ126" i="3" s="1"/>
  <c r="DF145" i="3"/>
  <c r="DJ145" i="3" s="1"/>
  <c r="DH145" i="3"/>
  <c r="DG145" i="3"/>
  <c r="DI145" i="3"/>
  <c r="CY146" i="1"/>
  <c r="CZ146" i="1"/>
  <c r="X146" i="1"/>
  <c r="AF167" i="1"/>
  <c r="Y146" i="1"/>
  <c r="CP161" i="1"/>
  <c r="O161" i="1" s="1"/>
  <c r="GM161" i="1" s="1"/>
  <c r="FR161" i="1"/>
  <c r="CP212" i="1"/>
  <c r="O212" i="1" s="1"/>
  <c r="GM212" i="1" s="1"/>
  <c r="FR212" i="1"/>
  <c r="FR223" i="1"/>
  <c r="CP223" i="1"/>
  <c r="O223" i="1" s="1"/>
  <c r="GM223" i="1" s="1"/>
  <c r="DG160" i="3"/>
  <c r="DH160" i="3"/>
  <c r="DI160" i="3"/>
  <c r="DF160" i="3"/>
  <c r="DJ160" i="3" s="1"/>
  <c r="EB240" i="1"/>
  <c r="P228" i="1"/>
  <c r="Q228" i="1"/>
  <c r="R228" i="1"/>
  <c r="S228" i="1"/>
  <c r="EB144" i="1"/>
  <c r="DO167" i="1"/>
  <c r="GM222" i="1"/>
  <c r="GO222" i="1" s="1"/>
  <c r="CP218" i="1"/>
  <c r="O218" i="1" s="1"/>
  <c r="GM218" i="1" s="1"/>
  <c r="GO218" i="1" s="1"/>
  <c r="FU272" i="1"/>
  <c r="EL281" i="1"/>
  <c r="U228" i="1"/>
  <c r="U216" i="1"/>
  <c r="CP326" i="1"/>
  <c r="O326" i="1" s="1"/>
  <c r="FR326" i="1"/>
  <c r="Q408" i="1"/>
  <c r="R408" i="1"/>
  <c r="U408" i="1"/>
  <c r="W408" i="1"/>
  <c r="EK272" i="1"/>
  <c r="P298" i="1"/>
  <c r="CP397" i="1"/>
  <c r="O397" i="1" s="1"/>
  <c r="GM397" i="1" s="1"/>
  <c r="FR397" i="1"/>
  <c r="DH271" i="3"/>
  <c r="DI271" i="3"/>
  <c r="DF271" i="3"/>
  <c r="DJ271" i="3" s="1"/>
  <c r="DG271" i="3"/>
  <c r="GM386" i="1"/>
  <c r="GO386" i="1" s="1"/>
  <c r="P288" i="1"/>
  <c r="EP272" i="1"/>
  <c r="AU313" i="1"/>
  <c r="F353" i="1"/>
  <c r="CY398" i="1"/>
  <c r="Y398" i="1"/>
  <c r="X398" i="1"/>
  <c r="CZ398" i="1"/>
  <c r="P421" i="1"/>
  <c r="Q421" i="1"/>
  <c r="R421" i="1"/>
  <c r="U421" i="1"/>
  <c r="DG281" i="3"/>
  <c r="DH281" i="3"/>
  <c r="DI281" i="3"/>
  <c r="DJ281" i="3" s="1"/>
  <c r="DF281" i="3"/>
  <c r="AZ549" i="1"/>
  <c r="CI494" i="1"/>
  <c r="DF192" i="3"/>
  <c r="DJ192" i="3" s="1"/>
  <c r="DG192" i="3"/>
  <c r="DH192" i="3"/>
  <c r="DI192" i="3"/>
  <c r="CY409" i="1"/>
  <c r="CZ409" i="1"/>
  <c r="X409" i="1"/>
  <c r="Y409" i="1"/>
  <c r="DH307" i="3"/>
  <c r="DF307" i="3"/>
  <c r="DG307" i="3"/>
  <c r="DI307" i="3"/>
  <c r="DJ307" i="3" s="1"/>
  <c r="DI375" i="3"/>
  <c r="DF375" i="3"/>
  <c r="DJ375" i="3" s="1"/>
  <c r="DG375" i="3"/>
  <c r="DH375" i="3"/>
  <c r="CP498" i="1"/>
  <c r="O498" i="1" s="1"/>
  <c r="DF370" i="3"/>
  <c r="DJ370" i="3" s="1"/>
  <c r="DG370" i="3"/>
  <c r="DH370" i="3"/>
  <c r="DI370" i="3"/>
  <c r="GA494" i="1"/>
  <c r="ER549" i="1"/>
  <c r="P471" i="1"/>
  <c r="EH455" i="1"/>
  <c r="DF334" i="3"/>
  <c r="DJ334" i="3" s="1"/>
  <c r="DG334" i="3"/>
  <c r="DH334" i="3"/>
  <c r="DI334" i="3"/>
  <c r="EK366" i="1"/>
  <c r="P440" i="1"/>
  <c r="GX539" i="1"/>
  <c r="P574" i="1"/>
  <c r="EV494" i="1"/>
  <c r="CP516" i="1"/>
  <c r="O516" i="1" s="1"/>
  <c r="GM516" i="1" s="1"/>
  <c r="GO516" i="1" s="1"/>
  <c r="CP522" i="1"/>
  <c r="O522" i="1" s="1"/>
  <c r="GM522" i="1" s="1"/>
  <c r="GO522" i="1" s="1"/>
  <c r="GX527" i="1"/>
  <c r="GX544" i="1"/>
  <c r="T520" i="1"/>
  <c r="DH8" i="3"/>
  <c r="DF8" i="3"/>
  <c r="DJ8" i="3" s="1"/>
  <c r="DG8" i="3"/>
  <c r="DI8" i="3"/>
  <c r="DH251" i="3"/>
  <c r="DI251" i="3"/>
  <c r="DJ251" i="3" s="1"/>
  <c r="DF251" i="3"/>
  <c r="DG251" i="3"/>
  <c r="X65" i="1"/>
  <c r="GM65" i="1" s="1"/>
  <c r="GO65" i="1" s="1"/>
  <c r="Y65" i="1"/>
  <c r="CY65" i="1"/>
  <c r="CZ65" i="1"/>
  <c r="DF127" i="3"/>
  <c r="DJ127" i="3" s="1"/>
  <c r="DG127" i="3"/>
  <c r="DH127" i="3"/>
  <c r="DI127" i="3"/>
  <c r="AB112" i="1"/>
  <c r="GM107" i="1"/>
  <c r="DY334" i="1"/>
  <c r="S462" i="1"/>
  <c r="AF455" i="1"/>
  <c r="DF366" i="3"/>
  <c r="DJ366" i="3" s="1"/>
  <c r="DG366" i="3"/>
  <c r="DH366" i="3"/>
  <c r="DI366" i="3"/>
  <c r="DF64" i="3"/>
  <c r="DG64" i="3"/>
  <c r="DH64" i="3"/>
  <c r="DI64" i="3"/>
  <c r="DJ64" i="3" s="1"/>
  <c r="DF161" i="3"/>
  <c r="DG161" i="3"/>
  <c r="DH161" i="3"/>
  <c r="DI161" i="3"/>
  <c r="DJ161" i="3" s="1"/>
  <c r="DF275" i="3"/>
  <c r="DG275" i="3"/>
  <c r="DH275" i="3"/>
  <c r="DI275" i="3"/>
  <c r="DJ275" i="3" s="1"/>
  <c r="DI12" i="3"/>
  <c r="DF12" i="3"/>
  <c r="DJ12" i="3" s="1"/>
  <c r="DG12" i="3"/>
  <c r="DH12" i="3"/>
  <c r="DF58" i="3"/>
  <c r="DG58" i="3"/>
  <c r="DJ58" i="3" s="1"/>
  <c r="DH58" i="3"/>
  <c r="DI58" i="3"/>
  <c r="DI261" i="3"/>
  <c r="DG261" i="3"/>
  <c r="DF261" i="3"/>
  <c r="DJ261" i="3" s="1"/>
  <c r="DH261" i="3"/>
  <c r="DG267" i="3"/>
  <c r="DF267" i="3"/>
  <c r="DJ267" i="3" s="1"/>
  <c r="DH267" i="3"/>
  <c r="DI267" i="3"/>
  <c r="DH81" i="3"/>
  <c r="DF81" i="3"/>
  <c r="DJ81" i="3" s="1"/>
  <c r="DI81" i="3"/>
  <c r="DG81" i="3"/>
  <c r="DF77" i="3"/>
  <c r="DG77" i="3"/>
  <c r="DJ77" i="3" s="1"/>
  <c r="DH77" i="3"/>
  <c r="DI77" i="3"/>
  <c r="DG76" i="3"/>
  <c r="DF76" i="3"/>
  <c r="DH76" i="3"/>
  <c r="DI76" i="3"/>
  <c r="DJ76" i="3" s="1"/>
  <c r="DF283" i="3"/>
  <c r="DJ283" i="3" s="1"/>
  <c r="DG283" i="3"/>
  <c r="DH283" i="3"/>
  <c r="DI283" i="3"/>
  <c r="DF70" i="3"/>
  <c r="DG70" i="3"/>
  <c r="DJ70" i="3" s="1"/>
  <c r="DH70" i="3"/>
  <c r="DI70" i="3"/>
  <c r="DF85" i="3"/>
  <c r="DG85" i="3"/>
  <c r="DI85" i="3"/>
  <c r="DJ85" i="3" s="1"/>
  <c r="DH85" i="3"/>
  <c r="DF91" i="3"/>
  <c r="DJ91" i="3" s="1"/>
  <c r="DG91" i="3"/>
  <c r="DI91" i="3"/>
  <c r="DH91" i="3"/>
  <c r="DF11" i="3"/>
  <c r="DG11" i="3"/>
  <c r="DH11" i="3"/>
  <c r="DI11" i="3"/>
  <c r="DJ11" i="3" s="1"/>
  <c r="DH133" i="3"/>
  <c r="DF133" i="3"/>
  <c r="DG133" i="3"/>
  <c r="DJ133" i="3" s="1"/>
  <c r="DI133" i="3"/>
  <c r="DF147" i="3"/>
  <c r="DJ147" i="3" s="1"/>
  <c r="DH147" i="3"/>
  <c r="DI147" i="3"/>
  <c r="DG147" i="3"/>
  <c r="DF187" i="3"/>
  <c r="DH187" i="3"/>
  <c r="DG187" i="3"/>
  <c r="DI187" i="3"/>
  <c r="DJ187" i="3" s="1"/>
  <c r="DF305" i="3"/>
  <c r="DJ305" i="3" s="1"/>
  <c r="DG305" i="3"/>
  <c r="DH305" i="3"/>
  <c r="DI305" i="3"/>
  <c r="DF289" i="3"/>
  <c r="DG289" i="3"/>
  <c r="DJ289" i="3" s="1"/>
  <c r="DH289" i="3"/>
  <c r="DI289" i="3"/>
  <c r="DF319" i="3"/>
  <c r="DG319" i="3"/>
  <c r="DJ319" i="3" s="1"/>
  <c r="DH319" i="3"/>
  <c r="DI319" i="3"/>
  <c r="DG16" i="3"/>
  <c r="DJ16" i="3" s="1"/>
  <c r="DF16" i="3"/>
  <c r="DH16" i="3"/>
  <c r="DI16" i="3"/>
  <c r="CP32" i="1"/>
  <c r="O32" i="1" s="1"/>
  <c r="GM32" i="1" s="1"/>
  <c r="GO32" i="1" s="1"/>
  <c r="CP48" i="1"/>
  <c r="O48" i="1" s="1"/>
  <c r="GM48" i="1" s="1"/>
  <c r="GO48" i="1" s="1"/>
  <c r="DG325" i="3"/>
  <c r="DH325" i="3"/>
  <c r="DI325" i="3"/>
  <c r="DF325" i="3"/>
  <c r="DJ325" i="3" s="1"/>
  <c r="DF33" i="3"/>
  <c r="DJ33" i="3" s="1"/>
  <c r="DH33" i="3"/>
  <c r="DG33" i="3"/>
  <c r="DI33" i="3"/>
  <c r="CZ36" i="1"/>
  <c r="X36" i="1"/>
  <c r="GM36" i="1" s="1"/>
  <c r="GO36" i="1" s="1"/>
  <c r="Y36" i="1"/>
  <c r="CY36" i="1"/>
  <c r="DH324" i="3"/>
  <c r="DI324" i="3"/>
  <c r="DF324" i="3"/>
  <c r="DJ324" i="3" s="1"/>
  <c r="DG324" i="3"/>
  <c r="DG107" i="3"/>
  <c r="DF107" i="3"/>
  <c r="DH107" i="3"/>
  <c r="DI107" i="3"/>
  <c r="DJ107" i="3" s="1"/>
  <c r="CP47" i="1"/>
  <c r="O47" i="1" s="1"/>
  <c r="GM47" i="1" s="1"/>
  <c r="GO47" i="1" s="1"/>
  <c r="DF137" i="3"/>
  <c r="DJ137" i="3" s="1"/>
  <c r="DH137" i="3"/>
  <c r="DG137" i="3"/>
  <c r="DI137" i="3"/>
  <c r="R110" i="1"/>
  <c r="P110" i="1"/>
  <c r="Q110" i="1"/>
  <c r="DV112" i="1" s="1"/>
  <c r="S110" i="1"/>
  <c r="DF129" i="3"/>
  <c r="DJ129" i="3" s="1"/>
  <c r="DG129" i="3"/>
  <c r="DH129" i="3"/>
  <c r="DI129" i="3"/>
  <c r="DF144" i="3"/>
  <c r="DJ144" i="3" s="1"/>
  <c r="DG144" i="3"/>
  <c r="DI144" i="3"/>
  <c r="DH144" i="3"/>
  <c r="ER26" i="1"/>
  <c r="P84" i="1"/>
  <c r="BC105" i="1"/>
  <c r="F128" i="1"/>
  <c r="GM160" i="1"/>
  <c r="DG166" i="3"/>
  <c r="DH166" i="3"/>
  <c r="DI166" i="3"/>
  <c r="DF166" i="3"/>
  <c r="DJ166" i="3" s="1"/>
  <c r="DF180" i="3"/>
  <c r="DJ180" i="3" s="1"/>
  <c r="DG180" i="3"/>
  <c r="DH180" i="3"/>
  <c r="DI180" i="3"/>
  <c r="FR227" i="1"/>
  <c r="CP227" i="1"/>
  <c r="O227" i="1" s="1"/>
  <c r="GM227" i="1" s="1"/>
  <c r="DF159" i="3"/>
  <c r="DH159" i="3"/>
  <c r="DI159" i="3"/>
  <c r="DJ159" i="3" s="1"/>
  <c r="DG159" i="3"/>
  <c r="CZ215" i="1"/>
  <c r="X215" i="1"/>
  <c r="Y215" i="1"/>
  <c r="CY215" i="1"/>
  <c r="CP230" i="1"/>
  <c r="O230" i="1" s="1"/>
  <c r="P327" i="1"/>
  <c r="R327" i="1"/>
  <c r="AE334" i="1" s="1"/>
  <c r="S327" i="1"/>
  <c r="Q327" i="1"/>
  <c r="U327" i="1"/>
  <c r="AH334" i="1" s="1"/>
  <c r="GX327" i="1"/>
  <c r="CJ334" i="1" s="1"/>
  <c r="W327" i="1"/>
  <c r="AJ334" i="1" s="1"/>
  <c r="CY278" i="1"/>
  <c r="CZ278" i="1"/>
  <c r="X278" i="1"/>
  <c r="AK281" i="1" s="1"/>
  <c r="Y278" i="1"/>
  <c r="AL281" i="1" s="1"/>
  <c r="S216" i="1"/>
  <c r="CP398" i="1"/>
  <c r="O398" i="1" s="1"/>
  <c r="GM398" i="1" s="1"/>
  <c r="GO398" i="1" s="1"/>
  <c r="DF276" i="3"/>
  <c r="DJ276" i="3" s="1"/>
  <c r="DG276" i="3"/>
  <c r="DH276" i="3"/>
  <c r="DI276" i="3"/>
  <c r="DN272" i="1"/>
  <c r="P304" i="1"/>
  <c r="FR376" i="1"/>
  <c r="CP376" i="1"/>
  <c r="O376" i="1" s="1"/>
  <c r="GM376" i="1" s="1"/>
  <c r="X323" i="1"/>
  <c r="GM323" i="1" s="1"/>
  <c r="GO323" i="1" s="1"/>
  <c r="Y323" i="1"/>
  <c r="CY323" i="1"/>
  <c r="CZ323" i="1"/>
  <c r="DF268" i="3"/>
  <c r="DJ268" i="3" s="1"/>
  <c r="DI268" i="3"/>
  <c r="DG268" i="3"/>
  <c r="DH268" i="3"/>
  <c r="DH262" i="3"/>
  <c r="DI262" i="3"/>
  <c r="DF262" i="3"/>
  <c r="DJ262" i="3" s="1"/>
  <c r="DG262" i="3"/>
  <c r="EM313" i="1"/>
  <c r="P353" i="1"/>
  <c r="T421" i="1"/>
  <c r="GX408" i="1"/>
  <c r="W418" i="1"/>
  <c r="AJ423" i="1" s="1"/>
  <c r="DI284" i="3"/>
  <c r="DJ284" i="3" s="1"/>
  <c r="DF284" i="3"/>
  <c r="DG284" i="3"/>
  <c r="DH284" i="3"/>
  <c r="BZ366" i="1"/>
  <c r="AQ423" i="1"/>
  <c r="CG423" i="1"/>
  <c r="FR459" i="1"/>
  <c r="CP459" i="1"/>
  <c r="O459" i="1" s="1"/>
  <c r="Y462" i="1"/>
  <c r="AL455" i="1"/>
  <c r="DF191" i="3"/>
  <c r="DJ191" i="3" s="1"/>
  <c r="DG191" i="3"/>
  <c r="DH191" i="3"/>
  <c r="DI191" i="3"/>
  <c r="AC549" i="1"/>
  <c r="CP496" i="1"/>
  <c r="O496" i="1" s="1"/>
  <c r="DF309" i="3"/>
  <c r="DG309" i="3"/>
  <c r="DJ309" i="3" s="1"/>
  <c r="DI309" i="3"/>
  <c r="DH309" i="3"/>
  <c r="R532" i="1"/>
  <c r="S532" i="1"/>
  <c r="Q532" i="1"/>
  <c r="DG280" i="3"/>
  <c r="DH280" i="3"/>
  <c r="DF280" i="3"/>
  <c r="DJ280" i="3" s="1"/>
  <c r="DI280" i="3"/>
  <c r="AD549" i="1"/>
  <c r="EM199" i="1"/>
  <c r="P259" i="1"/>
  <c r="DF303" i="3"/>
  <c r="DJ303" i="3" s="1"/>
  <c r="DG303" i="3"/>
  <c r="DI303" i="3"/>
  <c r="DH303" i="3"/>
  <c r="DI331" i="3"/>
  <c r="DF331" i="3"/>
  <c r="DG331" i="3"/>
  <c r="DJ331" i="3" s="1"/>
  <c r="DH331" i="3"/>
  <c r="V408" i="1"/>
  <c r="P484" i="1"/>
  <c r="DM455" i="1"/>
  <c r="R525" i="1"/>
  <c r="Q525" i="1"/>
  <c r="CP525" i="1" s="1"/>
  <c r="O525" i="1" s="1"/>
  <c r="GM525" i="1" s="1"/>
  <c r="GO525" i="1" s="1"/>
  <c r="T419" i="1"/>
  <c r="R538" i="1"/>
  <c r="T538" i="1"/>
  <c r="W538" i="1"/>
  <c r="Q538" i="1"/>
  <c r="T525" i="1"/>
  <c r="W527" i="1"/>
  <c r="V539" i="1"/>
  <c r="DF97" i="3"/>
  <c r="DJ97" i="3" s="1"/>
  <c r="DG97" i="3"/>
  <c r="DH97" i="3"/>
  <c r="DI97" i="3"/>
  <c r="DG164" i="3"/>
  <c r="DI164" i="3"/>
  <c r="DF164" i="3"/>
  <c r="DJ164" i="3" s="1"/>
  <c r="DH164" i="3"/>
  <c r="EM366" i="1"/>
  <c r="P442" i="1"/>
  <c r="EG494" i="1"/>
  <c r="P553" i="1"/>
  <c r="DF25" i="3"/>
  <c r="DJ25" i="3" s="1"/>
  <c r="DG25" i="3"/>
  <c r="DH25" i="3"/>
  <c r="DI25" i="3"/>
  <c r="DH102" i="3"/>
  <c r="DI102" i="3"/>
  <c r="DF102" i="3"/>
  <c r="DJ102" i="3" s="1"/>
  <c r="DG102" i="3"/>
  <c r="DF336" i="3"/>
  <c r="DJ336" i="3" s="1"/>
  <c r="DG336" i="3"/>
  <c r="DH336" i="3"/>
  <c r="DI336" i="3"/>
  <c r="CP54" i="1"/>
  <c r="O54" i="1" s="1"/>
  <c r="GM54" i="1" s="1"/>
  <c r="GO54" i="1" s="1"/>
  <c r="DG311" i="3"/>
  <c r="DF311" i="3"/>
  <c r="DJ311" i="3" s="1"/>
  <c r="DH311" i="3"/>
  <c r="DI311" i="3"/>
  <c r="DF44" i="3"/>
  <c r="DG44" i="3"/>
  <c r="DH44" i="3"/>
  <c r="DI44" i="3"/>
  <c r="DJ44" i="3" s="1"/>
  <c r="DG214" i="3"/>
  <c r="DH214" i="3"/>
  <c r="DI214" i="3"/>
  <c r="DJ214" i="3" s="1"/>
  <c r="DF214" i="3"/>
  <c r="DG82" i="3"/>
  <c r="DI82" i="3"/>
  <c r="DF82" i="3"/>
  <c r="DJ82" i="3" s="1"/>
  <c r="DH82" i="3"/>
  <c r="DF115" i="3"/>
  <c r="DG115" i="3"/>
  <c r="DH115" i="3"/>
  <c r="DI115" i="3"/>
  <c r="DJ115" i="3" s="1"/>
  <c r="DG172" i="3"/>
  <c r="DI172" i="3"/>
  <c r="DF172" i="3"/>
  <c r="DJ172" i="3" s="1"/>
  <c r="DH172" i="3"/>
  <c r="DI286" i="3"/>
  <c r="DG286" i="3"/>
  <c r="DF286" i="3"/>
  <c r="DJ286" i="3" s="1"/>
  <c r="DH286" i="3"/>
  <c r="DG86" i="3"/>
  <c r="DI86" i="3"/>
  <c r="DJ86" i="3" s="1"/>
  <c r="DF86" i="3"/>
  <c r="DH86" i="3"/>
  <c r="DF4" i="3"/>
  <c r="DG4" i="3"/>
  <c r="DJ4" i="3" s="1"/>
  <c r="DH4" i="3"/>
  <c r="DI4" i="3"/>
  <c r="DF24" i="3"/>
  <c r="DJ24" i="3" s="1"/>
  <c r="DG24" i="3"/>
  <c r="DH24" i="3"/>
  <c r="DI24" i="3"/>
  <c r="DF174" i="3"/>
  <c r="DJ174" i="3" s="1"/>
  <c r="DG174" i="3"/>
  <c r="DH174" i="3"/>
  <c r="DI174" i="3"/>
  <c r="DF139" i="3"/>
  <c r="DJ139" i="3" s="1"/>
  <c r="DH139" i="3"/>
  <c r="DI139" i="3"/>
  <c r="DG139" i="3"/>
  <c r="DG103" i="3"/>
  <c r="DH103" i="3"/>
  <c r="DI103" i="3"/>
  <c r="DJ103" i="3" s="1"/>
  <c r="DF103" i="3"/>
  <c r="DH232" i="3"/>
  <c r="DG232" i="3"/>
  <c r="DJ232" i="3" s="1"/>
  <c r="DI232" i="3"/>
  <c r="DF232" i="3"/>
  <c r="DF211" i="3"/>
  <c r="DG211" i="3"/>
  <c r="DH211" i="3"/>
  <c r="DI211" i="3"/>
  <c r="DJ211" i="3" s="1"/>
  <c r="DF229" i="3"/>
  <c r="DH229" i="3"/>
  <c r="DG229" i="3"/>
  <c r="DI229" i="3"/>
  <c r="DJ229" i="3" s="1"/>
  <c r="DF354" i="3"/>
  <c r="DG354" i="3"/>
  <c r="DJ354" i="3" s="1"/>
  <c r="DH354" i="3"/>
  <c r="DI354" i="3"/>
  <c r="DF363" i="3"/>
  <c r="DG363" i="3"/>
  <c r="DJ363" i="3" s="1"/>
  <c r="DH363" i="3"/>
  <c r="DI363" i="3"/>
  <c r="DF296" i="3"/>
  <c r="DG296" i="3"/>
  <c r="DJ296" i="3" s="1"/>
  <c r="DH296" i="3"/>
  <c r="DI296" i="3"/>
  <c r="GM34" i="1"/>
  <c r="GO34" i="1" s="1"/>
  <c r="DF344" i="3"/>
  <c r="DJ344" i="3" s="1"/>
  <c r="DG344" i="3"/>
  <c r="DH344" i="3"/>
  <c r="DI344" i="3"/>
  <c r="DH3" i="3"/>
  <c r="DF3" i="3"/>
  <c r="DG3" i="3"/>
  <c r="DI3" i="3"/>
  <c r="DJ3" i="3" s="1"/>
  <c r="AI26" i="1"/>
  <c r="V73" i="1"/>
  <c r="DY73" i="1"/>
  <c r="AG26" i="1"/>
  <c r="T73" i="1"/>
  <c r="DI104" i="3"/>
  <c r="DJ104" i="3" s="1"/>
  <c r="DF104" i="3"/>
  <c r="DG104" i="3"/>
  <c r="DH104" i="3"/>
  <c r="GM56" i="1"/>
  <c r="GO56" i="1" s="1"/>
  <c r="X28" i="1"/>
  <c r="AK73" i="1" s="1"/>
  <c r="CZ28" i="1"/>
  <c r="Y28" i="1"/>
  <c r="AL73" i="1" s="1"/>
  <c r="CY28" i="1"/>
  <c r="AF73" i="1"/>
  <c r="EI26" i="1"/>
  <c r="P83" i="1"/>
  <c r="EI579" i="1"/>
  <c r="EA26" i="1"/>
  <c r="DN73" i="1"/>
  <c r="DF136" i="3"/>
  <c r="DJ136" i="3" s="1"/>
  <c r="DG136" i="3"/>
  <c r="DI136" i="3"/>
  <c r="DH136" i="3"/>
  <c r="DW112" i="1"/>
  <c r="DF128" i="3"/>
  <c r="DJ128" i="3" s="1"/>
  <c r="DG128" i="3"/>
  <c r="DH128" i="3"/>
  <c r="DI128" i="3"/>
  <c r="Q112" i="1"/>
  <c r="AD105" i="1"/>
  <c r="CY149" i="1"/>
  <c r="CZ149" i="1"/>
  <c r="X149" i="1"/>
  <c r="GM149" i="1" s="1"/>
  <c r="Y149" i="1"/>
  <c r="EM105" i="1"/>
  <c r="P131" i="1"/>
  <c r="GB240" i="1"/>
  <c r="EV199" i="1"/>
  <c r="P265" i="1"/>
  <c r="FY144" i="1"/>
  <c r="EP167" i="1"/>
  <c r="CP207" i="1"/>
  <c r="O207" i="1" s="1"/>
  <c r="S224" i="1"/>
  <c r="CZ165" i="1"/>
  <c r="X165" i="1"/>
  <c r="Y165" i="1"/>
  <c r="CY165" i="1"/>
  <c r="GM233" i="1"/>
  <c r="AD334" i="1"/>
  <c r="CP315" i="1"/>
  <c r="O315" i="1" s="1"/>
  <c r="AS272" i="1"/>
  <c r="F298" i="1"/>
  <c r="AQ281" i="1"/>
  <c r="BZ272" i="1"/>
  <c r="CG281" i="1"/>
  <c r="GX216" i="1"/>
  <c r="CP204" i="1"/>
  <c r="O204" i="1" s="1"/>
  <c r="GM204" i="1" s="1"/>
  <c r="FR204" i="1"/>
  <c r="P359" i="1"/>
  <c r="EV313" i="1"/>
  <c r="CZ330" i="1"/>
  <c r="X330" i="1"/>
  <c r="GM330" i="1" s="1"/>
  <c r="GO330" i="1" s="1"/>
  <c r="Y330" i="1"/>
  <c r="CY330" i="1"/>
  <c r="AS334" i="1"/>
  <c r="CB313" i="1"/>
  <c r="CP325" i="1"/>
  <c r="O325" i="1" s="1"/>
  <c r="GM325" i="1" s="1"/>
  <c r="FR325" i="1"/>
  <c r="DF273" i="3"/>
  <c r="DJ273" i="3" s="1"/>
  <c r="DG273" i="3"/>
  <c r="DI273" i="3"/>
  <c r="DH273" i="3"/>
  <c r="CP401" i="1"/>
  <c r="O401" i="1" s="1"/>
  <c r="GM401" i="1" s="1"/>
  <c r="FR401" i="1"/>
  <c r="GM319" i="1"/>
  <c r="GO319" i="1" s="1"/>
  <c r="AC334" i="1"/>
  <c r="FR317" i="1"/>
  <c r="CP317" i="1"/>
  <c r="O317" i="1" s="1"/>
  <c r="GM317" i="1" s="1"/>
  <c r="DF259" i="3"/>
  <c r="DJ259" i="3" s="1"/>
  <c r="DG259" i="3"/>
  <c r="DI259" i="3"/>
  <c r="DH259" i="3"/>
  <c r="CP370" i="1"/>
  <c r="O370" i="1" s="1"/>
  <c r="P350" i="1"/>
  <c r="EU313" i="1"/>
  <c r="CY402" i="1"/>
  <c r="Y402" i="1"/>
  <c r="CZ402" i="1"/>
  <c r="X402" i="1"/>
  <c r="BA281" i="1"/>
  <c r="CJ272" i="1"/>
  <c r="X390" i="1"/>
  <c r="GM390" i="1" s="1"/>
  <c r="Y390" i="1"/>
  <c r="CY390" i="1"/>
  <c r="CZ390" i="1"/>
  <c r="CY372" i="1"/>
  <c r="CZ372" i="1"/>
  <c r="Y372" i="1"/>
  <c r="X372" i="1"/>
  <c r="X462" i="1"/>
  <c r="AK455" i="1"/>
  <c r="EP366" i="1"/>
  <c r="P430" i="1"/>
  <c r="CY523" i="1"/>
  <c r="CZ523" i="1"/>
  <c r="X523" i="1"/>
  <c r="GM523" i="1" s="1"/>
  <c r="GO523" i="1" s="1"/>
  <c r="Y523" i="1"/>
  <c r="V499" i="1"/>
  <c r="EA549" i="1" s="1"/>
  <c r="DI367" i="3"/>
  <c r="DF367" i="3"/>
  <c r="DJ367" i="3" s="1"/>
  <c r="DG367" i="3"/>
  <c r="DH367" i="3"/>
  <c r="DH279" i="3"/>
  <c r="DI279" i="3"/>
  <c r="DF279" i="3"/>
  <c r="DJ279" i="3" s="1"/>
  <c r="DG279" i="3"/>
  <c r="P520" i="1"/>
  <c r="CP520" i="1" s="1"/>
  <c r="O520" i="1" s="1"/>
  <c r="AT455" i="1"/>
  <c r="F480" i="1"/>
  <c r="DI300" i="3"/>
  <c r="DF300" i="3"/>
  <c r="DJ300" i="3" s="1"/>
  <c r="DG300" i="3"/>
  <c r="DH300" i="3"/>
  <c r="V532" i="1"/>
  <c r="W421" i="1"/>
  <c r="DF355" i="3"/>
  <c r="DG355" i="3"/>
  <c r="DJ355" i="3" s="1"/>
  <c r="DH355" i="3"/>
  <c r="DI355" i="3"/>
  <c r="GM537" i="1"/>
  <c r="GO537" i="1" s="1"/>
  <c r="EP549" i="1"/>
  <c r="FY494" i="1"/>
  <c r="T534" i="1"/>
  <c r="P483" i="1"/>
  <c r="DL455" i="1"/>
  <c r="W532" i="1"/>
  <c r="GB366" i="1" l="1"/>
  <c r="ES423" i="1"/>
  <c r="AG366" i="1"/>
  <c r="T423" i="1"/>
  <c r="T579" i="1" s="1"/>
  <c r="DY366" i="1"/>
  <c r="DL423" i="1"/>
  <c r="ED26" i="1"/>
  <c r="DQ73" i="1"/>
  <c r="AL423" i="1"/>
  <c r="DH334" i="1"/>
  <c r="DU313" i="1"/>
  <c r="FW334" i="1"/>
  <c r="AI366" i="1"/>
  <c r="V423" i="1"/>
  <c r="ED494" i="1"/>
  <c r="DQ549" i="1"/>
  <c r="DV366" i="1"/>
  <c r="DI423" i="1"/>
  <c r="AK272" i="1"/>
  <c r="X281" i="1"/>
  <c r="DW199" i="1"/>
  <c r="DJ240" i="1"/>
  <c r="Y281" i="1"/>
  <c r="AL272" i="1"/>
  <c r="DZ366" i="1"/>
  <c r="DM423" i="1"/>
  <c r="GA167" i="1"/>
  <c r="FQ144" i="1"/>
  <c r="EH167" i="1"/>
  <c r="R334" i="1"/>
  <c r="AE313" i="1"/>
  <c r="EC26" i="1"/>
  <c r="DP73" i="1"/>
  <c r="FW423" i="1"/>
  <c r="DU366" i="1"/>
  <c r="DH423" i="1"/>
  <c r="AE494" i="1"/>
  <c r="R549" i="1"/>
  <c r="AF313" i="1"/>
  <c r="S334" i="1"/>
  <c r="U494" i="1"/>
  <c r="F571" i="1"/>
  <c r="BA494" i="1"/>
  <c r="F569" i="1"/>
  <c r="CJ313" i="1"/>
  <c r="BA334" i="1"/>
  <c r="DN144" i="1"/>
  <c r="P190" i="1"/>
  <c r="EK199" i="1"/>
  <c r="P257" i="1"/>
  <c r="FR419" i="1"/>
  <c r="CP419" i="1"/>
  <c r="O419" i="1" s="1"/>
  <c r="GM208" i="1"/>
  <c r="AD272" i="1"/>
  <c r="Q281" i="1"/>
  <c r="GB494" i="1"/>
  <c r="ES549" i="1"/>
  <c r="FW272" i="1"/>
  <c r="EN281" i="1"/>
  <c r="GM369" i="1"/>
  <c r="T494" i="1"/>
  <c r="F570" i="1"/>
  <c r="GM457" i="1"/>
  <c r="CA462" i="1" s="1"/>
  <c r="AB462" i="1"/>
  <c r="GM372" i="1"/>
  <c r="GM278" i="1"/>
  <c r="EM22" i="1"/>
  <c r="P598" i="1"/>
  <c r="EM612" i="1"/>
  <c r="AD26" i="1"/>
  <c r="Q73" i="1"/>
  <c r="AL494" i="1"/>
  <c r="Y549" i="1"/>
  <c r="AC455" i="1"/>
  <c r="CH462" i="1"/>
  <c r="CE462" i="1"/>
  <c r="CF462" i="1"/>
  <c r="P462" i="1"/>
  <c r="CG272" i="1"/>
  <c r="AX281" i="1"/>
  <c r="CZ224" i="1"/>
  <c r="X224" i="1"/>
  <c r="EC240" i="1" s="1"/>
  <c r="Y224" i="1"/>
  <c r="CY224" i="1"/>
  <c r="DN26" i="1"/>
  <c r="P96" i="1"/>
  <c r="GM498" i="1"/>
  <c r="GO498" i="1" s="1"/>
  <c r="CZ228" i="1"/>
  <c r="X228" i="1"/>
  <c r="Y228" i="1"/>
  <c r="CY228" i="1"/>
  <c r="V144" i="1"/>
  <c r="F190" i="1"/>
  <c r="CP532" i="1"/>
  <c r="O532" i="1" s="1"/>
  <c r="GM165" i="1"/>
  <c r="DU199" i="1"/>
  <c r="DH240" i="1"/>
  <c r="FW240" i="1"/>
  <c r="BD22" i="1"/>
  <c r="BD612" i="1"/>
  <c r="F604" i="1"/>
  <c r="T199" i="1"/>
  <c r="F261" i="1"/>
  <c r="P284" i="1"/>
  <c r="DH272" i="1"/>
  <c r="W105" i="1"/>
  <c r="F136" i="1"/>
  <c r="EB423" i="1"/>
  <c r="BY455" i="1"/>
  <c r="AP462" i="1"/>
  <c r="CI462" i="1"/>
  <c r="CZ520" i="1"/>
  <c r="X520" i="1"/>
  <c r="Y520" i="1"/>
  <c r="GM520" i="1" s="1"/>
  <c r="GO520" i="1" s="1"/>
  <c r="CY520" i="1"/>
  <c r="EI199" i="1"/>
  <c r="P250" i="1"/>
  <c r="BA144" i="1"/>
  <c r="F187" i="1"/>
  <c r="W26" i="1"/>
  <c r="F97" i="1"/>
  <c r="DL494" i="1"/>
  <c r="P570" i="1"/>
  <c r="R144" i="1"/>
  <c r="F181" i="1"/>
  <c r="DK240" i="1"/>
  <c r="DX199" i="1"/>
  <c r="DW366" i="1"/>
  <c r="DJ423" i="1"/>
  <c r="P263" i="1"/>
  <c r="DN199" i="1"/>
  <c r="U334" i="1"/>
  <c r="AH313" i="1"/>
  <c r="BA272" i="1"/>
  <c r="F301" i="1"/>
  <c r="GM207" i="1"/>
  <c r="AB240" i="1"/>
  <c r="AX144" i="1"/>
  <c r="F174" i="1"/>
  <c r="DX272" i="1"/>
  <c r="DK281" i="1"/>
  <c r="CP216" i="1"/>
  <c r="O216" i="1" s="1"/>
  <c r="FR216" i="1"/>
  <c r="X527" i="1"/>
  <c r="Y527" i="1"/>
  <c r="CY527" i="1"/>
  <c r="CZ527" i="1"/>
  <c r="CY413" i="1"/>
  <c r="CZ413" i="1"/>
  <c r="X413" i="1"/>
  <c r="EC423" i="1" s="1"/>
  <c r="Y413" i="1"/>
  <c r="DX423" i="1"/>
  <c r="BB22" i="1"/>
  <c r="F592" i="1"/>
  <c r="BB612" i="1"/>
  <c r="ED167" i="1"/>
  <c r="BA26" i="1"/>
  <c r="F93" i="1"/>
  <c r="AX313" i="1"/>
  <c r="F341" i="1"/>
  <c r="DN334" i="1"/>
  <c r="DN579" i="1" s="1"/>
  <c r="EA313" i="1"/>
  <c r="FY199" i="1"/>
  <c r="EP240" i="1"/>
  <c r="EP579" i="1" s="1"/>
  <c r="GA272" i="1"/>
  <c r="ER281" i="1"/>
  <c r="W144" i="1"/>
  <c r="F191" i="1"/>
  <c r="W494" i="1"/>
  <c r="F573" i="1"/>
  <c r="ES26" i="1"/>
  <c r="P93" i="1"/>
  <c r="F263" i="1"/>
  <c r="V199" i="1"/>
  <c r="DQ281" i="1"/>
  <c r="ED272" i="1"/>
  <c r="AE366" i="1"/>
  <c r="R423" i="1"/>
  <c r="AD366" i="1"/>
  <c r="Q423" i="1"/>
  <c r="DY199" i="1"/>
  <c r="DL240" i="1"/>
  <c r="DZ26" i="1"/>
  <c r="DM73" i="1"/>
  <c r="DX26" i="1"/>
  <c r="DK73" i="1"/>
  <c r="EC549" i="1"/>
  <c r="FX272" i="1"/>
  <c r="EO281" i="1"/>
  <c r="S105" i="1"/>
  <c r="F127" i="1"/>
  <c r="DX144" i="1"/>
  <c r="DK167" i="1"/>
  <c r="GM316" i="1"/>
  <c r="BA199" i="1"/>
  <c r="F260" i="1"/>
  <c r="EU22" i="1"/>
  <c r="EU612" i="1"/>
  <c r="P595" i="1"/>
  <c r="GM331" i="1"/>
  <c r="P290" i="1"/>
  <c r="EH272" i="1"/>
  <c r="Y419" i="1"/>
  <c r="X419" i="1"/>
  <c r="CY419" i="1"/>
  <c r="CZ419" i="1"/>
  <c r="DX494" i="1"/>
  <c r="DK549" i="1"/>
  <c r="EI22" i="1"/>
  <c r="P589" i="1"/>
  <c r="EI612" i="1"/>
  <c r="CZ110" i="1"/>
  <c r="X110" i="1"/>
  <c r="EC112" i="1" s="1"/>
  <c r="Y110" i="1"/>
  <c r="ED112" i="1" s="1"/>
  <c r="CY110" i="1"/>
  <c r="DX112" i="1"/>
  <c r="P334" i="1"/>
  <c r="AC313" i="1"/>
  <c r="CE334" i="1"/>
  <c r="T26" i="1"/>
  <c r="F94" i="1"/>
  <c r="CZ532" i="1"/>
  <c r="X532" i="1"/>
  <c r="Y532" i="1"/>
  <c r="CY532" i="1"/>
  <c r="DV105" i="1"/>
  <c r="DI112" i="1"/>
  <c r="FR228" i="1"/>
  <c r="CP228" i="1"/>
  <c r="O228" i="1" s="1"/>
  <c r="AL167" i="1"/>
  <c r="T272" i="1"/>
  <c r="F302" i="1"/>
  <c r="EC272" i="1"/>
  <c r="DP281" i="1"/>
  <c r="X415" i="1"/>
  <c r="GM415" i="1" s="1"/>
  <c r="GO415" i="1" s="1"/>
  <c r="Y415" i="1"/>
  <c r="CZ415" i="1"/>
  <c r="CY415" i="1"/>
  <c r="P467" i="1"/>
  <c r="EN455" i="1"/>
  <c r="GM377" i="1"/>
  <c r="AL105" i="1"/>
  <c r="Y112" i="1"/>
  <c r="EG22" i="1"/>
  <c r="EG612" i="1"/>
  <c r="P583" i="1"/>
  <c r="DT455" i="1"/>
  <c r="DG462" i="1"/>
  <c r="CJ366" i="1"/>
  <c r="BA423" i="1"/>
  <c r="DO272" i="1"/>
  <c r="P305" i="1"/>
  <c r="AU22" i="1"/>
  <c r="F598" i="1"/>
  <c r="AU612" i="1"/>
  <c r="CP413" i="1"/>
  <c r="O413" i="1" s="1"/>
  <c r="DU144" i="1"/>
  <c r="DH167" i="1"/>
  <c r="FW167" i="1"/>
  <c r="FX167" i="1"/>
  <c r="FZ167" i="1"/>
  <c r="EC167" i="1"/>
  <c r="FR328" i="1"/>
  <c r="FQ334" i="1" s="1"/>
  <c r="CP328" i="1"/>
  <c r="O328" i="1" s="1"/>
  <c r="CY326" i="1"/>
  <c r="CZ326" i="1"/>
  <c r="X326" i="1"/>
  <c r="Y326" i="1"/>
  <c r="AD199" i="1"/>
  <c r="Q240" i="1"/>
  <c r="F119" i="1"/>
  <c r="AX105" i="1"/>
  <c r="DM313" i="1"/>
  <c r="P356" i="1"/>
  <c r="DM199" i="1"/>
  <c r="P262" i="1"/>
  <c r="AJ313" i="1"/>
  <c r="W334" i="1"/>
  <c r="W579" i="1" s="1"/>
  <c r="CP499" i="1"/>
  <c r="O499" i="1" s="1"/>
  <c r="DU549" i="1"/>
  <c r="W423" i="1"/>
  <c r="AJ366" i="1"/>
  <c r="Y327" i="1"/>
  <c r="AL334" i="1" s="1"/>
  <c r="CY327" i="1"/>
  <c r="X327" i="1"/>
  <c r="CZ327" i="1"/>
  <c r="GM326" i="1"/>
  <c r="F488" i="1"/>
  <c r="X455" i="1"/>
  <c r="Y455" i="1"/>
  <c r="F489" i="1"/>
  <c r="X216" i="1"/>
  <c r="Y216" i="1"/>
  <c r="CY216" i="1"/>
  <c r="CZ216" i="1"/>
  <c r="CP327" i="1"/>
  <c r="O327" i="1" s="1"/>
  <c r="FR327" i="1"/>
  <c r="CP110" i="1"/>
  <c r="O110" i="1" s="1"/>
  <c r="FR110" i="1"/>
  <c r="FQ112" i="1" s="1"/>
  <c r="EB199" i="1"/>
  <c r="DO240" i="1"/>
  <c r="AF144" i="1"/>
  <c r="S167" i="1"/>
  <c r="AC144" i="1"/>
  <c r="CE167" i="1"/>
  <c r="CH167" i="1"/>
  <c r="P167" i="1"/>
  <c r="CP527" i="1"/>
  <c r="O527" i="1" s="1"/>
  <c r="FR224" i="1"/>
  <c r="FQ240" i="1" s="1"/>
  <c r="CP224" i="1"/>
  <c r="O224" i="1" s="1"/>
  <c r="GM224" i="1" s="1"/>
  <c r="DL144" i="1"/>
  <c r="P188" i="1"/>
  <c r="AX549" i="1"/>
  <c r="CG494" i="1"/>
  <c r="EA366" i="1"/>
  <c r="DN423" i="1"/>
  <c r="FS455" i="1"/>
  <c r="EJ462" i="1"/>
  <c r="DV313" i="1"/>
  <c r="DI334" i="1"/>
  <c r="DJ144" i="1"/>
  <c r="P181" i="1"/>
  <c r="DO549" i="1"/>
  <c r="EB494" i="1"/>
  <c r="BC22" i="1"/>
  <c r="F595" i="1"/>
  <c r="BC612" i="1"/>
  <c r="EQ455" i="1"/>
  <c r="P470" i="1"/>
  <c r="CY418" i="1"/>
  <c r="CZ418" i="1"/>
  <c r="X418" i="1"/>
  <c r="AK423" i="1" s="1"/>
  <c r="Y418" i="1"/>
  <c r="W199" i="1"/>
  <c r="F264" i="1"/>
  <c r="DL272" i="1"/>
  <c r="P302" i="1"/>
  <c r="DU112" i="1"/>
  <c r="V494" i="1"/>
  <c r="F572" i="1"/>
  <c r="GM538" i="1"/>
  <c r="GO538" i="1" s="1"/>
  <c r="AS199" i="1"/>
  <c r="F257" i="1"/>
  <c r="EP144" i="1"/>
  <c r="P174" i="1"/>
  <c r="FR421" i="1"/>
  <c r="FQ423" i="1" s="1"/>
  <c r="CP421" i="1"/>
  <c r="O421" i="1" s="1"/>
  <c r="GM421" i="1" s="1"/>
  <c r="AB334" i="1"/>
  <c r="GM315" i="1"/>
  <c r="AF26" i="1"/>
  <c r="S73" i="1"/>
  <c r="DY26" i="1"/>
  <c r="DL73" i="1"/>
  <c r="GM459" i="1"/>
  <c r="GM230" i="1"/>
  <c r="GO230" i="1" s="1"/>
  <c r="AK167" i="1"/>
  <c r="X105" i="1"/>
  <c r="F138" i="1"/>
  <c r="DK334" i="1"/>
  <c r="DX313" i="1"/>
  <c r="GM409" i="1"/>
  <c r="EP313" i="1"/>
  <c r="P341" i="1"/>
  <c r="P295" i="1"/>
  <c r="DJ272" i="1"/>
  <c r="DO105" i="1"/>
  <c r="P136" i="1"/>
  <c r="P489" i="1"/>
  <c r="DQ455" i="1"/>
  <c r="BY240" i="1"/>
  <c r="CF240" i="1" s="1"/>
  <c r="BY167" i="1"/>
  <c r="CF167" i="1" s="1"/>
  <c r="FR408" i="1"/>
  <c r="CP408" i="1"/>
  <c r="O408" i="1" s="1"/>
  <c r="GM408" i="1" s="1"/>
  <c r="GM277" i="1"/>
  <c r="AF199" i="1"/>
  <c r="S240" i="1"/>
  <c r="AQ494" i="1"/>
  <c r="F559" i="1"/>
  <c r="GM526" i="1"/>
  <c r="GO526" i="1" s="1"/>
  <c r="EP455" i="1"/>
  <c r="P469" i="1"/>
  <c r="AS366" i="1"/>
  <c r="F440" i="1"/>
  <c r="EV22" i="1"/>
  <c r="P604" i="1"/>
  <c r="EV612" i="1"/>
  <c r="GM108" i="1"/>
  <c r="DT112" i="1"/>
  <c r="F355" i="1"/>
  <c r="T313" i="1"/>
  <c r="ES105" i="1"/>
  <c r="P132" i="1"/>
  <c r="ET22" i="1"/>
  <c r="ET612" i="1"/>
  <c r="P592" i="1"/>
  <c r="FZ272" i="1"/>
  <c r="EQ281" i="1"/>
  <c r="BY334" i="1"/>
  <c r="AQ272" i="1"/>
  <c r="F291" i="1"/>
  <c r="GB199" i="1"/>
  <c r="ES240" i="1"/>
  <c r="V26" i="1"/>
  <c r="F96" i="1"/>
  <c r="V579" i="1"/>
  <c r="S455" i="1"/>
  <c r="F477" i="1"/>
  <c r="P560" i="1"/>
  <c r="ER494" i="1"/>
  <c r="AZ494" i="1"/>
  <c r="F560" i="1"/>
  <c r="EL272" i="1"/>
  <c r="P299" i="1"/>
  <c r="AO22" i="1"/>
  <c r="AO612" i="1"/>
  <c r="F583" i="1"/>
  <c r="ER455" i="1"/>
  <c r="P473" i="1"/>
  <c r="P351" i="1"/>
  <c r="EK313" i="1"/>
  <c r="AC199" i="1"/>
  <c r="CE240" i="1"/>
  <c r="P240" i="1"/>
  <c r="AC26" i="1"/>
  <c r="CF73" i="1"/>
  <c r="P73" i="1"/>
  <c r="CE73" i="1"/>
  <c r="CH73" i="1"/>
  <c r="GM148" i="1"/>
  <c r="GM53" i="1"/>
  <c r="GO53" i="1" s="1"/>
  <c r="DO26" i="1"/>
  <c r="P97" i="1"/>
  <c r="EO455" i="1"/>
  <c r="P468" i="1"/>
  <c r="AF366" i="1"/>
  <c r="S423" i="1"/>
  <c r="DL105" i="1"/>
  <c r="P133" i="1"/>
  <c r="X549" i="1"/>
  <c r="AK494" i="1"/>
  <c r="AQ579" i="1"/>
  <c r="U144" i="1"/>
  <c r="F189" i="1"/>
  <c r="AC105" i="1"/>
  <c r="CE112" i="1"/>
  <c r="CH112" i="1"/>
  <c r="CF112" i="1"/>
  <c r="P112" i="1"/>
  <c r="F357" i="1"/>
  <c r="V313" i="1"/>
  <c r="DM105" i="1"/>
  <c r="P134" i="1"/>
  <c r="DM144" i="1"/>
  <c r="P189" i="1"/>
  <c r="DI455" i="1"/>
  <c r="P474" i="1"/>
  <c r="Q105" i="1"/>
  <c r="F124" i="1"/>
  <c r="AD313" i="1"/>
  <c r="Q334" i="1"/>
  <c r="AL26" i="1"/>
  <c r="Y73" i="1"/>
  <c r="CG366" i="1"/>
  <c r="AX423" i="1"/>
  <c r="DY313" i="1"/>
  <c r="DL334" i="1"/>
  <c r="DT73" i="1"/>
  <c r="GM28" i="1"/>
  <c r="AB73" i="1"/>
  <c r="GM147" i="1"/>
  <c r="DT167" i="1"/>
  <c r="AC366" i="1"/>
  <c r="P423" i="1"/>
  <c r="CE423" i="1"/>
  <c r="DW494" i="1"/>
  <c r="DJ549" i="1"/>
  <c r="U199" i="1"/>
  <c r="F262" i="1"/>
  <c r="AL240" i="1"/>
  <c r="Y534" i="1"/>
  <c r="CY534" i="1"/>
  <c r="X534" i="1"/>
  <c r="GM534" i="1" s="1"/>
  <c r="GO534" i="1" s="1"/>
  <c r="CZ534" i="1"/>
  <c r="S549" i="1"/>
  <c r="AF494" i="1"/>
  <c r="GB313" i="1"/>
  <c r="ES334" i="1"/>
  <c r="EP105" i="1"/>
  <c r="P119" i="1"/>
  <c r="DU26" i="1"/>
  <c r="FW73" i="1"/>
  <c r="FZ73" i="1"/>
  <c r="DH73" i="1"/>
  <c r="FX73" i="1"/>
  <c r="DW26" i="1"/>
  <c r="DJ73" i="1"/>
  <c r="AK334" i="1"/>
  <c r="AF272" i="1"/>
  <c r="S281" i="1"/>
  <c r="P281" i="1"/>
  <c r="CH281" i="1"/>
  <c r="CF281" i="1"/>
  <c r="AC272" i="1"/>
  <c r="CE281" i="1"/>
  <c r="AX579" i="1"/>
  <c r="U366" i="1"/>
  <c r="F445" i="1"/>
  <c r="AB167" i="1"/>
  <c r="AC494" i="1"/>
  <c r="CH549" i="1"/>
  <c r="P549" i="1"/>
  <c r="CE549" i="1"/>
  <c r="CF549" i="1"/>
  <c r="DO144" i="1"/>
  <c r="P191" i="1"/>
  <c r="DI240" i="1"/>
  <c r="DV199" i="1"/>
  <c r="F351" i="1"/>
  <c r="AS313" i="1"/>
  <c r="DN549" i="1"/>
  <c r="EA494" i="1"/>
  <c r="DJ112" i="1"/>
  <c r="DW105" i="1"/>
  <c r="EP494" i="1"/>
  <c r="P556" i="1"/>
  <c r="GM370" i="1"/>
  <c r="AB423" i="1"/>
  <c r="AQ366" i="1"/>
  <c r="F433" i="1"/>
  <c r="GO107" i="1"/>
  <c r="CC112" i="1" s="1"/>
  <c r="CA112" i="1"/>
  <c r="DV26" i="1"/>
  <c r="DI73" i="1"/>
  <c r="F126" i="1"/>
  <c r="R105" i="1"/>
  <c r="GO29" i="1"/>
  <c r="FU73" i="1" s="1"/>
  <c r="FS73" i="1"/>
  <c r="DJ455" i="1"/>
  <c r="P476" i="1"/>
  <c r="DV144" i="1"/>
  <c r="DI167" i="1"/>
  <c r="GM384" i="1"/>
  <c r="CZ544" i="1"/>
  <c r="X544" i="1"/>
  <c r="GM544" i="1" s="1"/>
  <c r="GO544" i="1" s="1"/>
  <c r="Y544" i="1"/>
  <c r="CY544" i="1"/>
  <c r="DP455" i="1"/>
  <c r="P488" i="1"/>
  <c r="P301" i="1"/>
  <c r="ES272" i="1"/>
  <c r="GM238" i="1"/>
  <c r="GO238" i="1" s="1"/>
  <c r="AK240" i="1"/>
  <c r="GM402" i="1"/>
  <c r="DT281" i="1"/>
  <c r="AX199" i="1"/>
  <c r="F247" i="1"/>
  <c r="DW313" i="1"/>
  <c r="DJ334" i="1"/>
  <c r="DV272" i="1"/>
  <c r="DI281" i="1"/>
  <c r="BY105" i="1"/>
  <c r="CI112" i="1"/>
  <c r="AP112" i="1"/>
  <c r="GM274" i="1"/>
  <c r="CA281" i="1" s="1"/>
  <c r="AB281" i="1"/>
  <c r="AD144" i="1"/>
  <c r="Q167" i="1"/>
  <c r="DN105" i="1"/>
  <c r="P135" i="1"/>
  <c r="GM146" i="1"/>
  <c r="AS26" i="1"/>
  <c r="F90" i="1"/>
  <c r="AS579" i="1"/>
  <c r="R199" i="1"/>
  <c r="F254" i="1"/>
  <c r="AK26" i="1"/>
  <c r="X73" i="1"/>
  <c r="AD494" i="1"/>
  <c r="Q549" i="1"/>
  <c r="GM496" i="1"/>
  <c r="AB549" i="1"/>
  <c r="O112" i="1"/>
  <c r="AB105" i="1"/>
  <c r="V105" i="1"/>
  <c r="F135" i="1"/>
  <c r="FT26" i="1"/>
  <c r="EK73" i="1"/>
  <c r="R26" i="1"/>
  <c r="F87" i="1"/>
  <c r="DO334" i="1"/>
  <c r="EB313" i="1"/>
  <c r="CY328" i="1"/>
  <c r="CZ328" i="1"/>
  <c r="Y328" i="1"/>
  <c r="ED334" i="1" s="1"/>
  <c r="X328" i="1"/>
  <c r="EC334" i="1" s="1"/>
  <c r="BY423" i="1"/>
  <c r="CH423" i="1" s="1"/>
  <c r="DV494" i="1"/>
  <c r="DI549" i="1"/>
  <c r="GM275" i="1"/>
  <c r="FS281" i="1" s="1"/>
  <c r="ED240" i="1"/>
  <c r="GM215" i="1"/>
  <c r="U26" i="1"/>
  <c r="F95" i="1"/>
  <c r="U579" i="1"/>
  <c r="DZ494" i="1"/>
  <c r="DM549" i="1"/>
  <c r="X539" i="1"/>
  <c r="GM539" i="1" s="1"/>
  <c r="GO539" i="1" s="1"/>
  <c r="CY539" i="1"/>
  <c r="CZ539" i="1"/>
  <c r="Y539" i="1"/>
  <c r="CI281" i="1"/>
  <c r="AP281" i="1"/>
  <c r="BY272" i="1"/>
  <c r="AZ26" i="1"/>
  <c r="F84" i="1"/>
  <c r="CF144" i="1" l="1"/>
  <c r="AW167" i="1"/>
  <c r="FQ313" i="1"/>
  <c r="EH334" i="1"/>
  <c r="GA334" i="1"/>
  <c r="FX334" i="1"/>
  <c r="FZ334" i="1"/>
  <c r="FQ199" i="1"/>
  <c r="EH240" i="1"/>
  <c r="GA240" i="1"/>
  <c r="FZ240" i="1"/>
  <c r="FX240" i="1"/>
  <c r="X423" i="1"/>
  <c r="AK366" i="1"/>
  <c r="EP22" i="1"/>
  <c r="P586" i="1"/>
  <c r="EP612" i="1"/>
  <c r="AL313" i="1"/>
  <c r="Y334" i="1"/>
  <c r="CH366" i="1"/>
  <c r="AY423" i="1"/>
  <c r="ED313" i="1"/>
  <c r="DQ334" i="1"/>
  <c r="EC199" i="1"/>
  <c r="DP240" i="1"/>
  <c r="DP334" i="1"/>
  <c r="EC313" i="1"/>
  <c r="DN22" i="1"/>
  <c r="P602" i="1"/>
  <c r="DN612" i="1"/>
  <c r="CF199" i="1"/>
  <c r="AW240" i="1"/>
  <c r="T22" i="1"/>
  <c r="F600" i="1"/>
  <c r="T612" i="1"/>
  <c r="W22" i="1"/>
  <c r="F603" i="1"/>
  <c r="W612" i="1"/>
  <c r="FQ366" i="1"/>
  <c r="GA423" i="1"/>
  <c r="EH423" i="1"/>
  <c r="FZ423" i="1"/>
  <c r="FX423" i="1"/>
  <c r="AB26" i="1"/>
  <c r="O73" i="1"/>
  <c r="FX144" i="1"/>
  <c r="EO167" i="1"/>
  <c r="X272" i="1"/>
  <c r="F307" i="1"/>
  <c r="DH313" i="1"/>
  <c r="P337" i="1"/>
  <c r="DI272" i="1"/>
  <c r="P293" i="1"/>
  <c r="FU26" i="1"/>
  <c r="EL73" i="1"/>
  <c r="CF494" i="1"/>
  <c r="AW549" i="1"/>
  <c r="CF272" i="1"/>
  <c r="AW281" i="1"/>
  <c r="GO28" i="1"/>
  <c r="CC73" i="1" s="1"/>
  <c r="CA73" i="1"/>
  <c r="CH105" i="1"/>
  <c r="AY112" i="1"/>
  <c r="P199" i="1"/>
  <c r="F243" i="1"/>
  <c r="DL26" i="1"/>
  <c r="P94" i="1"/>
  <c r="DL579" i="1"/>
  <c r="FW144" i="1"/>
  <c r="EN167" i="1"/>
  <c r="ED105" i="1"/>
  <c r="DQ112" i="1"/>
  <c r="AX272" i="1"/>
  <c r="F288" i="1"/>
  <c r="EM18" i="1"/>
  <c r="P631" i="1"/>
  <c r="EN272" i="1"/>
  <c r="P286" i="1"/>
  <c r="R494" i="1"/>
  <c r="F563" i="1"/>
  <c r="GO369" i="1"/>
  <c r="FU423" i="1" s="1"/>
  <c r="CH240" i="1"/>
  <c r="S199" i="1"/>
  <c r="F255" i="1"/>
  <c r="CE144" i="1"/>
  <c r="AV167" i="1"/>
  <c r="F447" i="1"/>
  <c r="W366" i="1"/>
  <c r="ED144" i="1"/>
  <c r="DQ167" i="1"/>
  <c r="BD18" i="1"/>
  <c r="F637" i="1"/>
  <c r="EH144" i="1"/>
  <c r="P176" i="1"/>
  <c r="DI366" i="1"/>
  <c r="P435" i="1"/>
  <c r="AL366" i="1"/>
  <c r="Y423" i="1"/>
  <c r="AS22" i="1"/>
  <c r="AS612" i="1"/>
  <c r="F596" i="1"/>
  <c r="T16" i="2" s="1"/>
  <c r="AV549" i="1"/>
  <c r="CE494" i="1"/>
  <c r="DT105" i="1"/>
  <c r="DG112" i="1"/>
  <c r="P446" i="1"/>
  <c r="DN366" i="1"/>
  <c r="EC105" i="1"/>
  <c r="DP112" i="1"/>
  <c r="R366" i="1"/>
  <c r="F437" i="1"/>
  <c r="F114" i="1"/>
  <c r="O105" i="1"/>
  <c r="GO146" i="1"/>
  <c r="CC167" i="1" s="1"/>
  <c r="CA167" i="1"/>
  <c r="DJ313" i="1"/>
  <c r="P348" i="1"/>
  <c r="P494" i="1"/>
  <c r="F552" i="1"/>
  <c r="P272" i="1"/>
  <c r="F284" i="1"/>
  <c r="DJ494" i="1"/>
  <c r="P563" i="1"/>
  <c r="GO108" i="1"/>
  <c r="FU112" i="1" s="1"/>
  <c r="S26" i="1"/>
  <c r="F88" i="1"/>
  <c r="S579" i="1"/>
  <c r="BC18" i="1"/>
  <c r="F628" i="1"/>
  <c r="DU494" i="1"/>
  <c r="FW549" i="1"/>
  <c r="FX549" i="1"/>
  <c r="DH549" i="1"/>
  <c r="FZ549" i="1"/>
  <c r="EG18" i="1"/>
  <c r="P616" i="1"/>
  <c r="EO272" i="1"/>
  <c r="P287" i="1"/>
  <c r="P292" i="1"/>
  <c r="ER272" i="1"/>
  <c r="BB18" i="1"/>
  <c r="F625" i="1"/>
  <c r="CI455" i="1"/>
  <c r="AZ462" i="1"/>
  <c r="P455" i="1"/>
  <c r="F465" i="1"/>
  <c r="ES494" i="1"/>
  <c r="P569" i="1"/>
  <c r="DQ26" i="1"/>
  <c r="P100" i="1"/>
  <c r="CH272" i="1"/>
  <c r="AY281" i="1"/>
  <c r="P126" i="1"/>
  <c r="DJ105" i="1"/>
  <c r="CI334" i="1"/>
  <c r="BY313" i="1"/>
  <c r="AP334" i="1"/>
  <c r="EV18" i="1"/>
  <c r="P637" i="1"/>
  <c r="DU105" i="1"/>
  <c r="DH112" i="1"/>
  <c r="FW112" i="1"/>
  <c r="FX112" i="1"/>
  <c r="FZ112" i="1"/>
  <c r="S144" i="1"/>
  <c r="F182" i="1"/>
  <c r="GM499" i="1"/>
  <c r="DT549" i="1"/>
  <c r="GM413" i="1"/>
  <c r="GO413" i="1" s="1"/>
  <c r="EI18" i="1"/>
  <c r="P622" i="1"/>
  <c r="GM216" i="1"/>
  <c r="U313" i="1"/>
  <c r="F356" i="1"/>
  <c r="AP455" i="1"/>
  <c r="F471" i="1"/>
  <c r="FW199" i="1"/>
  <c r="EN240" i="1"/>
  <c r="CF455" i="1"/>
  <c r="AW462" i="1"/>
  <c r="GA144" i="1"/>
  <c r="ER167" i="1"/>
  <c r="GO370" i="1"/>
  <c r="CC423" i="1" s="1"/>
  <c r="F435" i="1"/>
  <c r="Q366" i="1"/>
  <c r="DT26" i="1"/>
  <c r="DG73" i="1"/>
  <c r="P307" i="1"/>
  <c r="DP272" i="1"/>
  <c r="O549" i="1"/>
  <c r="AB494" i="1"/>
  <c r="CH494" i="1"/>
  <c r="AY549" i="1"/>
  <c r="S272" i="1"/>
  <c r="F296" i="1"/>
  <c r="P354" i="1"/>
  <c r="ES313" i="1"/>
  <c r="DL313" i="1"/>
  <c r="P355" i="1"/>
  <c r="CE199" i="1"/>
  <c r="AV240" i="1"/>
  <c r="GO496" i="1"/>
  <c r="CC549" i="1" s="1"/>
  <c r="CA549" i="1"/>
  <c r="DI26" i="1"/>
  <c r="P85" i="1"/>
  <c r="DI579" i="1"/>
  <c r="CF423" i="1"/>
  <c r="P289" i="1"/>
  <c r="EQ272" i="1"/>
  <c r="CA334" i="1"/>
  <c r="GO315" i="1"/>
  <c r="CC334" i="1" s="1"/>
  <c r="AX494" i="1"/>
  <c r="F556" i="1"/>
  <c r="W313" i="1"/>
  <c r="F358" i="1"/>
  <c r="AU18" i="1"/>
  <c r="F631" i="1"/>
  <c r="F139" i="1"/>
  <c r="Y105" i="1"/>
  <c r="EU18" i="1"/>
  <c r="P628" i="1"/>
  <c r="DP549" i="1"/>
  <c r="DP579" i="1" s="1"/>
  <c r="EC494" i="1"/>
  <c r="DQ272" i="1"/>
  <c r="P308" i="1"/>
  <c r="EP199" i="1"/>
  <c r="P247" i="1"/>
  <c r="DK272" i="1"/>
  <c r="P296" i="1"/>
  <c r="AV462" i="1"/>
  <c r="CE455" i="1"/>
  <c r="Q272" i="1"/>
  <c r="F293" i="1"/>
  <c r="F354" i="1"/>
  <c r="BA313" i="1"/>
  <c r="DH366" i="1"/>
  <c r="P426" i="1"/>
  <c r="DM366" i="1"/>
  <c r="P445" i="1"/>
  <c r="DQ494" i="1"/>
  <c r="P576" i="1"/>
  <c r="DL366" i="1"/>
  <c r="P444" i="1"/>
  <c r="FS26" i="1"/>
  <c r="EJ73" i="1"/>
  <c r="R313" i="1"/>
  <c r="F348" i="1"/>
  <c r="DM494" i="1"/>
  <c r="P571" i="1"/>
  <c r="DH144" i="1"/>
  <c r="P170" i="1"/>
  <c r="U22" i="1"/>
  <c r="U612" i="1"/>
  <c r="F601" i="1"/>
  <c r="DO313" i="1"/>
  <c r="P358" i="1"/>
  <c r="Q494" i="1"/>
  <c r="F561" i="1"/>
  <c r="Q144" i="1"/>
  <c r="F179" i="1"/>
  <c r="DN494" i="1"/>
  <c r="P572" i="1"/>
  <c r="AK313" i="1"/>
  <c r="X334" i="1"/>
  <c r="AX366" i="1"/>
  <c r="F430" i="1"/>
  <c r="AQ22" i="1"/>
  <c r="F589" i="1"/>
  <c r="AQ612" i="1"/>
  <c r="O334" i="1"/>
  <c r="AB313" i="1"/>
  <c r="DO199" i="1"/>
  <c r="P264" i="1"/>
  <c r="AL144" i="1"/>
  <c r="Y167" i="1"/>
  <c r="CF334" i="1"/>
  <c r="DK26" i="1"/>
  <c r="P88" i="1"/>
  <c r="DX366" i="1"/>
  <c r="DK423" i="1"/>
  <c r="DK579" i="1" s="1"/>
  <c r="EB366" i="1"/>
  <c r="DO423" i="1"/>
  <c r="DO579" i="1" s="1"/>
  <c r="DH199" i="1"/>
  <c r="P243" i="1"/>
  <c r="AY462" i="1"/>
  <c r="CH455" i="1"/>
  <c r="AB455" i="1"/>
  <c r="O462" i="1"/>
  <c r="AL199" i="1"/>
  <c r="Y240" i="1"/>
  <c r="ES199" i="1"/>
  <c r="P260" i="1"/>
  <c r="P490" i="1"/>
  <c r="EJ455" i="1"/>
  <c r="DG455" i="1"/>
  <c r="P464" i="1"/>
  <c r="CE105" i="1"/>
  <c r="AV112" i="1"/>
  <c r="Q199" i="1"/>
  <c r="F252" i="1"/>
  <c r="R579" i="1"/>
  <c r="DT272" i="1"/>
  <c r="DG281" i="1"/>
  <c r="CA105" i="1"/>
  <c r="AR112" i="1"/>
  <c r="AB144" i="1"/>
  <c r="O167" i="1"/>
  <c r="DJ26" i="1"/>
  <c r="P87" i="1"/>
  <c r="DJ579" i="1"/>
  <c r="S494" i="1"/>
  <c r="F564" i="1"/>
  <c r="AV423" i="1"/>
  <c r="CE366" i="1"/>
  <c r="BY144" i="1"/>
  <c r="AP167" i="1"/>
  <c r="CI167" i="1"/>
  <c r="P349" i="1"/>
  <c r="DK313" i="1"/>
  <c r="DO494" i="1"/>
  <c r="P573" i="1"/>
  <c r="GM228" i="1"/>
  <c r="AV334" i="1"/>
  <c r="CE313" i="1"/>
  <c r="P564" i="1"/>
  <c r="DK494" i="1"/>
  <c r="ED423" i="1"/>
  <c r="GM418" i="1"/>
  <c r="CA423" i="1" s="1"/>
  <c r="DJ366" i="1"/>
  <c r="P437" i="1"/>
  <c r="CA455" i="1"/>
  <c r="AR462" i="1"/>
  <c r="GO208" i="1"/>
  <c r="FU240" i="1" s="1"/>
  <c r="FS240" i="1"/>
  <c r="FW366" i="1"/>
  <c r="EN423" i="1"/>
  <c r="V366" i="1"/>
  <c r="F446" i="1"/>
  <c r="CA240" i="1"/>
  <c r="GO207" i="1"/>
  <c r="CC240" i="1" s="1"/>
  <c r="AB272" i="1"/>
  <c r="O281" i="1"/>
  <c r="P179" i="1"/>
  <c r="DI144" i="1"/>
  <c r="P366" i="1"/>
  <c r="F426" i="1"/>
  <c r="F575" i="1"/>
  <c r="X494" i="1"/>
  <c r="DM26" i="1"/>
  <c r="P95" i="1"/>
  <c r="DM579" i="1"/>
  <c r="ES579" i="1"/>
  <c r="DP423" i="1"/>
  <c r="EC366" i="1"/>
  <c r="Y494" i="1"/>
  <c r="F576" i="1"/>
  <c r="DT240" i="1"/>
  <c r="DP26" i="1"/>
  <c r="P99" i="1"/>
  <c r="Y272" i="1"/>
  <c r="F308" i="1"/>
  <c r="T366" i="1"/>
  <c r="F444" i="1"/>
  <c r="CF105" i="1"/>
  <c r="AW112" i="1"/>
  <c r="CH144" i="1"/>
  <c r="AY167" i="1"/>
  <c r="X26" i="1"/>
  <c r="F99" i="1"/>
  <c r="BY199" i="1"/>
  <c r="AP240" i="1"/>
  <c r="CI240" i="1"/>
  <c r="FQ105" i="1"/>
  <c r="GA112" i="1"/>
  <c r="EH112" i="1"/>
  <c r="GM328" i="1"/>
  <c r="DN313" i="1"/>
  <c r="P357" i="1"/>
  <c r="CI272" i="1"/>
  <c r="AZ281" i="1"/>
  <c r="FS272" i="1"/>
  <c r="EJ281" i="1"/>
  <c r="CA272" i="1"/>
  <c r="AR281" i="1"/>
  <c r="AK199" i="1"/>
  <c r="X240" i="1"/>
  <c r="FX26" i="1"/>
  <c r="EO73" i="1"/>
  <c r="CE26" i="1"/>
  <c r="AV73" i="1"/>
  <c r="V22" i="1"/>
  <c r="V612" i="1"/>
  <c r="F602" i="1"/>
  <c r="GM110" i="1"/>
  <c r="FS112" i="1" s="1"/>
  <c r="DI105" i="1"/>
  <c r="P124" i="1"/>
  <c r="F337" i="1"/>
  <c r="P313" i="1"/>
  <c r="DT334" i="1"/>
  <c r="FW26" i="1"/>
  <c r="EN73" i="1"/>
  <c r="AP272" i="1"/>
  <c r="F290" i="1"/>
  <c r="CH26" i="1"/>
  <c r="AY73" i="1"/>
  <c r="ET18" i="1"/>
  <c r="P625" i="1"/>
  <c r="DI494" i="1"/>
  <c r="P561" i="1"/>
  <c r="EK26" i="1"/>
  <c r="P90" i="1"/>
  <c r="EK579" i="1"/>
  <c r="AP105" i="1"/>
  <c r="F121" i="1"/>
  <c r="DI199" i="1"/>
  <c r="P252" i="1"/>
  <c r="AX22" i="1"/>
  <c r="AX612" i="1"/>
  <c r="F586" i="1"/>
  <c r="DH26" i="1"/>
  <c r="P76" i="1"/>
  <c r="DT144" i="1"/>
  <c r="DG167" i="1"/>
  <c r="Q313" i="1"/>
  <c r="F346" i="1"/>
  <c r="P26" i="1"/>
  <c r="F76" i="1"/>
  <c r="P579" i="1"/>
  <c r="AK144" i="1"/>
  <c r="X167" i="1"/>
  <c r="X579" i="1" s="1"/>
  <c r="DI313" i="1"/>
  <c r="P346" i="1"/>
  <c r="GM527" i="1"/>
  <c r="GO527" i="1" s="1"/>
  <c r="EC144" i="1"/>
  <c r="DP167" i="1"/>
  <c r="BA366" i="1"/>
  <c r="F443" i="1"/>
  <c r="CH334" i="1"/>
  <c r="GO316" i="1"/>
  <c r="FU334" i="1" s="1"/>
  <c r="FS334" i="1"/>
  <c r="DL199" i="1"/>
  <c r="P261" i="1"/>
  <c r="DK199" i="1"/>
  <c r="P255" i="1"/>
  <c r="GM532" i="1"/>
  <c r="GO532" i="1" s="1"/>
  <c r="GM419" i="1"/>
  <c r="FS423" i="1" s="1"/>
  <c r="DJ199" i="1"/>
  <c r="P254" i="1"/>
  <c r="FW313" i="1"/>
  <c r="EN334" i="1"/>
  <c r="ES366" i="1"/>
  <c r="P443" i="1"/>
  <c r="BY366" i="1"/>
  <c r="AP423" i="1"/>
  <c r="CI423" i="1"/>
  <c r="ED199" i="1"/>
  <c r="DQ240" i="1"/>
  <c r="AT112" i="1"/>
  <c r="CC105" i="1"/>
  <c r="Y26" i="1"/>
  <c r="F100" i="1"/>
  <c r="AZ112" i="1"/>
  <c r="CI105" i="1"/>
  <c r="AB366" i="1"/>
  <c r="O423" i="1"/>
  <c r="CE272" i="1"/>
  <c r="AV281" i="1"/>
  <c r="FZ26" i="1"/>
  <c r="EQ73" i="1"/>
  <c r="FS167" i="1"/>
  <c r="GO147" i="1"/>
  <c r="FU167" i="1" s="1"/>
  <c r="P105" i="1"/>
  <c r="F115" i="1"/>
  <c r="S366" i="1"/>
  <c r="F438" i="1"/>
  <c r="CF26" i="1"/>
  <c r="AW73" i="1"/>
  <c r="AO18" i="1"/>
  <c r="F616" i="1"/>
  <c r="P144" i="1"/>
  <c r="F170" i="1"/>
  <c r="GM327" i="1"/>
  <c r="FZ144" i="1"/>
  <c r="EQ167" i="1"/>
  <c r="DX105" i="1"/>
  <c r="DK112" i="1"/>
  <c r="DK144" i="1"/>
  <c r="P182" i="1"/>
  <c r="BA579" i="1"/>
  <c r="AB199" i="1"/>
  <c r="O240" i="1"/>
  <c r="Q26" i="1"/>
  <c r="F85" i="1"/>
  <c r="Q579" i="1"/>
  <c r="DT423" i="1"/>
  <c r="F349" i="1"/>
  <c r="S313" i="1"/>
  <c r="X22" i="1" l="1"/>
  <c r="F605" i="1"/>
  <c r="X612" i="1"/>
  <c r="DO22" i="1"/>
  <c r="DO612" i="1"/>
  <c r="P603" i="1"/>
  <c r="DP22" i="1"/>
  <c r="DP612" i="1"/>
  <c r="P605" i="1"/>
  <c r="CA366" i="1"/>
  <c r="AR423" i="1"/>
  <c r="FS366" i="1"/>
  <c r="EJ423" i="1"/>
  <c r="FS105" i="1"/>
  <c r="EJ112" i="1"/>
  <c r="DK22" i="1"/>
  <c r="DK612" i="1"/>
  <c r="P594" i="1"/>
  <c r="X199" i="1"/>
  <c r="F266" i="1"/>
  <c r="CI366" i="1"/>
  <c r="AZ423" i="1"/>
  <c r="DM22" i="1"/>
  <c r="DM612" i="1"/>
  <c r="P601" i="1"/>
  <c r="CA199" i="1"/>
  <c r="AR240" i="1"/>
  <c r="ED366" i="1"/>
  <c r="DQ423" i="1"/>
  <c r="DQ579" i="1" s="1"/>
  <c r="P283" i="1"/>
  <c r="DG272" i="1"/>
  <c r="AQ18" i="1"/>
  <c r="F622" i="1"/>
  <c r="EJ26" i="1"/>
  <c r="P101" i="1"/>
  <c r="FW105" i="1"/>
  <c r="EN112" i="1"/>
  <c r="EN579" i="1" s="1"/>
  <c r="S22" i="1"/>
  <c r="F594" i="1"/>
  <c r="S612" i="1"/>
  <c r="EN144" i="1"/>
  <c r="P172" i="1"/>
  <c r="T18" i="1"/>
  <c r="F633" i="1"/>
  <c r="DQ313" i="1"/>
  <c r="P361" i="1"/>
  <c r="FZ199" i="1"/>
  <c r="EQ240" i="1"/>
  <c r="AV272" i="1"/>
  <c r="F286" i="1"/>
  <c r="O313" i="1"/>
  <c r="F336" i="1"/>
  <c r="DG105" i="1"/>
  <c r="P114" i="1"/>
  <c r="FU366" i="1"/>
  <c r="EL423" i="1"/>
  <c r="AW494" i="1"/>
  <c r="F555" i="1"/>
  <c r="O26" i="1"/>
  <c r="F75" i="1"/>
  <c r="O579" i="1"/>
  <c r="GA199" i="1"/>
  <c r="ER240" i="1"/>
  <c r="O199" i="1"/>
  <c r="F242" i="1"/>
  <c r="ES22" i="1"/>
  <c r="ES612" i="1"/>
  <c r="P599" i="1"/>
  <c r="H16" i="2" s="1"/>
  <c r="BA22" i="1"/>
  <c r="F599" i="1"/>
  <c r="W16" i="2" s="1"/>
  <c r="BA612" i="1"/>
  <c r="AX18" i="1"/>
  <c r="F619" i="1"/>
  <c r="AP199" i="1"/>
  <c r="F249" i="1"/>
  <c r="AV366" i="1"/>
  <c r="F428" i="1"/>
  <c r="R22" i="1"/>
  <c r="R612" i="1"/>
  <c r="F593" i="1"/>
  <c r="CF366" i="1"/>
  <c r="AW423" i="1"/>
  <c r="CC144" i="1"/>
  <c r="AT167" i="1"/>
  <c r="AV494" i="1"/>
  <c r="F554" i="1"/>
  <c r="DL22" i="1"/>
  <c r="P600" i="1"/>
  <c r="DL612" i="1"/>
  <c r="AY366" i="1"/>
  <c r="F431" i="1"/>
  <c r="EH199" i="1"/>
  <c r="P249" i="1"/>
  <c r="ER112" i="1"/>
  <c r="GA105" i="1"/>
  <c r="EO112" i="1"/>
  <c r="FX105" i="1"/>
  <c r="AW26" i="1"/>
  <c r="F79" i="1"/>
  <c r="CA144" i="1"/>
  <c r="AR167" i="1"/>
  <c r="DI22" i="1"/>
  <c r="DI612" i="1"/>
  <c r="P591" i="1"/>
  <c r="CC366" i="1"/>
  <c r="AT423" i="1"/>
  <c r="EL112" i="1"/>
  <c r="FU105" i="1"/>
  <c r="P194" i="1"/>
  <c r="DQ144" i="1"/>
  <c r="EL26" i="1"/>
  <c r="P91" i="1"/>
  <c r="AW199" i="1"/>
  <c r="F246" i="1"/>
  <c r="AR334" i="1"/>
  <c r="CA313" i="1"/>
  <c r="CH199" i="1"/>
  <c r="AY240" i="1"/>
  <c r="AP366" i="1"/>
  <c r="F432" i="1"/>
  <c r="AR272" i="1"/>
  <c r="F309" i="1"/>
  <c r="FS313" i="1"/>
  <c r="EJ334" i="1"/>
  <c r="EN366" i="1"/>
  <c r="P428" i="1"/>
  <c r="DK105" i="1"/>
  <c r="P127" i="1"/>
  <c r="AZ105" i="1"/>
  <c r="F123" i="1"/>
  <c r="EL334" i="1"/>
  <c r="FU313" i="1"/>
  <c r="AY26" i="1"/>
  <c r="F81" i="1"/>
  <c r="AY579" i="1"/>
  <c r="F339" i="1"/>
  <c r="AV313" i="1"/>
  <c r="AW334" i="1"/>
  <c r="AW579" i="1" s="1"/>
  <c r="CF313" i="1"/>
  <c r="U18" i="1"/>
  <c r="F634" i="1"/>
  <c r="F557" i="1"/>
  <c r="AY494" i="1"/>
  <c r="ER144" i="1"/>
  <c r="P178" i="1"/>
  <c r="AS18" i="1"/>
  <c r="F629" i="1"/>
  <c r="FX366" i="1"/>
  <c r="EO423" i="1"/>
  <c r="Y313" i="1"/>
  <c r="F361" i="1"/>
  <c r="FZ313" i="1"/>
  <c r="EQ334" i="1"/>
  <c r="AP144" i="1"/>
  <c r="F176" i="1"/>
  <c r="P575" i="1"/>
  <c r="DP494" i="1"/>
  <c r="CI199" i="1"/>
  <c r="AZ240" i="1"/>
  <c r="Y199" i="1"/>
  <c r="F267" i="1"/>
  <c r="DH105" i="1"/>
  <c r="P115" i="1"/>
  <c r="P22" i="1"/>
  <c r="F582" i="1"/>
  <c r="P612" i="1"/>
  <c r="EJ272" i="1"/>
  <c r="P309" i="1"/>
  <c r="O455" i="1"/>
  <c r="F464" i="1"/>
  <c r="AV455" i="1"/>
  <c r="F467" i="1"/>
  <c r="Y579" i="1"/>
  <c r="EN313" i="1"/>
  <c r="P339" i="1"/>
  <c r="CH313" i="1"/>
  <c r="AY334" i="1"/>
  <c r="V18" i="1"/>
  <c r="F635" i="1"/>
  <c r="AZ272" i="1"/>
  <c r="F292" i="1"/>
  <c r="FS199" i="1"/>
  <c r="EJ240" i="1"/>
  <c r="DJ22" i="1"/>
  <c r="DJ612" i="1"/>
  <c r="P593" i="1"/>
  <c r="AV105" i="1"/>
  <c r="F117" i="1"/>
  <c r="Y144" i="1"/>
  <c r="F194" i="1"/>
  <c r="F360" i="1"/>
  <c r="X313" i="1"/>
  <c r="AP313" i="1"/>
  <c r="F343" i="1"/>
  <c r="FZ494" i="1"/>
  <c r="EQ549" i="1"/>
  <c r="FZ366" i="1"/>
  <c r="EQ423" i="1"/>
  <c r="DN18" i="1"/>
  <c r="P635" i="1"/>
  <c r="EO334" i="1"/>
  <c r="FX313" i="1"/>
  <c r="P173" i="1"/>
  <c r="EO144" i="1"/>
  <c r="F193" i="1"/>
  <c r="X144" i="1"/>
  <c r="AP579" i="1"/>
  <c r="DT199" i="1"/>
  <c r="DG240" i="1"/>
  <c r="FU199" i="1"/>
  <c r="EL240" i="1"/>
  <c r="F470" i="1"/>
  <c r="AY455" i="1"/>
  <c r="AR549" i="1"/>
  <c r="CA494" i="1"/>
  <c r="F468" i="1"/>
  <c r="AW455" i="1"/>
  <c r="DT494" i="1"/>
  <c r="DG549" i="1"/>
  <c r="P552" i="1"/>
  <c r="DH494" i="1"/>
  <c r="Y366" i="1"/>
  <c r="F450" i="1"/>
  <c r="P432" i="1"/>
  <c r="EH366" i="1"/>
  <c r="EP18" i="1"/>
  <c r="P619" i="1"/>
  <c r="GA313" i="1"/>
  <c r="ER334" i="1"/>
  <c r="DK366" i="1"/>
  <c r="P438" i="1"/>
  <c r="CC494" i="1"/>
  <c r="AT549" i="1"/>
  <c r="F120" i="1"/>
  <c r="AY105" i="1"/>
  <c r="GA366" i="1"/>
  <c r="ER423" i="1"/>
  <c r="CC199" i="1"/>
  <c r="AT240" i="1"/>
  <c r="FU144" i="1"/>
  <c r="EL167" i="1"/>
  <c r="F490" i="1"/>
  <c r="AR455" i="1"/>
  <c r="GO499" i="1"/>
  <c r="FU549" i="1" s="1"/>
  <c r="FS549" i="1"/>
  <c r="F473" i="1"/>
  <c r="AZ455" i="1"/>
  <c r="DP105" i="1"/>
  <c r="P138" i="1"/>
  <c r="AV144" i="1"/>
  <c r="F172" i="1"/>
  <c r="EH313" i="1"/>
  <c r="P343" i="1"/>
  <c r="Q22" i="1"/>
  <c r="Q612" i="1"/>
  <c r="F591" i="1"/>
  <c r="EJ167" i="1"/>
  <c r="FS144" i="1"/>
  <c r="DP144" i="1"/>
  <c r="P193" i="1"/>
  <c r="DG144" i="1"/>
  <c r="P169" i="1"/>
  <c r="EN26" i="1"/>
  <c r="P78" i="1"/>
  <c r="O144" i="1"/>
  <c r="F169" i="1"/>
  <c r="AV199" i="1"/>
  <c r="F245" i="1"/>
  <c r="EN199" i="1"/>
  <c r="P245" i="1"/>
  <c r="FW494" i="1"/>
  <c r="EN549" i="1"/>
  <c r="FX199" i="1"/>
  <c r="EO240" i="1"/>
  <c r="DT366" i="1"/>
  <c r="DG423" i="1"/>
  <c r="AV26" i="1"/>
  <c r="F78" i="1"/>
  <c r="AV579" i="1"/>
  <c r="AY144" i="1"/>
  <c r="F175" i="1"/>
  <c r="CI313" i="1"/>
  <c r="AZ334" i="1"/>
  <c r="EO549" i="1"/>
  <c r="FX494" i="1"/>
  <c r="EQ26" i="1"/>
  <c r="P81" i="1"/>
  <c r="AT105" i="1"/>
  <c r="F130" i="1"/>
  <c r="EK22" i="1"/>
  <c r="P596" i="1"/>
  <c r="E16" i="2" s="1"/>
  <c r="EK612" i="1"/>
  <c r="EO26" i="1"/>
  <c r="P79" i="1"/>
  <c r="EO579" i="1"/>
  <c r="F118" i="1"/>
  <c r="AW105" i="1"/>
  <c r="O272" i="1"/>
  <c r="F283" i="1"/>
  <c r="P447" i="1"/>
  <c r="DO366" i="1"/>
  <c r="CA26" i="1"/>
  <c r="AR73" i="1"/>
  <c r="W18" i="1"/>
  <c r="F636" i="1"/>
  <c r="P360" i="1"/>
  <c r="DP313" i="1"/>
  <c r="AW144" i="1"/>
  <c r="F173" i="1"/>
  <c r="AW272" i="1"/>
  <c r="F287" i="1"/>
  <c r="O366" i="1"/>
  <c r="F425" i="1"/>
  <c r="EQ144" i="1"/>
  <c r="P175" i="1"/>
  <c r="F551" i="1"/>
  <c r="O494" i="1"/>
  <c r="DQ199" i="1"/>
  <c r="P267" i="1"/>
  <c r="DH579" i="1"/>
  <c r="DG334" i="1"/>
  <c r="DG579" i="1" s="1"/>
  <c r="DT313" i="1"/>
  <c r="EH105" i="1"/>
  <c r="P121" i="1"/>
  <c r="EH579" i="1"/>
  <c r="DP366" i="1"/>
  <c r="P449" i="1"/>
  <c r="AZ167" i="1"/>
  <c r="CI144" i="1"/>
  <c r="AR105" i="1"/>
  <c r="F140" i="1"/>
  <c r="AT334" i="1"/>
  <c r="CC313" i="1"/>
  <c r="DG26" i="1"/>
  <c r="P75" i="1"/>
  <c r="FZ105" i="1"/>
  <c r="EQ112" i="1"/>
  <c r="F289" i="1"/>
  <c r="AY272" i="1"/>
  <c r="P139" i="1"/>
  <c r="DQ105" i="1"/>
  <c r="CC26" i="1"/>
  <c r="AT73" i="1"/>
  <c r="DP199" i="1"/>
  <c r="P266" i="1"/>
  <c r="X366" i="1"/>
  <c r="F449" i="1"/>
  <c r="DG22" i="1" l="1"/>
  <c r="DG612" i="1"/>
  <c r="P581" i="1"/>
  <c r="AW22" i="1"/>
  <c r="F585" i="1"/>
  <c r="AW612" i="1"/>
  <c r="DQ22" i="1"/>
  <c r="DQ612" i="1"/>
  <c r="P606" i="1"/>
  <c r="EN22" i="1"/>
  <c r="P584" i="1"/>
  <c r="EN612" i="1"/>
  <c r="AR26" i="1"/>
  <c r="F101" i="1"/>
  <c r="AR579" i="1"/>
  <c r="EJ144" i="1"/>
  <c r="P195" i="1"/>
  <c r="FS494" i="1"/>
  <c r="EJ549" i="1"/>
  <c r="AT494" i="1"/>
  <c r="F567" i="1"/>
  <c r="DG199" i="1"/>
  <c r="P242" i="1"/>
  <c r="DJ18" i="1"/>
  <c r="P626" i="1"/>
  <c r="Y22" i="1"/>
  <c r="F606" i="1"/>
  <c r="Y612" i="1"/>
  <c r="EO366" i="1"/>
  <c r="P429" i="1"/>
  <c r="AZ366" i="1"/>
  <c r="F434" i="1"/>
  <c r="AR366" i="1"/>
  <c r="F451" i="1"/>
  <c r="P123" i="1"/>
  <c r="ER105" i="1"/>
  <c r="ER579" i="1"/>
  <c r="P557" i="1"/>
  <c r="EQ494" i="1"/>
  <c r="AY22" i="1"/>
  <c r="F587" i="1"/>
  <c r="AY612" i="1"/>
  <c r="AR144" i="1"/>
  <c r="F195" i="1"/>
  <c r="DP18" i="1"/>
  <c r="P638" i="1"/>
  <c r="EK18" i="1"/>
  <c r="P629" i="1"/>
  <c r="EQ105" i="1"/>
  <c r="P120" i="1"/>
  <c r="EH22" i="1"/>
  <c r="EH612" i="1"/>
  <c r="P588" i="1"/>
  <c r="G16" i="2" s="1"/>
  <c r="AP22" i="1"/>
  <c r="F588" i="1"/>
  <c r="V16" i="2" s="1"/>
  <c r="AP612" i="1"/>
  <c r="ES18" i="1"/>
  <c r="P632" i="1"/>
  <c r="DG366" i="1"/>
  <c r="P425" i="1"/>
  <c r="EL144" i="1"/>
  <c r="P185" i="1"/>
  <c r="ER313" i="1"/>
  <c r="P345" i="1"/>
  <c r="DL18" i="1"/>
  <c r="P633" i="1"/>
  <c r="AZ144" i="1"/>
  <c r="F178" i="1"/>
  <c r="AW366" i="1"/>
  <c r="F429" i="1"/>
  <c r="AV22" i="1"/>
  <c r="AV612" i="1"/>
  <c r="F584" i="1"/>
  <c r="EL366" i="1"/>
  <c r="P441" i="1"/>
  <c r="EJ199" i="1"/>
  <c r="P268" i="1"/>
  <c r="AZ199" i="1"/>
  <c r="F251" i="1"/>
  <c r="EL579" i="1"/>
  <c r="R18" i="1"/>
  <c r="F626" i="1"/>
  <c r="EQ579" i="1"/>
  <c r="S18" i="1"/>
  <c r="F627" i="1"/>
  <c r="P450" i="1"/>
  <c r="DQ366" i="1"/>
  <c r="J16" i="2"/>
  <c r="FU494" i="1"/>
  <c r="EL549" i="1"/>
  <c r="DI18" i="1"/>
  <c r="P624" i="1"/>
  <c r="Q18" i="1"/>
  <c r="F624" i="1"/>
  <c r="P551" i="1"/>
  <c r="DG494" i="1"/>
  <c r="P362" i="1"/>
  <c r="EJ313" i="1"/>
  <c r="DG313" i="1"/>
  <c r="P336" i="1"/>
  <c r="EO199" i="1"/>
  <c r="P246" i="1"/>
  <c r="AT199" i="1"/>
  <c r="F258" i="1"/>
  <c r="EL313" i="1"/>
  <c r="P352" i="1"/>
  <c r="ER199" i="1"/>
  <c r="P251" i="1"/>
  <c r="Y16" i="2"/>
  <c r="DK18" i="1"/>
  <c r="P627" i="1"/>
  <c r="DO18" i="1"/>
  <c r="P636" i="1"/>
  <c r="AW313" i="1"/>
  <c r="F340" i="1"/>
  <c r="AT26" i="1"/>
  <c r="F91" i="1"/>
  <c r="AT579" i="1"/>
  <c r="F352" i="1"/>
  <c r="AT313" i="1"/>
  <c r="EO22" i="1"/>
  <c r="P585" i="1"/>
  <c r="EO612" i="1"/>
  <c r="EN494" i="1"/>
  <c r="P554" i="1"/>
  <c r="ER366" i="1"/>
  <c r="P434" i="1"/>
  <c r="EO313" i="1"/>
  <c r="P340" i="1"/>
  <c r="AY313" i="1"/>
  <c r="F342" i="1"/>
  <c r="EQ313" i="1"/>
  <c r="P342" i="1"/>
  <c r="AY199" i="1"/>
  <c r="F248" i="1"/>
  <c r="EN105" i="1"/>
  <c r="P117" i="1"/>
  <c r="X18" i="1"/>
  <c r="F638" i="1"/>
  <c r="AZ313" i="1"/>
  <c r="F345" i="1"/>
  <c r="EL105" i="1"/>
  <c r="P130" i="1"/>
  <c r="P118" i="1"/>
  <c r="EO105" i="1"/>
  <c r="AT144" i="1"/>
  <c r="F185" i="1"/>
  <c r="EQ199" i="1"/>
  <c r="P248" i="1"/>
  <c r="EQ366" i="1"/>
  <c r="P431" i="1"/>
  <c r="AR313" i="1"/>
  <c r="F362" i="1"/>
  <c r="DH22" i="1"/>
  <c r="DH612" i="1"/>
  <c r="P582" i="1"/>
  <c r="AR494" i="1"/>
  <c r="F577" i="1"/>
  <c r="P18" i="1"/>
  <c r="F615" i="1"/>
  <c r="AZ579" i="1"/>
  <c r="AR199" i="1"/>
  <c r="F268" i="1"/>
  <c r="EO494" i="1"/>
  <c r="P555" i="1"/>
  <c r="O22" i="1"/>
  <c r="F581" i="1"/>
  <c r="O612" i="1"/>
  <c r="EJ105" i="1"/>
  <c r="P140" i="1"/>
  <c r="EL199" i="1"/>
  <c r="P258" i="1"/>
  <c r="AT366" i="1"/>
  <c r="F441" i="1"/>
  <c r="BA18" i="1"/>
  <c r="F632" i="1"/>
  <c r="EJ579" i="1"/>
  <c r="DM18" i="1"/>
  <c r="P634" i="1"/>
  <c r="EJ366" i="1"/>
  <c r="P451" i="1"/>
  <c r="EQ22" i="1" l="1"/>
  <c r="EQ612" i="1"/>
  <c r="P587" i="1"/>
  <c r="EN18" i="1"/>
  <c r="P617" i="1"/>
  <c r="AT22" i="1"/>
  <c r="F597" i="1"/>
  <c r="U16" i="2" s="1"/>
  <c r="X16" i="2" s="1"/>
  <c r="AC16" i="2" s="1"/>
  <c r="AT612" i="1"/>
  <c r="EJ494" i="1"/>
  <c r="P577" i="1"/>
  <c r="DQ18" i="1"/>
  <c r="P639" i="1"/>
  <c r="AP18" i="1"/>
  <c r="F621" i="1"/>
  <c r="EL494" i="1"/>
  <c r="P567" i="1"/>
  <c r="AY18" i="1"/>
  <c r="F620" i="1"/>
  <c r="EJ22" i="1"/>
  <c r="EJ612" i="1"/>
  <c r="P607" i="1"/>
  <c r="P608" i="1" s="1"/>
  <c r="AZ22" i="1"/>
  <c r="F590" i="1"/>
  <c r="AZ612" i="1"/>
  <c r="AW18" i="1"/>
  <c r="F618" i="1"/>
  <c r="EL22" i="1"/>
  <c r="EL612" i="1"/>
  <c r="P597" i="1"/>
  <c r="F16" i="2" s="1"/>
  <c r="I16" i="2" s="1"/>
  <c r="N16" i="2" s="1"/>
  <c r="EH18" i="1"/>
  <c r="P621" i="1"/>
  <c r="Y18" i="1"/>
  <c r="F639" i="1"/>
  <c r="DH18" i="1"/>
  <c r="P615" i="1"/>
  <c r="EO18" i="1"/>
  <c r="P618" i="1"/>
  <c r="ER22" i="1"/>
  <c r="P590" i="1"/>
  <c r="ER612" i="1"/>
  <c r="DG18" i="1"/>
  <c r="P614" i="1"/>
  <c r="AR22" i="1"/>
  <c r="AR612" i="1"/>
  <c r="F607" i="1"/>
  <c r="F608" i="1" s="1"/>
  <c r="O18" i="1"/>
  <c r="F614" i="1"/>
  <c r="AV18" i="1"/>
  <c r="F617" i="1"/>
  <c r="EJ18" i="1" l="1"/>
  <c r="P640" i="1"/>
  <c r="P641" i="1" s="1"/>
  <c r="AZ18" i="1"/>
  <c r="F623" i="1"/>
  <c r="F609" i="1"/>
  <c r="F610" i="1"/>
  <c r="AR18" i="1"/>
  <c r="F640" i="1"/>
  <c r="F641" i="1" s="1"/>
  <c r="EL18" i="1"/>
  <c r="P630" i="1"/>
  <c r="EQ18" i="1"/>
  <c r="P620" i="1"/>
  <c r="P609" i="1"/>
  <c r="P610" i="1" s="1"/>
  <c r="AT18" i="1"/>
  <c r="F630" i="1"/>
  <c r="ER18" i="1"/>
  <c r="P623" i="1"/>
  <c r="F642" i="1" l="1"/>
  <c r="F643" i="1" s="1"/>
  <c r="P642" i="1"/>
  <c r="P643" i="1" s="1"/>
</calcChain>
</file>

<file path=xl/sharedStrings.xml><?xml version="1.0" encoding="utf-8"?>
<sst xmlns="http://schemas.openxmlformats.org/spreadsheetml/2006/main" count="22254" uniqueCount="705">
  <si>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</si>
  <si>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</si>
  <si>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</si>
  <si>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</si>
  <si>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</si>
  <si>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02-01-08</t>
  </si>
  <si>
    <t>02-01-08 СПС АСПЗ 20.07.26</t>
  </si>
  <si>
    <t>2024-00375-01-0-ИОС5.1</t>
  </si>
  <si>
    <t>О.А.Гришечкина</t>
  </si>
  <si>
    <t>Ведущий инженер-сметчик</t>
  </si>
  <si>
    <t>И.В.Феденко</t>
  </si>
  <si>
    <t>Начальник отдела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</si>
  <si>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</si>
  <si>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</si>
  <si>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</si>
  <si>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</si>
  <si>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</si>
  <si>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</si>
  <si>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</si>
  <si>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</si>
  <si>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Система пожарной сигнализации. Автоматизация систем противопожарной защиты.</t>
  </si>
  <si>
    <t>Новый раздел</t>
  </si>
  <si>
    <t>Демонтажные работы (Письмо от АНО «РГТ» об утверждении объёмов демонтажных работ)</t>
  </si>
  <si>
    <t>1</t>
  </si>
  <si>
    <t>4.11-7-2</t>
  </si>
  <si>
    <t>Установка аппарата настольного массой до 0,03 т / демонтаж центрального прибора индикации и управления</t>
  </si>
  <si>
    <t>1  ШТ.</t>
  </si>
  <si>
    <t>ТСН-2001.4 Доп. 68, Сб. 11, т. 7, поз. 2</t>
  </si>
  <si>
    <t>*1)*0</t>
  </si>
  <si>
    <t>*1,2)*0,3</t>
  </si>
  <si>
    <t>Монтаж оборудования</t>
  </si>
  <si>
    <t>ТСН-2001.4-11. Приборы и средства автоматизации и вычислительной техники</t>
  </si>
  <si>
    <t>ТСН-2001.4-11-1</t>
  </si>
  <si>
    <t>Поправка: Гл.12.Прил.8.п.8. 3_12.00.01.11.001
Поправка: Гл.4.Прил.2.2.п.2.2.29_04.00.01.35.003</t>
  </si>
  <si>
    <t>2</t>
  </si>
  <si>
    <t>4.10-80-2</t>
  </si>
  <si>
    <t>Аппараты приемные, приборы ПС приемно-контрольные, пусковые, концентратор, блок базовый на 20 лучей / демонтаж прибора охранно-пожарного</t>
  </si>
  <si>
    <t>ТСН-2001.4 Доп. 68, Сб. 10, т. 80, поз. 2</t>
  </si>
  <si>
    <t>ТСН-2001.4-10. Прокладка и монтаж сетей связи</t>
  </si>
  <si>
    <t>ТСН-2001.4-10-1</t>
  </si>
  <si>
    <t>3</t>
  </si>
  <si>
    <t>4.10-170-2</t>
  </si>
  <si>
    <t>Монтаж блока информационно-управляющего (БИУ) в диспетчерской / демонтаж БИУ</t>
  </si>
  <si>
    <t>ТСН-2001.4 Доп. 67, Сб. 10, т. 170, поз. 2</t>
  </si>
  <si>
    <t>4</t>
  </si>
  <si>
    <t>4.10-167-1</t>
  </si>
  <si>
    <t>Монтаж блока питания сети (БПС) в диспетчерской / демонтаж источников электропитания</t>
  </si>
  <si>
    <t>ТСН-2001.4 Доп. 69, Сб. 10, т. 167, поз. 1</t>
  </si>
  <si>
    <t>5</t>
  </si>
  <si>
    <t>4.10-81-2</t>
  </si>
  <si>
    <t>Извещатели ПС автоматические, дымовой, фотоэлектрический, радиоизотопный, световой в нормальном исполнении / демонтаж извещателей</t>
  </si>
  <si>
    <t>ТСН-2001.4. Доп. 1-42. Сб. 10, т. 81, поз. 2</t>
  </si>
  <si>
    <t>6</t>
  </si>
  <si>
    <t>4.10-81-1</t>
  </si>
  <si>
    <t>Извещатели ПС автоматические, тепловой электроконтактный, магнито-контактный в нормальном исполнении / демонтаж извещателей тепловых</t>
  </si>
  <si>
    <t>ТСН-2001.4. Доп. 1-42. Сб. 10, т. 81, поз. 1</t>
  </si>
  <si>
    <t>7</t>
  </si>
  <si>
    <t>4.10-76-10</t>
  </si>
  <si>
    <t>Монтаж ключа или кнопки на панели / демонтаж кнопки ручного извещателя</t>
  </si>
  <si>
    <t>ТСН-2001.4 Доп. 79, Сб. 10, т. 76, поз. 10</t>
  </si>
  <si>
    <t>ТСН-2001.4-10. Монтаж радиотелевизионного и электронного оборудования</t>
  </si>
  <si>
    <t>ТСН-2001.4-10-2</t>
  </si>
  <si>
    <t>8</t>
  </si>
  <si>
    <t>4.10-80-13</t>
  </si>
  <si>
    <t>Аппараты приемные, устройства промежуточные на 1 луч / демонтаж изолятора шлейфа</t>
  </si>
  <si>
    <t>ТСН-2001.4. Доп. 1-42. Сб. 10, т. 80, поз. 13</t>
  </si>
  <si>
    <t>9</t>
  </si>
  <si>
    <t>4.10-81-6</t>
  </si>
  <si>
    <t>Конструкция для установки извещателя / демонтаж</t>
  </si>
  <si>
    <t>ТСН-2001.4. Доп. 1-42. Сб. 10, т. 81, поз. 6</t>
  </si>
  <si>
    <t>10</t>
  </si>
  <si>
    <t>Аппараты приемные, приборы ПС приемно-контрольные, пусковые, концентратор, блок базовый на 20 лучей / демонтаж прибора приемо-контрольного и управления охранно-пожарного</t>
  </si>
  <si>
    <t>11</t>
  </si>
  <si>
    <t>Аппараты приемные, устройства промежуточные на 1 луч / демонтаж конвертера и модуля сопряжения</t>
  </si>
  <si>
    <t>12</t>
  </si>
  <si>
    <t>Монтаж блока питания сети (БПС) в диспетчерской / демонтаж источника электропитания</t>
  </si>
  <si>
    <t>13</t>
  </si>
  <si>
    <t>4.8-58-2</t>
  </si>
  <si>
    <t>Монтаж аппарата управления и сигнализации с количеством подключаемых концов до 6 / демонтаж модуля автоматики дымоудаления</t>
  </si>
  <si>
    <t>ТСН-2001.4 Доп. 68, Сб. 8, т. 58, поз. 2</t>
  </si>
  <si>
    <t>ТСН-2001.4-8. Электротехнические установки</t>
  </si>
  <si>
    <t>ТСН-2001.4-8-1</t>
  </si>
  <si>
    <t>14</t>
  </si>
  <si>
    <t>Монтаж ключа или кнопки на панели / демонтаж кнопки пуска</t>
  </si>
  <si>
    <t>15</t>
  </si>
  <si>
    <t>16</t>
  </si>
  <si>
    <t>4.8-66-1</t>
  </si>
  <si>
    <t>Монтаж шкафа управления или регулирования / демонтаж шкафов управления</t>
  </si>
  <si>
    <t>1 ШКАФ</t>
  </si>
  <si>
    <t>ТСН-2001.4 Доп. 70, Сб. 8, т. 66, поз. 1</t>
  </si>
  <si>
    <t>17</t>
  </si>
  <si>
    <t>4.10-80-12</t>
  </si>
  <si>
    <t>Аппараты приемные, устройства промежуточные на 5 лучей / демонтаж адресной метки</t>
  </si>
  <si>
    <t>ТСН-2001.4. Доп. 1-42. Сб. 10, т. 80, поз. 12</t>
  </si>
  <si>
    <t>18</t>
  </si>
  <si>
    <t>Аппараты приемные, устройства промежуточные на 1 луч / демонтаж адресного релейного модуля</t>
  </si>
  <si>
    <t>19</t>
  </si>
  <si>
    <t>4.10-185-8</t>
  </si>
  <si>
    <t>Прокладка кабеля связи огнестойкого в трубах гофрированных с использованием скобы СМД: по бетонным поверхностям</t>
  </si>
  <si>
    <t>100 м</t>
  </si>
  <si>
    <t>ТСН-2001.4 Доп. 80, Сб. 10, т. 185, поз. 8</t>
  </si>
  <si>
    <t>6.67-5-12</t>
  </si>
  <si>
    <t>Демонтаж трубных проводок, трубы в борозде диаметром 25 мм / ПВХ</t>
  </si>
  <si>
    <t>ТСН-2001.6. Доп. 1-42. Сб. 67, т. 5, поз. 12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</si>
  <si>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</si>
  <si>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</si>
  <si>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</si>
  <si>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</si>
  <si>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</si>
  <si>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</si>
  <si>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6.67-6-1</t>
  </si>
  <si>
    <t>Демонтаж кабеля</t>
  </si>
  <si>
    <t>ТСН-2001.6. Доп. 1-42. Сб. 67, т. 6, поз. 1</t>
  </si>
  <si>
    <t>20</t>
  </si>
  <si>
    <t>6.67-5-1</t>
  </si>
  <si>
    <t>Демонтаж трубных проводок, первого провода сечением 6 мм2</t>
  </si>
  <si>
    <t>ТСН-2001.6. Доп. 1-42. Сб. 67, т. 5,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</si>
  <si>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</si>
  <si>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</si>
  <si>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</si>
  <si>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</si>
  <si>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</si>
  <si>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</si>
  <si>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</si>
  <si>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</si>
  <si>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</si>
  <si>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</si>
  <si>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</si>
  <si>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</si>
  <si>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</si>
  <si>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</si>
  <si>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</si>
  <si>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</si>
  <si>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</si>
  <si>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</si>
  <si>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</si>
  <si>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</si>
  <si>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</si>
  <si>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</si>
  <si>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</si>
  <si>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</si>
  <si>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</si>
  <si>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</si>
  <si>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</si>
  <si>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</si>
  <si>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</si>
  <si>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</si>
  <si>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</si>
  <si>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</si>
  <si>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</si>
  <si>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</si>
  <si>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</si>
  <si>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</si>
  <si>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</si>
  <si>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</si>
  <si>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</si>
  <si>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</si>
  <si>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</si>
  <si>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</si>
  <si>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</si>
  <si>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</si>
  <si>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</si>
  <si>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</si>
  <si>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</si>
  <si>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</si>
  <si>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</si>
  <si>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</si>
  <si>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</si>
  <si>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</si>
  <si>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</si>
  <si>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</si>
  <si>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АРМ СПС.</t>
  </si>
  <si>
    <t>21</t>
  </si>
  <si>
    <t>Установка аппарата настольного массой до 0,03 т</t>
  </si>
  <si>
    <t>21,1</t>
  </si>
  <si>
    <t>КА. п. 1</t>
  </si>
  <si>
    <t>Центральный прибор индикации и управления с функцией мониторинга СОУЭ  ЦПИУ Рубеж исп.1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</si>
  <si>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</si>
  <si>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</si>
  <si>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</si>
  <si>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</si>
  <si>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[468 387 / 1,22 /  7,57] +  3% Трансп +  1,2% Заг.скл</t>
  </si>
  <si>
    <t>1,2</t>
  </si>
  <si>
    <t>Базовое оборудование СПС.</t>
  </si>
  <si>
    <t>22</t>
  </si>
  <si>
    <t>4.10-80-1</t>
  </si>
  <si>
    <t>Аппараты приемные, приборы ПС приемно-контрольные, пусковые, концентратор, блок базовый на 10 лучей</t>
  </si>
  <si>
    <t>ТСН-2001.4 Доп. 68, Сб. 10, т. 80, поз. 1</t>
  </si>
  <si>
    <t>23</t>
  </si>
  <si>
    <t>КА п.2</t>
  </si>
  <si>
    <t>Прибор приемно-контрольный и управления охранно-пожарный адресный R3-Рубеж-2ОП</t>
  </si>
  <si>
    <t>ШТ</t>
  </si>
  <si>
    <t>Материалы</t>
  </si>
  <si>
    <t>Материалы, изделия и конструкции</t>
  </si>
  <si>
    <t>[42 981 / 1,22 /  7,57] +  3% Трансп +  1,2% Заг.скл</t>
  </si>
  <si>
    <t>Аппараты приемные, приборы ПС приемно-контрольные, пусковые, концентратор, блок базовый на 20 лучей</t>
  </si>
  <si>
    <t>КА. п. 2</t>
  </si>
  <si>
    <t>24</t>
  </si>
  <si>
    <t>Монтаж блока информационно-управляющего (БИУ) в диспетчерской</t>
  </si>
  <si>
    <t>24,1</t>
  </si>
  <si>
    <t>КА. п. 3</t>
  </si>
  <si>
    <t>Блок индикации и управления R3-Рубеж-БИУ</t>
  </si>
  <si>
    <t>[21 132 / 1,22 /  7,57] +  3% Трансп +  1,2% Заг.скл</t>
  </si>
  <si>
    <t>25</t>
  </si>
  <si>
    <t>Монтаж блока питания сети (БПС) в диспетчерской</t>
  </si>
  <si>
    <t>25,1</t>
  </si>
  <si>
    <t>КА. п. 4</t>
  </si>
  <si>
    <t>Источник питания адресный ИВЭПР 12/2 RS-R3 2х12 БР</t>
  </si>
  <si>
    <t>[7 634 / 1,22 /  7,57] +  3% Трансп +  1,2% Заг.скл</t>
  </si>
  <si>
    <t>25,2</t>
  </si>
  <si>
    <t>КА. п. 5</t>
  </si>
  <si>
    <t>Источник питания адресный ИВЭПР 12/2 RS-R3 2х17 БР</t>
  </si>
  <si>
    <t>[8 306 / 1,22 /  7,57] +  3% Трансп +  1,2% Заг.скл</t>
  </si>
  <si>
    <t>25,3</t>
  </si>
  <si>
    <t>КА. п. 6</t>
  </si>
  <si>
    <t>Источник питания адресный ИВЭПР 12/5 RS-R3 2х40 БР</t>
  </si>
  <si>
    <t>[13 025 / 1,22 /  7,57] +  3% Трансп +  1,2% Заг.скл</t>
  </si>
  <si>
    <t>Оконечное оборудование СПС. Автоматические и ручные пожарные и охранные извещатели.</t>
  </si>
  <si>
    <t>Извещатели ПС автоматические, дымовой, фотоэлектрический, радиоизотопный, световой в нормальном исполнении</t>
  </si>
  <si>
    <t>13.1-2-675</t>
  </si>
  <si>
    <t>ТСН-2001.13-2. Доп. 47, Р. 1, о. 2, поз. 675</t>
  </si>
  <si>
    <t>13.1-2-676</t>
  </si>
  <si>
    <t>ТСН-2001.13-2. Доп. 47, Р. 1, о. 2, поз. 676</t>
  </si>
  <si>
    <t>26</t>
  </si>
  <si>
    <t>27</t>
  </si>
  <si>
    <t>КА. п. 29</t>
  </si>
  <si>
    <t>Извещатель пожарный дымовой оптико-электронный адресно-аналоговый ИП 212-64-R3 W1.03 RBZ-337454</t>
  </si>
  <si>
    <t>[1 552,45 / 1,22 /  7,57] +  3% Трансп +  1,2% Заг.скл</t>
  </si>
  <si>
    <t>28</t>
  </si>
  <si>
    <t>КА. п. 30</t>
  </si>
  <si>
    <t>Извещатель пожарный дымовой оптико-электронный линейный ИПДЛ-264/1-50-R3 RBZ-342260</t>
  </si>
  <si>
    <t>[25 078 / 1,22 /  7,57] +  3% Трансп +  1,2% Заг.скл</t>
  </si>
  <si>
    <t>Извещатели ПС автоматические, тепловой электроконтактный, магнито-контактный в нормальном исполнении</t>
  </si>
  <si>
    <t>13.1-2-682</t>
  </si>
  <si>
    <t>ТСН-2001.13-2. Доп. 47, Р. 1, о. 2, поз. 682</t>
  </si>
  <si>
    <t>29</t>
  </si>
  <si>
    <t>30</t>
  </si>
  <si>
    <t>КА. п. 31</t>
  </si>
  <si>
    <t>Извещатель пожарный тепловой максимально-дифференциальный адресно-аналоговый ИП 101-29-PR-R3 W1.03 RBZ-337475</t>
  </si>
  <si>
    <t>[1 529 / 1,22 /  7,57] +  3% Трансп +  1,2% Заг.скл</t>
  </si>
  <si>
    <t>31</t>
  </si>
  <si>
    <t>Монтаж ключа или кнопки на панели</t>
  </si>
  <si>
    <t>31,1</t>
  </si>
  <si>
    <t>13.1-2-530</t>
  </si>
  <si>
    <t>Извещатель пожарный ручной адресный ИПР 513-3АМ. Напряжение от 8 до 11 В, потребляемый ток 0,5 мА, степень защиты IР40, диапазон рабочих температур от -30 до +55°С, габаритные размеры 95x91x33 мм</t>
  </si>
  <si>
    <t>ТСН-2001.13-2. Доп. 34. 13.1-2-530</t>
  </si>
  <si>
    <t>Аппараты приемные, устройства промежуточные на 1 луч</t>
  </si>
  <si>
    <t>13.1-2-684</t>
  </si>
  <si>
    <t>ТСН-2001.13-2. Доп. 47, Р. 1, о. 2, поз. 684</t>
  </si>
  <si>
    <t>32</t>
  </si>
  <si>
    <t>33</t>
  </si>
  <si>
    <t>КА. п. 32</t>
  </si>
  <si>
    <t>Изолятор шлейфа базовый ИЗ-1Б-R3 (L2.42) RBZ-454587</t>
  </si>
  <si>
    <t>[830,7 / 1,22 /  7,57] +  3% Трансп +  1,2% Заг.скл</t>
  </si>
  <si>
    <t>34</t>
  </si>
  <si>
    <t>КА. п. 33</t>
  </si>
  <si>
    <t>Изолятор шлейфа базовый ИЗ-1Б-R3 (L1.42) RBZ-382431</t>
  </si>
  <si>
    <t>[585 / 1,22 /  7,57] +  3% Трансп +  1,2% Заг.скл</t>
  </si>
  <si>
    <t>35</t>
  </si>
  <si>
    <t>Конструкция для установки извещателя</t>
  </si>
  <si>
    <t>35,1</t>
  </si>
  <si>
    <t>1.14-2-48</t>
  </si>
  <si>
    <t>Кольцо (монтажное устройство) для монтажа в подвесных потолках извещателей, типа ИП-212</t>
  </si>
  <si>
    <t>ТСН-2001.1 Доп. 73, Р. 14, о. 2, поз. 48</t>
  </si>
  <si>
    <t>Материалы, поставляемые с оборудованием СПС,</t>
  </si>
  <si>
    <t>36</t>
  </si>
  <si>
    <t>КА. п. 7</t>
  </si>
  <si>
    <t>Аккумуляторная батарея PTK -BATTERY 12-12Ah</t>
  </si>
  <si>
    <t>[3 355,81 / 1,22 /  7,57] +  3% Трансп +  1,2% Заг.скл</t>
  </si>
  <si>
    <t>37</t>
  </si>
  <si>
    <t>КА. п. 8</t>
  </si>
  <si>
    <t>Аккумуляторная батарея PTK -BATTERY 12-18Ah</t>
  </si>
  <si>
    <t>[5 538,25 / 1,22 /  7,57] +  3% Трансп +  1,2% Заг.скл</t>
  </si>
  <si>
    <t>38</t>
  </si>
  <si>
    <t>КА. п. 9</t>
  </si>
  <si>
    <t>Аккумуляторная батарея PTK -BATTERY 12-40Ah</t>
  </si>
  <si>
    <t>[14 812,89 / 1,22 /  7,57] +  3% Трансп +  1,2% Заг.скл</t>
  </si>
  <si>
    <t>Базовое оборудование СПА.</t>
  </si>
  <si>
    <t>39</t>
  </si>
  <si>
    <t>40</t>
  </si>
  <si>
    <t>41</t>
  </si>
  <si>
    <t>41,1</t>
  </si>
  <si>
    <t>КА. п. 10</t>
  </si>
  <si>
    <t>Конвертер протоколов МС-КП</t>
  </si>
  <si>
    <t>[7 960 / 1,22 /  7,57] +  3% Трансп +  1,2% Заг.скл</t>
  </si>
  <si>
    <t>41,2</t>
  </si>
  <si>
    <t>КА. п. 11</t>
  </si>
  <si>
    <t>Модуль сопряжения R3-МС</t>
  </si>
  <si>
    <t>[19 567 / 1,22 /  7,57] +  3% Трансп +  1,2% Заг.скл</t>
  </si>
  <si>
    <t>42</t>
  </si>
  <si>
    <t>42,1</t>
  </si>
  <si>
    <t>Оконечное оборудование СПА.</t>
  </si>
  <si>
    <t>43</t>
  </si>
  <si>
    <t>4.11-3-1</t>
  </si>
  <si>
    <t>Установка прибора массой до 5 кг на металлоконструкциях или щитах</t>
  </si>
  <si>
    <t>ТСН-2001.4 Доп. 67, Сб. 11, т. 3, поз. 1</t>
  </si>
  <si>
    <t>43,1</t>
  </si>
  <si>
    <t>1.1-1-60</t>
  </si>
  <si>
    <t>Болты строительные с шестигранной головкой с гайками, М6</t>
  </si>
  <si>
    <t>т</t>
  </si>
  <si>
    <t>ТСН-2001.1 Доп. 79, Р. 1, о. 1, поз. 60</t>
  </si>
  <si>
    <t>44</t>
  </si>
  <si>
    <t>КА. п. 12</t>
  </si>
  <si>
    <t>Модуль автоматики дымоудаления МДУ-1-R3</t>
  </si>
  <si>
    <t>[4 150 / 1,22 /  7,57] +  3% Трансп +  1,2% Заг.скл</t>
  </si>
  <si>
    <t>Монтаж аппарата управления и сигнализации с количеством подключаемых концов до 6</t>
  </si>
  <si>
    <t>45</t>
  </si>
  <si>
    <t>45,1</t>
  </si>
  <si>
    <t>КА. п. 13</t>
  </si>
  <si>
    <t>Устройство дистанционного пуска типа УДП 513-11ИКЗ-А-R3</t>
  </si>
  <si>
    <t>[1 529,73 / 1,22 /  7,57] +  3% Трансп +  1,2% Заг.скл</t>
  </si>
  <si>
    <t>46</t>
  </si>
  <si>
    <t>46,1</t>
  </si>
  <si>
    <t>КА. п. 14</t>
  </si>
  <si>
    <t>Изолятор шлейфа ИЗ-1 прот.R3</t>
  </si>
  <si>
    <t>[681,72 / 1,22 /  7,57] +  3% Трансп +  1,2% Заг.скл</t>
  </si>
  <si>
    <t>47</t>
  </si>
  <si>
    <t>4.11-17-1</t>
  </si>
  <si>
    <t>Монтаж щитов и пультов массой до 50кг</t>
  </si>
  <si>
    <t>ТСН-2001.4 Доп. 80, Сб. 11, т. 17, поз. 1</t>
  </si>
  <si>
    <t>48</t>
  </si>
  <si>
    <t>КА. п. 15</t>
  </si>
  <si>
    <t>Шкаф управления с автоматическим выключателем без теплового расщепителя ШУН/В -1,5-03-R3</t>
  </si>
  <si>
    <t>[50 410 / 1,22 /  7,57] +  3% Трансп +  1,2% Заг.скл</t>
  </si>
  <si>
    <t>49</t>
  </si>
  <si>
    <t>КА. п. 16</t>
  </si>
  <si>
    <t>Шкаф управления с автоматическим выключателем без теплового расщепителя ШУН/В -5,5-03-R3</t>
  </si>
  <si>
    <t>[55 670 / 1,22 /  7,57] +  3% Трансп +  1,2% Заг.скл</t>
  </si>
  <si>
    <t>50</t>
  </si>
  <si>
    <t>КА. п. 17</t>
  </si>
  <si>
    <t>Шкаф управления с преобразователем частоты ШУН/В -11-00-ПЧ-R3</t>
  </si>
  <si>
    <t>[141 920,1 / 1,22 /  7,57] +  3% Трансп +  1,2% Заг.скл</t>
  </si>
  <si>
    <t>51</t>
  </si>
  <si>
    <t>КА. п. 18</t>
  </si>
  <si>
    <t>Шкаф управления с преобразователем частоты ШУН/В -22-00-ПЧ-R3</t>
  </si>
  <si>
    <t>[264 555 / 1,22 /  7,57] +  3% Трансп +  1,2% Заг.скл</t>
  </si>
  <si>
    <t>52</t>
  </si>
  <si>
    <t>КА. п. 19</t>
  </si>
  <si>
    <t>Шкаф управления задвижкой ШУЗ -1,5-00-R3</t>
  </si>
  <si>
    <t>[36 999 / 1,22 /  7,57] +  3% Трансп +  1,2% Заг.скл</t>
  </si>
  <si>
    <t>Монтаж шкафа управления или регулирования</t>
  </si>
  <si>
    <t>53</t>
  </si>
  <si>
    <t>Аппараты приемные, устройства промежуточные на 5 лучей</t>
  </si>
  <si>
    <t>53,1</t>
  </si>
  <si>
    <t>КА. п. 20</t>
  </si>
  <si>
    <t>Адресная метка АМ-4-R3</t>
  </si>
  <si>
    <t>[1 683 / 1,22 /  9,84] +  2% Заг.скл</t>
  </si>
  <si>
    <t>0</t>
  </si>
  <si>
    <t>53,2</t>
  </si>
  <si>
    <t>КА. п. 21</t>
  </si>
  <si>
    <t>Адресная метка АМ-1-R3</t>
  </si>
  <si>
    <t>[942 / 1,22 /  9,84] +  2% Заг.скл</t>
  </si>
  <si>
    <t>54</t>
  </si>
  <si>
    <t>54,1</t>
  </si>
  <si>
    <t>КА. п. 22</t>
  </si>
  <si>
    <t>Адресный релейный модуль РМ-4-R3</t>
  </si>
  <si>
    <t>[3 675 / 1,22 /  7,57] +  3% Трансп +  1,2% Заг.скл</t>
  </si>
  <si>
    <t>54,2</t>
  </si>
  <si>
    <t>КА. п. 23</t>
  </si>
  <si>
    <t>Адресный релейный модуль РМ-1-R3</t>
  </si>
  <si>
    <t>[1 503 / 1,22 /  7,57] +  3% Трансп +  1,2% Заг.скл</t>
  </si>
  <si>
    <t>Материалы, поставляемые с оборудованием СПА.</t>
  </si>
  <si>
    <t>55</t>
  </si>
  <si>
    <t>13.1-1-21</t>
  </si>
  <si>
    <t>Батарея аккумуляторная, емкость 17 А·ч, напряжение 12 В</t>
  </si>
  <si>
    <t>ТСН-2001.13-2. Доп. 40. 13.1-1-21</t>
  </si>
  <si>
    <t>Кабельная продукция и материалы.</t>
  </si>
  <si>
    <t>56</t>
  </si>
  <si>
    <t>56,1</t>
  </si>
  <si>
    <t>1.12-5-372</t>
  </si>
  <si>
    <t>Трубы электротехнические, гофрированные, из ПВХ, негорючие, с зондом, наружный диаметр 20 мм</t>
  </si>
  <si>
    <t>м</t>
  </si>
  <si>
    <t>ТСН-2001.1 Доп. 67, Р. 12, о. 5, поз. 372</t>
  </si>
  <si>
    <t>1.12-2-1163</t>
  </si>
  <si>
    <t>Хомуты из оцинкованной стали с резиновыми прокладками для жесткого и скользящего крепления полипропиленовых труб, наружный диаметр 20 мм</t>
  </si>
  <si>
    <t>ТСН-2001.1 Доп. 46, Р. 12, о. 2, поз. 1163</t>
  </si>
  <si>
    <t>Материалы строительные</t>
  </si>
  <si>
    <t>ТСН-2001.1 Материалы строительные</t>
  </si>
  <si>
    <t>ТСН-2001.1-1</t>
  </si>
  <si>
    <t>57</t>
  </si>
  <si>
    <t>1.21-5-1475</t>
  </si>
  <si>
    <t>Скоба двухлапковая стальная оцинкованная, для кабелей диаметром от 19 до 20 мм</t>
  </si>
  <si>
    <t>1000 шт.</t>
  </si>
  <si>
    <t>ТСН-2001.1 Доп. 79, Р. 21, о. 5, поз. 1475</t>
  </si>
  <si>
    <t>Материалы монтажные</t>
  </si>
  <si>
    <t>ТСН-2001.1 Материалы монтажные</t>
  </si>
  <si>
    <t>ТСН-2001.1-2</t>
  </si>
  <si>
    <t>58</t>
  </si>
  <si>
    <t>КА. п. 24</t>
  </si>
  <si>
    <t>Кабели огнестойкие низкотоксичные для систем пожарной безопасности КСРВнг(А)-FRLSLTx 1х2х0,97 мм</t>
  </si>
  <si>
    <t>М.</t>
  </si>
  <si>
    <t>[112,8 / 1,22 /  9,84] +  2% Заг.скл</t>
  </si>
  <si>
    <t>59</t>
  </si>
  <si>
    <t>КА. п. 25</t>
  </si>
  <si>
    <t>Кабели для промышленного интерфейса КИС-РВнг(А)-FRLSLTx 1х2х0,97 для интерфейса RS-485</t>
  </si>
  <si>
    <t>[310,9 / 1,22 /  9,84] +  2% Заг.скл</t>
  </si>
  <si>
    <t>60</t>
  </si>
  <si>
    <t>КА. п. 26</t>
  </si>
  <si>
    <t>Огнестойкий низкотоксичный кабель ParLan F/UTP Cat5e PVCLS нг(А)-FRLSLTx 4х2х0,52</t>
  </si>
  <si>
    <t>[262,8 / 1,22 /  9,84] +  2% Заг.скл</t>
  </si>
  <si>
    <t>61</t>
  </si>
  <si>
    <t>КА. п. 27</t>
  </si>
  <si>
    <t>Кабели огнестойкие низкотоксичные для систем пожарной безопасности КСРВнг(А)-FRLSLTx 2х2х0,97 мм</t>
  </si>
  <si>
    <t>[219,5 / 1,22 /  9,84] +  2% Заг.скл</t>
  </si>
  <si>
    <t>62</t>
  </si>
  <si>
    <t>КА. п. 28</t>
  </si>
  <si>
    <t>Огнестойкий низкотоксичный кабель КСРВГнг(А)-FRLSLTx 2х2х0,75 мм</t>
  </si>
  <si>
    <t>[247,8 / 1,22 /  9,84] +  2% Заг.скл</t>
  </si>
  <si>
    <t>63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</si>
  <si>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</si>
  <si>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</si>
  <si>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ТСН-2001.4 Доп. 54, Сб. 8, т. 288, поз. 2</t>
  </si>
  <si>
    <t>1.21-5-1136</t>
  </si>
  <si>
    <t>Держатель пластиковый с защелкой для крепления труб, рукавов и гибких вводов диаметром 20 мм</t>
  </si>
  <si>
    <t>100 шт.</t>
  </si>
  <si>
    <t>ТСН-2001.1 Доп. 73, Р. 21, о. 5, поз. 1136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</si>
  <si>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</si>
  <si>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</si>
  <si>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</si>
  <si>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</si>
  <si>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</si>
  <si>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ТСН-2001.4 Доп. 79, Сб. 8, т. 175, поз. 2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</si>
  <si>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</si>
  <si>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t>
  </si>
  <si>
    <t>ТСН-2001.4 Доп. 80, Сб. 8, т. 175, поз. 9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</si>
  <si>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</si>
  <si>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</si>
  <si>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</si>
  <si>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</si>
  <si>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1.1-1-7994</t>
  </si>
  <si>
    <t>Шнур асбестовый, общего назначения, типа ШАОН, диаметр от 3 до 5 мм</t>
  </si>
  <si>
    <t>ТСН-2001.1 Доп. 79, Р. 1, о. 1, поз. 7994</t>
  </si>
  <si>
    <t>1.1-1-8066</t>
  </si>
  <si>
    <t>кг</t>
  </si>
  <si>
    <t>ТСН-2001.1 Доп. 79, Р. 1, о. 1, поз. 8066</t>
  </si>
  <si>
    <t>64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</si>
  <si>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</si>
  <si>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</si>
  <si>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</si>
  <si>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</si>
  <si>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</si>
  <si>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</si>
  <si>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</si>
  <si>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</si>
  <si>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</si>
  <si>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</si>
  <si>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</si>
  <si>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</si>
  <si>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</si>
  <si>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</si>
  <si>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</si>
  <si>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</si>
  <si>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</si>
  <si>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81, строительство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</si>
  <si>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</si>
  <si>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</si>
  <si>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</si>
  <si>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</si>
  <si>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</si>
  <si>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</si>
  <si>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</si>
  <si>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</si>
  <si>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</si>
  <si>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</si>
  <si>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</si>
  <si>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</si>
  <si>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</si>
  <si>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</si>
  <si>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</si>
  <si>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</si>
  <si>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</si>
  <si>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</si>
  <si>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</si>
  <si>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</si>
  <si>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</si>
  <si>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</si>
  <si>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2.1-30-102</t>
  </si>
  <si>
    <t>ТСН-2001.2. Доп. 68. п.1-30-102 (303704)</t>
  </si>
  <si>
    <t>Дрели, мощность до 800 Вт</t>
  </si>
  <si>
    <t>2.1-30-56</t>
  </si>
  <si>
    <t>ТСН-2001.2. Доп. 68. п.1-30-56 (309101)</t>
  </si>
  <si>
    <t>Шуруповерты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</si>
  <si>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</si>
  <si>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</si>
  <si>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</si>
  <si>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км</t>
  </si>
  <si>
    <t>1.21-5-1141</t>
  </si>
  <si>
    <t>ТСН-2001.1 Доп. 67, Р. 21, о. 5, поз. 1141</t>
  </si>
  <si>
    <t>Трубка (кембрик) изоляционная из ПВХ пластиката, диаметр 5 мм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</si>
  <si>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</si>
  <si>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</si>
  <si>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</si>
  <si>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1.21-5-1655</t>
  </si>
  <si>
    <t>ТСН-2001.1 Доп. 67, Р. 21, о. 5, поз. 1655</t>
  </si>
  <si>
    <t>Перемычка гибкая, типа ПГС 50-280</t>
  </si>
  <si>
    <t>1.21-5-798</t>
  </si>
  <si>
    <t>ТСН-2001.1 Доп. 67, Р. 21, о. 5, поз. 798</t>
  </si>
  <si>
    <t>Лента монтажная, типа ЛМ-5</t>
  </si>
  <si>
    <t>1.21-5-800</t>
  </si>
  <si>
    <t>ТСН-2001.1 Доп. 67, Р. 21, о. 5, поз. 800</t>
  </si>
  <si>
    <t>Кнопка для ленты ЛМ, типа 3,5</t>
  </si>
  <si>
    <t>2.1-30-10</t>
  </si>
  <si>
    <t>ТСН-2001.2. Доп. 68. п.1-30-10 (304101)</t>
  </si>
  <si>
    <t>Перфораторы, мощность до 800 Вт</t>
  </si>
  <si>
    <t>1.21-5-926</t>
  </si>
  <si>
    <t>ТСН-2001.1 Доп. 67, Р. 21, о. 5, поз. 926</t>
  </si>
  <si>
    <t>Хомут (стяжка) кабельный из полиамида, размеры 3,6х200 мм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</si>
  <si>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</si>
  <si>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</si>
  <si>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</si>
  <si>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9999990001</t>
  </si>
  <si>
    <t>Масса мусора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</si>
  <si>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</si>
  <si>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</si>
  <si>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</si>
  <si>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2.1-30-37</t>
  </si>
  <si>
    <t>ТСН-2001.2. Доп. 68. п.1-30-37 (307101)</t>
  </si>
  <si>
    <t>Станки вертикально-сверлильные</t>
  </si>
  <si>
    <t>1.1-1-1566</t>
  </si>
  <si>
    <t>ТСН-2001.1 Доп. 79, Р. 1, о. 1, поз. 1566</t>
  </si>
  <si>
    <t>Электроды, типа Э-42, Э-46, Э-50, диаметр от 4 до 6 мм</t>
  </si>
  <si>
    <t>1.1-1-1576</t>
  </si>
  <si>
    <t>ТСН-2001.1 Доп. 79, Р. 1, о. 1, поз. 1576</t>
  </si>
  <si>
    <t>Эмаль пентафталевая, белая, типа ПФ-115</t>
  </si>
  <si>
    <t>1.1-1-165</t>
  </si>
  <si>
    <t>ТСН-2001.1 Доп. 79, Р. 1, о. 1, поз. 165</t>
  </si>
  <si>
    <t>Грунтовка глифталевая, типа ГФ-021</t>
  </si>
  <si>
    <t>1.1-1-2623</t>
  </si>
  <si>
    <t>ТСН-2001.1 Доп. 79, Р. 1, о. 1, поз. 2623</t>
  </si>
  <si>
    <t>Болты строительные с шестигранной головкой, М12</t>
  </si>
  <si>
    <t>1.1-1-3482</t>
  </si>
  <si>
    <t>ТСН-2001.1 Доп. 79, Р. 1, о. 1, поз. 3482</t>
  </si>
  <si>
    <t>Лист рифленый, с ромбическим рифлением, из стали углеродистой обыкновенного качества, полуспокойной и спокойной, толщина 4 мм</t>
  </si>
  <si>
    <t>1.1-1-995</t>
  </si>
  <si>
    <t>ТСН-2001.1 Доп. 79, Р. 1, о. 1, поз. 995</t>
  </si>
  <si>
    <t>Растворитель типа Р-4</t>
  </si>
  <si>
    <t>1.1-1-999</t>
  </si>
  <si>
    <t>ТСН-2001.1 Доп. 79, Р. 1, о. 1, поз. 999</t>
  </si>
  <si>
    <t>Растворитель "Уайт-спирит"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</si>
  <si>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</si>
  <si>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</si>
  <si>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</si>
  <si>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</si>
  <si>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</si>
  <si>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</si>
  <si>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1.1-1-1723</t>
  </si>
  <si>
    <t>ТСН-2001.1 Доп. 79, Р. 1, о. 1, поз. 1723</t>
  </si>
  <si>
    <t>Лента изоляционная, прорезиненная, односторонняя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</si>
  <si>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</si>
  <si>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</si>
  <si>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</si>
  <si>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</si>
  <si>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</si>
  <si>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</si>
  <si>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</si>
  <si>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</si>
  <si>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</si>
  <si>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</si>
  <si>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</si>
  <si>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</si>
  <si>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1.21-5-1544</t>
  </si>
  <si>
    <t>ТСН-2001.1 Доп. 65, Р. 21, о. 5, поз. 1544</t>
  </si>
  <si>
    <t>Гильзы кабельные медные типа ГМ 6</t>
  </si>
  <si>
    <t>1.21-5-1555</t>
  </si>
  <si>
    <t>ТСН-2001.1 Доп. 79, Р. 21, о. 5, поз. 1555</t>
  </si>
  <si>
    <t>Втулка трубная, полипропиленовая, диаметр 22 мм</t>
  </si>
  <si>
    <t>1.21-5-758</t>
  </si>
  <si>
    <t>ТСН-2001.1 Доп. 79, Р. 21, о. 5, поз. 758</t>
  </si>
  <si>
    <t>Зажим соединительно-изолирующий, типа СИЗ-3</t>
  </si>
  <si>
    <t>4200000000</t>
  </si>
  <si>
    <t>Аппараты настольные (4000000000, 4300000000)</t>
  </si>
  <si>
    <t>4372420000</t>
  </si>
  <si>
    <t>Блоки информационно-управляющие (БИУ)</t>
  </si>
  <si>
    <t>4372900000</t>
  </si>
  <si>
    <t>Блоки питания сети (БПС)</t>
  </si>
  <si>
    <t>3428400000</t>
  </si>
  <si>
    <t>Ключи или кнопки пусковые</t>
  </si>
  <si>
    <t>1297020000</t>
  </si>
  <si>
    <t>Болты строительные с гайками и шайбами (1297030000, 1610000000, 1620000000, 1680000000)</t>
  </si>
  <si>
    <t>3428000000</t>
  </si>
  <si>
    <t>Аппараты управления и сигнализации</t>
  </si>
  <si>
    <t>3415000000</t>
  </si>
  <si>
    <t>Шкафы управления и регулирования (3416000000)</t>
  </si>
  <si>
    <t>3449639000</t>
  </si>
  <si>
    <t>Бирки маркировочные для кабелей и проводов</t>
  </si>
  <si>
    <t>3449820000</t>
  </si>
  <si>
    <t>Наконечники кабельные медные</t>
  </si>
  <si>
    <t>2248200000</t>
  </si>
  <si>
    <t>Трубы электротехнические гофрированные (2248100000)</t>
  </si>
  <si>
    <t>3449953000</t>
  </si>
  <si>
    <t>Скобы для крепления кабеля</t>
  </si>
  <si>
    <t>3574000000</t>
  </si>
  <si>
    <t>Кабели связи огнестойкие</t>
  </si>
  <si>
    <t>5285920000</t>
  </si>
  <si>
    <t>Анкеры клиновые</t>
  </si>
  <si>
    <t>Приборы, устанавливаемые на металлоконструкциях или щитах</t>
  </si>
  <si>
    <t>4236000000</t>
  </si>
  <si>
    <t>Щиты и пульты автоматики (4235000000)</t>
  </si>
  <si>
    <t>Трубы поливинилхлоридные гофрированные</t>
  </si>
  <si>
    <t>3434200000</t>
  </si>
  <si>
    <t>Коробки соединительные</t>
  </si>
  <si>
    <t>3449651000</t>
  </si>
  <si>
    <t>Держатели пластиковые для труб</t>
  </si>
  <si>
    <t>3500000000</t>
  </si>
  <si>
    <t>Провода (марка и сечение по проекту)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</si>
  <si>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</si>
  <si>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</si>
  <si>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</si>
  <si>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</si>
  <si>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</si>
  <si>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</si>
  <si>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</si>
  <si>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</si>
  <si>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</si>
  <si>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</si>
  <si>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</si>
  <si>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Извещатель пожарный дымовой оптико-электронный адресно-аналоговый типа ИП 212-64, протокол R3. Тип извещателя 2-х проводной, световая индикация в дежурном режиме, пожар и тест, чувствительность от 0,05 до 0,2 дБ/м, напряжение питания от 28 до 36 В, диапазон рабочих температур от -25 до +55°C, диаметр 94 мм, высота 45 мм</t>
  </si>
  <si>
    <t>Извещатель пожарный дымовой линейный типа ИПДЛ–264/1-50, протокол R3. Тип извещателя 2-х проводной, световая индикация в дежурном режиме, пожар неисправность и настройка, напряжение питания от 8 до 36 В, ток потребления не более 0,8 мА, диапазон рабочих температур от -25 до +55°C, габаритные размеры 160х96х100 мм</t>
  </si>
  <si>
    <t>Извещатель пожарный тепловой максимально-дифференциальный адресно-аналоговый типа ИП 101-29-PR, протокол R3. Световая индикация в дежурном режиме, пожар и тест, напряжение питания от 28 до 36 В, ток потребления в дежурном режиме не более 0,2 мА, диапазон рабочих температур от -35 до +55°C, диаметр 94 мм, высота 55 мм</t>
  </si>
  <si>
    <t>Изолятор шлейфа типа ИЗ-1Б, протокол R3. Накладной, разрывает цепь, увеличивая сопротивление электрической связи между клеммами АЛС1 и АЛС2 до 4 кОм, электрическое сопротивление защищаемого участка АЛС, степень защиты IP20, диапазон рабочих температур от -25 до +60°C, диаметр 145 мм, высота 42 мм</t>
  </si>
  <si>
    <t>Герметик огнезащитный, однокомпонентный, акриловый, тиксотропный, плотность от 1530 до 1610 кг/м3, температура нанесения от +5 до +50°С, температура эксплуатации от -35 до +80°С, для устройства огнестойких деформационных, строительных швов, заделки стыков, отверстий, трещин, щелей, полостей в строительных конструкциях, для применения в составе изделий противопожарного назначения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</si>
  <si>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</si>
  <si>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</si>
  <si>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</si>
  <si>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</si>
  <si>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</si>
  <si>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</si>
  <si>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</si>
  <si>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</si>
  <si>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</si>
  <si>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</si>
  <si>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</si>
  <si>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</si>
  <si>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</si>
  <si>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</si>
  <si>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</si>
  <si>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</si>
  <si>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</si>
  <si>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</si>
  <si>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</si>
  <si>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</si>
  <si>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</si>
  <si>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</si>
  <si>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</si>
  <si>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</si>
  <si>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</si>
  <si>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</si>
  <si>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02-01-08 СПС АСПЗ 20.07.26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</si>
  <si>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</si>
  <si>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</si>
  <si>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</si>
  <si>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</si>
  <si>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</si>
  <si>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</si>
  <si>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</si>
  <si>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</si>
  <si>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</si>
  <si>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</si>
  <si>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</si>
  <si>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</si>
  <si>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</si>
  <si>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</si>
  <si>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</si>
  <si>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 xml:space="preserve">   Итого по ТСН-2001.16</t>
  </si>
  <si>
    <t xml:space="preserve">   Итого возвратных сумм</t>
  </si>
  <si>
    <r>
      <t>ОБОРУДОВАНИЕ:_x000D_
Центральный прибор индикации и управления с функцией мониторинга СОУЭ  ЦПИУ Рубеж исп.1</t>
    </r>
    <r>
      <rPr>
        <i/>
        <sz val="10"/>
        <color rgb="FF821E82"/>
        <rFont val="Arial"/>
        <family val="2"/>
        <charset val="204"/>
      </rPr>
      <t xml:space="preserve">
52 864,83 = [468 387 / 1,22 /  7,57] +  3% Трансп +  1,2% Заг.скл</t>
    </r>
  </si>
  <si>
    <t>МР</t>
  </si>
  <si>
    <r>
      <t>ОБОРУДОВАНИЕ:_x000D_
Прибор приемно-контрольный и управления охранно-пожарный адресный R3-Рубеж-2ОП</t>
    </r>
    <r>
      <rPr>
        <i/>
        <sz val="10"/>
        <color rgb="FF821E82"/>
        <rFont val="Arial"/>
        <family val="2"/>
        <charset val="204"/>
      </rPr>
      <t xml:space="preserve">
4 851,08 = [42 981 / 1,22 /  7,57] +  3% Трансп +  1,2% Заг.скл</t>
    </r>
  </si>
  <si>
    <r>
      <t>ОБОРУДОВАНИЕ:_x000D_
Блок индикации и управления R3-Рубеж-БИУ</t>
    </r>
    <r>
      <rPr>
        <i/>
        <sz val="10"/>
        <color rgb="FF821E82"/>
        <rFont val="Arial"/>
        <family val="2"/>
        <charset val="204"/>
      </rPr>
      <t xml:space="preserve">
2 385,07 = [21 132 / 1,22 /  7,57] +  3% Трансп +  1,2% Заг.скл</t>
    </r>
  </si>
  <si>
    <r>
      <t>ОБОРУДОВАНИЕ:_x000D_
Источник питания адресный ИВЭПР 12/2 RS-R3 2х12 БР</t>
    </r>
    <r>
      <rPr>
        <i/>
        <sz val="10"/>
        <color rgb="FF821E82"/>
        <rFont val="Arial"/>
        <family val="2"/>
        <charset val="204"/>
      </rPr>
      <t xml:space="preserve">
861,62 = [7 634 / 1,22 /  7,57] +  3% Трансп +  1,2% Заг.скл</t>
    </r>
  </si>
  <si>
    <r>
      <t>ОБОРУДОВАНИЕ:_x000D_
Источник питания адресный ИВЭПР 12/2 RS-R3 2х17 БР</t>
    </r>
    <r>
      <rPr>
        <i/>
        <sz val="10"/>
        <color rgb="FF821E82"/>
        <rFont val="Arial"/>
        <family val="2"/>
        <charset val="204"/>
      </rPr>
      <t xml:space="preserve">
937,47 = [8 306 / 1,22 /  7,57] +  3% Трансп +  1,2% Заг.скл</t>
    </r>
  </si>
  <si>
    <r>
      <t>ОБОРУДОВАНИЕ:_x000D_
Источник питания адресный ИВЭПР 12/5 RS-R3 2х40 БР</t>
    </r>
    <r>
      <rPr>
        <i/>
        <sz val="10"/>
        <color rgb="FF821E82"/>
        <rFont val="Arial"/>
        <family val="2"/>
        <charset val="204"/>
      </rPr>
      <t xml:space="preserve">
1 470,07 = [13 025 / 1,22 /  7,57] +  3% Трансп +  1,2% Заг.скл</t>
    </r>
  </si>
  <si>
    <r>
      <t>ОБОРУДОВАНИЕ:_x000D_
Извещатель пожарный дымовой оптико-электронный адресно-аналоговый ИП 212-64-R3 W1.03 RBZ-337454</t>
    </r>
    <r>
      <rPr>
        <i/>
        <sz val="10"/>
        <color rgb="FF821E82"/>
        <rFont val="Arial"/>
        <family val="2"/>
        <charset val="204"/>
      </rPr>
      <t xml:space="preserve">
175,22 = [1 552,45 / 1,22 /  7,57] +  3% Трансп +  1,2% Заг.скл</t>
    </r>
  </si>
  <si>
    <r>
      <t>ОБОРУДОВАНИЕ:_x000D_
Извещатель пожарный дымовой оптико-электронный линейный ИПДЛ-264/1-50-R3 RBZ-342260</t>
    </r>
    <r>
      <rPr>
        <i/>
        <sz val="10"/>
        <color rgb="FF821E82"/>
        <rFont val="Arial"/>
        <family val="2"/>
        <charset val="204"/>
      </rPr>
      <t xml:space="preserve">
2 830,44 = [25 078 / 1,22 /  7,57] +  3% Трансп +  1,2% Заг.скл</t>
    </r>
  </si>
  <si>
    <r>
      <t>ОБОРУДОВАНИЕ:_x000D_
Извещатель пожарный тепловой максимально-дифференциальный адресно-аналоговый ИП 101-29-PR-R3 W1.03 RBZ-337475</t>
    </r>
    <r>
      <rPr>
        <i/>
        <sz val="10"/>
        <color rgb="FF821E82"/>
        <rFont val="Arial"/>
        <family val="2"/>
        <charset val="204"/>
      </rPr>
      <t xml:space="preserve">
172,58 = [1 529 / 1,22 /  7,57] +  3% Трансп +  1,2% Заг.скл</t>
    </r>
  </si>
  <si>
    <t>ОБОРУДОВАНИЕ:_x000D_
Извещатель пожарный ручной адресный ИПР 513-3АМ. Напряжение от 8 до 11 В, потребляемый ток 0,5 мА, степень защиты IР40, диапазон рабочих температур от -30 до +55°С, габаритные размеры 95x91x33 мм</t>
  </si>
  <si>
    <r>
      <t>ОБОРУДОВАНИЕ:_x000D_
Изолятор шлейфа базовый ИЗ-1Б-R3 (L2.42) RBZ-454587</t>
    </r>
    <r>
      <rPr>
        <i/>
        <sz val="10"/>
        <color rgb="FF821E82"/>
        <rFont val="Arial"/>
        <family val="2"/>
        <charset val="204"/>
      </rPr>
      <t xml:space="preserve">
93,76 = [830,7 / 1,22 /  7,57] +  3% Трансп +  1,2% Заг.скл</t>
    </r>
  </si>
  <si>
    <r>
      <t>ОБОРУДОВАНИЕ:_x000D_
Изолятор шлейфа базовый ИЗ-1Б-R3 (L1.42) RBZ-382431</t>
    </r>
    <r>
      <rPr>
        <i/>
        <sz val="10"/>
        <color rgb="FF821E82"/>
        <rFont val="Arial"/>
        <family val="2"/>
        <charset val="204"/>
      </rPr>
      <t xml:space="preserve">
66,02 = [585 / 1,22 /  7,57] +  3% Трансп +  1,2% Заг.скл</t>
    </r>
  </si>
  <si>
    <r>
      <t>ОБОРУДОВАНИЕ:_x000D_
Аккумуляторная батарея PTK -BATTERY 12-12Ah</t>
    </r>
    <r>
      <rPr>
        <i/>
        <sz val="10"/>
        <color rgb="FF821E82"/>
        <rFont val="Arial"/>
        <family val="2"/>
        <charset val="204"/>
      </rPr>
      <t xml:space="preserve">
378,75 = [3 355,81 / 1,22 /  7,57] +  3% Трансп +  1,2% Заг.скл</t>
    </r>
  </si>
  <si>
    <r>
      <t>ОБОРУДОВАНИЕ:_x000D_
Аккумуляторная батарея PTK -BATTERY 12-18Ah</t>
    </r>
    <r>
      <rPr>
        <i/>
        <sz val="10"/>
        <color rgb="FF821E82"/>
        <rFont val="Arial"/>
        <family val="2"/>
        <charset val="204"/>
      </rPr>
      <t xml:space="preserve">
625,08 = [5 538,25 / 1,22 /  7,57] +  3% Трансп +  1,2% Заг.скл</t>
    </r>
  </si>
  <si>
    <r>
      <t>ОБОРУДОВАНИЕ:_x000D_
Аккумуляторная батарея PTK -BATTERY 12-40Ah</t>
    </r>
    <r>
      <rPr>
        <i/>
        <sz val="10"/>
        <color rgb="FF821E82"/>
        <rFont val="Arial"/>
        <family val="2"/>
        <charset val="204"/>
      </rPr>
      <t xml:space="preserve">
1 671,87 = [14 812,89 / 1,22 /  7,57] +  3% Трансп +  1,2% Заг.скл</t>
    </r>
  </si>
  <si>
    <r>
      <t>ОБОРУДОВАНИЕ:_x000D_
Конвертер протоколов МС-КП</t>
    </r>
    <r>
      <rPr>
        <i/>
        <sz val="10"/>
        <color rgb="FF821E82"/>
        <rFont val="Arial"/>
        <family val="2"/>
        <charset val="204"/>
      </rPr>
      <t xml:space="preserve">
898,41 = [7 960 / 1,22 /  7,57] +  3% Трансп +  1,2% Заг.скл</t>
    </r>
  </si>
  <si>
    <r>
      <t>ОБОРУДОВАНИЕ:_x000D_
Модуль сопряжения R3-МС</t>
    </r>
    <r>
      <rPr>
        <i/>
        <sz val="10"/>
        <color rgb="FF821E82"/>
        <rFont val="Arial"/>
        <family val="2"/>
        <charset val="204"/>
      </rPr>
      <t xml:space="preserve">
2 208,45 = [19 567 / 1,22 /  7,57] +  3% Трансп +  1,2% Заг.скл</t>
    </r>
  </si>
  <si>
    <r>
      <t>ОБОРУДОВАНИЕ:_x000D_
Модуль автоматики дымоудаления МДУ-1-R3</t>
    </r>
    <r>
      <rPr>
        <i/>
        <sz val="10"/>
        <color rgb="FF821E82"/>
        <rFont val="Arial"/>
        <family val="2"/>
        <charset val="204"/>
      </rPr>
      <t xml:space="preserve">
468,39 = [4 150 / 1,22 /  7,57] +  3% Трансп +  1,2% Заг.скл</t>
    </r>
  </si>
  <si>
    <r>
      <t>ОБОРУДОВАНИЕ:_x000D_
Устройство дистанционного пуска типа УДП 513-11ИКЗ-А-R3</t>
    </r>
    <r>
      <rPr>
        <i/>
        <sz val="10"/>
        <color rgb="FF821E82"/>
        <rFont val="Arial"/>
        <family val="2"/>
        <charset val="204"/>
      </rPr>
      <t xml:space="preserve">
172,66 = [1 529,73 / 1,22 /  7,57] +  3% Трансп +  1,2% Заг.скл</t>
    </r>
  </si>
  <si>
    <r>
      <t>ОБОРУДОВАНИЕ:_x000D_
Изолятор шлейфа ИЗ-1 прот.R3</t>
    </r>
    <r>
      <rPr>
        <i/>
        <sz val="10"/>
        <color rgb="FF821E82"/>
        <rFont val="Arial"/>
        <family val="2"/>
        <charset val="204"/>
      </rPr>
      <t xml:space="preserve">
76,94 = [681,72 / 1,22 /  7,57] +  3% Трансп +  1,2% Заг.скл</t>
    </r>
  </si>
  <si>
    <r>
      <t>ОБОРУДОВАНИЕ:_x000D_
Шкаф управления с автоматическим выключателем без теплового расщепителя ШУН/В -1,5-03-R3</t>
    </r>
    <r>
      <rPr>
        <i/>
        <sz val="10"/>
        <color rgb="FF821E82"/>
        <rFont val="Arial"/>
        <family val="2"/>
        <charset val="204"/>
      </rPr>
      <t xml:space="preserve">
5 689,57 = [50 410 / 1,22 /  7,57] +  3% Трансп +  1,2% Заг.скл</t>
    </r>
  </si>
  <si>
    <r>
      <t>ОБОРУДОВАНИЕ:_x000D_
Шкаф управления с автоматическим выключателем без теплового расщепителя ШУН/В -5,5-03-R3</t>
    </r>
    <r>
      <rPr>
        <i/>
        <sz val="10"/>
        <color rgb="FF821E82"/>
        <rFont val="Arial"/>
        <family val="2"/>
        <charset val="204"/>
      </rPr>
      <t xml:space="preserve">
6 283,23 = [55 670 / 1,22 /  7,57] +  3% Трансп +  1,2% Заг.скл</t>
    </r>
  </si>
  <si>
    <r>
      <t>ОБОРУДОВАНИЕ:_x000D_
Шкаф управления с преобразователем частоты ШУН/В -11-00-ПЧ-R3</t>
    </r>
    <r>
      <rPr>
        <i/>
        <sz val="10"/>
        <color rgb="FF821E82"/>
        <rFont val="Arial"/>
        <family val="2"/>
        <charset val="204"/>
      </rPr>
      <t xml:space="preserve">
16 017,92 = [141 920,1 / 1,22 /  7,57] +  3% Трансп +  1,2% Заг.скл</t>
    </r>
  </si>
  <si>
    <r>
      <t>ОБОРУДОВАНИЕ:_x000D_
Шкаф управления с преобразователем частоты ШУН/В -22-00-ПЧ-R3</t>
    </r>
    <r>
      <rPr>
        <i/>
        <sz val="10"/>
        <color rgb="FF821E82"/>
        <rFont val="Arial"/>
        <family val="2"/>
        <charset val="204"/>
      </rPr>
      <t xml:space="preserve">
29 859,18 = [264 555 / 1,22 /  7,57] +  3% Трансп +  1,2% Заг.скл</t>
    </r>
  </si>
  <si>
    <r>
      <t>ОБОРУДОВАНИЕ:_x000D_
Шкаф управления задвижкой ШУЗ -1,5-00-R3</t>
    </r>
    <r>
      <rPr>
        <i/>
        <sz val="10"/>
        <color rgb="FF821E82"/>
        <rFont val="Arial"/>
        <family val="2"/>
        <charset val="204"/>
      </rPr>
      <t xml:space="preserve">
4 175,93 = [36 999 / 1,22 /  7,57] +  3% Трансп +  1,2% Заг.скл</t>
    </r>
  </si>
  <si>
    <r>
      <t>Адресная метка АМ-4-R3</t>
    </r>
    <r>
      <rPr>
        <i/>
        <sz val="10"/>
        <rFont val="Arial"/>
        <family val="2"/>
        <charset val="204"/>
      </rPr>
      <t xml:space="preserve">
142,99 = [1 683 / 1,22 /  9,84] +  2% Заг.скл</t>
    </r>
  </si>
  <si>
    <r>
      <t>Адресная метка АМ-1-R3</t>
    </r>
    <r>
      <rPr>
        <i/>
        <sz val="10"/>
        <rFont val="Arial"/>
        <family val="2"/>
        <charset val="204"/>
      </rPr>
      <t xml:space="preserve">
80,04 = [942 / 1,22 /  9,84] +  2% Заг.скл</t>
    </r>
  </si>
  <si>
    <r>
      <t>ОБОРУДОВАНИЕ:_x000D_
Адресный релейный модуль РМ-4-R3</t>
    </r>
    <r>
      <rPr>
        <i/>
        <sz val="10"/>
        <color rgb="FF821E82"/>
        <rFont val="Arial"/>
        <family val="2"/>
        <charset val="204"/>
      </rPr>
      <t xml:space="preserve">
414,79 = [3 675 / 1,22 /  7,57] +  3% Трансп +  1,2% Заг.скл</t>
    </r>
  </si>
  <si>
    <r>
      <t>ОБОРУДОВАНИЕ:_x000D_
Адресный релейный модуль РМ-1-R3</t>
    </r>
    <r>
      <rPr>
        <i/>
        <sz val="10"/>
        <color rgb="FF821E82"/>
        <rFont val="Arial"/>
        <family val="2"/>
        <charset val="204"/>
      </rPr>
      <t xml:space="preserve">
169,63 = [1 503 / 1,22 /  7,57] +  3% Трансп +  1,2% Заг.скл</t>
    </r>
  </si>
  <si>
    <r>
      <t>Кабели огнестойкие низкотоксичные для систем пожарной безопасности КСРВнг(А)-FRLSLTx 1х2х0,97 мм</t>
    </r>
    <r>
      <rPr>
        <i/>
        <sz val="10"/>
        <rFont val="Arial"/>
        <family val="2"/>
        <charset val="204"/>
      </rPr>
      <t xml:space="preserve">
9,59 = [112,8 / 1,22 /  9,84] +  2% Заг.скл</t>
    </r>
  </si>
  <si>
    <r>
      <t>Кабели для промышленного интерфейса КИС-РВнг(А)-FRLSLTx 1х2х0,97 для интерфейса RS-485</t>
    </r>
    <r>
      <rPr>
        <i/>
        <sz val="10"/>
        <rFont val="Arial"/>
        <family val="2"/>
        <charset val="204"/>
      </rPr>
      <t xml:space="preserve">
26,42 = [310,9 / 1,22 /  9,84] +  2% Заг.скл</t>
    </r>
  </si>
  <si>
    <r>
      <t>Огнестойкий низкотоксичный кабель ParLan F/UTP Cat5e PVCLS нг(А)-FRLSLTx 4х2х0,52</t>
    </r>
    <r>
      <rPr>
        <i/>
        <sz val="10"/>
        <rFont val="Arial"/>
        <family val="2"/>
        <charset val="204"/>
      </rPr>
      <t xml:space="preserve">
22,33 = [262,8 / 1,22 /  9,84] +  2% Заг.скл</t>
    </r>
  </si>
  <si>
    <r>
      <t>Кабели огнестойкие низкотоксичные для систем пожарной безопасности КСРВнг(А)-FRLSLTx 2х2х0,97 мм</t>
    </r>
    <r>
      <rPr>
        <i/>
        <sz val="10"/>
        <rFont val="Arial"/>
        <family val="2"/>
        <charset val="204"/>
      </rPr>
      <t xml:space="preserve">
18,65 = [219,5 / 1,22 /  9,84] +  2% Заг.скл</t>
    </r>
  </si>
  <si>
    <r>
      <t>Огнестойкий низкотоксичный кабель КСРВГнг(А)-FRLSLTx 2х2х0,75 мм</t>
    </r>
    <r>
      <rPr>
        <i/>
        <sz val="10"/>
        <rFont val="Arial"/>
        <family val="2"/>
        <charset val="204"/>
      </rPr>
      <t xml:space="preserve">
21,05 = [247,8 / 1,22 /  9,84]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</si>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</sst>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17" fillId="0" borderId="0" xfId="0" applyFont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9" fillId="0" borderId="0" xfId="0" quotePrefix="1" applyFont="1" applyAlignment="1">
      <alignment horizontal="right" vertical="top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1" xfId="0" applyFont="1" applyBorder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7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164" fontId="17" fillId="0" borderId="2" xfId="0" applyNumberFormat="1" applyFont="1" applyBorder="1" applyAlignment="1">
      <alignment horizontal="right" vertical="top"/>
    </xf>
    <xf numFmtId="0" fontId="13" fillId="0" borderId="0" xfId="0" applyFont="1" applyAlignment="1">
      <alignment horizontal="center" vertical="top" wrapText="1"/>
    </xf>
    <xf numFmtId="164" fontId="23" fillId="0" borderId="2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left" wrapText="1"/>
    </xf>
    <xf numFmtId="0" fontId="12" fillId="0" borderId="0" xfId="1" applyFont="1" applyAlignment="1">
      <alignment horizontal="left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7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0" borderId="0" xfId="0" applyFont="1" applyAlignment="1">
      <alignment horizontal="left"/>
    </xf>
  </cellXfs>
  <cellStyles count="2">
    <cellStyle name="Обычный" xfId="0" builtinId="0"/>
    <cellStyle name="Обычный 4" xfId="1" xr:uid="{6F27FBED-8E55-4B51-B755-DB2DD941C8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37-DA42-4D1B-A611-BEE6B3C0E8CF}">
  <sheetPr>
    <pageSetUpPr fitToPage="1"/>
  </sheetPr>
  <dimension ref="A1:AQ647"/>
  <sheetViews>
    <sheetView tabSelected="1" view="pageBreakPreview" topLeftCell="A615" zoomScaleNormal="100" zoomScaleSheetLayoutView="100" workbookViewId="0">
      <selection activeCell="A637" sqref="A637:XFD640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6" width="9.6328125" bestFit="1" customWidth="1"/>
    <col min="7" max="7" width="8.453125" bestFit="1" customWidth="1"/>
    <col min="8" max="8" width="9.54296875" bestFit="1" customWidth="1"/>
    <col min="9" max="9" width="10.7265625" bestFit="1" customWidth="1"/>
    <col min="10" max="10" width="9.81640625" bestFit="1" customWidth="1"/>
    <col min="11" max="11" width="12.54296875" bestFit="1" customWidth="1"/>
    <col min="15" max="41" width="0" hidden="1" customWidth="1"/>
    <col min="42" max="42" width="131.6328125" hidden="1" customWidth="1"/>
    <col min="43" max="43" width="9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79" t="s">
        <v>623</v>
      </c>
      <c r="K2" s="79"/>
    </row>
    <row r="3" spans="1:42" ht="16.5" hidden="1" x14ac:dyDescent="0.35">
      <c r="A3" s="18"/>
      <c r="B3" s="82" t="s">
        <v>621</v>
      </c>
      <c r="C3" s="82"/>
      <c r="D3" s="82"/>
      <c r="E3" s="82"/>
      <c r="F3" s="17"/>
      <c r="G3" s="82" t="s">
        <v>622</v>
      </c>
      <c r="H3" s="82"/>
      <c r="I3" s="82"/>
      <c r="J3" s="82"/>
      <c r="K3" s="82"/>
    </row>
    <row r="4" spans="1:42" ht="14" hidden="1" x14ac:dyDescent="0.3">
      <c r="A4" s="17"/>
      <c r="B4" s="63"/>
      <c r="C4" s="63"/>
      <c r="D4" s="63"/>
      <c r="E4" s="63"/>
      <c r="F4" s="17"/>
      <c r="G4" s="63"/>
      <c r="H4" s="63"/>
      <c r="I4" s="63"/>
      <c r="J4" s="63"/>
      <c r="K4" s="63"/>
    </row>
    <row r="5" spans="1:42" ht="14" hidden="1" x14ac:dyDescent="0.3">
      <c r="A5" s="17"/>
      <c r="B5" s="17"/>
      <c r="C5" s="19"/>
      <c r="D5" s="19"/>
      <c r="E5" s="19"/>
      <c r="F5" s="17"/>
      <c r="G5" s="19"/>
      <c r="H5" s="19"/>
      <c r="I5" s="19"/>
      <c r="J5" s="19"/>
      <c r="K5" s="19"/>
    </row>
    <row r="6" spans="1:42" ht="14" hidden="1" x14ac:dyDescent="0.3">
      <c r="A6" s="19"/>
      <c r="B6" s="63" t="str">
        <f>CONCATENATE("______________________ ", IF(Source!AL12&lt;&gt;"", Source!AL12, ""))</f>
        <v xml:space="preserve">______________________ </v>
      </c>
      <c r="C6" s="63"/>
      <c r="D6" s="63"/>
      <c r="E6" s="63"/>
      <c r="F6" s="17"/>
      <c r="G6" s="63" t="str">
        <f>CONCATENATE("______________________ ", IF(Source!AH12&lt;&gt;"", Source!AH12, ""))</f>
        <v xml:space="preserve">______________________ </v>
      </c>
      <c r="H6" s="63"/>
      <c r="I6" s="63"/>
      <c r="J6" s="63"/>
      <c r="K6" s="63"/>
    </row>
    <row r="7" spans="1:42" ht="14" hidden="1" x14ac:dyDescent="0.3">
      <c r="A7" s="20"/>
      <c r="B7" s="68" t="s">
        <v>624</v>
      </c>
      <c r="C7" s="68"/>
      <c r="D7" s="68"/>
      <c r="E7" s="68"/>
      <c r="F7" s="17"/>
      <c r="G7" s="68" t="s">
        <v>624</v>
      </c>
      <c r="H7" s="68"/>
      <c r="I7" s="68"/>
      <c r="J7" s="68"/>
      <c r="K7" s="68"/>
    </row>
    <row r="8" spans="1:42" hidden="1" x14ac:dyDescent="0.25"/>
    <row r="9" spans="1:42" ht="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46.5" x14ac:dyDescent="0.35">
      <c r="A10" s="80" t="s">
        <v>704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AP10" s="28" t="s">
        <v>647</v>
      </c>
    </row>
    <row r="11" spans="1:42" x14ac:dyDescent="0.25">
      <c r="A11" s="64" t="s">
        <v>625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15.5" x14ac:dyDescent="0.35">
      <c r="A13" s="80" t="str">
        <f>CONCATENATE( "ЛОКАЛЬНАЯ СМЕТА № ",IF(Source!F12&lt;&gt;"Новый объект", Source!F12, ""))</f>
        <v>ЛОКАЛЬНАЯ СМЕТА № 02-01-08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</row>
    <row r="14" spans="1:42" ht="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2" ht="18" x14ac:dyDescent="0.4">
      <c r="A15" s="75" t="str">
        <f>Source!G20</f>
        <v>Система пожарной сигнализации. Автоматизация систем противопожарной защиты.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</row>
    <row r="16" spans="1:42" x14ac:dyDescent="0.25">
      <c r="A16" s="76" t="s">
        <v>626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</row>
    <row r="17" spans="1:42" ht="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42" ht="14" x14ac:dyDescent="0.3">
      <c r="A18" s="73" t="str">
        <f>CONCATENATE( "Основание: чертежи № ", Source!J12)</f>
        <v>Основание: чертежи № 2024-00375-01-0-ИОС5.1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</row>
    <row r="19" spans="1:42" ht="14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42" ht="56" x14ac:dyDescent="0.3">
      <c r="A20" s="17"/>
      <c r="B20" s="17"/>
      <c r="C20" s="17"/>
      <c r="D20" s="17"/>
      <c r="E20" s="17"/>
      <c r="F20" s="17"/>
      <c r="G20" s="17"/>
      <c r="H20" s="17"/>
      <c r="I20" s="22" t="s">
        <v>627</v>
      </c>
      <c r="J20" s="22" t="s">
        <v>628</v>
      </c>
      <c r="K20" s="17"/>
    </row>
    <row r="21" spans="1:42" ht="14" x14ac:dyDescent="0.3">
      <c r="A21" s="17"/>
      <c r="B21" s="17"/>
      <c r="C21" s="17"/>
      <c r="D21" s="17"/>
      <c r="E21" s="78" t="s">
        <v>629</v>
      </c>
      <c r="F21" s="78"/>
      <c r="G21" s="78"/>
      <c r="H21" s="78"/>
      <c r="I21" s="23">
        <f>I22+I23+I24+I25</f>
        <v>808.06999999999994</v>
      </c>
      <c r="J21" s="23">
        <f>J22+J23+J24+J25</f>
        <v>14308.439999999999</v>
      </c>
      <c r="K21" s="24" t="s">
        <v>700</v>
      </c>
    </row>
    <row r="22" spans="1:42" ht="14" x14ac:dyDescent="0.3">
      <c r="A22" s="17"/>
      <c r="B22" s="17"/>
      <c r="C22" s="17"/>
      <c r="D22" s="17"/>
      <c r="E22" s="63" t="s">
        <v>630</v>
      </c>
      <c r="F22" s="63"/>
      <c r="G22" s="63"/>
      <c r="H22" s="63"/>
      <c r="I22" s="25">
        <f>ROUND((Source!F629)/1000, 2)</f>
        <v>3.07</v>
      </c>
      <c r="J22" s="25">
        <f>ROUND((Source!P629)/1000, 2)</f>
        <v>173.1</v>
      </c>
      <c r="K22" s="17" t="s">
        <v>700</v>
      </c>
    </row>
    <row r="23" spans="1:42" ht="14" x14ac:dyDescent="0.3">
      <c r="A23" s="17"/>
      <c r="B23" s="17"/>
      <c r="C23" s="17"/>
      <c r="D23" s="17"/>
      <c r="E23" s="63" t="s">
        <v>631</v>
      </c>
      <c r="F23" s="63"/>
      <c r="G23" s="63"/>
      <c r="H23" s="63"/>
      <c r="I23" s="25">
        <f>ROUND((Source!F630)/1000, 2)</f>
        <v>298.14999999999998</v>
      </c>
      <c r="J23" s="25">
        <f>ROUND((Source!P630)/1000, 2)</f>
        <v>10274.049999999999</v>
      </c>
      <c r="K23" s="17" t="s">
        <v>700</v>
      </c>
    </row>
    <row r="24" spans="1:42" ht="14" x14ac:dyDescent="0.3">
      <c r="A24" s="17"/>
      <c r="B24" s="17"/>
      <c r="C24" s="17"/>
      <c r="D24" s="17"/>
      <c r="E24" s="63" t="s">
        <v>632</v>
      </c>
      <c r="F24" s="63"/>
      <c r="G24" s="63"/>
      <c r="H24" s="63"/>
      <c r="I24" s="25">
        <f>ROUND((Source!F621)/1000, 2)</f>
        <v>506.85</v>
      </c>
      <c r="J24" s="25">
        <f>ROUND((Source!P621)/1000, 2)</f>
        <v>3861.29</v>
      </c>
      <c r="K24" s="17" t="s">
        <v>700</v>
      </c>
    </row>
    <row r="25" spans="1:42" ht="14" x14ac:dyDescent="0.3">
      <c r="A25" s="17"/>
      <c r="B25" s="17"/>
      <c r="C25" s="17"/>
      <c r="D25" s="17"/>
      <c r="E25" s="63" t="s">
        <v>633</v>
      </c>
      <c r="F25" s="63"/>
      <c r="G25" s="63"/>
      <c r="H25" s="63"/>
      <c r="I25" s="25">
        <f>ROUND((Source!F631+Source!F632)/1000, 2)</f>
        <v>0</v>
      </c>
      <c r="J25" s="25">
        <f>ROUND((Source!P631+Source!P632)/1000, 2)</f>
        <v>0</v>
      </c>
      <c r="K25" s="17" t="s">
        <v>700</v>
      </c>
    </row>
    <row r="26" spans="1:42" ht="14" x14ac:dyDescent="0.3">
      <c r="A26" s="17"/>
      <c r="B26" s="17"/>
      <c r="C26" s="17"/>
      <c r="D26" s="17"/>
      <c r="E26" s="63" t="s">
        <v>634</v>
      </c>
      <c r="F26" s="63"/>
      <c r="G26" s="63"/>
      <c r="H26" s="63"/>
      <c r="I26" s="25">
        <f>(Source!F627+ Source!F626)/1000</f>
        <v>69.61381999999999</v>
      </c>
      <c r="J26" s="25">
        <f>((Source!P627 + Source!P626)/1000)</f>
        <v>3922.7387599999997</v>
      </c>
      <c r="K26" s="17" t="s">
        <v>700</v>
      </c>
    </row>
    <row r="27" spans="1:42" ht="14" x14ac:dyDescent="0.3">
      <c r="A27" s="17"/>
      <c r="B27" s="17"/>
      <c r="C27" s="17"/>
      <c r="D27" s="17"/>
      <c r="E27" s="63" t="s">
        <v>635</v>
      </c>
      <c r="F27" s="63"/>
      <c r="G27" s="63"/>
      <c r="H27" s="63"/>
      <c r="I27" s="25">
        <f>Source!F634</f>
        <v>5666.8005989999992</v>
      </c>
      <c r="J27" s="25"/>
      <c r="K27" s="17" t="s">
        <v>461</v>
      </c>
    </row>
    <row r="28" spans="1:42" ht="14" hidden="1" x14ac:dyDescent="0.3">
      <c r="A28" s="17"/>
      <c r="B28" s="17"/>
      <c r="C28" s="17"/>
      <c r="D28" s="17"/>
      <c r="E28" s="63" t="s">
        <v>636</v>
      </c>
      <c r="F28" s="63"/>
      <c r="G28" s="63"/>
      <c r="H28" s="63"/>
      <c r="I28" s="25"/>
      <c r="J28" s="25"/>
      <c r="K28" s="17"/>
    </row>
    <row r="29" spans="1:42" ht="14" hidden="1" x14ac:dyDescent="0.3">
      <c r="A29" s="17"/>
      <c r="B29" s="17"/>
      <c r="C29" s="17"/>
      <c r="D29" s="17"/>
      <c r="E29" s="74" t="s">
        <v>156</v>
      </c>
      <c r="F29" s="74"/>
      <c r="G29" s="74"/>
      <c r="H29" s="74"/>
      <c r="I29" s="25">
        <f>SUM(Y1:Y639)/1000</f>
        <v>0</v>
      </c>
      <c r="J29" s="25">
        <f>SUM(Z1:Z639)/1000</f>
        <v>0</v>
      </c>
      <c r="K29" s="17" t="s">
        <v>700</v>
      </c>
    </row>
    <row r="30" spans="1:42" ht="14" x14ac:dyDescent="0.3">
      <c r="A30" s="17"/>
      <c r="B30" s="17"/>
      <c r="C30" s="17"/>
      <c r="D30" s="17"/>
      <c r="E30" s="17"/>
      <c r="F30" s="19"/>
      <c r="G30" s="19"/>
      <c r="H30" s="19"/>
      <c r="I30" s="25"/>
      <c r="J30" s="25"/>
      <c r="K30" s="17"/>
    </row>
    <row r="31" spans="1:42" ht="14" x14ac:dyDescent="0.3">
      <c r="A31" s="17" t="s">
        <v>648</v>
      </c>
      <c r="B31" s="17"/>
      <c r="C31" s="17"/>
      <c r="D31" s="17"/>
      <c r="E31" s="17"/>
      <c r="F31" s="19"/>
      <c r="G31" s="19"/>
      <c r="H31" s="19"/>
      <c r="I31" s="25"/>
      <c r="J31" s="25"/>
      <c r="K31" s="17"/>
    </row>
    <row r="32" spans="1:42" ht="28" x14ac:dyDescent="0.3">
      <c r="A32" s="73" t="s">
        <v>649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AP32" s="29" t="s">
        <v>649</v>
      </c>
    </row>
    <row r="33" spans="1:42" ht="98" x14ac:dyDescent="0.25">
      <c r="A33" s="26" t="s">
        <v>637</v>
      </c>
      <c r="B33" s="26" t="s">
        <v>638</v>
      </c>
      <c r="C33" s="26" t="s">
        <v>639</v>
      </c>
      <c r="D33" s="26" t="s">
        <v>640</v>
      </c>
      <c r="E33" s="26" t="s">
        <v>641</v>
      </c>
      <c r="F33" s="26" t="s">
        <v>642</v>
      </c>
      <c r="G33" s="27" t="s">
        <v>643</v>
      </c>
      <c r="H33" s="27" t="s">
        <v>644</v>
      </c>
      <c r="I33" s="26" t="s">
        <v>650</v>
      </c>
      <c r="J33" s="26" t="s">
        <v>645</v>
      </c>
      <c r="K33" s="26" t="s">
        <v>646</v>
      </c>
    </row>
    <row r="34" spans="1:42" ht="14" x14ac:dyDescent="0.25">
      <c r="A34" s="26">
        <v>1</v>
      </c>
      <c r="B34" s="26">
        <v>2</v>
      </c>
      <c r="C34" s="26">
        <v>3</v>
      </c>
      <c r="D34" s="26">
        <v>4</v>
      </c>
      <c r="E34" s="26">
        <v>5</v>
      </c>
      <c r="F34" s="26">
        <v>6</v>
      </c>
      <c r="G34" s="26">
        <v>7</v>
      </c>
      <c r="H34" s="26">
        <v>8</v>
      </c>
      <c r="I34" s="26">
        <v>9</v>
      </c>
      <c r="J34" s="26">
        <v>10</v>
      </c>
      <c r="K34" s="26">
        <v>11</v>
      </c>
    </row>
    <row r="36" spans="1:42" ht="16.5" x14ac:dyDescent="0.25">
      <c r="A36" s="71" t="str">
        <f>CONCATENATE("Локальная смета: ",IF(Source!G20&lt;&gt;"Новая локальная смета", Source!G20, ""))</f>
        <v>Локальная смета: Система пожарной сигнализации. Автоматизация систем противопожарной защиты.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AP36" s="30" t="str">
        <f>CONCATENATE("Локальная смета: ",IF(Source!G20&lt;&gt;"Новая локальная смета", Source!G20, ""))</f>
        <v>Локальная смета: Система пожарной сигнализации. Автоматизация систем противопожарной защиты.</v>
      </c>
    </row>
    <row r="38" spans="1:42" ht="16.5" x14ac:dyDescent="0.25">
      <c r="A38" s="71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AP38" s="30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</row>
    <row r="39" spans="1:42" ht="42" x14ac:dyDescent="0.25">
      <c r="A39" s="31">
        <v>1</v>
      </c>
      <c r="B39" s="31" t="str">
        <f>Source!F28</f>
        <v>4.11-7-2</v>
      </c>
      <c r="C39" s="31" t="s">
        <v>25</v>
      </c>
      <c r="D39" s="33" t="str">
        <f>Source!H28</f>
        <v>1  ШТ.</v>
      </c>
      <c r="E39" s="32">
        <f>Source!I28</f>
        <v>1</v>
      </c>
      <c r="F39" s="35"/>
      <c r="G39" s="34"/>
      <c r="H39" s="32"/>
      <c r="I39" s="35"/>
      <c r="J39" s="32"/>
      <c r="K39" s="35"/>
      <c r="Q39">
        <f>Source!X28</f>
        <v>13.09</v>
      </c>
      <c r="R39">
        <f>Source!X29</f>
        <v>737.4</v>
      </c>
      <c r="S39">
        <f>Source!Y28</f>
        <v>6.69</v>
      </c>
      <c r="T39">
        <f>Source!Y29</f>
        <v>376.89</v>
      </c>
      <c r="U39">
        <f>ROUND((175/100)*ROUND(Source!R28, 2), 2)</f>
        <v>2.66</v>
      </c>
      <c r="V39">
        <f>ROUND((0/100)*ROUND(Source!R29, 2), 2)</f>
        <v>0</v>
      </c>
      <c r="AC39">
        <v>0</v>
      </c>
    </row>
    <row r="40" spans="1:42" ht="14.5" x14ac:dyDescent="0.25">
      <c r="A40" s="31"/>
      <c r="B40" s="31"/>
      <c r="C40" s="31" t="s">
        <v>651</v>
      </c>
      <c r="D40" s="33"/>
      <c r="E40" s="32"/>
      <c r="F40" s="35">
        <f>Source!AO28</f>
        <v>34.549999999999997</v>
      </c>
      <c r="G40" s="36" t="s">
        <v>652</v>
      </c>
      <c r="H40" s="32">
        <f>Source!AV29</f>
        <v>1.0469999999999999</v>
      </c>
      <c r="I40" s="35">
        <f>Source!S28</f>
        <v>13.02</v>
      </c>
      <c r="J40" s="32">
        <f>IF(Source!BA29&lt;&gt; 0, Source!BA29, 1)</f>
        <v>56.35</v>
      </c>
      <c r="K40" s="35">
        <f>Source!S29</f>
        <v>733.68</v>
      </c>
    </row>
    <row r="41" spans="1:42" ht="14.5" x14ac:dyDescent="0.25">
      <c r="A41" s="31"/>
      <c r="B41" s="31"/>
      <c r="C41" s="31" t="s">
        <v>653</v>
      </c>
      <c r="D41" s="33"/>
      <c r="E41" s="32"/>
      <c r="F41" s="35">
        <f>Source!AM28</f>
        <v>26.59</v>
      </c>
      <c r="G41" s="36" t="s">
        <v>652</v>
      </c>
      <c r="H41" s="32">
        <f>Source!AV29</f>
        <v>1.0469999999999999</v>
      </c>
      <c r="I41" s="35">
        <f>Source!Q28</f>
        <v>10.02</v>
      </c>
      <c r="J41" s="32">
        <f>IF(Source!BB29&lt;&gt; 0, Source!BB29, 1)</f>
        <v>17.07</v>
      </c>
      <c r="K41" s="35">
        <f>Source!Q29</f>
        <v>171.04</v>
      </c>
    </row>
    <row r="42" spans="1:42" ht="14.5" x14ac:dyDescent="0.25">
      <c r="A42" s="31"/>
      <c r="B42" s="31"/>
      <c r="C42" s="31" t="s">
        <v>654</v>
      </c>
      <c r="D42" s="33"/>
      <c r="E42" s="32"/>
      <c r="F42" s="35">
        <f>Source!AN28</f>
        <v>4.04</v>
      </c>
      <c r="G42" s="36" t="s">
        <v>652</v>
      </c>
      <c r="H42" s="32">
        <f>Source!AV29</f>
        <v>1.0469999999999999</v>
      </c>
      <c r="I42" s="37">
        <f>Source!R28</f>
        <v>1.52</v>
      </c>
      <c r="J42" s="32">
        <f>IF(Source!BS29&lt;&gt; 0, Source!BS29, 1)</f>
        <v>56.35</v>
      </c>
      <c r="K42" s="37">
        <f>Source!R29</f>
        <v>85.65</v>
      </c>
    </row>
    <row r="43" spans="1:42" ht="14.5" x14ac:dyDescent="0.25">
      <c r="A43" s="31"/>
      <c r="B43" s="31"/>
      <c r="C43" s="31" t="s">
        <v>655</v>
      </c>
      <c r="D43" s="33" t="s">
        <v>656</v>
      </c>
      <c r="E43" s="32">
        <f>Source!BZ29</f>
        <v>90</v>
      </c>
      <c r="F43" s="35"/>
      <c r="G43" s="34"/>
      <c r="H43" s="32"/>
      <c r="I43" s="35">
        <f>SUM(Q39:Q42)</f>
        <v>13.09</v>
      </c>
      <c r="J43" s="32">
        <f>Source!AT29</f>
        <v>90</v>
      </c>
      <c r="K43" s="35">
        <f>SUM(R39:R42)</f>
        <v>737.4</v>
      </c>
    </row>
    <row r="44" spans="1:42" ht="14.5" x14ac:dyDescent="0.25">
      <c r="A44" s="31"/>
      <c r="B44" s="31"/>
      <c r="C44" s="31" t="s">
        <v>657</v>
      </c>
      <c r="D44" s="33" t="s">
        <v>656</v>
      </c>
      <c r="E44" s="32">
        <f>Source!CA29</f>
        <v>46</v>
      </c>
      <c r="F44" s="35"/>
      <c r="G44" s="34"/>
      <c r="H44" s="32"/>
      <c r="I44" s="35">
        <f>SUM(S39:S43)</f>
        <v>6.69</v>
      </c>
      <c r="J44" s="32">
        <f>Source!AU29</f>
        <v>46</v>
      </c>
      <c r="K44" s="35">
        <f>SUM(T39:T43)</f>
        <v>376.89</v>
      </c>
    </row>
    <row r="45" spans="1:42" ht="14.5" x14ac:dyDescent="0.25">
      <c r="A45" s="38"/>
      <c r="B45" s="38"/>
      <c r="C45" s="38" t="s">
        <v>658</v>
      </c>
      <c r="D45" s="39" t="s">
        <v>659</v>
      </c>
      <c r="E45" s="40">
        <f>Source!AQ28</f>
        <v>3.09</v>
      </c>
      <c r="F45" s="41"/>
      <c r="G45" s="42" t="s">
        <v>652</v>
      </c>
      <c r="H45" s="40">
        <f>Source!AV29</f>
        <v>1.0469999999999999</v>
      </c>
      <c r="I45" s="41">
        <f>Source!U28</f>
        <v>1.1646827999999998</v>
      </c>
      <c r="J45" s="40"/>
      <c r="K45" s="41"/>
    </row>
    <row r="46" spans="1:42" ht="14" x14ac:dyDescent="0.25">
      <c r="C46" s="43" t="s">
        <v>660</v>
      </c>
      <c r="H46" s="70">
        <f>I40+I41+I43+I44+0-0-0</f>
        <v>42.819999999999993</v>
      </c>
      <c r="I46" s="70"/>
      <c r="J46" s="70">
        <f>K40+K41+K43+K44+0-0-0</f>
        <v>2019.0099999999998</v>
      </c>
      <c r="K46" s="70"/>
    </row>
    <row r="47" spans="1:42" ht="14" hidden="1" x14ac:dyDescent="0.25">
      <c r="C47" s="43" t="s">
        <v>661</v>
      </c>
      <c r="H47" s="65">
        <f>0+0</f>
        <v>0</v>
      </c>
      <c r="I47" s="65"/>
      <c r="J47" s="65">
        <f>0+0</f>
        <v>0</v>
      </c>
      <c r="K47" s="65"/>
    </row>
    <row r="48" spans="1:42" ht="14" x14ac:dyDescent="0.25">
      <c r="C48" s="43" t="s">
        <v>662</v>
      </c>
      <c r="H48" s="65">
        <f>I40+I41+I43+I44+0</f>
        <v>42.819999999999993</v>
      </c>
      <c r="I48" s="65"/>
      <c r="J48" s="65">
        <f>K40+K41+K43+K44+0</f>
        <v>2019.0099999999998</v>
      </c>
      <c r="K48" s="65"/>
      <c r="O48" s="44">
        <f>I40+I41+I43+I44+0</f>
        <v>42.819999999999993</v>
      </c>
      <c r="P48" s="44">
        <f>K40+K41+K43+K44+0</f>
        <v>2019.0099999999998</v>
      </c>
    </row>
    <row r="50" spans="1:29" ht="56" x14ac:dyDescent="0.25">
      <c r="A50" s="31">
        <v>2</v>
      </c>
      <c r="B50" s="31" t="str">
        <f>Source!F30</f>
        <v>4.10-80-2</v>
      </c>
      <c r="C50" s="31" t="s">
        <v>36</v>
      </c>
      <c r="D50" s="33" t="str">
        <f>Source!H30</f>
        <v>1  ШТ.</v>
      </c>
      <c r="E50" s="32">
        <f>Source!I30</f>
        <v>3</v>
      </c>
      <c r="F50" s="35"/>
      <c r="G50" s="34"/>
      <c r="H50" s="32"/>
      <c r="I50" s="35"/>
      <c r="J50" s="32"/>
      <c r="K50" s="35"/>
      <c r="Q50">
        <f>Source!X30</f>
        <v>157.18</v>
      </c>
      <c r="R50">
        <f>Source!X31</f>
        <v>8856.86</v>
      </c>
      <c r="S50">
        <f>Source!Y30</f>
        <v>80.33</v>
      </c>
      <c r="T50">
        <f>Source!Y31</f>
        <v>4526.84</v>
      </c>
      <c r="U50">
        <f>ROUND((175/100)*ROUND(Source!R30, 2), 2)</f>
        <v>0.02</v>
      </c>
      <c r="V50">
        <f>ROUND((0/100)*ROUND(Source!R31, 2), 2)</f>
        <v>0</v>
      </c>
      <c r="AC50">
        <v>0</v>
      </c>
    </row>
    <row r="51" spans="1:29" ht="14.5" x14ac:dyDescent="0.25">
      <c r="A51" s="31"/>
      <c r="B51" s="31"/>
      <c r="C51" s="31" t="s">
        <v>651</v>
      </c>
      <c r="D51" s="33"/>
      <c r="E51" s="32"/>
      <c r="F51" s="35">
        <f>Source!AO30</f>
        <v>154.44</v>
      </c>
      <c r="G51" s="36" t="s">
        <v>652</v>
      </c>
      <c r="H51" s="32">
        <f>Source!AV31</f>
        <v>1.0469999999999999</v>
      </c>
      <c r="I51" s="35">
        <f>Source!S30</f>
        <v>174.63</v>
      </c>
      <c r="J51" s="32">
        <f>IF(Source!BA31&lt;&gt; 0, Source!BA31, 1)</f>
        <v>56.35</v>
      </c>
      <c r="K51" s="35">
        <f>Source!S31</f>
        <v>9840.4</v>
      </c>
    </row>
    <row r="52" spans="1:29" ht="14.5" x14ac:dyDescent="0.25">
      <c r="A52" s="31"/>
      <c r="B52" s="31"/>
      <c r="C52" s="31" t="s">
        <v>653</v>
      </c>
      <c r="D52" s="33"/>
      <c r="E52" s="32"/>
      <c r="F52" s="35">
        <f>Source!AM30</f>
        <v>0.06</v>
      </c>
      <c r="G52" s="36" t="s">
        <v>652</v>
      </c>
      <c r="H52" s="32">
        <f>Source!AV31</f>
        <v>1.0469999999999999</v>
      </c>
      <c r="I52" s="35">
        <f>Source!Q30</f>
        <v>7.0000000000000007E-2</v>
      </c>
      <c r="J52" s="32">
        <f>IF(Source!BB31&lt;&gt; 0, Source!BB31, 1)</f>
        <v>18.5</v>
      </c>
      <c r="K52" s="35">
        <f>Source!Q31</f>
        <v>1.3</v>
      </c>
    </row>
    <row r="53" spans="1:29" ht="14.5" x14ac:dyDescent="0.25">
      <c r="A53" s="31"/>
      <c r="B53" s="31"/>
      <c r="C53" s="31" t="s">
        <v>654</v>
      </c>
      <c r="D53" s="33"/>
      <c r="E53" s="32"/>
      <c r="F53" s="35">
        <f>Source!AN30</f>
        <v>0.01</v>
      </c>
      <c r="G53" s="36" t="s">
        <v>652</v>
      </c>
      <c r="H53" s="32">
        <f>Source!AV31</f>
        <v>1.0469999999999999</v>
      </c>
      <c r="I53" s="37">
        <f>Source!R30</f>
        <v>0.01</v>
      </c>
      <c r="J53" s="32">
        <f>IF(Source!BS31&lt;&gt; 0, Source!BS31, 1)</f>
        <v>56.35</v>
      </c>
      <c r="K53" s="37">
        <f>Source!R31</f>
        <v>0.56000000000000005</v>
      </c>
    </row>
    <row r="54" spans="1:29" ht="14.5" x14ac:dyDescent="0.25">
      <c r="A54" s="31"/>
      <c r="B54" s="31"/>
      <c r="C54" s="31" t="s">
        <v>655</v>
      </c>
      <c r="D54" s="33" t="s">
        <v>656</v>
      </c>
      <c r="E54" s="32">
        <f>Source!BZ31</f>
        <v>90</v>
      </c>
      <c r="F54" s="35"/>
      <c r="G54" s="34"/>
      <c r="H54" s="32"/>
      <c r="I54" s="35">
        <f>SUM(Q50:Q53)</f>
        <v>157.18</v>
      </c>
      <c r="J54" s="32">
        <f>Source!AT31</f>
        <v>90</v>
      </c>
      <c r="K54" s="35">
        <f>SUM(R50:R53)</f>
        <v>8856.86</v>
      </c>
    </row>
    <row r="55" spans="1:29" ht="14.5" x14ac:dyDescent="0.25">
      <c r="A55" s="31"/>
      <c r="B55" s="31"/>
      <c r="C55" s="31" t="s">
        <v>657</v>
      </c>
      <c r="D55" s="33" t="s">
        <v>656</v>
      </c>
      <c r="E55" s="32">
        <f>Source!CA31</f>
        <v>46</v>
      </c>
      <c r="F55" s="35"/>
      <c r="G55" s="34"/>
      <c r="H55" s="32"/>
      <c r="I55" s="35">
        <f>SUM(S50:S54)</f>
        <v>80.33</v>
      </c>
      <c r="J55" s="32">
        <f>Source!AU31</f>
        <v>46</v>
      </c>
      <c r="K55" s="35">
        <f>SUM(T50:T54)</f>
        <v>4526.84</v>
      </c>
    </row>
    <row r="56" spans="1:29" ht="14.5" x14ac:dyDescent="0.25">
      <c r="A56" s="38"/>
      <c r="B56" s="38"/>
      <c r="C56" s="38" t="s">
        <v>658</v>
      </c>
      <c r="D56" s="39" t="s">
        <v>659</v>
      </c>
      <c r="E56" s="40">
        <f>Source!AQ30</f>
        <v>11.7</v>
      </c>
      <c r="F56" s="41"/>
      <c r="G56" s="42" t="s">
        <v>652</v>
      </c>
      <c r="H56" s="40">
        <f>Source!AV31</f>
        <v>1.0469999999999999</v>
      </c>
      <c r="I56" s="41">
        <f>Source!U30</f>
        <v>13.229892</v>
      </c>
      <c r="J56" s="40"/>
      <c r="K56" s="41"/>
    </row>
    <row r="57" spans="1:29" ht="14" x14ac:dyDescent="0.25">
      <c r="C57" s="43" t="s">
        <v>660</v>
      </c>
      <c r="H57" s="70">
        <f>I51+I52+I54+I55+0-0-0</f>
        <v>412.21</v>
      </c>
      <c r="I57" s="70"/>
      <c r="J57" s="70">
        <f>K51+K52+K54+K55+0-0-0</f>
        <v>23225.399999999998</v>
      </c>
      <c r="K57" s="70"/>
    </row>
    <row r="58" spans="1:29" ht="14" hidden="1" x14ac:dyDescent="0.25">
      <c r="C58" s="43" t="s">
        <v>661</v>
      </c>
      <c r="H58" s="65">
        <f>0+0</f>
        <v>0</v>
      </c>
      <c r="I58" s="65"/>
      <c r="J58" s="65">
        <f>0+0</f>
        <v>0</v>
      </c>
      <c r="K58" s="65"/>
    </row>
    <row r="59" spans="1:29" ht="14" x14ac:dyDescent="0.25">
      <c r="C59" s="43" t="s">
        <v>662</v>
      </c>
      <c r="H59" s="65">
        <f>I51+I52+I54+I55+0</f>
        <v>412.21</v>
      </c>
      <c r="I59" s="65"/>
      <c r="J59" s="65">
        <f>K51+K52+K54+K55+0</f>
        <v>23225.399999999998</v>
      </c>
      <c r="K59" s="65"/>
      <c r="O59" s="44">
        <f>I51+I52+I54+I55+0</f>
        <v>412.21</v>
      </c>
      <c r="P59" s="44">
        <f>K51+K52+K54+K55+0</f>
        <v>23225.399999999998</v>
      </c>
    </row>
    <row r="61" spans="1:29" ht="42" x14ac:dyDescent="0.25">
      <c r="A61" s="31">
        <v>3</v>
      </c>
      <c r="B61" s="31" t="str">
        <f>Source!F32</f>
        <v>4.10-170-2</v>
      </c>
      <c r="C61" s="31" t="s">
        <v>42</v>
      </c>
      <c r="D61" s="33" t="str">
        <f>Source!H32</f>
        <v>1  ШТ.</v>
      </c>
      <c r="E61" s="32">
        <f>Source!I32</f>
        <v>1</v>
      </c>
      <c r="F61" s="35"/>
      <c r="G61" s="34"/>
      <c r="H61" s="32"/>
      <c r="I61" s="35"/>
      <c r="J61" s="32"/>
      <c r="K61" s="35"/>
      <c r="Q61">
        <f>Source!X32</f>
        <v>11.36</v>
      </c>
      <c r="R61">
        <f>Source!X33</f>
        <v>640.03</v>
      </c>
      <c r="S61">
        <f>Source!Y32</f>
        <v>5.81</v>
      </c>
      <c r="T61">
        <f>Source!Y33</f>
        <v>327.12</v>
      </c>
      <c r="U61">
        <f>ROUND((175/100)*ROUND(Source!R32, 2), 2)</f>
        <v>0</v>
      </c>
      <c r="V61">
        <f>ROUND((0/100)*ROUND(Source!R33, 2), 2)</f>
        <v>0</v>
      </c>
      <c r="AC61">
        <v>0</v>
      </c>
    </row>
    <row r="62" spans="1:29" ht="14.5" x14ac:dyDescent="0.25">
      <c r="A62" s="31"/>
      <c r="B62" s="31"/>
      <c r="C62" s="31" t="s">
        <v>651</v>
      </c>
      <c r="D62" s="33"/>
      <c r="E62" s="32"/>
      <c r="F62" s="35">
        <f>Source!AO32</f>
        <v>33.47</v>
      </c>
      <c r="G62" s="36" t="s">
        <v>652</v>
      </c>
      <c r="H62" s="32">
        <f>Source!AV33</f>
        <v>1.0469999999999999</v>
      </c>
      <c r="I62" s="35">
        <f>Source!S32</f>
        <v>12.62</v>
      </c>
      <c r="J62" s="32">
        <f>IF(Source!BA33&lt;&gt; 0, Source!BA33, 1)</f>
        <v>56.35</v>
      </c>
      <c r="K62" s="35">
        <f>Source!S33</f>
        <v>711.14</v>
      </c>
    </row>
    <row r="63" spans="1:29" ht="14.5" x14ac:dyDescent="0.25">
      <c r="A63" s="31"/>
      <c r="B63" s="31"/>
      <c r="C63" s="31" t="s">
        <v>655</v>
      </c>
      <c r="D63" s="33" t="s">
        <v>656</v>
      </c>
      <c r="E63" s="32">
        <f>Source!BZ33</f>
        <v>90</v>
      </c>
      <c r="F63" s="35"/>
      <c r="G63" s="34"/>
      <c r="H63" s="32"/>
      <c r="I63" s="35">
        <f>SUM(Q61:Q62)</f>
        <v>11.36</v>
      </c>
      <c r="J63" s="32">
        <f>Source!AT33</f>
        <v>90</v>
      </c>
      <c r="K63" s="35">
        <f>SUM(R61:R62)</f>
        <v>640.03</v>
      </c>
    </row>
    <row r="64" spans="1:29" ht="14.5" x14ac:dyDescent="0.25">
      <c r="A64" s="31"/>
      <c r="B64" s="31"/>
      <c r="C64" s="31" t="s">
        <v>657</v>
      </c>
      <c r="D64" s="33" t="s">
        <v>656</v>
      </c>
      <c r="E64" s="32">
        <f>Source!CA33</f>
        <v>46</v>
      </c>
      <c r="F64" s="35"/>
      <c r="G64" s="34"/>
      <c r="H64" s="32"/>
      <c r="I64" s="35">
        <f>SUM(S61:S63)</f>
        <v>5.81</v>
      </c>
      <c r="J64" s="32">
        <f>Source!AU33</f>
        <v>46</v>
      </c>
      <c r="K64" s="35">
        <f>SUM(T61:T63)</f>
        <v>327.12</v>
      </c>
    </row>
    <row r="65" spans="1:29" ht="14.5" x14ac:dyDescent="0.25">
      <c r="A65" s="38"/>
      <c r="B65" s="38"/>
      <c r="C65" s="38" t="s">
        <v>658</v>
      </c>
      <c r="D65" s="39" t="s">
        <v>659</v>
      </c>
      <c r="E65" s="40">
        <f>Source!AQ32</f>
        <v>2.65</v>
      </c>
      <c r="F65" s="41"/>
      <c r="G65" s="42" t="s">
        <v>652</v>
      </c>
      <c r="H65" s="40">
        <f>Source!AV33</f>
        <v>1.0469999999999999</v>
      </c>
      <c r="I65" s="41">
        <f>Source!U32</f>
        <v>0.99883799999999978</v>
      </c>
      <c r="J65" s="40"/>
      <c r="K65" s="41"/>
    </row>
    <row r="66" spans="1:29" ht="14" x14ac:dyDescent="0.25">
      <c r="C66" s="43" t="s">
        <v>660</v>
      </c>
      <c r="H66" s="70">
        <f>I62+I63+I64+0-0-0</f>
        <v>29.789999999999996</v>
      </c>
      <c r="I66" s="70"/>
      <c r="J66" s="70">
        <f>K62+K63+K64+0-0-0</f>
        <v>1678.29</v>
      </c>
      <c r="K66" s="70"/>
    </row>
    <row r="67" spans="1:29" ht="14" hidden="1" x14ac:dyDescent="0.25">
      <c r="C67" s="43" t="s">
        <v>661</v>
      </c>
      <c r="H67" s="65">
        <f>0+0</f>
        <v>0</v>
      </c>
      <c r="I67" s="65"/>
      <c r="J67" s="65">
        <f>0+0</f>
        <v>0</v>
      </c>
      <c r="K67" s="65"/>
    </row>
    <row r="68" spans="1:29" ht="14" x14ac:dyDescent="0.25">
      <c r="C68" s="43" t="s">
        <v>662</v>
      </c>
      <c r="H68" s="65">
        <f>I62+I63+I64+0</f>
        <v>29.789999999999996</v>
      </c>
      <c r="I68" s="65"/>
      <c r="J68" s="65">
        <f>K62+K63+K64+0</f>
        <v>1678.29</v>
      </c>
      <c r="K68" s="65"/>
      <c r="O68" s="44">
        <f>I62+I63+I64+0</f>
        <v>29.789999999999996</v>
      </c>
      <c r="P68" s="44">
        <f>K62+K63+K64+0</f>
        <v>1678.29</v>
      </c>
    </row>
    <row r="70" spans="1:29" ht="42" x14ac:dyDescent="0.25">
      <c r="A70" s="31">
        <v>4</v>
      </c>
      <c r="B70" s="31" t="str">
        <f>Source!F34</f>
        <v>4.10-167-1</v>
      </c>
      <c r="C70" s="31" t="s">
        <v>46</v>
      </c>
      <c r="D70" s="33" t="str">
        <f>Source!H34</f>
        <v>1  ШТ.</v>
      </c>
      <c r="E70" s="32">
        <f>Source!I34</f>
        <v>4</v>
      </c>
      <c r="F70" s="35"/>
      <c r="G70" s="34"/>
      <c r="H70" s="32"/>
      <c r="I70" s="35"/>
      <c r="J70" s="32"/>
      <c r="K70" s="35"/>
      <c r="Q70">
        <f>Source!X34</f>
        <v>25.7</v>
      </c>
      <c r="R70">
        <f>Source!X35</f>
        <v>1448.42</v>
      </c>
      <c r="S70">
        <f>Source!Y34</f>
        <v>13.14</v>
      </c>
      <c r="T70">
        <f>Source!Y35</f>
        <v>740.31</v>
      </c>
      <c r="U70">
        <f>ROUND((175/100)*ROUND(Source!R34, 2), 2)</f>
        <v>0</v>
      </c>
      <c r="V70">
        <f>ROUND((0/100)*ROUND(Source!R35, 2), 2)</f>
        <v>0</v>
      </c>
      <c r="AC70">
        <v>0</v>
      </c>
    </row>
    <row r="71" spans="1:29" x14ac:dyDescent="0.25">
      <c r="C71" s="45" t="str">
        <f>"Объем: "&amp;Source!I34&amp;"=1+"&amp;"2+"&amp;"1"</f>
        <v>Объем: 4=1+2+1</v>
      </c>
    </row>
    <row r="72" spans="1:29" ht="14.5" x14ac:dyDescent="0.25">
      <c r="A72" s="31"/>
      <c r="B72" s="31"/>
      <c r="C72" s="31" t="s">
        <v>651</v>
      </c>
      <c r="D72" s="33"/>
      <c r="E72" s="32"/>
      <c r="F72" s="35">
        <f>Source!AO34</f>
        <v>18.940000000000001</v>
      </c>
      <c r="G72" s="36" t="s">
        <v>652</v>
      </c>
      <c r="H72" s="32">
        <f>Source!AV35</f>
        <v>1.0469999999999999</v>
      </c>
      <c r="I72" s="35">
        <f>Source!S34</f>
        <v>28.56</v>
      </c>
      <c r="J72" s="32">
        <f>IF(Source!BA35&lt;&gt; 0, Source!BA35, 1)</f>
        <v>56.35</v>
      </c>
      <c r="K72" s="35">
        <f>Source!S35</f>
        <v>1609.36</v>
      </c>
    </row>
    <row r="73" spans="1:29" ht="14.5" x14ac:dyDescent="0.25">
      <c r="A73" s="31"/>
      <c r="B73" s="31"/>
      <c r="C73" s="31" t="s">
        <v>653</v>
      </c>
      <c r="D73" s="33"/>
      <c r="E73" s="32"/>
      <c r="F73" s="35">
        <f>Source!AM34</f>
        <v>0.02</v>
      </c>
      <c r="G73" s="36" t="s">
        <v>652</v>
      </c>
      <c r="H73" s="32">
        <f>Source!AV35</f>
        <v>1.0469999999999999</v>
      </c>
      <c r="I73" s="35">
        <f>Source!Q34</f>
        <v>0.03</v>
      </c>
      <c r="J73" s="32">
        <f>IF(Source!BB35&lt;&gt; 0, Source!BB35, 1)</f>
        <v>11</v>
      </c>
      <c r="K73" s="35">
        <f>Source!Q35</f>
        <v>0.33</v>
      </c>
    </row>
    <row r="74" spans="1:29" ht="14.5" x14ac:dyDescent="0.25">
      <c r="A74" s="31"/>
      <c r="B74" s="31"/>
      <c r="C74" s="31" t="s">
        <v>655</v>
      </c>
      <c r="D74" s="33" t="s">
        <v>656</v>
      </c>
      <c r="E74" s="32">
        <f>Source!BZ35</f>
        <v>90</v>
      </c>
      <c r="F74" s="35"/>
      <c r="G74" s="34"/>
      <c r="H74" s="32"/>
      <c r="I74" s="35">
        <f>SUM(Q70:Q73)</f>
        <v>25.7</v>
      </c>
      <c r="J74" s="32">
        <f>Source!AT35</f>
        <v>90</v>
      </c>
      <c r="K74" s="35">
        <f>SUM(R70:R73)</f>
        <v>1448.42</v>
      </c>
    </row>
    <row r="75" spans="1:29" ht="14.5" x14ac:dyDescent="0.25">
      <c r="A75" s="31"/>
      <c r="B75" s="31"/>
      <c r="C75" s="31" t="s">
        <v>657</v>
      </c>
      <c r="D75" s="33" t="s">
        <v>656</v>
      </c>
      <c r="E75" s="32">
        <f>Source!CA35</f>
        <v>46</v>
      </c>
      <c r="F75" s="35"/>
      <c r="G75" s="34"/>
      <c r="H75" s="32"/>
      <c r="I75" s="35">
        <f>SUM(S70:S74)</f>
        <v>13.14</v>
      </c>
      <c r="J75" s="32">
        <f>Source!AU35</f>
        <v>46</v>
      </c>
      <c r="K75" s="35">
        <f>SUM(T70:T74)</f>
        <v>740.31</v>
      </c>
    </row>
    <row r="76" spans="1:29" ht="14.5" x14ac:dyDescent="0.25">
      <c r="A76" s="38"/>
      <c r="B76" s="38"/>
      <c r="C76" s="38" t="s">
        <v>658</v>
      </c>
      <c r="D76" s="39" t="s">
        <v>659</v>
      </c>
      <c r="E76" s="40">
        <f>Source!AQ34</f>
        <v>1.36</v>
      </c>
      <c r="F76" s="41"/>
      <c r="G76" s="42" t="s">
        <v>652</v>
      </c>
      <c r="H76" s="40">
        <f>Source!AV35</f>
        <v>1.0469999999999999</v>
      </c>
      <c r="I76" s="41">
        <f>Source!U34</f>
        <v>2.0504448000000002</v>
      </c>
      <c r="J76" s="40"/>
      <c r="K76" s="41"/>
    </row>
    <row r="77" spans="1:29" ht="14" x14ac:dyDescent="0.25">
      <c r="C77" s="43" t="s">
        <v>660</v>
      </c>
      <c r="H77" s="70">
        <f>I72+I73+I74+I75+0-0-0</f>
        <v>67.430000000000007</v>
      </c>
      <c r="I77" s="70"/>
      <c r="J77" s="70">
        <f>K72+K73+K74+K75+0-0-0</f>
        <v>3798.4199999999996</v>
      </c>
      <c r="K77" s="70"/>
    </row>
    <row r="78" spans="1:29" ht="14" hidden="1" x14ac:dyDescent="0.25">
      <c r="C78" s="43" t="s">
        <v>661</v>
      </c>
      <c r="H78" s="65">
        <f>0+0</f>
        <v>0</v>
      </c>
      <c r="I78" s="65"/>
      <c r="J78" s="65">
        <f>0+0</f>
        <v>0</v>
      </c>
      <c r="K78" s="65"/>
    </row>
    <row r="79" spans="1:29" ht="14" x14ac:dyDescent="0.25">
      <c r="C79" s="43" t="s">
        <v>662</v>
      </c>
      <c r="H79" s="65">
        <f>I72+I73+I74+I75+0</f>
        <v>67.430000000000007</v>
      </c>
      <c r="I79" s="65"/>
      <c r="J79" s="65">
        <f>K72+K73+K74+K75+0</f>
        <v>3798.4199999999996</v>
      </c>
      <c r="K79" s="65"/>
      <c r="O79" s="44">
        <f>I72+I73+I74+I75+0</f>
        <v>67.430000000000007</v>
      </c>
      <c r="P79" s="44">
        <f>K72+K73+K74+K75+0</f>
        <v>3798.4199999999996</v>
      </c>
    </row>
    <row r="81" spans="1:29" ht="70" x14ac:dyDescent="0.25">
      <c r="A81" s="31">
        <v>5</v>
      </c>
      <c r="B81" s="31" t="str">
        <f>Source!F36</f>
        <v>4.10-81-2</v>
      </c>
      <c r="C81" s="31" t="s">
        <v>50</v>
      </c>
      <c r="D81" s="33" t="str">
        <f>Source!H36</f>
        <v>1  ШТ.</v>
      </c>
      <c r="E81" s="32">
        <f>Source!I36</f>
        <v>524</v>
      </c>
      <c r="F81" s="35"/>
      <c r="G81" s="34"/>
      <c r="H81" s="32"/>
      <c r="I81" s="35"/>
      <c r="J81" s="32"/>
      <c r="K81" s="35"/>
      <c r="Q81">
        <f>Source!X36</f>
        <v>3770.2</v>
      </c>
      <c r="R81">
        <f>Source!X37</f>
        <v>212450.72</v>
      </c>
      <c r="S81">
        <f>Source!Y36</f>
        <v>1926.99</v>
      </c>
      <c r="T81">
        <f>Source!Y37</f>
        <v>108585.92</v>
      </c>
      <c r="U81">
        <f>ROUND((175/100)*ROUND(Source!R36, 2), 2)</f>
        <v>3.47</v>
      </c>
      <c r="V81">
        <f>ROUND((0/100)*ROUND(Source!R37, 2), 2)</f>
        <v>0</v>
      </c>
      <c r="AC81">
        <v>0</v>
      </c>
    </row>
    <row r="82" spans="1:29" x14ac:dyDescent="0.25">
      <c r="C82" s="45" t="str">
        <f>"Объем: "&amp;Source!I36&amp;"=356+"&amp;"6+"&amp;"162"</f>
        <v>Объем: 524=356+6+162</v>
      </c>
    </row>
    <row r="83" spans="1:29" ht="14.5" x14ac:dyDescent="0.25">
      <c r="A83" s="31"/>
      <c r="B83" s="31"/>
      <c r="C83" s="31" t="s">
        <v>651</v>
      </c>
      <c r="D83" s="33"/>
      <c r="E83" s="32"/>
      <c r="F83" s="35">
        <f>Source!AO36</f>
        <v>21.2</v>
      </c>
      <c r="G83" s="36" t="s">
        <v>652</v>
      </c>
      <c r="H83" s="32">
        <f>Source!AV37</f>
        <v>1.0469999999999999</v>
      </c>
      <c r="I83" s="35">
        <f>Source!S36</f>
        <v>4187.13</v>
      </c>
      <c r="J83" s="32">
        <f>IF(Source!BA37&lt;&gt; 0, Source!BA37, 1)</f>
        <v>56.35</v>
      </c>
      <c r="K83" s="35">
        <f>Source!S37</f>
        <v>235944.78</v>
      </c>
    </row>
    <row r="84" spans="1:29" ht="14.5" x14ac:dyDescent="0.25">
      <c r="A84" s="31"/>
      <c r="B84" s="31"/>
      <c r="C84" s="31" t="s">
        <v>653</v>
      </c>
      <c r="D84" s="33"/>
      <c r="E84" s="32"/>
      <c r="F84" s="35">
        <f>Source!AM36</f>
        <v>0.06</v>
      </c>
      <c r="G84" s="36" t="s">
        <v>652</v>
      </c>
      <c r="H84" s="32">
        <f>Source!AV37</f>
        <v>1.0469999999999999</v>
      </c>
      <c r="I84" s="35">
        <f>Source!Q36</f>
        <v>11.85</v>
      </c>
      <c r="J84" s="32">
        <f>IF(Source!BB37&lt;&gt; 0, Source!BB37, 1)</f>
        <v>18.5</v>
      </c>
      <c r="K84" s="35">
        <f>Source!Q37</f>
        <v>219.23</v>
      </c>
    </row>
    <row r="85" spans="1:29" ht="14.5" x14ac:dyDescent="0.25">
      <c r="A85" s="31"/>
      <c r="B85" s="31"/>
      <c r="C85" s="31" t="s">
        <v>654</v>
      </c>
      <c r="D85" s="33"/>
      <c r="E85" s="32"/>
      <c r="F85" s="35">
        <f>Source!AN36</f>
        <v>0.01</v>
      </c>
      <c r="G85" s="36" t="s">
        <v>652</v>
      </c>
      <c r="H85" s="32">
        <f>Source!AV37</f>
        <v>1.0469999999999999</v>
      </c>
      <c r="I85" s="37">
        <f>Source!R36</f>
        <v>1.98</v>
      </c>
      <c r="J85" s="32">
        <f>IF(Source!BS37&lt;&gt; 0, Source!BS37, 1)</f>
        <v>56.35</v>
      </c>
      <c r="K85" s="37">
        <f>Source!R37</f>
        <v>111.57</v>
      </c>
    </row>
    <row r="86" spans="1:29" ht="14.5" x14ac:dyDescent="0.25">
      <c r="A86" s="31"/>
      <c r="B86" s="31"/>
      <c r="C86" s="31" t="s">
        <v>655</v>
      </c>
      <c r="D86" s="33" t="s">
        <v>656</v>
      </c>
      <c r="E86" s="32">
        <f>Source!BZ37</f>
        <v>90</v>
      </c>
      <c r="F86" s="35"/>
      <c r="G86" s="34"/>
      <c r="H86" s="32"/>
      <c r="I86" s="35">
        <f>SUM(Q81:Q85)</f>
        <v>3770.2</v>
      </c>
      <c r="J86" s="32">
        <f>Source!AT37</f>
        <v>90</v>
      </c>
      <c r="K86" s="35">
        <f>SUM(R81:R85)</f>
        <v>212450.72</v>
      </c>
    </row>
    <row r="87" spans="1:29" ht="14.5" x14ac:dyDescent="0.25">
      <c r="A87" s="31"/>
      <c r="B87" s="31"/>
      <c r="C87" s="31" t="s">
        <v>657</v>
      </c>
      <c r="D87" s="33" t="s">
        <v>656</v>
      </c>
      <c r="E87" s="32">
        <f>Source!CA37</f>
        <v>46</v>
      </c>
      <c r="F87" s="35"/>
      <c r="G87" s="34"/>
      <c r="H87" s="32"/>
      <c r="I87" s="35">
        <f>SUM(S81:S86)</f>
        <v>1926.99</v>
      </c>
      <c r="J87" s="32">
        <f>Source!AU37</f>
        <v>46</v>
      </c>
      <c r="K87" s="35">
        <f>SUM(T81:T86)</f>
        <v>108585.92</v>
      </c>
    </row>
    <row r="88" spans="1:29" ht="14.5" x14ac:dyDescent="0.25">
      <c r="A88" s="38"/>
      <c r="B88" s="38"/>
      <c r="C88" s="38" t="s">
        <v>658</v>
      </c>
      <c r="D88" s="39" t="s">
        <v>659</v>
      </c>
      <c r="E88" s="40">
        <f>Source!AQ36</f>
        <v>1.68</v>
      </c>
      <c r="F88" s="41"/>
      <c r="G88" s="42" t="s">
        <v>652</v>
      </c>
      <c r="H88" s="40">
        <f>Source!AV37</f>
        <v>1.0469999999999999</v>
      </c>
      <c r="I88" s="41">
        <f>Source!U36</f>
        <v>331.81021439999995</v>
      </c>
      <c r="J88" s="40"/>
      <c r="K88" s="41"/>
    </row>
    <row r="89" spans="1:29" ht="14" x14ac:dyDescent="0.25">
      <c r="C89" s="43" t="s">
        <v>660</v>
      </c>
      <c r="H89" s="70">
        <f>I83+I84+I86+I87+0-0-0</f>
        <v>9896.17</v>
      </c>
      <c r="I89" s="70"/>
      <c r="J89" s="70">
        <f>K83+K84+K86+K87+0-0-0</f>
        <v>557200.65</v>
      </c>
      <c r="K89" s="70"/>
    </row>
    <row r="90" spans="1:29" ht="14" hidden="1" x14ac:dyDescent="0.25">
      <c r="C90" s="43" t="s">
        <v>661</v>
      </c>
      <c r="H90" s="65">
        <f>0+0</f>
        <v>0</v>
      </c>
      <c r="I90" s="65"/>
      <c r="J90" s="65">
        <f>0+0</f>
        <v>0</v>
      </c>
      <c r="K90" s="65"/>
    </row>
    <row r="91" spans="1:29" ht="14" x14ac:dyDescent="0.25">
      <c r="C91" s="43" t="s">
        <v>662</v>
      </c>
      <c r="H91" s="65">
        <f>I83+I84+I86+I87+0</f>
        <v>9896.17</v>
      </c>
      <c r="I91" s="65"/>
      <c r="J91" s="65">
        <f>K83+K84+K86+K87+0</f>
        <v>557200.65</v>
      </c>
      <c r="K91" s="65"/>
      <c r="O91" s="44">
        <f>I83+I84+I86+I87+0</f>
        <v>9896.17</v>
      </c>
      <c r="P91" s="44">
        <f>K83+K84+K86+K87+0</f>
        <v>557200.65</v>
      </c>
    </row>
    <row r="93" spans="1:29" ht="56" x14ac:dyDescent="0.25">
      <c r="A93" s="31">
        <v>6</v>
      </c>
      <c r="B93" s="31" t="str">
        <f>Source!F38</f>
        <v>4.10-81-1</v>
      </c>
      <c r="C93" s="31" t="s">
        <v>54</v>
      </c>
      <c r="D93" s="33" t="str">
        <f>Source!H38</f>
        <v>1  ШТ.</v>
      </c>
      <c r="E93" s="32">
        <f>Source!I38</f>
        <v>10</v>
      </c>
      <c r="F93" s="35"/>
      <c r="G93" s="34"/>
      <c r="H93" s="32"/>
      <c r="I93" s="35"/>
      <c r="J93" s="32"/>
      <c r="K93" s="35"/>
      <c r="Q93">
        <f>Source!X38</f>
        <v>35.96</v>
      </c>
      <c r="R93">
        <f>Source!X39</f>
        <v>2026.06</v>
      </c>
      <c r="S93">
        <f>Source!Y38</f>
        <v>18.38</v>
      </c>
      <c r="T93">
        <f>Source!Y39</f>
        <v>1035.54</v>
      </c>
      <c r="U93">
        <f>ROUND((175/100)*ROUND(Source!R38, 2), 2)</f>
        <v>0</v>
      </c>
      <c r="V93">
        <f>ROUND((0/100)*ROUND(Source!R39, 2), 2)</f>
        <v>0</v>
      </c>
      <c r="AC93">
        <v>0</v>
      </c>
    </row>
    <row r="94" spans="1:29" ht="14.5" x14ac:dyDescent="0.25">
      <c r="A94" s="31"/>
      <c r="B94" s="31"/>
      <c r="C94" s="31" t="s">
        <v>651</v>
      </c>
      <c r="D94" s="33"/>
      <c r="E94" s="32"/>
      <c r="F94" s="35">
        <f>Source!AO38</f>
        <v>10.6</v>
      </c>
      <c r="G94" s="36" t="s">
        <v>652</v>
      </c>
      <c r="H94" s="32">
        <f>Source!AV39</f>
        <v>1.0469999999999999</v>
      </c>
      <c r="I94" s="35">
        <f>Source!S38</f>
        <v>39.950000000000003</v>
      </c>
      <c r="J94" s="32">
        <f>IF(Source!BA39&lt;&gt; 0, Source!BA39, 1)</f>
        <v>56.35</v>
      </c>
      <c r="K94" s="35">
        <f>Source!S39</f>
        <v>2251.1799999999998</v>
      </c>
    </row>
    <row r="95" spans="1:29" ht="14.5" x14ac:dyDescent="0.25">
      <c r="A95" s="31"/>
      <c r="B95" s="31"/>
      <c r="C95" s="31" t="s">
        <v>653</v>
      </c>
      <c r="D95" s="33"/>
      <c r="E95" s="32"/>
      <c r="F95" s="35">
        <f>Source!AM38</f>
        <v>0.03</v>
      </c>
      <c r="G95" s="36" t="s">
        <v>652</v>
      </c>
      <c r="H95" s="32">
        <f>Source!AV39</f>
        <v>1.0469999999999999</v>
      </c>
      <c r="I95" s="35">
        <f>Source!Q38</f>
        <v>0.11</v>
      </c>
      <c r="J95" s="32">
        <f>IF(Source!BB39&lt;&gt; 0, Source!BB39, 1)</f>
        <v>11</v>
      </c>
      <c r="K95" s="35">
        <f>Source!Q39</f>
        <v>1.21</v>
      </c>
    </row>
    <row r="96" spans="1:29" ht="14.5" x14ac:dyDescent="0.25">
      <c r="A96" s="31"/>
      <c r="B96" s="31"/>
      <c r="C96" s="31" t="s">
        <v>655</v>
      </c>
      <c r="D96" s="33" t="s">
        <v>656</v>
      </c>
      <c r="E96" s="32">
        <f>Source!BZ39</f>
        <v>90</v>
      </c>
      <c r="F96" s="35"/>
      <c r="G96" s="34"/>
      <c r="H96" s="32"/>
      <c r="I96" s="35">
        <f>SUM(Q93:Q95)</f>
        <v>35.96</v>
      </c>
      <c r="J96" s="32">
        <f>Source!AT39</f>
        <v>90</v>
      </c>
      <c r="K96" s="35">
        <f>SUM(R93:R95)</f>
        <v>2026.06</v>
      </c>
    </row>
    <row r="97" spans="1:29" ht="14.5" x14ac:dyDescent="0.25">
      <c r="A97" s="31"/>
      <c r="B97" s="31"/>
      <c r="C97" s="31" t="s">
        <v>657</v>
      </c>
      <c r="D97" s="33" t="s">
        <v>656</v>
      </c>
      <c r="E97" s="32">
        <f>Source!CA39</f>
        <v>46</v>
      </c>
      <c r="F97" s="35"/>
      <c r="G97" s="34"/>
      <c r="H97" s="32"/>
      <c r="I97" s="35">
        <f>SUM(S93:S96)</f>
        <v>18.38</v>
      </c>
      <c r="J97" s="32">
        <f>Source!AU39</f>
        <v>46</v>
      </c>
      <c r="K97" s="35">
        <f>SUM(T93:T96)</f>
        <v>1035.54</v>
      </c>
    </row>
    <row r="98" spans="1:29" ht="14.5" x14ac:dyDescent="0.25">
      <c r="A98" s="38"/>
      <c r="B98" s="38"/>
      <c r="C98" s="38" t="s">
        <v>658</v>
      </c>
      <c r="D98" s="39" t="s">
        <v>659</v>
      </c>
      <c r="E98" s="40">
        <f>Source!AQ38</f>
        <v>0.84</v>
      </c>
      <c r="F98" s="41"/>
      <c r="G98" s="42" t="s">
        <v>652</v>
      </c>
      <c r="H98" s="40">
        <f>Source!AV39</f>
        <v>1.0469999999999999</v>
      </c>
      <c r="I98" s="41">
        <f>Source!U38</f>
        <v>3.1661279999999996</v>
      </c>
      <c r="J98" s="40"/>
      <c r="K98" s="41"/>
    </row>
    <row r="99" spans="1:29" ht="14" x14ac:dyDescent="0.25">
      <c r="C99" s="43" t="s">
        <v>660</v>
      </c>
      <c r="H99" s="70">
        <f>I94+I95+I96+I97+0-0-0</f>
        <v>94.4</v>
      </c>
      <c r="I99" s="70"/>
      <c r="J99" s="70">
        <f>K94+K95+K96+K97+0-0-0</f>
        <v>5313.99</v>
      </c>
      <c r="K99" s="70"/>
    </row>
    <row r="100" spans="1:29" ht="14" hidden="1" x14ac:dyDescent="0.25">
      <c r="C100" s="43" t="s">
        <v>661</v>
      </c>
      <c r="H100" s="65">
        <f>0+0</f>
        <v>0</v>
      </c>
      <c r="I100" s="65"/>
      <c r="J100" s="65">
        <f>0+0</f>
        <v>0</v>
      </c>
      <c r="K100" s="65"/>
    </row>
    <row r="101" spans="1:29" ht="14" x14ac:dyDescent="0.25">
      <c r="C101" s="43" t="s">
        <v>662</v>
      </c>
      <c r="H101" s="65">
        <f>I94+I95+I96+I97+0</f>
        <v>94.4</v>
      </c>
      <c r="I101" s="65"/>
      <c r="J101" s="65">
        <f>K94+K95+K96+K97+0</f>
        <v>5313.99</v>
      </c>
      <c r="K101" s="65"/>
      <c r="O101" s="44">
        <f>I94+I95+I96+I97+0</f>
        <v>94.4</v>
      </c>
      <c r="P101" s="44">
        <f>K94+K95+K96+K97+0</f>
        <v>5313.99</v>
      </c>
    </row>
    <row r="103" spans="1:29" ht="28" x14ac:dyDescent="0.25">
      <c r="A103" s="31">
        <v>7</v>
      </c>
      <c r="B103" s="31" t="str">
        <f>Source!F40</f>
        <v>4.10-76-10</v>
      </c>
      <c r="C103" s="31" t="s">
        <v>58</v>
      </c>
      <c r="D103" s="33" t="str">
        <f>Source!H40</f>
        <v>1  ШТ.</v>
      </c>
      <c r="E103" s="32">
        <f>Source!I40</f>
        <v>61</v>
      </c>
      <c r="F103" s="35"/>
      <c r="G103" s="34"/>
      <c r="H103" s="32"/>
      <c r="I103" s="35"/>
      <c r="J103" s="32"/>
      <c r="K103" s="35"/>
      <c r="Q103">
        <f>Source!X40</f>
        <v>259.70999999999998</v>
      </c>
      <c r="R103">
        <f>Source!X41</f>
        <v>14634.71</v>
      </c>
      <c r="S103">
        <f>Source!Y40</f>
        <v>144.88999999999999</v>
      </c>
      <c r="T103">
        <f>Source!Y41</f>
        <v>8164.63</v>
      </c>
      <c r="U103">
        <f>ROUND((175/100)*ROUND(Source!R40, 2), 2)</f>
        <v>0</v>
      </c>
      <c r="V103">
        <f>ROUND((0/100)*ROUND(Source!R41, 2), 2)</f>
        <v>0</v>
      </c>
      <c r="AC103">
        <v>0</v>
      </c>
    </row>
    <row r="104" spans="1:29" ht="14.5" x14ac:dyDescent="0.25">
      <c r="A104" s="31"/>
      <c r="B104" s="31"/>
      <c r="C104" s="31" t="s">
        <v>651</v>
      </c>
      <c r="D104" s="33"/>
      <c r="E104" s="32"/>
      <c r="F104" s="35">
        <f>Source!AO40</f>
        <v>11.89</v>
      </c>
      <c r="G104" s="36" t="s">
        <v>652</v>
      </c>
      <c r="H104" s="32">
        <f>Source!AV41</f>
        <v>1.0469999999999999</v>
      </c>
      <c r="I104" s="35">
        <f>Source!S40</f>
        <v>273.38</v>
      </c>
      <c r="J104" s="32">
        <f>IF(Source!BA41&lt;&gt; 0, Source!BA41, 1)</f>
        <v>56.35</v>
      </c>
      <c r="K104" s="35">
        <f>Source!S41</f>
        <v>15404.96</v>
      </c>
    </row>
    <row r="105" spans="1:29" ht="14.5" x14ac:dyDescent="0.25">
      <c r="A105" s="31"/>
      <c r="B105" s="31"/>
      <c r="C105" s="31" t="s">
        <v>655</v>
      </c>
      <c r="D105" s="33" t="s">
        <v>656</v>
      </c>
      <c r="E105" s="32">
        <f>Source!BZ41</f>
        <v>95</v>
      </c>
      <c r="F105" s="35"/>
      <c r="G105" s="34"/>
      <c r="H105" s="32"/>
      <c r="I105" s="35">
        <f>SUM(Q103:Q104)</f>
        <v>259.70999999999998</v>
      </c>
      <c r="J105" s="32">
        <f>Source!AT41</f>
        <v>95</v>
      </c>
      <c r="K105" s="35">
        <f>SUM(R103:R104)</f>
        <v>14634.71</v>
      </c>
    </row>
    <row r="106" spans="1:29" ht="14.5" x14ac:dyDescent="0.25">
      <c r="A106" s="31"/>
      <c r="B106" s="31"/>
      <c r="C106" s="31" t="s">
        <v>657</v>
      </c>
      <c r="D106" s="33" t="s">
        <v>656</v>
      </c>
      <c r="E106" s="32">
        <f>Source!CA41</f>
        <v>53</v>
      </c>
      <c r="F106" s="35"/>
      <c r="G106" s="34"/>
      <c r="H106" s="32"/>
      <c r="I106" s="35">
        <f>SUM(S103:S105)</f>
        <v>144.88999999999999</v>
      </c>
      <c r="J106" s="32">
        <f>Source!AU41</f>
        <v>53</v>
      </c>
      <c r="K106" s="35">
        <f>SUM(T103:T105)</f>
        <v>8164.63</v>
      </c>
    </row>
    <row r="107" spans="1:29" ht="14.5" x14ac:dyDescent="0.25">
      <c r="A107" s="38"/>
      <c r="B107" s="38"/>
      <c r="C107" s="38" t="s">
        <v>658</v>
      </c>
      <c r="D107" s="39" t="s">
        <v>659</v>
      </c>
      <c r="E107" s="40">
        <f>Source!AQ40</f>
        <v>1</v>
      </c>
      <c r="F107" s="41"/>
      <c r="G107" s="42" t="s">
        <v>652</v>
      </c>
      <c r="H107" s="40">
        <f>Source!AV41</f>
        <v>1.0469999999999999</v>
      </c>
      <c r="I107" s="41">
        <f>Source!U40</f>
        <v>22.99212</v>
      </c>
      <c r="J107" s="40"/>
      <c r="K107" s="41"/>
    </row>
    <row r="108" spans="1:29" ht="14" x14ac:dyDescent="0.25">
      <c r="C108" s="43" t="s">
        <v>660</v>
      </c>
      <c r="H108" s="70">
        <f>I104+I105+I106+0-0-0</f>
        <v>677.9799999999999</v>
      </c>
      <c r="I108" s="70"/>
      <c r="J108" s="70">
        <f>K104+K105+K106+0-0-0</f>
        <v>38204.299999999996</v>
      </c>
      <c r="K108" s="70"/>
    </row>
    <row r="109" spans="1:29" ht="14" hidden="1" x14ac:dyDescent="0.25">
      <c r="C109" s="43" t="s">
        <v>661</v>
      </c>
      <c r="H109" s="65">
        <f>0+0</f>
        <v>0</v>
      </c>
      <c r="I109" s="65"/>
      <c r="J109" s="65">
        <f>0+0</f>
        <v>0</v>
      </c>
      <c r="K109" s="65"/>
    </row>
    <row r="110" spans="1:29" ht="14" x14ac:dyDescent="0.25">
      <c r="C110" s="43" t="s">
        <v>662</v>
      </c>
      <c r="H110" s="65">
        <f>I104+I105+I106+0</f>
        <v>677.9799999999999</v>
      </c>
      <c r="I110" s="65"/>
      <c r="J110" s="65">
        <f>K104+K105+K106+0</f>
        <v>38204.299999999996</v>
      </c>
      <c r="K110" s="65"/>
      <c r="O110" s="44">
        <f>I104+I105+I106+0</f>
        <v>677.9799999999999</v>
      </c>
      <c r="P110" s="44">
        <f>K104+K105+K106+0</f>
        <v>38204.299999999996</v>
      </c>
    </row>
    <row r="112" spans="1:29" ht="42" x14ac:dyDescent="0.25">
      <c r="A112" s="31">
        <v>8</v>
      </c>
      <c r="B112" s="31" t="str">
        <f>Source!F42</f>
        <v>4.10-80-13</v>
      </c>
      <c r="C112" s="31" t="s">
        <v>64</v>
      </c>
      <c r="D112" s="33" t="str">
        <f>Source!H42</f>
        <v>1  ШТ.</v>
      </c>
      <c r="E112" s="32">
        <f>Source!I42</f>
        <v>104</v>
      </c>
      <c r="F112" s="35"/>
      <c r="G112" s="34"/>
      <c r="H112" s="32"/>
      <c r="I112" s="35"/>
      <c r="J112" s="32"/>
      <c r="K112" s="35"/>
      <c r="Q112">
        <f>Source!X42</f>
        <v>567.29999999999995</v>
      </c>
      <c r="R112">
        <f>Source!X43</f>
        <v>31967.19</v>
      </c>
      <c r="S112">
        <f>Source!Y42</f>
        <v>289.95</v>
      </c>
      <c r="T112">
        <f>Source!Y43</f>
        <v>16338.79</v>
      </c>
      <c r="U112">
        <f>ROUND((175/100)*ROUND(Source!R42, 2), 2)</f>
        <v>0.68</v>
      </c>
      <c r="V112">
        <f>ROUND((0/100)*ROUND(Source!R43, 2), 2)</f>
        <v>0</v>
      </c>
      <c r="AC112">
        <v>0</v>
      </c>
    </row>
    <row r="113" spans="1:29" x14ac:dyDescent="0.25">
      <c r="C113" s="45" t="str">
        <f>"Объем: "&amp;Source!I42&amp;"=20+"&amp;"84"</f>
        <v>Объем: 104=20+84</v>
      </c>
    </row>
    <row r="114" spans="1:29" ht="14.5" x14ac:dyDescent="0.25">
      <c r="A114" s="31"/>
      <c r="B114" s="31"/>
      <c r="C114" s="31" t="s">
        <v>651</v>
      </c>
      <c r="D114" s="33"/>
      <c r="E114" s="32"/>
      <c r="F114" s="35">
        <f>Source!AO42</f>
        <v>16.07</v>
      </c>
      <c r="G114" s="36" t="s">
        <v>652</v>
      </c>
      <c r="H114" s="32">
        <f>Source!AV43</f>
        <v>1.0469999999999999</v>
      </c>
      <c r="I114" s="35">
        <f>Source!S42</f>
        <v>629.94000000000005</v>
      </c>
      <c r="J114" s="32">
        <f>IF(Source!BA43&lt;&gt; 0, Source!BA43, 1)</f>
        <v>56.35</v>
      </c>
      <c r="K114" s="35">
        <f>Source!S43</f>
        <v>35497.120000000003</v>
      </c>
    </row>
    <row r="115" spans="1:29" ht="14.5" x14ac:dyDescent="0.25">
      <c r="A115" s="31"/>
      <c r="B115" s="31"/>
      <c r="C115" s="31" t="s">
        <v>653</v>
      </c>
      <c r="D115" s="33"/>
      <c r="E115" s="32"/>
      <c r="F115" s="35">
        <f>Source!AM42</f>
        <v>0.05</v>
      </c>
      <c r="G115" s="36" t="s">
        <v>652</v>
      </c>
      <c r="H115" s="32">
        <f>Source!AV43</f>
        <v>1.0469999999999999</v>
      </c>
      <c r="I115" s="35">
        <f>Source!Q42</f>
        <v>1.96</v>
      </c>
      <c r="J115" s="32">
        <f>IF(Source!BB43&lt;&gt; 0, Source!BB43, 1)</f>
        <v>20</v>
      </c>
      <c r="K115" s="35">
        <f>Source!Q43</f>
        <v>39.200000000000003</v>
      </c>
    </row>
    <row r="116" spans="1:29" ht="14.5" x14ac:dyDescent="0.25">
      <c r="A116" s="31"/>
      <c r="B116" s="31"/>
      <c r="C116" s="31" t="s">
        <v>654</v>
      </c>
      <c r="D116" s="33"/>
      <c r="E116" s="32"/>
      <c r="F116" s="35">
        <f>Source!AN42</f>
        <v>0.01</v>
      </c>
      <c r="G116" s="36" t="s">
        <v>652</v>
      </c>
      <c r="H116" s="32">
        <f>Source!AV43</f>
        <v>1.0469999999999999</v>
      </c>
      <c r="I116" s="37">
        <f>Source!R42</f>
        <v>0.39</v>
      </c>
      <c r="J116" s="32">
        <f>IF(Source!BS43&lt;&gt; 0, Source!BS43, 1)</f>
        <v>56.35</v>
      </c>
      <c r="K116" s="37">
        <f>Source!R43</f>
        <v>21.98</v>
      </c>
    </row>
    <row r="117" spans="1:29" ht="14.5" x14ac:dyDescent="0.25">
      <c r="A117" s="31"/>
      <c r="B117" s="31"/>
      <c r="C117" s="31" t="s">
        <v>655</v>
      </c>
      <c r="D117" s="33" t="s">
        <v>656</v>
      </c>
      <c r="E117" s="32">
        <f>Source!BZ43</f>
        <v>90</v>
      </c>
      <c r="F117" s="35"/>
      <c r="G117" s="34"/>
      <c r="H117" s="32"/>
      <c r="I117" s="35">
        <f>SUM(Q112:Q116)</f>
        <v>567.29999999999995</v>
      </c>
      <c r="J117" s="32">
        <f>Source!AT43</f>
        <v>90</v>
      </c>
      <c r="K117" s="35">
        <f>SUM(R112:R116)</f>
        <v>31967.19</v>
      </c>
    </row>
    <row r="118" spans="1:29" ht="14.5" x14ac:dyDescent="0.25">
      <c r="A118" s="31"/>
      <c r="B118" s="31"/>
      <c r="C118" s="31" t="s">
        <v>657</v>
      </c>
      <c r="D118" s="33" t="s">
        <v>656</v>
      </c>
      <c r="E118" s="32">
        <f>Source!CA43</f>
        <v>46</v>
      </c>
      <c r="F118" s="35"/>
      <c r="G118" s="34"/>
      <c r="H118" s="32"/>
      <c r="I118" s="35">
        <f>SUM(S112:S117)</f>
        <v>289.95</v>
      </c>
      <c r="J118" s="32">
        <f>Source!AU43</f>
        <v>46</v>
      </c>
      <c r="K118" s="35">
        <f>SUM(T112:T117)</f>
        <v>16338.79</v>
      </c>
    </row>
    <row r="119" spans="1:29" ht="14.5" x14ac:dyDescent="0.25">
      <c r="A119" s="38"/>
      <c r="B119" s="38"/>
      <c r="C119" s="38" t="s">
        <v>658</v>
      </c>
      <c r="D119" s="39" t="s">
        <v>659</v>
      </c>
      <c r="E119" s="40">
        <f>Source!AQ42</f>
        <v>1.2</v>
      </c>
      <c r="F119" s="41"/>
      <c r="G119" s="42" t="s">
        <v>652</v>
      </c>
      <c r="H119" s="40">
        <f>Source!AV43</f>
        <v>1.0469999999999999</v>
      </c>
      <c r="I119" s="41">
        <f>Source!U42</f>
        <v>47.039615999999995</v>
      </c>
      <c r="J119" s="40"/>
      <c r="K119" s="41"/>
    </row>
    <row r="120" spans="1:29" ht="14" x14ac:dyDescent="0.25">
      <c r="C120" s="43" t="s">
        <v>660</v>
      </c>
      <c r="H120" s="70">
        <f>I114+I115+I117+I118+0-0-0</f>
        <v>1489.15</v>
      </c>
      <c r="I120" s="70"/>
      <c r="J120" s="70">
        <f>K114+K115+K117+K118+0-0-0</f>
        <v>83842.299999999988</v>
      </c>
      <c r="K120" s="70"/>
    </row>
    <row r="121" spans="1:29" ht="14" hidden="1" x14ac:dyDescent="0.25">
      <c r="C121" s="43" t="s">
        <v>661</v>
      </c>
      <c r="H121" s="65">
        <f>0+0</f>
        <v>0</v>
      </c>
      <c r="I121" s="65"/>
      <c r="J121" s="65">
        <f>0+0</f>
        <v>0</v>
      </c>
      <c r="K121" s="65"/>
    </row>
    <row r="122" spans="1:29" ht="14" x14ac:dyDescent="0.25">
      <c r="C122" s="43" t="s">
        <v>662</v>
      </c>
      <c r="H122" s="65">
        <f>I114+I115+I117+I118+0</f>
        <v>1489.15</v>
      </c>
      <c r="I122" s="65"/>
      <c r="J122" s="65">
        <f>K114+K115+K117+K118+0</f>
        <v>83842.299999999988</v>
      </c>
      <c r="K122" s="65"/>
      <c r="O122" s="44">
        <f>I114+I115+I117+I118+0</f>
        <v>1489.15</v>
      </c>
      <c r="P122" s="44">
        <f>K114+K115+K117+K118+0</f>
        <v>83842.299999999988</v>
      </c>
    </row>
    <row r="124" spans="1:29" ht="28" x14ac:dyDescent="0.25">
      <c r="A124" s="31">
        <v>9</v>
      </c>
      <c r="B124" s="31" t="str">
        <f>Source!F44</f>
        <v>4.10-81-6</v>
      </c>
      <c r="C124" s="31" t="s">
        <v>68</v>
      </c>
      <c r="D124" s="33" t="str">
        <f>Source!H44</f>
        <v>1  ШТ.</v>
      </c>
      <c r="E124" s="32">
        <f>Source!I44</f>
        <v>58</v>
      </c>
      <c r="F124" s="35"/>
      <c r="G124" s="34"/>
      <c r="H124" s="32"/>
      <c r="I124" s="35"/>
      <c r="J124" s="32"/>
      <c r="K124" s="35"/>
      <c r="Q124">
        <f>Source!X44</f>
        <v>92.48</v>
      </c>
      <c r="R124">
        <f>Source!X45</f>
        <v>5210.96</v>
      </c>
      <c r="S124">
        <f>Source!Y44</f>
        <v>47.27</v>
      </c>
      <c r="T124">
        <f>Source!Y45</f>
        <v>2663.38</v>
      </c>
      <c r="U124">
        <f>ROUND((175/100)*ROUND(Source!R44, 2), 2)</f>
        <v>10.71</v>
      </c>
      <c r="V124">
        <f>ROUND((0/100)*ROUND(Source!R45, 2), 2)</f>
        <v>0</v>
      </c>
      <c r="AC124">
        <v>0</v>
      </c>
    </row>
    <row r="125" spans="1:29" ht="14.5" x14ac:dyDescent="0.25">
      <c r="A125" s="31"/>
      <c r="B125" s="31"/>
      <c r="C125" s="31" t="s">
        <v>651</v>
      </c>
      <c r="D125" s="33"/>
      <c r="E125" s="32"/>
      <c r="F125" s="35">
        <f>Source!AO44</f>
        <v>4.42</v>
      </c>
      <c r="G125" s="36" t="s">
        <v>652</v>
      </c>
      <c r="H125" s="32">
        <f>Source!AV45</f>
        <v>1.0469999999999999</v>
      </c>
      <c r="I125" s="35">
        <f>Source!S44</f>
        <v>96.63</v>
      </c>
      <c r="J125" s="32">
        <f>IF(Source!BA45&lt;&gt; 0, Source!BA45, 1)</f>
        <v>56.35</v>
      </c>
      <c r="K125" s="35">
        <f>Source!S45</f>
        <v>5445.1</v>
      </c>
    </row>
    <row r="126" spans="1:29" ht="14.5" x14ac:dyDescent="0.25">
      <c r="A126" s="31"/>
      <c r="B126" s="31"/>
      <c r="C126" s="31" t="s">
        <v>653</v>
      </c>
      <c r="D126" s="33"/>
      <c r="E126" s="32"/>
      <c r="F126" s="35">
        <f>Source!AM44</f>
        <v>4.5599999999999996</v>
      </c>
      <c r="G126" s="36" t="s">
        <v>652</v>
      </c>
      <c r="H126" s="32">
        <f>Source!AV45</f>
        <v>1.0469999999999999</v>
      </c>
      <c r="I126" s="35">
        <f>Source!Q44</f>
        <v>99.69</v>
      </c>
      <c r="J126" s="32">
        <f>IF(Source!BB45&lt;&gt; 0, Source!BB45, 1)</f>
        <v>13.75</v>
      </c>
      <c r="K126" s="35">
        <f>Source!Q45</f>
        <v>1370.74</v>
      </c>
    </row>
    <row r="127" spans="1:29" ht="14.5" x14ac:dyDescent="0.25">
      <c r="A127" s="31"/>
      <c r="B127" s="31"/>
      <c r="C127" s="31" t="s">
        <v>654</v>
      </c>
      <c r="D127" s="33"/>
      <c r="E127" s="32"/>
      <c r="F127" s="35">
        <f>Source!AN44</f>
        <v>0.28000000000000003</v>
      </c>
      <c r="G127" s="36" t="s">
        <v>652</v>
      </c>
      <c r="H127" s="32">
        <f>Source!AV45</f>
        <v>1.0469999999999999</v>
      </c>
      <c r="I127" s="37">
        <f>Source!R44</f>
        <v>6.12</v>
      </c>
      <c r="J127" s="32">
        <f>IF(Source!BS45&lt;&gt; 0, Source!BS45, 1)</f>
        <v>56.35</v>
      </c>
      <c r="K127" s="37">
        <f>Source!R45</f>
        <v>344.86</v>
      </c>
    </row>
    <row r="128" spans="1:29" ht="14.5" x14ac:dyDescent="0.25">
      <c r="A128" s="31"/>
      <c r="B128" s="31"/>
      <c r="C128" s="31" t="s">
        <v>655</v>
      </c>
      <c r="D128" s="33" t="s">
        <v>656</v>
      </c>
      <c r="E128" s="32">
        <f>Source!BZ45</f>
        <v>90</v>
      </c>
      <c r="F128" s="35"/>
      <c r="G128" s="34"/>
      <c r="H128" s="32"/>
      <c r="I128" s="35">
        <f>SUM(Q124:Q127)</f>
        <v>92.48</v>
      </c>
      <c r="J128" s="32">
        <f>Source!AT45</f>
        <v>90</v>
      </c>
      <c r="K128" s="35">
        <f>SUM(R124:R127)</f>
        <v>5210.96</v>
      </c>
    </row>
    <row r="129" spans="1:29" ht="14.5" x14ac:dyDescent="0.25">
      <c r="A129" s="31"/>
      <c r="B129" s="31"/>
      <c r="C129" s="31" t="s">
        <v>657</v>
      </c>
      <c r="D129" s="33" t="s">
        <v>656</v>
      </c>
      <c r="E129" s="32">
        <f>Source!CA45</f>
        <v>46</v>
      </c>
      <c r="F129" s="35"/>
      <c r="G129" s="34"/>
      <c r="H129" s="32"/>
      <c r="I129" s="35">
        <f>SUM(S124:S128)</f>
        <v>47.27</v>
      </c>
      <c r="J129" s="32">
        <f>Source!AU45</f>
        <v>46</v>
      </c>
      <c r="K129" s="35">
        <f>SUM(T124:T128)</f>
        <v>2663.38</v>
      </c>
    </row>
    <row r="130" spans="1:29" ht="14.5" x14ac:dyDescent="0.25">
      <c r="A130" s="38"/>
      <c r="B130" s="38"/>
      <c r="C130" s="38" t="s">
        <v>658</v>
      </c>
      <c r="D130" s="39" t="s">
        <v>659</v>
      </c>
      <c r="E130" s="40">
        <f>Source!AQ44</f>
        <v>0.35</v>
      </c>
      <c r="F130" s="41"/>
      <c r="G130" s="42" t="s">
        <v>652</v>
      </c>
      <c r="H130" s="40">
        <f>Source!AV45</f>
        <v>1.0469999999999999</v>
      </c>
      <c r="I130" s="41">
        <f>Source!U44</f>
        <v>7.6514759999999988</v>
      </c>
      <c r="J130" s="40"/>
      <c r="K130" s="41"/>
    </row>
    <row r="131" spans="1:29" ht="14" x14ac:dyDescent="0.25">
      <c r="C131" s="43" t="s">
        <v>660</v>
      </c>
      <c r="H131" s="70">
        <f>I125+I126+I128+I129+0-0-0</f>
        <v>336.07</v>
      </c>
      <c r="I131" s="70"/>
      <c r="J131" s="70">
        <f>K125+K126+K128+K129+0-0-0</f>
        <v>14690.18</v>
      </c>
      <c r="K131" s="70"/>
    </row>
    <row r="132" spans="1:29" ht="14" hidden="1" x14ac:dyDescent="0.25">
      <c r="C132" s="43" t="s">
        <v>661</v>
      </c>
      <c r="H132" s="65">
        <f>0+0</f>
        <v>0</v>
      </c>
      <c r="I132" s="65"/>
      <c r="J132" s="65">
        <f>0+0</f>
        <v>0</v>
      </c>
      <c r="K132" s="65"/>
    </row>
    <row r="133" spans="1:29" ht="14" x14ac:dyDescent="0.25">
      <c r="C133" s="43" t="s">
        <v>662</v>
      </c>
      <c r="H133" s="65">
        <f>I125+I126+I128+I129+0</f>
        <v>336.07</v>
      </c>
      <c r="I133" s="65"/>
      <c r="J133" s="65">
        <f>K125+K126+K128+K129+0</f>
        <v>14690.18</v>
      </c>
      <c r="K133" s="65"/>
      <c r="O133" s="44">
        <f>I125+I126+I128+I129+0</f>
        <v>336.07</v>
      </c>
      <c r="P133" s="44">
        <f>K125+K126+K128+K129+0</f>
        <v>14690.18</v>
      </c>
    </row>
    <row r="135" spans="1:29" ht="84" x14ac:dyDescent="0.25">
      <c r="A135" s="31">
        <v>10</v>
      </c>
      <c r="B135" s="31" t="str">
        <f>Source!F46</f>
        <v>4.10-80-2</v>
      </c>
      <c r="C135" s="31" t="s">
        <v>71</v>
      </c>
      <c r="D135" s="33" t="str">
        <f>Source!H46</f>
        <v>1  ШТ.</v>
      </c>
      <c r="E135" s="32">
        <f>Source!I46</f>
        <v>2</v>
      </c>
      <c r="F135" s="35"/>
      <c r="G135" s="34"/>
      <c r="H135" s="32"/>
      <c r="I135" s="35"/>
      <c r="J135" s="32"/>
      <c r="K135" s="35"/>
      <c r="Q135">
        <f>Source!X46</f>
        <v>104.79</v>
      </c>
      <c r="R135">
        <f>Source!X47</f>
        <v>5904.75</v>
      </c>
      <c r="S135">
        <f>Source!Y46</f>
        <v>53.56</v>
      </c>
      <c r="T135">
        <f>Source!Y47</f>
        <v>3017.98</v>
      </c>
      <c r="U135">
        <f>ROUND((175/100)*ROUND(Source!R46, 2), 2)</f>
        <v>0.02</v>
      </c>
      <c r="V135">
        <f>ROUND((0/100)*ROUND(Source!R47, 2), 2)</f>
        <v>0</v>
      </c>
      <c r="AC135">
        <v>0</v>
      </c>
    </row>
    <row r="136" spans="1:29" ht="14.5" x14ac:dyDescent="0.25">
      <c r="A136" s="31"/>
      <c r="B136" s="31"/>
      <c r="C136" s="31" t="s">
        <v>651</v>
      </c>
      <c r="D136" s="33"/>
      <c r="E136" s="32"/>
      <c r="F136" s="35">
        <f>Source!AO46</f>
        <v>154.44</v>
      </c>
      <c r="G136" s="36" t="s">
        <v>652</v>
      </c>
      <c r="H136" s="32">
        <f>Source!AV47</f>
        <v>1.0469999999999999</v>
      </c>
      <c r="I136" s="35">
        <f>Source!S46</f>
        <v>116.42</v>
      </c>
      <c r="J136" s="32">
        <f>IF(Source!BA47&lt;&gt; 0, Source!BA47, 1)</f>
        <v>56.35</v>
      </c>
      <c r="K136" s="35">
        <f>Source!S47</f>
        <v>6560.27</v>
      </c>
    </row>
    <row r="137" spans="1:29" ht="14.5" x14ac:dyDescent="0.25">
      <c r="A137" s="31"/>
      <c r="B137" s="31"/>
      <c r="C137" s="31" t="s">
        <v>653</v>
      </c>
      <c r="D137" s="33"/>
      <c r="E137" s="32"/>
      <c r="F137" s="35">
        <f>Source!AM46</f>
        <v>0.06</v>
      </c>
      <c r="G137" s="36" t="s">
        <v>652</v>
      </c>
      <c r="H137" s="32">
        <f>Source!AV47</f>
        <v>1.0469999999999999</v>
      </c>
      <c r="I137" s="35">
        <f>Source!Q46</f>
        <v>0.05</v>
      </c>
      <c r="J137" s="32">
        <f>IF(Source!BB47&lt;&gt; 0, Source!BB47, 1)</f>
        <v>18.5</v>
      </c>
      <c r="K137" s="35">
        <f>Source!Q47</f>
        <v>0.93</v>
      </c>
    </row>
    <row r="138" spans="1:29" ht="14.5" x14ac:dyDescent="0.25">
      <c r="A138" s="31"/>
      <c r="B138" s="31"/>
      <c r="C138" s="31" t="s">
        <v>654</v>
      </c>
      <c r="D138" s="33"/>
      <c r="E138" s="32"/>
      <c r="F138" s="35">
        <f>Source!AN46</f>
        <v>0.01</v>
      </c>
      <c r="G138" s="36" t="s">
        <v>652</v>
      </c>
      <c r="H138" s="32">
        <f>Source!AV47</f>
        <v>1.0469999999999999</v>
      </c>
      <c r="I138" s="37">
        <f>Source!R46</f>
        <v>0.01</v>
      </c>
      <c r="J138" s="32">
        <f>IF(Source!BS47&lt;&gt; 0, Source!BS47, 1)</f>
        <v>56.35</v>
      </c>
      <c r="K138" s="37">
        <f>Source!R47</f>
        <v>0.56000000000000005</v>
      </c>
    </row>
    <row r="139" spans="1:29" ht="14.5" x14ac:dyDescent="0.25">
      <c r="A139" s="31"/>
      <c r="B139" s="31"/>
      <c r="C139" s="31" t="s">
        <v>655</v>
      </c>
      <c r="D139" s="33" t="s">
        <v>656</v>
      </c>
      <c r="E139" s="32">
        <f>Source!BZ47</f>
        <v>90</v>
      </c>
      <c r="F139" s="35"/>
      <c r="G139" s="34"/>
      <c r="H139" s="32"/>
      <c r="I139" s="35">
        <f>SUM(Q135:Q138)</f>
        <v>104.79</v>
      </c>
      <c r="J139" s="32">
        <f>Source!AT47</f>
        <v>90</v>
      </c>
      <c r="K139" s="35">
        <f>SUM(R135:R138)</f>
        <v>5904.75</v>
      </c>
    </row>
    <row r="140" spans="1:29" ht="14.5" x14ac:dyDescent="0.25">
      <c r="A140" s="31"/>
      <c r="B140" s="31"/>
      <c r="C140" s="31" t="s">
        <v>657</v>
      </c>
      <c r="D140" s="33" t="s">
        <v>656</v>
      </c>
      <c r="E140" s="32">
        <f>Source!CA47</f>
        <v>46</v>
      </c>
      <c r="F140" s="35"/>
      <c r="G140" s="34"/>
      <c r="H140" s="32"/>
      <c r="I140" s="35">
        <f>SUM(S135:S139)</f>
        <v>53.56</v>
      </c>
      <c r="J140" s="32">
        <f>Source!AU47</f>
        <v>46</v>
      </c>
      <c r="K140" s="35">
        <f>SUM(T135:T139)</f>
        <v>3017.98</v>
      </c>
    </row>
    <row r="141" spans="1:29" ht="14.5" x14ac:dyDescent="0.25">
      <c r="A141" s="38"/>
      <c r="B141" s="38"/>
      <c r="C141" s="38" t="s">
        <v>658</v>
      </c>
      <c r="D141" s="39" t="s">
        <v>659</v>
      </c>
      <c r="E141" s="40">
        <f>Source!AQ46</f>
        <v>11.7</v>
      </c>
      <c r="F141" s="41"/>
      <c r="G141" s="42" t="s">
        <v>652</v>
      </c>
      <c r="H141" s="40">
        <f>Source!AV47</f>
        <v>1.0469999999999999</v>
      </c>
      <c r="I141" s="41">
        <f>Source!U46</f>
        <v>8.8199279999999991</v>
      </c>
      <c r="J141" s="40"/>
      <c r="K141" s="41"/>
    </row>
    <row r="142" spans="1:29" ht="14" x14ac:dyDescent="0.25">
      <c r="C142" s="43" t="s">
        <v>660</v>
      </c>
      <c r="H142" s="70">
        <f>I136+I137+I139+I140+0-0-0</f>
        <v>274.82</v>
      </c>
      <c r="I142" s="70"/>
      <c r="J142" s="70">
        <f>K136+K137+K139+K140+0-0-0</f>
        <v>15483.93</v>
      </c>
      <c r="K142" s="70"/>
    </row>
    <row r="143" spans="1:29" ht="14" hidden="1" x14ac:dyDescent="0.25">
      <c r="C143" s="43" t="s">
        <v>661</v>
      </c>
      <c r="H143" s="65">
        <f>0+0</f>
        <v>0</v>
      </c>
      <c r="I143" s="65"/>
      <c r="J143" s="65">
        <f>0+0</f>
        <v>0</v>
      </c>
      <c r="K143" s="65"/>
    </row>
    <row r="144" spans="1:29" ht="14" x14ac:dyDescent="0.25">
      <c r="C144" s="43" t="s">
        <v>662</v>
      </c>
      <c r="H144" s="65">
        <f>I136+I137+I139+I140+0</f>
        <v>274.82</v>
      </c>
      <c r="I144" s="65"/>
      <c r="J144" s="65">
        <f>K136+K137+K139+K140+0</f>
        <v>15483.93</v>
      </c>
      <c r="K144" s="65"/>
      <c r="O144" s="44">
        <f>I136+I137+I139+I140+0</f>
        <v>274.82</v>
      </c>
      <c r="P144" s="44">
        <f>K136+K137+K139+K140+0</f>
        <v>15483.93</v>
      </c>
    </row>
    <row r="146" spans="1:29" ht="42" x14ac:dyDescent="0.25">
      <c r="A146" s="31">
        <v>11</v>
      </c>
      <c r="B146" s="31" t="str">
        <f>Source!F48</f>
        <v>4.10-80-13</v>
      </c>
      <c r="C146" s="31" t="s">
        <v>73</v>
      </c>
      <c r="D146" s="33" t="str">
        <f>Source!H48</f>
        <v>1  ШТ.</v>
      </c>
      <c r="E146" s="32">
        <f>Source!I48</f>
        <v>2</v>
      </c>
      <c r="F146" s="35"/>
      <c r="G146" s="34"/>
      <c r="H146" s="32"/>
      <c r="I146" s="35"/>
      <c r="J146" s="32"/>
      <c r="K146" s="35"/>
      <c r="Q146">
        <f>Source!X48</f>
        <v>10.91</v>
      </c>
      <c r="R146">
        <f>Source!X49</f>
        <v>614.66</v>
      </c>
      <c r="S146">
        <f>Source!Y48</f>
        <v>5.58</v>
      </c>
      <c r="T146">
        <f>Source!Y49</f>
        <v>314.16000000000003</v>
      </c>
      <c r="U146">
        <f>ROUND((175/100)*ROUND(Source!R48, 2), 2)</f>
        <v>0.02</v>
      </c>
      <c r="V146">
        <f>ROUND((0/100)*ROUND(Source!R49, 2), 2)</f>
        <v>0</v>
      </c>
      <c r="AC146">
        <v>0</v>
      </c>
    </row>
    <row r="147" spans="1:29" x14ac:dyDescent="0.25">
      <c r="C147" s="45" t="str">
        <f>"Объем: "&amp;Source!I48&amp;"=1+"&amp;"1"</f>
        <v>Объем: 2=1+1</v>
      </c>
    </row>
    <row r="148" spans="1:29" ht="14.5" x14ac:dyDescent="0.25">
      <c r="A148" s="31"/>
      <c r="B148" s="31"/>
      <c r="C148" s="31" t="s">
        <v>651</v>
      </c>
      <c r="D148" s="33"/>
      <c r="E148" s="32"/>
      <c r="F148" s="35">
        <f>Source!AO48</f>
        <v>16.07</v>
      </c>
      <c r="G148" s="36" t="s">
        <v>652</v>
      </c>
      <c r="H148" s="32">
        <f>Source!AV49</f>
        <v>1.0469999999999999</v>
      </c>
      <c r="I148" s="35">
        <f>Source!S48</f>
        <v>12.11</v>
      </c>
      <c r="J148" s="32">
        <f>IF(Source!BA49&lt;&gt; 0, Source!BA49, 1)</f>
        <v>56.35</v>
      </c>
      <c r="K148" s="35">
        <f>Source!S49</f>
        <v>682.4</v>
      </c>
    </row>
    <row r="149" spans="1:29" ht="14.5" x14ac:dyDescent="0.25">
      <c r="A149" s="31"/>
      <c r="B149" s="31"/>
      <c r="C149" s="31" t="s">
        <v>653</v>
      </c>
      <c r="D149" s="33"/>
      <c r="E149" s="32"/>
      <c r="F149" s="35">
        <f>Source!AM48</f>
        <v>0.05</v>
      </c>
      <c r="G149" s="36" t="s">
        <v>652</v>
      </c>
      <c r="H149" s="32">
        <f>Source!AV49</f>
        <v>1.0469999999999999</v>
      </c>
      <c r="I149" s="35">
        <f>Source!Q48</f>
        <v>0.04</v>
      </c>
      <c r="J149" s="32">
        <f>IF(Source!BB49&lt;&gt; 0, Source!BB49, 1)</f>
        <v>20</v>
      </c>
      <c r="K149" s="35">
        <f>Source!Q49</f>
        <v>0.8</v>
      </c>
    </row>
    <row r="150" spans="1:29" ht="14.5" x14ac:dyDescent="0.25">
      <c r="A150" s="31"/>
      <c r="B150" s="31"/>
      <c r="C150" s="31" t="s">
        <v>654</v>
      </c>
      <c r="D150" s="33"/>
      <c r="E150" s="32"/>
      <c r="F150" s="35">
        <f>Source!AN48</f>
        <v>0.01</v>
      </c>
      <c r="G150" s="36" t="s">
        <v>652</v>
      </c>
      <c r="H150" s="32">
        <f>Source!AV49</f>
        <v>1.0469999999999999</v>
      </c>
      <c r="I150" s="37">
        <f>Source!R48</f>
        <v>0.01</v>
      </c>
      <c r="J150" s="32">
        <f>IF(Source!BS49&lt;&gt; 0, Source!BS49, 1)</f>
        <v>56.35</v>
      </c>
      <c r="K150" s="37">
        <f>Source!R49</f>
        <v>0.56000000000000005</v>
      </c>
    </row>
    <row r="151" spans="1:29" ht="14.5" x14ac:dyDescent="0.25">
      <c r="A151" s="31"/>
      <c r="B151" s="31"/>
      <c r="C151" s="31" t="s">
        <v>655</v>
      </c>
      <c r="D151" s="33" t="s">
        <v>656</v>
      </c>
      <c r="E151" s="32">
        <f>Source!BZ49</f>
        <v>90</v>
      </c>
      <c r="F151" s="35"/>
      <c r="G151" s="34"/>
      <c r="H151" s="32"/>
      <c r="I151" s="35">
        <f>SUM(Q146:Q150)</f>
        <v>10.91</v>
      </c>
      <c r="J151" s="32">
        <f>Source!AT49</f>
        <v>90</v>
      </c>
      <c r="K151" s="35">
        <f>SUM(R146:R150)</f>
        <v>614.66</v>
      </c>
    </row>
    <row r="152" spans="1:29" ht="14.5" x14ac:dyDescent="0.25">
      <c r="A152" s="31"/>
      <c r="B152" s="31"/>
      <c r="C152" s="31" t="s">
        <v>657</v>
      </c>
      <c r="D152" s="33" t="s">
        <v>656</v>
      </c>
      <c r="E152" s="32">
        <f>Source!CA49</f>
        <v>46</v>
      </c>
      <c r="F152" s="35"/>
      <c r="G152" s="34"/>
      <c r="H152" s="32"/>
      <c r="I152" s="35">
        <f>SUM(S146:S151)</f>
        <v>5.58</v>
      </c>
      <c r="J152" s="32">
        <f>Source!AU49</f>
        <v>46</v>
      </c>
      <c r="K152" s="35">
        <f>SUM(T146:T151)</f>
        <v>314.16000000000003</v>
      </c>
    </row>
    <row r="153" spans="1:29" ht="14.5" x14ac:dyDescent="0.25">
      <c r="A153" s="38"/>
      <c r="B153" s="38"/>
      <c r="C153" s="38" t="s">
        <v>658</v>
      </c>
      <c r="D153" s="39" t="s">
        <v>659</v>
      </c>
      <c r="E153" s="40">
        <f>Source!AQ48</f>
        <v>1.2</v>
      </c>
      <c r="F153" s="41"/>
      <c r="G153" s="42" t="s">
        <v>652</v>
      </c>
      <c r="H153" s="40">
        <f>Source!AV49</f>
        <v>1.0469999999999999</v>
      </c>
      <c r="I153" s="41">
        <f>Source!U48</f>
        <v>0.90460799999999997</v>
      </c>
      <c r="J153" s="40"/>
      <c r="K153" s="41"/>
    </row>
    <row r="154" spans="1:29" ht="14" x14ac:dyDescent="0.25">
      <c r="C154" s="43" t="s">
        <v>660</v>
      </c>
      <c r="H154" s="70">
        <f>I148+I149+I151+I152+0-0-0</f>
        <v>28.64</v>
      </c>
      <c r="I154" s="70"/>
      <c r="J154" s="70">
        <f>K148+K149+K151+K152+0-0-0</f>
        <v>1612.02</v>
      </c>
      <c r="K154" s="70"/>
    </row>
    <row r="155" spans="1:29" ht="14" hidden="1" x14ac:dyDescent="0.25">
      <c r="C155" s="43" t="s">
        <v>661</v>
      </c>
      <c r="H155" s="65">
        <f>0+0</f>
        <v>0</v>
      </c>
      <c r="I155" s="65"/>
      <c r="J155" s="65">
        <f>0+0</f>
        <v>0</v>
      </c>
      <c r="K155" s="65"/>
    </row>
    <row r="156" spans="1:29" ht="14" x14ac:dyDescent="0.25">
      <c r="C156" s="43" t="s">
        <v>662</v>
      </c>
      <c r="H156" s="65">
        <f>I148+I149+I151+I152+0</f>
        <v>28.64</v>
      </c>
      <c r="I156" s="65"/>
      <c r="J156" s="65">
        <f>K148+K149+K151+K152+0</f>
        <v>1612.02</v>
      </c>
      <c r="K156" s="65"/>
      <c r="O156" s="44">
        <f>I148+I149+I151+I152+0</f>
        <v>28.64</v>
      </c>
      <c r="P156" s="44">
        <f>K148+K149+K151+K152+0</f>
        <v>1612.02</v>
      </c>
    </row>
    <row r="158" spans="1:29" ht="42" x14ac:dyDescent="0.25">
      <c r="A158" s="31">
        <v>12</v>
      </c>
      <c r="B158" s="31" t="str">
        <f>Source!F50</f>
        <v>4.10-167-1</v>
      </c>
      <c r="C158" s="31" t="s">
        <v>75</v>
      </c>
      <c r="D158" s="33" t="str">
        <f>Source!H50</f>
        <v>1  ШТ.</v>
      </c>
      <c r="E158" s="32">
        <f>Source!I50</f>
        <v>2</v>
      </c>
      <c r="F158" s="35"/>
      <c r="G158" s="34"/>
      <c r="H158" s="32"/>
      <c r="I158" s="35"/>
      <c r="J158" s="32"/>
      <c r="K158" s="35"/>
      <c r="Q158">
        <f>Source!X50</f>
        <v>12.85</v>
      </c>
      <c r="R158">
        <f>Source!X51</f>
        <v>724.21</v>
      </c>
      <c r="S158">
        <f>Source!Y50</f>
        <v>6.57</v>
      </c>
      <c r="T158">
        <f>Source!Y51</f>
        <v>370.15</v>
      </c>
      <c r="U158">
        <f>ROUND((175/100)*ROUND(Source!R50, 2), 2)</f>
        <v>0</v>
      </c>
      <c r="V158">
        <f>ROUND((0/100)*ROUND(Source!R51, 2), 2)</f>
        <v>0</v>
      </c>
      <c r="AC158">
        <v>0</v>
      </c>
    </row>
    <row r="159" spans="1:29" ht="14.5" x14ac:dyDescent="0.25">
      <c r="A159" s="31"/>
      <c r="B159" s="31"/>
      <c r="C159" s="31" t="s">
        <v>651</v>
      </c>
      <c r="D159" s="33"/>
      <c r="E159" s="32"/>
      <c r="F159" s="35">
        <f>Source!AO50</f>
        <v>18.940000000000001</v>
      </c>
      <c r="G159" s="36" t="s">
        <v>652</v>
      </c>
      <c r="H159" s="32">
        <f>Source!AV51</f>
        <v>1.0469999999999999</v>
      </c>
      <c r="I159" s="35">
        <f>Source!S50</f>
        <v>14.28</v>
      </c>
      <c r="J159" s="32">
        <f>IF(Source!BA51&lt;&gt; 0, Source!BA51, 1)</f>
        <v>56.35</v>
      </c>
      <c r="K159" s="35">
        <f>Source!S51</f>
        <v>804.68</v>
      </c>
    </row>
    <row r="160" spans="1:29" ht="14.5" x14ac:dyDescent="0.25">
      <c r="A160" s="31"/>
      <c r="B160" s="31"/>
      <c r="C160" s="31" t="s">
        <v>653</v>
      </c>
      <c r="D160" s="33"/>
      <c r="E160" s="32"/>
      <c r="F160" s="35">
        <f>Source!AM50</f>
        <v>0.02</v>
      </c>
      <c r="G160" s="36" t="s">
        <v>652</v>
      </c>
      <c r="H160" s="32">
        <f>Source!AV51</f>
        <v>1.0469999999999999</v>
      </c>
      <c r="I160" s="35">
        <f>Source!Q50</f>
        <v>0.02</v>
      </c>
      <c r="J160" s="32">
        <f>IF(Source!BB51&lt;&gt; 0, Source!BB51, 1)</f>
        <v>11</v>
      </c>
      <c r="K160" s="35">
        <f>Source!Q51</f>
        <v>0.22</v>
      </c>
    </row>
    <row r="161" spans="1:29" ht="14.5" x14ac:dyDescent="0.25">
      <c r="A161" s="31"/>
      <c r="B161" s="31"/>
      <c r="C161" s="31" t="s">
        <v>655</v>
      </c>
      <c r="D161" s="33" t="s">
        <v>656</v>
      </c>
      <c r="E161" s="32">
        <f>Source!BZ51</f>
        <v>90</v>
      </c>
      <c r="F161" s="35"/>
      <c r="G161" s="34"/>
      <c r="H161" s="32"/>
      <c r="I161" s="35">
        <f>SUM(Q158:Q160)</f>
        <v>12.85</v>
      </c>
      <c r="J161" s="32">
        <f>Source!AT51</f>
        <v>90</v>
      </c>
      <c r="K161" s="35">
        <f>SUM(R158:R160)</f>
        <v>724.21</v>
      </c>
    </row>
    <row r="162" spans="1:29" ht="14.5" x14ac:dyDescent="0.25">
      <c r="A162" s="31"/>
      <c r="B162" s="31"/>
      <c r="C162" s="31" t="s">
        <v>657</v>
      </c>
      <c r="D162" s="33" t="s">
        <v>656</v>
      </c>
      <c r="E162" s="32">
        <f>Source!CA51</f>
        <v>46</v>
      </c>
      <c r="F162" s="35"/>
      <c r="G162" s="34"/>
      <c r="H162" s="32"/>
      <c r="I162" s="35">
        <f>SUM(S158:S161)</f>
        <v>6.57</v>
      </c>
      <c r="J162" s="32">
        <f>Source!AU51</f>
        <v>46</v>
      </c>
      <c r="K162" s="35">
        <f>SUM(T158:T161)</f>
        <v>370.15</v>
      </c>
    </row>
    <row r="163" spans="1:29" ht="14.5" x14ac:dyDescent="0.25">
      <c r="A163" s="38"/>
      <c r="B163" s="38"/>
      <c r="C163" s="38" t="s">
        <v>658</v>
      </c>
      <c r="D163" s="39" t="s">
        <v>659</v>
      </c>
      <c r="E163" s="40">
        <f>Source!AQ50</f>
        <v>1.36</v>
      </c>
      <c r="F163" s="41"/>
      <c r="G163" s="42" t="s">
        <v>652</v>
      </c>
      <c r="H163" s="40">
        <f>Source!AV51</f>
        <v>1.0469999999999999</v>
      </c>
      <c r="I163" s="41">
        <f>Source!U50</f>
        <v>1.0252224000000001</v>
      </c>
      <c r="J163" s="40"/>
      <c r="K163" s="41"/>
    </row>
    <row r="164" spans="1:29" ht="14" x14ac:dyDescent="0.25">
      <c r="C164" s="43" t="s">
        <v>660</v>
      </c>
      <c r="H164" s="70">
        <f>I159+I160+I161+I162+0-0-0</f>
        <v>33.72</v>
      </c>
      <c r="I164" s="70"/>
      <c r="J164" s="70">
        <f>K159+K160+K161+K162+0-0-0</f>
        <v>1899.2600000000002</v>
      </c>
      <c r="K164" s="70"/>
    </row>
    <row r="165" spans="1:29" ht="14" hidden="1" x14ac:dyDescent="0.25">
      <c r="C165" s="43" t="s">
        <v>661</v>
      </c>
      <c r="H165" s="65">
        <f>0+0</f>
        <v>0</v>
      </c>
      <c r="I165" s="65"/>
      <c r="J165" s="65">
        <f>0+0</f>
        <v>0</v>
      </c>
      <c r="K165" s="65"/>
    </row>
    <row r="166" spans="1:29" ht="14" x14ac:dyDescent="0.25">
      <c r="C166" s="43" t="s">
        <v>662</v>
      </c>
      <c r="H166" s="65">
        <f>I159+I160+I161+I162+0</f>
        <v>33.72</v>
      </c>
      <c r="I166" s="65"/>
      <c r="J166" s="65">
        <f>K159+K160+K161+K162+0</f>
        <v>1899.2600000000002</v>
      </c>
      <c r="K166" s="65"/>
      <c r="O166" s="44">
        <f>I159+I160+I161+I162+0</f>
        <v>33.72</v>
      </c>
      <c r="P166" s="44">
        <f>K159+K160+K161+K162+0</f>
        <v>1899.2600000000002</v>
      </c>
    </row>
    <row r="168" spans="1:29" ht="56" x14ac:dyDescent="0.25">
      <c r="A168" s="31">
        <v>13</v>
      </c>
      <c r="B168" s="31" t="str">
        <f>Source!F52</f>
        <v>4.8-58-2</v>
      </c>
      <c r="C168" s="31" t="s">
        <v>78</v>
      </c>
      <c r="D168" s="33" t="str">
        <f>Source!H52</f>
        <v>1  ШТ.</v>
      </c>
      <c r="E168" s="32">
        <f>Source!I52</f>
        <v>223</v>
      </c>
      <c r="F168" s="35"/>
      <c r="G168" s="34"/>
      <c r="H168" s="32"/>
      <c r="I168" s="35"/>
      <c r="J168" s="32"/>
      <c r="K168" s="35"/>
      <c r="Q168">
        <f>Source!X52</f>
        <v>1090.8900000000001</v>
      </c>
      <c r="R168">
        <f>Source!X53</f>
        <v>61471.71</v>
      </c>
      <c r="S168">
        <f>Source!Y52</f>
        <v>573.55999999999995</v>
      </c>
      <c r="T168">
        <f>Source!Y53</f>
        <v>32320.18</v>
      </c>
      <c r="U168">
        <f>ROUND((175/100)*ROUND(Source!R52, 2), 2)</f>
        <v>55.9</v>
      </c>
      <c r="V168">
        <f>ROUND((0/100)*ROUND(Source!R53, 2), 2)</f>
        <v>0</v>
      </c>
      <c r="AC168">
        <v>0</v>
      </c>
    </row>
    <row r="169" spans="1:29" ht="14.5" x14ac:dyDescent="0.25">
      <c r="A169" s="31"/>
      <c r="B169" s="31"/>
      <c r="C169" s="31" t="s">
        <v>651</v>
      </c>
      <c r="D169" s="33"/>
      <c r="E169" s="32"/>
      <c r="F169" s="35">
        <f>Source!AO52</f>
        <v>13</v>
      </c>
      <c r="G169" s="36" t="s">
        <v>652</v>
      </c>
      <c r="H169" s="32">
        <f>Source!AV53</f>
        <v>1.0469999999999999</v>
      </c>
      <c r="I169" s="35">
        <f>Source!S52</f>
        <v>1092.69</v>
      </c>
      <c r="J169" s="32">
        <f>IF(Source!BA53&lt;&gt; 0, Source!BA53, 1)</f>
        <v>56.35</v>
      </c>
      <c r="K169" s="35">
        <f>Source!S53</f>
        <v>61573.08</v>
      </c>
    </row>
    <row r="170" spans="1:29" ht="14.5" x14ac:dyDescent="0.25">
      <c r="A170" s="31"/>
      <c r="B170" s="31"/>
      <c r="C170" s="31" t="s">
        <v>653</v>
      </c>
      <c r="D170" s="33"/>
      <c r="E170" s="32"/>
      <c r="F170" s="35">
        <f>Source!AM52</f>
        <v>2.4900000000000002</v>
      </c>
      <c r="G170" s="36" t="s">
        <v>652</v>
      </c>
      <c r="H170" s="32">
        <f>Source!AV53</f>
        <v>1.0469999999999999</v>
      </c>
      <c r="I170" s="35">
        <f>Source!Q52</f>
        <v>209.29</v>
      </c>
      <c r="J170" s="32">
        <f>IF(Source!BB53&lt;&gt; 0, Source!BB53, 1)</f>
        <v>17.09</v>
      </c>
      <c r="K170" s="35">
        <f>Source!Q53</f>
        <v>3576.77</v>
      </c>
    </row>
    <row r="171" spans="1:29" ht="14.5" x14ac:dyDescent="0.25">
      <c r="A171" s="31"/>
      <c r="B171" s="31"/>
      <c r="C171" s="31" t="s">
        <v>654</v>
      </c>
      <c r="D171" s="33"/>
      <c r="E171" s="32"/>
      <c r="F171" s="35">
        <f>Source!AN52</f>
        <v>0.38</v>
      </c>
      <c r="G171" s="36" t="s">
        <v>652</v>
      </c>
      <c r="H171" s="32">
        <f>Source!AV53</f>
        <v>1.0469999999999999</v>
      </c>
      <c r="I171" s="37">
        <f>Source!R52</f>
        <v>31.94</v>
      </c>
      <c r="J171" s="32">
        <f>IF(Source!BS53&lt;&gt; 0, Source!BS53, 1)</f>
        <v>56.35</v>
      </c>
      <c r="K171" s="37">
        <f>Source!R53</f>
        <v>1799.82</v>
      </c>
    </row>
    <row r="172" spans="1:29" ht="14.5" x14ac:dyDescent="0.25">
      <c r="A172" s="31"/>
      <c r="B172" s="31"/>
      <c r="C172" s="31" t="s">
        <v>655</v>
      </c>
      <c r="D172" s="33" t="s">
        <v>656</v>
      </c>
      <c r="E172" s="32">
        <f>Source!BZ53</f>
        <v>97</v>
      </c>
      <c r="F172" s="35"/>
      <c r="G172" s="34"/>
      <c r="H172" s="32"/>
      <c r="I172" s="35">
        <f>SUM(Q168:Q171)</f>
        <v>1090.8900000000001</v>
      </c>
      <c r="J172" s="32">
        <f>Source!AT53</f>
        <v>97</v>
      </c>
      <c r="K172" s="35">
        <f>SUM(R168:R171)</f>
        <v>61471.71</v>
      </c>
    </row>
    <row r="173" spans="1:29" ht="14.5" x14ac:dyDescent="0.25">
      <c r="A173" s="31"/>
      <c r="B173" s="31"/>
      <c r="C173" s="31" t="s">
        <v>657</v>
      </c>
      <c r="D173" s="33" t="s">
        <v>656</v>
      </c>
      <c r="E173" s="32">
        <f>Source!CA53</f>
        <v>51</v>
      </c>
      <c r="F173" s="35"/>
      <c r="G173" s="34"/>
      <c r="H173" s="32"/>
      <c r="I173" s="35">
        <f>SUM(S168:S172)</f>
        <v>573.55999999999995</v>
      </c>
      <c r="J173" s="32">
        <f>Source!AU53</f>
        <v>51</v>
      </c>
      <c r="K173" s="35">
        <f>SUM(T168:T172)</f>
        <v>32320.18</v>
      </c>
    </row>
    <row r="174" spans="1:29" ht="14.5" x14ac:dyDescent="0.25">
      <c r="A174" s="38"/>
      <c r="B174" s="38"/>
      <c r="C174" s="38" t="s">
        <v>658</v>
      </c>
      <c r="D174" s="39" t="s">
        <v>659</v>
      </c>
      <c r="E174" s="40">
        <f>Source!AQ52</f>
        <v>1.03</v>
      </c>
      <c r="F174" s="41"/>
      <c r="G174" s="42" t="s">
        <v>652</v>
      </c>
      <c r="H174" s="40">
        <f>Source!AV53</f>
        <v>1.0469999999999999</v>
      </c>
      <c r="I174" s="41">
        <f>Source!U52</f>
        <v>86.574754799999994</v>
      </c>
      <c r="J174" s="40"/>
      <c r="K174" s="41"/>
    </row>
    <row r="175" spans="1:29" ht="14" x14ac:dyDescent="0.25">
      <c r="C175" s="43" t="s">
        <v>660</v>
      </c>
      <c r="H175" s="70">
        <f>I169+I170+I172+I173+0-0-0</f>
        <v>2966.43</v>
      </c>
      <c r="I175" s="70"/>
      <c r="J175" s="70">
        <f>K169+K170+K172+K173+0-0-0</f>
        <v>158941.74</v>
      </c>
      <c r="K175" s="70"/>
    </row>
    <row r="176" spans="1:29" ht="14" hidden="1" x14ac:dyDescent="0.25">
      <c r="C176" s="43" t="s">
        <v>661</v>
      </c>
      <c r="H176" s="65">
        <f>0+0</f>
        <v>0</v>
      </c>
      <c r="I176" s="65"/>
      <c r="J176" s="65">
        <f>0+0</f>
        <v>0</v>
      </c>
      <c r="K176" s="65"/>
    </row>
    <row r="177" spans="1:29" ht="14" x14ac:dyDescent="0.25">
      <c r="C177" s="43" t="s">
        <v>662</v>
      </c>
      <c r="H177" s="65">
        <f>I169+I170+I172+I173+0</f>
        <v>2966.43</v>
      </c>
      <c r="I177" s="65"/>
      <c r="J177" s="65">
        <f>K169+K170+K172+K173+0</f>
        <v>158941.74</v>
      </c>
      <c r="K177" s="65"/>
      <c r="O177" s="44">
        <f>I169+I170+I172+I173+0</f>
        <v>2966.43</v>
      </c>
      <c r="P177" s="44">
        <f>K169+K170+K172+K173+0</f>
        <v>158941.74</v>
      </c>
    </row>
    <row r="179" spans="1:29" ht="28" x14ac:dyDescent="0.25">
      <c r="A179" s="31">
        <v>14</v>
      </c>
      <c r="B179" s="31" t="str">
        <f>Source!F54</f>
        <v>4.10-76-10</v>
      </c>
      <c r="C179" s="31" t="s">
        <v>83</v>
      </c>
      <c r="D179" s="33" t="str">
        <f>Source!H54</f>
        <v>1  ШТ.</v>
      </c>
      <c r="E179" s="32">
        <f>Source!I54</f>
        <v>20</v>
      </c>
      <c r="F179" s="35"/>
      <c r="G179" s="34"/>
      <c r="H179" s="32"/>
      <c r="I179" s="35"/>
      <c r="J179" s="32"/>
      <c r="K179" s="35"/>
      <c r="Q179">
        <f>Source!X54</f>
        <v>85.15</v>
      </c>
      <c r="R179">
        <f>Source!X55</f>
        <v>4798.12</v>
      </c>
      <c r="S179">
        <f>Source!Y54</f>
        <v>47.5</v>
      </c>
      <c r="T179">
        <f>Source!Y55</f>
        <v>2676.84</v>
      </c>
      <c r="U179">
        <f>ROUND((175/100)*ROUND(Source!R54, 2), 2)</f>
        <v>0</v>
      </c>
      <c r="V179">
        <f>ROUND((0/100)*ROUND(Source!R55, 2), 2)</f>
        <v>0</v>
      </c>
      <c r="AC179">
        <v>0</v>
      </c>
    </row>
    <row r="180" spans="1:29" ht="14.5" x14ac:dyDescent="0.25">
      <c r="A180" s="31"/>
      <c r="B180" s="31"/>
      <c r="C180" s="31" t="s">
        <v>651</v>
      </c>
      <c r="D180" s="33"/>
      <c r="E180" s="32"/>
      <c r="F180" s="35">
        <f>Source!AO54</f>
        <v>11.89</v>
      </c>
      <c r="G180" s="36" t="s">
        <v>652</v>
      </c>
      <c r="H180" s="32">
        <f>Source!AV55</f>
        <v>1.0469999999999999</v>
      </c>
      <c r="I180" s="35">
        <f>Source!S54</f>
        <v>89.63</v>
      </c>
      <c r="J180" s="32">
        <f>IF(Source!BA55&lt;&gt; 0, Source!BA55, 1)</f>
        <v>56.35</v>
      </c>
      <c r="K180" s="35">
        <f>Source!S55</f>
        <v>5050.6499999999996</v>
      </c>
    </row>
    <row r="181" spans="1:29" ht="14.5" x14ac:dyDescent="0.25">
      <c r="A181" s="31"/>
      <c r="B181" s="31"/>
      <c r="C181" s="31" t="s">
        <v>655</v>
      </c>
      <c r="D181" s="33" t="s">
        <v>656</v>
      </c>
      <c r="E181" s="32">
        <f>Source!BZ55</f>
        <v>95</v>
      </c>
      <c r="F181" s="35"/>
      <c r="G181" s="34"/>
      <c r="H181" s="32"/>
      <c r="I181" s="35">
        <f>SUM(Q179:Q180)</f>
        <v>85.15</v>
      </c>
      <c r="J181" s="32">
        <f>Source!AT55</f>
        <v>95</v>
      </c>
      <c r="K181" s="35">
        <f>SUM(R179:R180)</f>
        <v>4798.12</v>
      </c>
    </row>
    <row r="182" spans="1:29" ht="14.5" x14ac:dyDescent="0.25">
      <c r="A182" s="31"/>
      <c r="B182" s="31"/>
      <c r="C182" s="31" t="s">
        <v>657</v>
      </c>
      <c r="D182" s="33" t="s">
        <v>656</v>
      </c>
      <c r="E182" s="32">
        <f>Source!CA55</f>
        <v>53</v>
      </c>
      <c r="F182" s="35"/>
      <c r="G182" s="34"/>
      <c r="H182" s="32"/>
      <c r="I182" s="35">
        <f>SUM(S179:S181)</f>
        <v>47.5</v>
      </c>
      <c r="J182" s="32">
        <f>Source!AU55</f>
        <v>53</v>
      </c>
      <c r="K182" s="35">
        <f>SUM(T179:T181)</f>
        <v>2676.84</v>
      </c>
    </row>
    <row r="183" spans="1:29" ht="14.5" x14ac:dyDescent="0.25">
      <c r="A183" s="38"/>
      <c r="B183" s="38"/>
      <c r="C183" s="38" t="s">
        <v>658</v>
      </c>
      <c r="D183" s="39" t="s">
        <v>659</v>
      </c>
      <c r="E183" s="40">
        <f>Source!AQ54</f>
        <v>1</v>
      </c>
      <c r="F183" s="41"/>
      <c r="G183" s="42" t="s">
        <v>652</v>
      </c>
      <c r="H183" s="40">
        <f>Source!AV55</f>
        <v>1.0469999999999999</v>
      </c>
      <c r="I183" s="41">
        <f>Source!U54</f>
        <v>7.5383999999999993</v>
      </c>
      <c r="J183" s="40"/>
      <c r="K183" s="41"/>
    </row>
    <row r="184" spans="1:29" ht="14" x14ac:dyDescent="0.25">
      <c r="C184" s="43" t="s">
        <v>660</v>
      </c>
      <c r="H184" s="70">
        <f>I180+I181+I182+0-0-0</f>
        <v>222.28</v>
      </c>
      <c r="I184" s="70"/>
      <c r="J184" s="70">
        <f>K180+K181+K182+0-0-0</f>
        <v>12525.61</v>
      </c>
      <c r="K184" s="70"/>
    </row>
    <row r="185" spans="1:29" ht="14" hidden="1" x14ac:dyDescent="0.25">
      <c r="C185" s="43" t="s">
        <v>661</v>
      </c>
      <c r="H185" s="65">
        <f>0+0</f>
        <v>0</v>
      </c>
      <c r="I185" s="65"/>
      <c r="J185" s="65">
        <f>0+0</f>
        <v>0</v>
      </c>
      <c r="K185" s="65"/>
    </row>
    <row r="186" spans="1:29" ht="14" x14ac:dyDescent="0.25">
      <c r="C186" s="43" t="s">
        <v>662</v>
      </c>
      <c r="H186" s="65">
        <f>I180+I181+I182+0</f>
        <v>222.28</v>
      </c>
      <c r="I186" s="65"/>
      <c r="J186" s="65">
        <f>K180+K181+K182+0</f>
        <v>12525.61</v>
      </c>
      <c r="K186" s="65"/>
      <c r="O186" s="44">
        <f>I180+I181+I182+0</f>
        <v>222.28</v>
      </c>
      <c r="P186" s="44">
        <f>K180+K181+K182+0</f>
        <v>12525.61</v>
      </c>
    </row>
    <row r="188" spans="1:29" ht="42" x14ac:dyDescent="0.25">
      <c r="A188" s="31">
        <v>15</v>
      </c>
      <c r="B188" s="31" t="str">
        <f>Source!F56</f>
        <v>4.10-80-13</v>
      </c>
      <c r="C188" s="31" t="s">
        <v>64</v>
      </c>
      <c r="D188" s="33" t="str">
        <f>Source!H56</f>
        <v>1  ШТ.</v>
      </c>
      <c r="E188" s="32">
        <f>Source!I56</f>
        <v>84</v>
      </c>
      <c r="F188" s="35"/>
      <c r="G188" s="34"/>
      <c r="H188" s="32"/>
      <c r="I188" s="35"/>
      <c r="J188" s="32"/>
      <c r="K188" s="35"/>
      <c r="Q188">
        <f>Source!X56</f>
        <v>458.21</v>
      </c>
      <c r="R188">
        <f>Source!X57</f>
        <v>25820.02</v>
      </c>
      <c r="S188">
        <f>Source!Y56</f>
        <v>234.2</v>
      </c>
      <c r="T188">
        <f>Source!Y57</f>
        <v>13196.9</v>
      </c>
      <c r="U188">
        <f>ROUND((175/100)*ROUND(Source!R56, 2), 2)</f>
        <v>0.56000000000000005</v>
      </c>
      <c r="V188">
        <f>ROUND((0/100)*ROUND(Source!R57, 2), 2)</f>
        <v>0</v>
      </c>
      <c r="AC188">
        <v>0</v>
      </c>
    </row>
    <row r="189" spans="1:29" ht="14.5" x14ac:dyDescent="0.25">
      <c r="A189" s="31"/>
      <c r="B189" s="31"/>
      <c r="C189" s="31" t="s">
        <v>651</v>
      </c>
      <c r="D189" s="33"/>
      <c r="E189" s="32"/>
      <c r="F189" s="35">
        <f>Source!AO56</f>
        <v>16.07</v>
      </c>
      <c r="G189" s="36" t="s">
        <v>652</v>
      </c>
      <c r="H189" s="32">
        <f>Source!AV57</f>
        <v>1.0469999999999999</v>
      </c>
      <c r="I189" s="35">
        <f>Source!S56</f>
        <v>508.8</v>
      </c>
      <c r="J189" s="32">
        <f>IF(Source!BA57&lt;&gt; 0, Source!BA57, 1)</f>
        <v>56.35</v>
      </c>
      <c r="K189" s="35">
        <f>Source!S57</f>
        <v>28670.880000000001</v>
      </c>
    </row>
    <row r="190" spans="1:29" ht="14.5" x14ac:dyDescent="0.25">
      <c r="A190" s="31"/>
      <c r="B190" s="31"/>
      <c r="C190" s="31" t="s">
        <v>653</v>
      </c>
      <c r="D190" s="33"/>
      <c r="E190" s="32"/>
      <c r="F190" s="35">
        <f>Source!AM56</f>
        <v>0.05</v>
      </c>
      <c r="G190" s="36" t="s">
        <v>652</v>
      </c>
      <c r="H190" s="32">
        <f>Source!AV57</f>
        <v>1.0469999999999999</v>
      </c>
      <c r="I190" s="35">
        <f>Source!Q56</f>
        <v>1.58</v>
      </c>
      <c r="J190" s="32">
        <f>IF(Source!BB57&lt;&gt; 0, Source!BB57, 1)</f>
        <v>20</v>
      </c>
      <c r="K190" s="35">
        <f>Source!Q57</f>
        <v>31.6</v>
      </c>
    </row>
    <row r="191" spans="1:29" ht="14.5" x14ac:dyDescent="0.25">
      <c r="A191" s="31"/>
      <c r="B191" s="31"/>
      <c r="C191" s="31" t="s">
        <v>654</v>
      </c>
      <c r="D191" s="33"/>
      <c r="E191" s="32"/>
      <c r="F191" s="35">
        <f>Source!AN56</f>
        <v>0.01</v>
      </c>
      <c r="G191" s="36" t="s">
        <v>652</v>
      </c>
      <c r="H191" s="32">
        <f>Source!AV57</f>
        <v>1.0469999999999999</v>
      </c>
      <c r="I191" s="37">
        <f>Source!R56</f>
        <v>0.32</v>
      </c>
      <c r="J191" s="32">
        <f>IF(Source!BS57&lt;&gt; 0, Source!BS57, 1)</f>
        <v>56.35</v>
      </c>
      <c r="K191" s="37">
        <f>Source!R57</f>
        <v>18.03</v>
      </c>
    </row>
    <row r="192" spans="1:29" ht="14.5" x14ac:dyDescent="0.25">
      <c r="A192" s="31"/>
      <c r="B192" s="31"/>
      <c r="C192" s="31" t="s">
        <v>655</v>
      </c>
      <c r="D192" s="33" t="s">
        <v>656</v>
      </c>
      <c r="E192" s="32">
        <f>Source!BZ57</f>
        <v>90</v>
      </c>
      <c r="F192" s="35"/>
      <c r="G192" s="34"/>
      <c r="H192" s="32"/>
      <c r="I192" s="35">
        <f>SUM(Q188:Q191)</f>
        <v>458.21</v>
      </c>
      <c r="J192" s="32">
        <f>Source!AT57</f>
        <v>90</v>
      </c>
      <c r="K192" s="35">
        <f>SUM(R188:R191)</f>
        <v>25820.02</v>
      </c>
    </row>
    <row r="193" spans="1:29" ht="14.5" x14ac:dyDescent="0.25">
      <c r="A193" s="31"/>
      <c r="B193" s="31"/>
      <c r="C193" s="31" t="s">
        <v>657</v>
      </c>
      <c r="D193" s="33" t="s">
        <v>656</v>
      </c>
      <c r="E193" s="32">
        <f>Source!CA57</f>
        <v>46</v>
      </c>
      <c r="F193" s="35"/>
      <c r="G193" s="34"/>
      <c r="H193" s="32"/>
      <c r="I193" s="35">
        <f>SUM(S188:S192)</f>
        <v>234.2</v>
      </c>
      <c r="J193" s="32">
        <f>Source!AU57</f>
        <v>46</v>
      </c>
      <c r="K193" s="35">
        <f>SUM(T188:T192)</f>
        <v>13196.9</v>
      </c>
    </row>
    <row r="194" spans="1:29" ht="14.5" x14ac:dyDescent="0.25">
      <c r="A194" s="38"/>
      <c r="B194" s="38"/>
      <c r="C194" s="38" t="s">
        <v>658</v>
      </c>
      <c r="D194" s="39" t="s">
        <v>659</v>
      </c>
      <c r="E194" s="40">
        <f>Source!AQ56</f>
        <v>1.2</v>
      </c>
      <c r="F194" s="41"/>
      <c r="G194" s="42" t="s">
        <v>652</v>
      </c>
      <c r="H194" s="40">
        <f>Source!AV57</f>
        <v>1.0469999999999999</v>
      </c>
      <c r="I194" s="41">
        <f>Source!U56</f>
        <v>37.993535999999999</v>
      </c>
      <c r="J194" s="40"/>
      <c r="K194" s="41"/>
    </row>
    <row r="195" spans="1:29" ht="14" x14ac:dyDescent="0.25">
      <c r="C195" s="43" t="s">
        <v>660</v>
      </c>
      <c r="H195" s="70">
        <f>I189+I190+I192+I193+0-0-0</f>
        <v>1202.79</v>
      </c>
      <c r="I195" s="70"/>
      <c r="J195" s="70">
        <f>K189+K190+K192+K193+0-0-0</f>
        <v>67719.399999999994</v>
      </c>
      <c r="K195" s="70"/>
    </row>
    <row r="196" spans="1:29" ht="14" hidden="1" x14ac:dyDescent="0.25">
      <c r="C196" s="43" t="s">
        <v>661</v>
      </c>
      <c r="H196" s="65">
        <f>0+0</f>
        <v>0</v>
      </c>
      <c r="I196" s="65"/>
      <c r="J196" s="65">
        <f>0+0</f>
        <v>0</v>
      </c>
      <c r="K196" s="65"/>
    </row>
    <row r="197" spans="1:29" ht="14" x14ac:dyDescent="0.25">
      <c r="C197" s="43" t="s">
        <v>662</v>
      </c>
      <c r="H197" s="65">
        <f>I189+I190+I192+I193+0</f>
        <v>1202.79</v>
      </c>
      <c r="I197" s="65"/>
      <c r="J197" s="65">
        <f>K189+K190+K192+K193+0</f>
        <v>67719.399999999994</v>
      </c>
      <c r="K197" s="65"/>
      <c r="O197" s="44">
        <f>I189+I190+I192+I193+0</f>
        <v>1202.79</v>
      </c>
      <c r="P197" s="44">
        <f>K189+K190+K192+K193+0</f>
        <v>67719.399999999994</v>
      </c>
    </row>
    <row r="199" spans="1:29" ht="42" x14ac:dyDescent="0.25">
      <c r="A199" s="31">
        <v>16</v>
      </c>
      <c r="B199" s="31" t="str">
        <f>Source!F58</f>
        <v>4.8-66-1</v>
      </c>
      <c r="C199" s="31" t="s">
        <v>87</v>
      </c>
      <c r="D199" s="33" t="str">
        <f>Source!H58</f>
        <v>1 ШКАФ</v>
      </c>
      <c r="E199" s="32">
        <f>Source!I58</f>
        <v>15</v>
      </c>
      <c r="F199" s="35"/>
      <c r="G199" s="34"/>
      <c r="H199" s="32"/>
      <c r="I199" s="35"/>
      <c r="J199" s="32"/>
      <c r="K199" s="35"/>
      <c r="Q199">
        <f>Source!X58</f>
        <v>977.93</v>
      </c>
      <c r="R199">
        <f>Source!X59</f>
        <v>55106.61</v>
      </c>
      <c r="S199">
        <f>Source!Y58</f>
        <v>514.16999999999996</v>
      </c>
      <c r="T199">
        <f>Source!Y59</f>
        <v>28973.58</v>
      </c>
      <c r="U199">
        <f>ROUND((175/100)*ROUND(Source!R58, 2), 2)</f>
        <v>91.12</v>
      </c>
      <c r="V199">
        <f>ROUND((0/100)*ROUND(Source!R59, 2), 2)</f>
        <v>0</v>
      </c>
      <c r="AC199">
        <v>0</v>
      </c>
    </row>
    <row r="200" spans="1:29" x14ac:dyDescent="0.25">
      <c r="C200" s="45" t="str">
        <f>"Объем: "&amp;Source!I58&amp;"=1+"&amp;"8+"&amp;"3+"&amp;"2+"&amp;"1"</f>
        <v>Объем: 15=1+8+3+2+1</v>
      </c>
    </row>
    <row r="201" spans="1:29" ht="14.5" x14ac:dyDescent="0.25">
      <c r="A201" s="31"/>
      <c r="B201" s="31"/>
      <c r="C201" s="31" t="s">
        <v>651</v>
      </c>
      <c r="D201" s="33"/>
      <c r="E201" s="32"/>
      <c r="F201" s="35">
        <f>Source!AO58</f>
        <v>169.11</v>
      </c>
      <c r="G201" s="36" t="s">
        <v>652</v>
      </c>
      <c r="H201" s="32">
        <f>Source!AV59</f>
        <v>1.0469999999999999</v>
      </c>
      <c r="I201" s="35">
        <f>Source!S58</f>
        <v>956.11</v>
      </c>
      <c r="J201" s="32">
        <f>IF(Source!BA59&lt;&gt; 0, Source!BA59, 1)</f>
        <v>56.35</v>
      </c>
      <c r="K201" s="35">
        <f>Source!S59</f>
        <v>53876.800000000003</v>
      </c>
    </row>
    <row r="202" spans="1:29" ht="14.5" x14ac:dyDescent="0.25">
      <c r="A202" s="31"/>
      <c r="B202" s="31"/>
      <c r="C202" s="31" t="s">
        <v>653</v>
      </c>
      <c r="D202" s="33"/>
      <c r="E202" s="32"/>
      <c r="F202" s="35">
        <f>Source!AM58</f>
        <v>60.66</v>
      </c>
      <c r="G202" s="36" t="s">
        <v>652</v>
      </c>
      <c r="H202" s="32">
        <f>Source!AV59</f>
        <v>1.0469999999999999</v>
      </c>
      <c r="I202" s="35">
        <f>Source!Q58</f>
        <v>342.96</v>
      </c>
      <c r="J202" s="32">
        <f>IF(Source!BB59&lt;&gt; 0, Source!BB59, 1)</f>
        <v>17.07</v>
      </c>
      <c r="K202" s="35">
        <f>Source!Q59</f>
        <v>5854.33</v>
      </c>
    </row>
    <row r="203" spans="1:29" ht="14.5" x14ac:dyDescent="0.25">
      <c r="A203" s="31"/>
      <c r="B203" s="31"/>
      <c r="C203" s="31" t="s">
        <v>654</v>
      </c>
      <c r="D203" s="33"/>
      <c r="E203" s="32"/>
      <c r="F203" s="35">
        <f>Source!AN58</f>
        <v>9.2100000000000009</v>
      </c>
      <c r="G203" s="36" t="s">
        <v>652</v>
      </c>
      <c r="H203" s="32">
        <f>Source!AV59</f>
        <v>1.0469999999999999</v>
      </c>
      <c r="I203" s="37">
        <f>Source!R58</f>
        <v>52.07</v>
      </c>
      <c r="J203" s="32">
        <f>IF(Source!BS59&lt;&gt; 0, Source!BS59, 1)</f>
        <v>56.35</v>
      </c>
      <c r="K203" s="37">
        <f>Source!R59</f>
        <v>2934.14</v>
      </c>
    </row>
    <row r="204" spans="1:29" ht="14.5" x14ac:dyDescent="0.25">
      <c r="A204" s="31"/>
      <c r="B204" s="31"/>
      <c r="C204" s="31" t="s">
        <v>655</v>
      </c>
      <c r="D204" s="33" t="s">
        <v>656</v>
      </c>
      <c r="E204" s="32">
        <f>Source!BZ59</f>
        <v>97</v>
      </c>
      <c r="F204" s="35"/>
      <c r="G204" s="34"/>
      <c r="H204" s="32"/>
      <c r="I204" s="35">
        <f>SUM(Q199:Q203)</f>
        <v>977.93</v>
      </c>
      <c r="J204" s="32">
        <f>Source!AT59</f>
        <v>97</v>
      </c>
      <c r="K204" s="35">
        <f>SUM(R199:R203)</f>
        <v>55106.61</v>
      </c>
    </row>
    <row r="205" spans="1:29" ht="14.5" x14ac:dyDescent="0.25">
      <c r="A205" s="31"/>
      <c r="B205" s="31"/>
      <c r="C205" s="31" t="s">
        <v>657</v>
      </c>
      <c r="D205" s="33" t="s">
        <v>656</v>
      </c>
      <c r="E205" s="32">
        <f>Source!CA59</f>
        <v>51</v>
      </c>
      <c r="F205" s="35"/>
      <c r="G205" s="34"/>
      <c r="H205" s="32"/>
      <c r="I205" s="35">
        <f>SUM(S199:S204)</f>
        <v>514.16999999999996</v>
      </c>
      <c r="J205" s="32">
        <f>Source!AU59</f>
        <v>51</v>
      </c>
      <c r="K205" s="35">
        <f>SUM(T199:T204)</f>
        <v>28973.58</v>
      </c>
    </row>
    <row r="206" spans="1:29" ht="14.5" x14ac:dyDescent="0.25">
      <c r="A206" s="38"/>
      <c r="B206" s="38"/>
      <c r="C206" s="38" t="s">
        <v>658</v>
      </c>
      <c r="D206" s="39" t="s">
        <v>659</v>
      </c>
      <c r="E206" s="40">
        <f>Source!AQ58</f>
        <v>13.4</v>
      </c>
      <c r="F206" s="41"/>
      <c r="G206" s="42" t="s">
        <v>652</v>
      </c>
      <c r="H206" s="40">
        <f>Source!AV59</f>
        <v>1.0469999999999999</v>
      </c>
      <c r="I206" s="41">
        <f>Source!U58</f>
        <v>75.760919999999984</v>
      </c>
      <c r="J206" s="40"/>
      <c r="K206" s="41"/>
    </row>
    <row r="207" spans="1:29" ht="14" x14ac:dyDescent="0.25">
      <c r="C207" s="43" t="s">
        <v>660</v>
      </c>
      <c r="H207" s="70">
        <f>I201+I202+I204+I205+0-0-0</f>
        <v>2791.17</v>
      </c>
      <c r="I207" s="70"/>
      <c r="J207" s="70">
        <f>K201+K202+K204+K205+0-0-0</f>
        <v>143811.32</v>
      </c>
      <c r="K207" s="70"/>
    </row>
    <row r="208" spans="1:29" ht="14" hidden="1" x14ac:dyDescent="0.25">
      <c r="C208" s="43" t="s">
        <v>661</v>
      </c>
      <c r="H208" s="65">
        <f>0+0</f>
        <v>0</v>
      </c>
      <c r="I208" s="65"/>
      <c r="J208" s="65">
        <f>0+0</f>
        <v>0</v>
      </c>
      <c r="K208" s="65"/>
    </row>
    <row r="209" spans="1:29" ht="14" x14ac:dyDescent="0.25">
      <c r="C209" s="43" t="s">
        <v>662</v>
      </c>
      <c r="H209" s="65">
        <f>I201+I202+I204+I205+0</f>
        <v>2791.17</v>
      </c>
      <c r="I209" s="65"/>
      <c r="J209" s="65">
        <f>K201+K202+K204+K205+0</f>
        <v>143811.32</v>
      </c>
      <c r="K209" s="65"/>
      <c r="O209" s="44">
        <f>I201+I202+I204+I205+0</f>
        <v>2791.17</v>
      </c>
      <c r="P209" s="44">
        <f>K201+K202+K204+K205+0</f>
        <v>143811.32</v>
      </c>
    </row>
    <row r="211" spans="1:29" ht="42" x14ac:dyDescent="0.25">
      <c r="A211" s="31">
        <v>17</v>
      </c>
      <c r="B211" s="31" t="str">
        <f>Source!F60</f>
        <v>4.10-80-12</v>
      </c>
      <c r="C211" s="31" t="s">
        <v>92</v>
      </c>
      <c r="D211" s="33" t="str">
        <f>Source!H60</f>
        <v>1  ШТ.</v>
      </c>
      <c r="E211" s="32">
        <f>Source!I60</f>
        <v>25</v>
      </c>
      <c r="F211" s="35"/>
      <c r="G211" s="34"/>
      <c r="H211" s="32"/>
      <c r="I211" s="35"/>
      <c r="J211" s="32"/>
      <c r="K211" s="35"/>
      <c r="Q211">
        <f>Source!X60</f>
        <v>276.3</v>
      </c>
      <c r="R211">
        <f>Source!X61</f>
        <v>15569.51</v>
      </c>
      <c r="S211">
        <f>Source!Y60</f>
        <v>141.22</v>
      </c>
      <c r="T211">
        <f>Source!Y61</f>
        <v>7957.75</v>
      </c>
      <c r="U211">
        <f>ROUND((175/100)*ROUND(Source!R60, 2), 2)</f>
        <v>0.16</v>
      </c>
      <c r="V211">
        <f>ROUND((0/100)*ROUND(Source!R61, 2), 2)</f>
        <v>0</v>
      </c>
      <c r="AC211">
        <v>0</v>
      </c>
    </row>
    <row r="212" spans="1:29" x14ac:dyDescent="0.25">
      <c r="C212" s="45" t="str">
        <f>"Объем: "&amp;Source!I60&amp;"=24+"&amp;"1"</f>
        <v>Объем: 25=24+1</v>
      </c>
    </row>
    <row r="213" spans="1:29" ht="14.5" x14ac:dyDescent="0.25">
      <c r="A213" s="31"/>
      <c r="B213" s="31"/>
      <c r="C213" s="31" t="s">
        <v>651</v>
      </c>
      <c r="D213" s="33"/>
      <c r="E213" s="32"/>
      <c r="F213" s="35">
        <f>Source!AO60</f>
        <v>32.57</v>
      </c>
      <c r="G213" s="36" t="s">
        <v>652</v>
      </c>
      <c r="H213" s="32">
        <f>Source!AV61</f>
        <v>1.0469999999999999</v>
      </c>
      <c r="I213" s="35">
        <f>Source!S60</f>
        <v>306.91000000000003</v>
      </c>
      <c r="J213" s="32">
        <f>IF(Source!BA61&lt;&gt; 0, Source!BA61, 1)</f>
        <v>56.35</v>
      </c>
      <c r="K213" s="35">
        <f>Source!S61</f>
        <v>17294.38</v>
      </c>
    </row>
    <row r="214" spans="1:29" ht="14.5" x14ac:dyDescent="0.25">
      <c r="A214" s="31"/>
      <c r="B214" s="31"/>
      <c r="C214" s="31" t="s">
        <v>653</v>
      </c>
      <c r="D214" s="33"/>
      <c r="E214" s="32"/>
      <c r="F214" s="35">
        <f>Source!AM60</f>
        <v>0.05</v>
      </c>
      <c r="G214" s="36" t="s">
        <v>652</v>
      </c>
      <c r="H214" s="32">
        <f>Source!AV61</f>
        <v>1.0469999999999999</v>
      </c>
      <c r="I214" s="35">
        <f>Source!Q60</f>
        <v>0.47</v>
      </c>
      <c r="J214" s="32">
        <f>IF(Source!BB61&lt;&gt; 0, Source!BB61, 1)</f>
        <v>20</v>
      </c>
      <c r="K214" s="35">
        <f>Source!Q61</f>
        <v>9.4</v>
      </c>
    </row>
    <row r="215" spans="1:29" ht="14.5" x14ac:dyDescent="0.25">
      <c r="A215" s="31"/>
      <c r="B215" s="31"/>
      <c r="C215" s="31" t="s">
        <v>654</v>
      </c>
      <c r="D215" s="33"/>
      <c r="E215" s="32"/>
      <c r="F215" s="35">
        <f>Source!AN60</f>
        <v>0.01</v>
      </c>
      <c r="G215" s="36" t="s">
        <v>652</v>
      </c>
      <c r="H215" s="32">
        <f>Source!AV61</f>
        <v>1.0469999999999999</v>
      </c>
      <c r="I215" s="37">
        <f>Source!R60</f>
        <v>0.09</v>
      </c>
      <c r="J215" s="32">
        <f>IF(Source!BS61&lt;&gt; 0, Source!BS61, 1)</f>
        <v>56.35</v>
      </c>
      <c r="K215" s="37">
        <f>Source!R61</f>
        <v>5.07</v>
      </c>
    </row>
    <row r="216" spans="1:29" ht="14.5" x14ac:dyDescent="0.25">
      <c r="A216" s="31"/>
      <c r="B216" s="31"/>
      <c r="C216" s="31" t="s">
        <v>655</v>
      </c>
      <c r="D216" s="33" t="s">
        <v>656</v>
      </c>
      <c r="E216" s="32">
        <f>Source!BZ61</f>
        <v>90</v>
      </c>
      <c r="F216" s="35"/>
      <c r="G216" s="34"/>
      <c r="H216" s="32"/>
      <c r="I216" s="35">
        <f>SUM(Q211:Q215)</f>
        <v>276.3</v>
      </c>
      <c r="J216" s="32">
        <f>Source!AT61</f>
        <v>90</v>
      </c>
      <c r="K216" s="35">
        <f>SUM(R211:R215)</f>
        <v>15569.51</v>
      </c>
    </row>
    <row r="217" spans="1:29" ht="14.5" x14ac:dyDescent="0.25">
      <c r="A217" s="31"/>
      <c r="B217" s="31"/>
      <c r="C217" s="31" t="s">
        <v>657</v>
      </c>
      <c r="D217" s="33" t="s">
        <v>656</v>
      </c>
      <c r="E217" s="32">
        <f>Source!CA61</f>
        <v>46</v>
      </c>
      <c r="F217" s="35"/>
      <c r="G217" s="34"/>
      <c r="H217" s="32"/>
      <c r="I217" s="35">
        <f>SUM(S211:S216)</f>
        <v>141.22</v>
      </c>
      <c r="J217" s="32">
        <f>Source!AU61</f>
        <v>46</v>
      </c>
      <c r="K217" s="35">
        <f>SUM(T211:T216)</f>
        <v>7957.75</v>
      </c>
    </row>
    <row r="218" spans="1:29" ht="14.5" x14ac:dyDescent="0.25">
      <c r="A218" s="38"/>
      <c r="B218" s="38"/>
      <c r="C218" s="38" t="s">
        <v>658</v>
      </c>
      <c r="D218" s="39" t="s">
        <v>659</v>
      </c>
      <c r="E218" s="40">
        <f>Source!AQ60</f>
        <v>2.4</v>
      </c>
      <c r="F218" s="41"/>
      <c r="G218" s="42" t="s">
        <v>652</v>
      </c>
      <c r="H218" s="40">
        <f>Source!AV61</f>
        <v>1.0469999999999999</v>
      </c>
      <c r="I218" s="41">
        <f>Source!U60</f>
        <v>22.615199999999998</v>
      </c>
      <c r="J218" s="40"/>
      <c r="K218" s="41"/>
    </row>
    <row r="219" spans="1:29" ht="14" x14ac:dyDescent="0.25">
      <c r="C219" s="43" t="s">
        <v>660</v>
      </c>
      <c r="H219" s="70">
        <f>I213+I214+I216+I217+0-0-0</f>
        <v>724.90000000000009</v>
      </c>
      <c r="I219" s="70"/>
      <c r="J219" s="70">
        <f>K213+K214+K216+K217+0-0-0</f>
        <v>40831.040000000001</v>
      </c>
      <c r="K219" s="70"/>
    </row>
    <row r="220" spans="1:29" ht="14" hidden="1" x14ac:dyDescent="0.25">
      <c r="C220" s="43" t="s">
        <v>661</v>
      </c>
      <c r="H220" s="65">
        <f>0+0</f>
        <v>0</v>
      </c>
      <c r="I220" s="65"/>
      <c r="J220" s="65">
        <f>0+0</f>
        <v>0</v>
      </c>
      <c r="K220" s="65"/>
    </row>
    <row r="221" spans="1:29" ht="14" x14ac:dyDescent="0.25">
      <c r="C221" s="43" t="s">
        <v>662</v>
      </c>
      <c r="H221" s="65">
        <f>I213+I214+I216+I217+0</f>
        <v>724.90000000000009</v>
      </c>
      <c r="I221" s="65"/>
      <c r="J221" s="65">
        <f>K213+K214+K216+K217+0</f>
        <v>40831.040000000001</v>
      </c>
      <c r="K221" s="65"/>
      <c r="O221" s="44">
        <f>I213+I214+I216+I217+0</f>
        <v>724.90000000000009</v>
      </c>
      <c r="P221" s="44">
        <f>K213+K214+K216+K217+0</f>
        <v>40831.040000000001</v>
      </c>
    </row>
    <row r="223" spans="1:29" ht="42" x14ac:dyDescent="0.25">
      <c r="A223" s="31">
        <v>18</v>
      </c>
      <c r="B223" s="31" t="str">
        <f>Source!F62</f>
        <v>4.10-80-13</v>
      </c>
      <c r="C223" s="31" t="s">
        <v>95</v>
      </c>
      <c r="D223" s="33" t="str">
        <f>Source!H62</f>
        <v>1  ШТ.</v>
      </c>
      <c r="E223" s="32">
        <f>Source!I62</f>
        <v>27</v>
      </c>
      <c r="F223" s="35"/>
      <c r="G223" s="34"/>
      <c r="H223" s="32"/>
      <c r="I223" s="35"/>
      <c r="J223" s="32"/>
      <c r="K223" s="35"/>
      <c r="Q223">
        <f>Source!X62</f>
        <v>147.28</v>
      </c>
      <c r="R223">
        <f>Source!X63</f>
        <v>8299.01</v>
      </c>
      <c r="S223">
        <f>Source!Y62</f>
        <v>75.27</v>
      </c>
      <c r="T223">
        <f>Source!Y63</f>
        <v>4241.72</v>
      </c>
      <c r="U223">
        <f>ROUND((175/100)*ROUND(Source!R62, 2), 2)</f>
        <v>0.18</v>
      </c>
      <c r="V223">
        <f>ROUND((0/100)*ROUND(Source!R63, 2), 2)</f>
        <v>0</v>
      </c>
      <c r="AC223">
        <v>0</v>
      </c>
    </row>
    <row r="224" spans="1:29" x14ac:dyDescent="0.25">
      <c r="C224" s="45" t="str">
        <f>"Объем: "&amp;Source!I62&amp;"=7+"&amp;"20"</f>
        <v>Объем: 27=7+20</v>
      </c>
    </row>
    <row r="225" spans="1:29" ht="14.5" x14ac:dyDescent="0.25">
      <c r="A225" s="31"/>
      <c r="B225" s="31"/>
      <c r="C225" s="31" t="s">
        <v>651</v>
      </c>
      <c r="D225" s="33"/>
      <c r="E225" s="32"/>
      <c r="F225" s="35">
        <f>Source!AO62</f>
        <v>16.07</v>
      </c>
      <c r="G225" s="36" t="s">
        <v>652</v>
      </c>
      <c r="H225" s="32">
        <f>Source!AV63</f>
        <v>1.0469999999999999</v>
      </c>
      <c r="I225" s="35">
        <f>Source!S62</f>
        <v>163.54</v>
      </c>
      <c r="J225" s="32">
        <f>IF(Source!BA63&lt;&gt; 0, Source!BA63, 1)</f>
        <v>56.35</v>
      </c>
      <c r="K225" s="35">
        <f>Source!S63</f>
        <v>9215.48</v>
      </c>
    </row>
    <row r="226" spans="1:29" ht="14.5" x14ac:dyDescent="0.25">
      <c r="A226" s="31"/>
      <c r="B226" s="31"/>
      <c r="C226" s="31" t="s">
        <v>653</v>
      </c>
      <c r="D226" s="33"/>
      <c r="E226" s="32"/>
      <c r="F226" s="35">
        <f>Source!AM62</f>
        <v>0.05</v>
      </c>
      <c r="G226" s="36" t="s">
        <v>652</v>
      </c>
      <c r="H226" s="32">
        <f>Source!AV63</f>
        <v>1.0469999999999999</v>
      </c>
      <c r="I226" s="35">
        <f>Source!Q62</f>
        <v>0.51</v>
      </c>
      <c r="J226" s="32">
        <f>IF(Source!BB63&lt;&gt; 0, Source!BB63, 1)</f>
        <v>20</v>
      </c>
      <c r="K226" s="35">
        <f>Source!Q63</f>
        <v>10.199999999999999</v>
      </c>
    </row>
    <row r="227" spans="1:29" ht="14.5" x14ac:dyDescent="0.25">
      <c r="A227" s="31"/>
      <c r="B227" s="31"/>
      <c r="C227" s="31" t="s">
        <v>654</v>
      </c>
      <c r="D227" s="33"/>
      <c r="E227" s="32"/>
      <c r="F227" s="35">
        <f>Source!AN62</f>
        <v>0.01</v>
      </c>
      <c r="G227" s="36" t="s">
        <v>652</v>
      </c>
      <c r="H227" s="32">
        <f>Source!AV63</f>
        <v>1.0469999999999999</v>
      </c>
      <c r="I227" s="37">
        <f>Source!R62</f>
        <v>0.1</v>
      </c>
      <c r="J227" s="32">
        <f>IF(Source!BS63&lt;&gt; 0, Source!BS63, 1)</f>
        <v>56.35</v>
      </c>
      <c r="K227" s="37">
        <f>Source!R63</f>
        <v>5.64</v>
      </c>
    </row>
    <row r="228" spans="1:29" ht="14.5" x14ac:dyDescent="0.25">
      <c r="A228" s="31"/>
      <c r="B228" s="31"/>
      <c r="C228" s="31" t="s">
        <v>655</v>
      </c>
      <c r="D228" s="33" t="s">
        <v>656</v>
      </c>
      <c r="E228" s="32">
        <f>Source!BZ63</f>
        <v>90</v>
      </c>
      <c r="F228" s="35"/>
      <c r="G228" s="34"/>
      <c r="H228" s="32"/>
      <c r="I228" s="35">
        <f>SUM(Q223:Q227)</f>
        <v>147.28</v>
      </c>
      <c r="J228" s="32">
        <f>Source!AT63</f>
        <v>90</v>
      </c>
      <c r="K228" s="35">
        <f>SUM(R223:R227)</f>
        <v>8299.01</v>
      </c>
    </row>
    <row r="229" spans="1:29" ht="14.5" x14ac:dyDescent="0.25">
      <c r="A229" s="31"/>
      <c r="B229" s="31"/>
      <c r="C229" s="31" t="s">
        <v>657</v>
      </c>
      <c r="D229" s="33" t="s">
        <v>656</v>
      </c>
      <c r="E229" s="32">
        <f>Source!CA63</f>
        <v>46</v>
      </c>
      <c r="F229" s="35"/>
      <c r="G229" s="34"/>
      <c r="H229" s="32"/>
      <c r="I229" s="35">
        <f>SUM(S223:S228)</f>
        <v>75.27</v>
      </c>
      <c r="J229" s="32">
        <f>Source!AU63</f>
        <v>46</v>
      </c>
      <c r="K229" s="35">
        <f>SUM(T223:T228)</f>
        <v>4241.72</v>
      </c>
    </row>
    <row r="230" spans="1:29" ht="14.5" x14ac:dyDescent="0.25">
      <c r="A230" s="38"/>
      <c r="B230" s="38"/>
      <c r="C230" s="38" t="s">
        <v>658</v>
      </c>
      <c r="D230" s="39" t="s">
        <v>659</v>
      </c>
      <c r="E230" s="40">
        <f>Source!AQ62</f>
        <v>1.2</v>
      </c>
      <c r="F230" s="41"/>
      <c r="G230" s="42" t="s">
        <v>652</v>
      </c>
      <c r="H230" s="40">
        <f>Source!AV63</f>
        <v>1.0469999999999999</v>
      </c>
      <c r="I230" s="41">
        <f>Source!U62</f>
        <v>12.212208</v>
      </c>
      <c r="J230" s="40"/>
      <c r="K230" s="41"/>
    </row>
    <row r="231" spans="1:29" ht="14" x14ac:dyDescent="0.25">
      <c r="C231" s="43" t="s">
        <v>660</v>
      </c>
      <c r="H231" s="70">
        <f>I225+I226+I228+I229+0-0-0</f>
        <v>386.59999999999997</v>
      </c>
      <c r="I231" s="70"/>
      <c r="J231" s="70">
        <f>K225+K226+K228+K229+0-0-0</f>
        <v>21766.410000000003</v>
      </c>
      <c r="K231" s="70"/>
    </row>
    <row r="232" spans="1:29" ht="14" hidden="1" x14ac:dyDescent="0.25">
      <c r="C232" s="43" t="s">
        <v>661</v>
      </c>
      <c r="H232" s="65">
        <f>0+0</f>
        <v>0</v>
      </c>
      <c r="I232" s="65"/>
      <c r="J232" s="65">
        <f>0+0</f>
        <v>0</v>
      </c>
      <c r="K232" s="65"/>
    </row>
    <row r="233" spans="1:29" ht="14" x14ac:dyDescent="0.25">
      <c r="C233" s="43" t="s">
        <v>662</v>
      </c>
      <c r="H233" s="65">
        <f>I225+I226+I228+I229+0</f>
        <v>386.59999999999997</v>
      </c>
      <c r="I233" s="65"/>
      <c r="J233" s="65">
        <f>K225+K226+K228+K229+0</f>
        <v>21766.410000000003</v>
      </c>
      <c r="K233" s="65"/>
      <c r="O233" s="44">
        <f>I225+I226+I228+I229+0</f>
        <v>386.59999999999997</v>
      </c>
      <c r="P233" s="44">
        <f>K225+K226+K228+K229+0</f>
        <v>21766.410000000003</v>
      </c>
    </row>
    <row r="235" spans="1:29" ht="56" x14ac:dyDescent="0.25">
      <c r="A235" s="31">
        <v>19</v>
      </c>
      <c r="B235" s="31" t="str">
        <f>Source!F64</f>
        <v>4.10-185-8</v>
      </c>
      <c r="C235" s="31" t="s">
        <v>98</v>
      </c>
      <c r="D235" s="33" t="str">
        <f>Source!H64</f>
        <v>100 м</v>
      </c>
      <c r="E235" s="32">
        <f>Source!I64</f>
        <v>51.5</v>
      </c>
      <c r="F235" s="35"/>
      <c r="G235" s="34"/>
      <c r="H235" s="32"/>
      <c r="I235" s="35"/>
      <c r="J235" s="32"/>
      <c r="K235" s="35"/>
      <c r="Q235">
        <f>Source!X64</f>
        <v>7187.26</v>
      </c>
      <c r="R235">
        <f>Source!X65</f>
        <v>405001.87</v>
      </c>
      <c r="S235">
        <f>Source!Y64</f>
        <v>3673.49</v>
      </c>
      <c r="T235">
        <f>Source!Y65</f>
        <v>207000.95999999999</v>
      </c>
      <c r="U235">
        <f>ROUND((175/100)*ROUND(Source!R64, 2), 2)</f>
        <v>0</v>
      </c>
      <c r="V235">
        <f>ROUND((0/100)*ROUND(Source!R65, 2), 2)</f>
        <v>0</v>
      </c>
      <c r="AC235">
        <v>0</v>
      </c>
    </row>
    <row r="236" spans="1:29" x14ac:dyDescent="0.25">
      <c r="C236" s="45" t="str">
        <f>"Объем: "&amp;Source!I64&amp;"=5150/"&amp;"100"</f>
        <v>Объем: 51,5=5150/100</v>
      </c>
    </row>
    <row r="237" spans="1:29" ht="14.5" x14ac:dyDescent="0.25">
      <c r="A237" s="31"/>
      <c r="B237" s="31"/>
      <c r="C237" s="31" t="s">
        <v>651</v>
      </c>
      <c r="D237" s="33"/>
      <c r="E237" s="32"/>
      <c r="F237" s="35">
        <f>Source!AO64</f>
        <v>411.4</v>
      </c>
      <c r="G237" s="36" t="s">
        <v>652</v>
      </c>
      <c r="H237" s="32">
        <f>Source!AV65</f>
        <v>1.0469999999999999</v>
      </c>
      <c r="I237" s="35">
        <f>Source!S64</f>
        <v>7985.84</v>
      </c>
      <c r="J237" s="32">
        <f>IF(Source!BA65&lt;&gt; 0, Source!BA65, 1)</f>
        <v>56.35</v>
      </c>
      <c r="K237" s="35">
        <f>Source!S65</f>
        <v>450002.08</v>
      </c>
    </row>
    <row r="238" spans="1:29" ht="14.5" x14ac:dyDescent="0.25">
      <c r="A238" s="31"/>
      <c r="B238" s="31"/>
      <c r="C238" s="31" t="s">
        <v>653</v>
      </c>
      <c r="D238" s="33"/>
      <c r="E238" s="32"/>
      <c r="F238" s="35">
        <f>Source!AM64</f>
        <v>6.99</v>
      </c>
      <c r="G238" s="36" t="s">
        <v>652</v>
      </c>
      <c r="H238" s="32">
        <f>Source!AV65</f>
        <v>1.0469999999999999</v>
      </c>
      <c r="I238" s="35">
        <f>Source!Q64</f>
        <v>135.69</v>
      </c>
      <c r="J238" s="32">
        <f>IF(Source!BB65&lt;&gt; 0, Source!BB65, 1)</f>
        <v>9.6</v>
      </c>
      <c r="K238" s="35">
        <f>Source!Q65</f>
        <v>1302.6199999999999</v>
      </c>
    </row>
    <row r="239" spans="1:29" ht="14.5" x14ac:dyDescent="0.25">
      <c r="A239" s="31"/>
      <c r="B239" s="31"/>
      <c r="C239" s="31" t="s">
        <v>655</v>
      </c>
      <c r="D239" s="33" t="s">
        <v>656</v>
      </c>
      <c r="E239" s="32">
        <f>Source!BZ65</f>
        <v>90</v>
      </c>
      <c r="F239" s="35"/>
      <c r="G239" s="34"/>
      <c r="H239" s="32"/>
      <c r="I239" s="35">
        <f>SUM(Q235:Q238)</f>
        <v>7187.26</v>
      </c>
      <c r="J239" s="32">
        <f>Source!AT65</f>
        <v>90</v>
      </c>
      <c r="K239" s="35">
        <f>SUM(R235:R238)</f>
        <v>405001.87</v>
      </c>
    </row>
    <row r="240" spans="1:29" ht="14.5" x14ac:dyDescent="0.25">
      <c r="A240" s="31"/>
      <c r="B240" s="31"/>
      <c r="C240" s="31" t="s">
        <v>657</v>
      </c>
      <c r="D240" s="33" t="s">
        <v>656</v>
      </c>
      <c r="E240" s="32">
        <f>Source!CA65</f>
        <v>46</v>
      </c>
      <c r="F240" s="35"/>
      <c r="G240" s="34"/>
      <c r="H240" s="32"/>
      <c r="I240" s="35">
        <f>SUM(S235:S239)</f>
        <v>3673.49</v>
      </c>
      <c r="J240" s="32">
        <f>Source!AU65</f>
        <v>46</v>
      </c>
      <c r="K240" s="35">
        <f>SUM(T235:T239)</f>
        <v>207000.95999999999</v>
      </c>
    </row>
    <row r="241" spans="1:29" ht="14.5" x14ac:dyDescent="0.25">
      <c r="A241" s="38"/>
      <c r="B241" s="38"/>
      <c r="C241" s="38" t="s">
        <v>658</v>
      </c>
      <c r="D241" s="39" t="s">
        <v>659</v>
      </c>
      <c r="E241" s="40">
        <f>Source!AQ64</f>
        <v>34.61</v>
      </c>
      <c r="F241" s="41"/>
      <c r="G241" s="42" t="s">
        <v>652</v>
      </c>
      <c r="H241" s="40">
        <f>Source!AV65</f>
        <v>1.0469999999999999</v>
      </c>
      <c r="I241" s="41">
        <f>Source!U64</f>
        <v>671.82786179999982</v>
      </c>
      <c r="J241" s="40"/>
      <c r="K241" s="41"/>
    </row>
    <row r="242" spans="1:29" ht="14" x14ac:dyDescent="0.25">
      <c r="C242" s="43" t="s">
        <v>660</v>
      </c>
      <c r="H242" s="70">
        <f>I237+I238+I239+I240+0-0-0</f>
        <v>18982.28</v>
      </c>
      <c r="I242" s="70"/>
      <c r="J242" s="70">
        <f>K237+K238+K239+K240+0-0-0</f>
        <v>1063307.53</v>
      </c>
      <c r="K242" s="70"/>
    </row>
    <row r="243" spans="1:29" ht="14" hidden="1" x14ac:dyDescent="0.25">
      <c r="C243" s="43" t="s">
        <v>661</v>
      </c>
      <c r="H243" s="65">
        <f>0+0</f>
        <v>0</v>
      </c>
      <c r="I243" s="65"/>
      <c r="J243" s="65">
        <f>0+0</f>
        <v>0</v>
      </c>
      <c r="K243" s="65"/>
    </row>
    <row r="244" spans="1:29" ht="14" x14ac:dyDescent="0.25">
      <c r="C244" s="43" t="s">
        <v>662</v>
      </c>
      <c r="H244" s="65">
        <f>I237+I238+I239+I240+0</f>
        <v>18982.28</v>
      </c>
      <c r="I244" s="65"/>
      <c r="J244" s="65">
        <f>K237+K238+K239+K240+0</f>
        <v>1063307.53</v>
      </c>
      <c r="K244" s="65"/>
      <c r="O244" s="44">
        <f>I237+I238+I239+I240+0</f>
        <v>18982.28</v>
      </c>
      <c r="P244" s="44">
        <f>K237+K238+K239+K240+0</f>
        <v>1063307.53</v>
      </c>
    </row>
    <row r="246" spans="1:29" ht="28" x14ac:dyDescent="0.25">
      <c r="A246" s="31">
        <v>20</v>
      </c>
      <c r="B246" s="31" t="str">
        <f>Source!F70</f>
        <v>6.67-5-1</v>
      </c>
      <c r="C246" s="31" t="s">
        <v>115</v>
      </c>
      <c r="D246" s="33" t="str">
        <f>Source!H70</f>
        <v>100 м</v>
      </c>
      <c r="E246" s="32">
        <f>Source!I70</f>
        <v>42.5</v>
      </c>
      <c r="F246" s="35"/>
      <c r="G246" s="34"/>
      <c r="H246" s="32"/>
      <c r="I246" s="35"/>
      <c r="J246" s="32"/>
      <c r="K246" s="35"/>
      <c r="Q246">
        <f>Source!X70</f>
        <v>1169.5999999999999</v>
      </c>
      <c r="R246">
        <f>Source!X71</f>
        <v>65906.710000000006</v>
      </c>
      <c r="S246">
        <f>Source!Y70</f>
        <v>616.92999999999995</v>
      </c>
      <c r="T246">
        <f>Source!Y71</f>
        <v>34763.980000000003</v>
      </c>
      <c r="U246">
        <f>ROUND((175/100)*ROUND(Source!R70, 2), 2)</f>
        <v>0</v>
      </c>
      <c r="V246">
        <f>ROUND((0/100)*ROUND(Source!R71, 2), 2)</f>
        <v>0</v>
      </c>
      <c r="AC246">
        <v>0</v>
      </c>
    </row>
    <row r="247" spans="1:29" x14ac:dyDescent="0.25">
      <c r="C247" s="45" t="str">
        <f>"Объем: "&amp;Source!I70&amp;"=(4750+"&amp;"100+"&amp;"300+"&amp;"4250-"&amp;"5150)/"&amp;"100"</f>
        <v>Объем: 42,5=(4750+100+300+4250-5150)/100</v>
      </c>
    </row>
    <row r="248" spans="1:29" ht="14.5" x14ac:dyDescent="0.25">
      <c r="A248" s="31"/>
      <c r="B248" s="31"/>
      <c r="C248" s="31" t="s">
        <v>651</v>
      </c>
      <c r="D248" s="33"/>
      <c r="E248" s="32"/>
      <c r="F248" s="35">
        <f>Source!AO70</f>
        <v>24.07</v>
      </c>
      <c r="G248" s="36" t="s">
        <v>182</v>
      </c>
      <c r="H248" s="32">
        <f>Source!AV71</f>
        <v>1.0469999999999999</v>
      </c>
      <c r="I248" s="35">
        <f>Source!S70</f>
        <v>1285.27</v>
      </c>
      <c r="J248" s="32">
        <f>IF(Source!BA71&lt;&gt; 0, Source!BA71, 1)</f>
        <v>56.35</v>
      </c>
      <c r="K248" s="35">
        <f>Source!S71</f>
        <v>72424.960000000006</v>
      </c>
    </row>
    <row r="249" spans="1:29" ht="14.5" x14ac:dyDescent="0.25">
      <c r="A249" s="31"/>
      <c r="B249" s="31"/>
      <c r="C249" s="31" t="s">
        <v>655</v>
      </c>
      <c r="D249" s="33" t="s">
        <v>656</v>
      </c>
      <c r="E249" s="32">
        <f>Source!BZ71</f>
        <v>91</v>
      </c>
      <c r="F249" s="35"/>
      <c r="G249" s="34"/>
      <c r="H249" s="32"/>
      <c r="I249" s="35">
        <f>SUM(Q246:Q248)</f>
        <v>1169.5999999999999</v>
      </c>
      <c r="J249" s="32">
        <f>Source!AT71</f>
        <v>91</v>
      </c>
      <c r="K249" s="35">
        <f>SUM(R246:R248)</f>
        <v>65906.710000000006</v>
      </c>
    </row>
    <row r="250" spans="1:29" ht="14.5" x14ac:dyDescent="0.25">
      <c r="A250" s="31"/>
      <c r="B250" s="31"/>
      <c r="C250" s="31" t="s">
        <v>657</v>
      </c>
      <c r="D250" s="33" t="s">
        <v>656</v>
      </c>
      <c r="E250" s="32">
        <f>Source!CA71</f>
        <v>48</v>
      </c>
      <c r="F250" s="35"/>
      <c r="G250" s="34"/>
      <c r="H250" s="32"/>
      <c r="I250" s="35">
        <f>SUM(S246:S249)</f>
        <v>616.92999999999995</v>
      </c>
      <c r="J250" s="32">
        <f>Source!AU71</f>
        <v>48</v>
      </c>
      <c r="K250" s="35">
        <f>SUM(T246:T249)</f>
        <v>34763.980000000003</v>
      </c>
    </row>
    <row r="251" spans="1:29" ht="14.5" x14ac:dyDescent="0.25">
      <c r="A251" s="38"/>
      <c r="B251" s="38"/>
      <c r="C251" s="38" t="s">
        <v>658</v>
      </c>
      <c r="D251" s="39" t="s">
        <v>659</v>
      </c>
      <c r="E251" s="40">
        <f>Source!AQ70</f>
        <v>2.25</v>
      </c>
      <c r="F251" s="41"/>
      <c r="G251" s="42" t="s">
        <v>182</v>
      </c>
      <c r="H251" s="40">
        <f>Source!AV71</f>
        <v>1.0469999999999999</v>
      </c>
      <c r="I251" s="41">
        <f>Source!U70</f>
        <v>120.14324999999999</v>
      </c>
      <c r="J251" s="40"/>
      <c r="K251" s="41"/>
    </row>
    <row r="252" spans="1:29" ht="14" x14ac:dyDescent="0.25">
      <c r="C252" s="43" t="s">
        <v>660</v>
      </c>
      <c r="H252" s="70">
        <f>I248+I249+I250+0-0-0</f>
        <v>3071.7999999999997</v>
      </c>
      <c r="I252" s="70"/>
      <c r="J252" s="70">
        <f>K248+K249+K250+0-0-0</f>
        <v>173095.65000000002</v>
      </c>
      <c r="K252" s="70"/>
    </row>
    <row r="253" spans="1:29" ht="14" hidden="1" x14ac:dyDescent="0.25">
      <c r="C253" s="43" t="s">
        <v>661</v>
      </c>
      <c r="H253" s="65">
        <f>0+0</f>
        <v>0</v>
      </c>
      <c r="I253" s="65"/>
      <c r="J253" s="65">
        <f>0+0</f>
        <v>0</v>
      </c>
      <c r="K253" s="65"/>
    </row>
    <row r="254" spans="1:29" ht="14" x14ac:dyDescent="0.25">
      <c r="C254" s="43" t="s">
        <v>662</v>
      </c>
      <c r="H254" s="65">
        <f>I248+I249+I250+0</f>
        <v>3071.7999999999997</v>
      </c>
      <c r="I254" s="65"/>
      <c r="J254" s="65">
        <f>K248+K249+K250+0</f>
        <v>173095.65000000002</v>
      </c>
      <c r="K254" s="65"/>
      <c r="O254" s="44">
        <f>I248+I249+I250+0</f>
        <v>3071.7999999999997</v>
      </c>
      <c r="P254" s="44">
        <f>K248+K249+K250+0</f>
        <v>173095.65000000002</v>
      </c>
    </row>
    <row r="257" spans="1:43" ht="28" x14ac:dyDescent="0.3">
      <c r="A257" s="67" t="str">
        <f>CONCATENATE("Итого по разделу: ",IF(Source!G73&lt;&gt;"Новый раздел", Source!G73, ""))</f>
        <v>Итого по разделу: Демонтажные работы (Письмо от АНО «РГТ» об утверждении объёмов демонтажных работ)</v>
      </c>
      <c r="B257" s="67"/>
      <c r="C257" s="67"/>
      <c r="D257" s="67"/>
      <c r="E257" s="67"/>
      <c r="F257" s="67"/>
      <c r="G257" s="67"/>
      <c r="H257" s="65">
        <f>SUM(O38:O256)</f>
        <v>43731.45</v>
      </c>
      <c r="I257" s="66"/>
      <c r="J257" s="65">
        <f>SUM(P38:P256)</f>
        <v>2430966.4500000002</v>
      </c>
      <c r="K257" s="66"/>
      <c r="AQ257" s="46" t="str">
        <f>CONCATENATE("Итого по разделу: ",IF(Source!G73&lt;&gt;"Новый раздел", Source!G73, ""))</f>
        <v>Итого по разделу: Демонтажные работы (Письмо от АНО «РГТ» об утверждении объёмов демонтажных работ)</v>
      </c>
    </row>
    <row r="258" spans="1:43" hidden="1" x14ac:dyDescent="0.25">
      <c r="A258" t="s">
        <v>663</v>
      </c>
      <c r="I258">
        <f>SUM(W38:W257)</f>
        <v>0</v>
      </c>
      <c r="J258">
        <f>SUM(X38:X257)</f>
        <v>0</v>
      </c>
    </row>
    <row r="259" spans="1:43" hidden="1" x14ac:dyDescent="0.25">
      <c r="A259" t="s">
        <v>664</v>
      </c>
      <c r="I259">
        <f>SUM(Y38:Y258)</f>
        <v>0</v>
      </c>
      <c r="J259">
        <f>SUM(Z38:Z258)</f>
        <v>0</v>
      </c>
    </row>
    <row r="261" spans="1:43" ht="16.5" x14ac:dyDescent="0.25">
      <c r="A261" s="71" t="str">
        <f>CONCATENATE("Раздел: ",IF(Source!G103&lt;&gt;"Новый раздел", Source!G103, ""))</f>
        <v>Раздел: АРМ СПС.</v>
      </c>
      <c r="B261" s="71"/>
      <c r="C261" s="71"/>
      <c r="D261" s="71"/>
      <c r="E261" s="71"/>
      <c r="F261" s="71"/>
      <c r="G261" s="71"/>
      <c r="H261" s="71"/>
      <c r="I261" s="71"/>
      <c r="J261" s="71"/>
      <c r="K261" s="71"/>
    </row>
    <row r="262" spans="1:43" ht="28" x14ac:dyDescent="0.25">
      <c r="A262" s="31">
        <v>21</v>
      </c>
      <c r="B262" s="31" t="str">
        <f>Source!F107</f>
        <v>4.11-7-2</v>
      </c>
      <c r="C262" s="31" t="s">
        <v>173</v>
      </c>
      <c r="D262" s="33" t="str">
        <f>Source!H107</f>
        <v>1  ШТ.</v>
      </c>
      <c r="E262" s="32">
        <f>Source!I107</f>
        <v>1</v>
      </c>
      <c r="F262" s="35"/>
      <c r="G262" s="34"/>
      <c r="H262" s="32"/>
      <c r="I262" s="35"/>
      <c r="J262" s="32"/>
      <c r="K262" s="35"/>
      <c r="Q262">
        <f>Source!X107</f>
        <v>43.64</v>
      </c>
      <c r="R262">
        <f>Source!X108</f>
        <v>2459.17</v>
      </c>
      <c r="S262">
        <f>Source!Y107</f>
        <v>22.31</v>
      </c>
      <c r="T262">
        <f>Source!Y108</f>
        <v>1256.9100000000001</v>
      </c>
      <c r="U262">
        <f>ROUND((175/100)*ROUND(Source!R107, 2), 2)</f>
        <v>8.89</v>
      </c>
      <c r="V262">
        <f>ROUND((0/100)*ROUND(Source!R108, 2), 2)</f>
        <v>0</v>
      </c>
      <c r="AC262">
        <v>0</v>
      </c>
    </row>
    <row r="263" spans="1:43" ht="14.5" x14ac:dyDescent="0.25">
      <c r="A263" s="31"/>
      <c r="B263" s="31"/>
      <c r="C263" s="31" t="s">
        <v>651</v>
      </c>
      <c r="D263" s="33"/>
      <c r="E263" s="32"/>
      <c r="F263" s="35">
        <f>Source!AO107</f>
        <v>34.549999999999997</v>
      </c>
      <c r="G263" s="36" t="s">
        <v>182</v>
      </c>
      <c r="H263" s="32">
        <f>Source!AV108</f>
        <v>1.0469999999999999</v>
      </c>
      <c r="I263" s="35">
        <f>Source!S107</f>
        <v>43.41</v>
      </c>
      <c r="J263" s="32">
        <f>IF(Source!BA108&lt;&gt; 0, Source!BA108, 1)</f>
        <v>56.35</v>
      </c>
      <c r="K263" s="35">
        <f>Source!S108</f>
        <v>2446.15</v>
      </c>
    </row>
    <row r="264" spans="1:43" ht="14.5" x14ac:dyDescent="0.25">
      <c r="A264" s="31"/>
      <c r="B264" s="31"/>
      <c r="C264" s="31" t="s">
        <v>653</v>
      </c>
      <c r="D264" s="33"/>
      <c r="E264" s="32"/>
      <c r="F264" s="35">
        <f>Source!AM107</f>
        <v>26.59</v>
      </c>
      <c r="G264" s="36" t="s">
        <v>182</v>
      </c>
      <c r="H264" s="32">
        <f>Source!AV108</f>
        <v>1.0469999999999999</v>
      </c>
      <c r="I264" s="35">
        <f>Source!Q107</f>
        <v>33.409999999999997</v>
      </c>
      <c r="J264" s="32">
        <f>IF(Source!BB108&lt;&gt; 0, Source!BB108, 1)</f>
        <v>17.07</v>
      </c>
      <c r="K264" s="35">
        <f>Source!Q108</f>
        <v>570.30999999999995</v>
      </c>
    </row>
    <row r="265" spans="1:43" ht="14.5" x14ac:dyDescent="0.25">
      <c r="A265" s="31"/>
      <c r="B265" s="31"/>
      <c r="C265" s="31" t="s">
        <v>654</v>
      </c>
      <c r="D265" s="33"/>
      <c r="E265" s="32"/>
      <c r="F265" s="35">
        <f>Source!AN107</f>
        <v>4.04</v>
      </c>
      <c r="G265" s="36" t="s">
        <v>182</v>
      </c>
      <c r="H265" s="32">
        <f>Source!AV108</f>
        <v>1.0469999999999999</v>
      </c>
      <c r="I265" s="37">
        <f>Source!R107</f>
        <v>5.08</v>
      </c>
      <c r="J265" s="32">
        <f>IF(Source!BS108&lt;&gt; 0, Source!BS108, 1)</f>
        <v>56.35</v>
      </c>
      <c r="K265" s="37">
        <f>Source!R108</f>
        <v>286.26</v>
      </c>
    </row>
    <row r="266" spans="1:43" ht="82" x14ac:dyDescent="0.25">
      <c r="A266" s="47" t="s">
        <v>174</v>
      </c>
      <c r="B266" s="47" t="str">
        <f>Source!F109</f>
        <v>КА. п. 1</v>
      </c>
      <c r="C266" s="47" t="s">
        <v>665</v>
      </c>
      <c r="D266" s="48" t="str">
        <f>Source!H109</f>
        <v>шт.</v>
      </c>
      <c r="E266" s="49">
        <f>Source!I109</f>
        <v>1</v>
      </c>
      <c r="F266" s="50">
        <f>Source!AK109</f>
        <v>52864.83</v>
      </c>
      <c r="G266" s="51" t="s">
        <v>3</v>
      </c>
      <c r="H266" s="49">
        <f>Source!AW110</f>
        <v>1</v>
      </c>
      <c r="I266" s="50">
        <f>Source!O109</f>
        <v>52864.83</v>
      </c>
      <c r="J266" s="49">
        <f>IF(Source!BC110&lt;&gt; 0, Source!BC110, 1)</f>
        <v>7.57</v>
      </c>
      <c r="K266" s="50">
        <f>Source!O110</f>
        <v>400186.76</v>
      </c>
      <c r="Q266">
        <f>Source!X109</f>
        <v>0</v>
      </c>
      <c r="R266">
        <f>Source!X110</f>
        <v>0</v>
      </c>
      <c r="S266">
        <f>Source!Y109</f>
        <v>0</v>
      </c>
      <c r="T266">
        <f>Source!Y110</f>
        <v>0</v>
      </c>
      <c r="U266">
        <f>ROUND((175/100)*ROUND(Source!R109, 2), 2)</f>
        <v>0</v>
      </c>
      <c r="V266">
        <f>ROUND((0/100)*ROUND(Source!R110, 2), 2)</f>
        <v>0</v>
      </c>
      <c r="AC266">
        <v>5</v>
      </c>
    </row>
    <row r="267" spans="1:43" ht="14.5" x14ac:dyDescent="0.25">
      <c r="A267" s="31"/>
      <c r="B267" s="31"/>
      <c r="C267" s="31" t="s">
        <v>655</v>
      </c>
      <c r="D267" s="33" t="s">
        <v>656</v>
      </c>
      <c r="E267" s="32">
        <f>Source!BZ108</f>
        <v>90</v>
      </c>
      <c r="F267" s="35"/>
      <c r="G267" s="34"/>
      <c r="H267" s="32"/>
      <c r="I267" s="35">
        <f>SUM(Q262:Q266)</f>
        <v>43.64</v>
      </c>
      <c r="J267" s="32">
        <f>Source!AT108</f>
        <v>90</v>
      </c>
      <c r="K267" s="35">
        <f>SUM(R262:R266)</f>
        <v>2459.17</v>
      </c>
    </row>
    <row r="268" spans="1:43" ht="14.5" x14ac:dyDescent="0.25">
      <c r="A268" s="31"/>
      <c r="B268" s="31"/>
      <c r="C268" s="31" t="s">
        <v>657</v>
      </c>
      <c r="D268" s="33" t="s">
        <v>656</v>
      </c>
      <c r="E268" s="32">
        <f>Source!CA108</f>
        <v>46</v>
      </c>
      <c r="F268" s="35"/>
      <c r="G268" s="34"/>
      <c r="H268" s="32"/>
      <c r="I268" s="35">
        <f>SUM(S262:S267)</f>
        <v>22.31</v>
      </c>
      <c r="J268" s="32">
        <f>Source!AU108</f>
        <v>46</v>
      </c>
      <c r="K268" s="35">
        <f>SUM(T262:T267)</f>
        <v>1256.9100000000001</v>
      </c>
    </row>
    <row r="269" spans="1:43" ht="14.5" x14ac:dyDescent="0.25">
      <c r="A269" s="38"/>
      <c r="B269" s="38"/>
      <c r="C269" s="38" t="s">
        <v>658</v>
      </c>
      <c r="D269" s="39" t="s">
        <v>659</v>
      </c>
      <c r="E269" s="40">
        <f>Source!AQ107</f>
        <v>3.09</v>
      </c>
      <c r="F269" s="41"/>
      <c r="G269" s="42" t="s">
        <v>182</v>
      </c>
      <c r="H269" s="40">
        <f>Source!AV108</f>
        <v>1.0469999999999999</v>
      </c>
      <c r="I269" s="41">
        <f>Source!U107</f>
        <v>3.8822759999999996</v>
      </c>
      <c r="J269" s="40"/>
      <c r="K269" s="41"/>
    </row>
    <row r="270" spans="1:43" ht="14" x14ac:dyDescent="0.25">
      <c r="C270" s="43" t="s">
        <v>660</v>
      </c>
      <c r="H270" s="70">
        <f>I263+I264+I267+I268+SUM(I266:I266)-SUMIF(AC266:AC266, 5, I266:I266)-SUMIF(AC266:AC266, 6, I266:I266)</f>
        <v>142.7699999999968</v>
      </c>
      <c r="I270" s="70"/>
      <c r="J270" s="70">
        <f>K263+K264+K267+K268+SUM(K266:K266)-SUMIF(AC266:AC266, 5, K266:K266)-SUMIF(AC266:AC266, 6, K266:K266)</f>
        <v>6732.539999999979</v>
      </c>
      <c r="K270" s="70"/>
    </row>
    <row r="271" spans="1:43" ht="14" x14ac:dyDescent="0.25">
      <c r="C271" s="43" t="s">
        <v>661</v>
      </c>
      <c r="H271" s="65">
        <f>SUMIF(AC266:AC266, 5, I266:I266)+SUMIF(AC266:AC266, 6, I266:I266)</f>
        <v>52864.83</v>
      </c>
      <c r="I271" s="65"/>
      <c r="J271" s="65">
        <f>SUMIF(AC266:AC266, 5, K266:K266)+SUMIF(AC266:AC266, 6, K266:K266)</f>
        <v>400186.76</v>
      </c>
      <c r="K271" s="65"/>
    </row>
    <row r="272" spans="1:43" ht="14" x14ac:dyDescent="0.25">
      <c r="C272" s="43" t="s">
        <v>662</v>
      </c>
      <c r="H272" s="65">
        <f>I263+I264+I267+I268+SUM(I266:I266)</f>
        <v>53007.6</v>
      </c>
      <c r="I272" s="65"/>
      <c r="J272" s="65">
        <f>K263+K264+K267+K268+SUM(K266:K266)</f>
        <v>406919.3</v>
      </c>
      <c r="K272" s="65"/>
      <c r="O272" s="44">
        <f>I263+I264+I267+I268+SUM(I266:I266)</f>
        <v>53007.6</v>
      </c>
      <c r="P272" s="44">
        <f>K263+K264+K267+K268+SUM(K266:K266)</f>
        <v>406919.3</v>
      </c>
    </row>
    <row r="275" spans="1:29" ht="14" x14ac:dyDescent="0.3">
      <c r="A275" s="67" t="str">
        <f>CONCATENATE("Итого по разделу: ",IF(Source!G112&lt;&gt;"Новый раздел", Source!G112, ""))</f>
        <v>Итого по разделу: АРМ СПС.</v>
      </c>
      <c r="B275" s="67"/>
      <c r="C275" s="67"/>
      <c r="D275" s="67"/>
      <c r="E275" s="67"/>
      <c r="F275" s="67"/>
      <c r="G275" s="67"/>
      <c r="H275" s="65">
        <f>SUM(O261:O274)</f>
        <v>53007.6</v>
      </c>
      <c r="I275" s="66"/>
      <c r="J275" s="65">
        <f>SUM(P261:P274)</f>
        <v>406919.3</v>
      </c>
      <c r="K275" s="66"/>
    </row>
    <row r="276" spans="1:29" hidden="1" x14ac:dyDescent="0.25">
      <c r="A276" t="s">
        <v>663</v>
      </c>
      <c r="I276">
        <f>SUM(W261:W275)</f>
        <v>0</v>
      </c>
      <c r="J276">
        <f>SUM(X261:X275)</f>
        <v>0</v>
      </c>
    </row>
    <row r="277" spans="1:29" hidden="1" x14ac:dyDescent="0.25">
      <c r="A277" t="s">
        <v>664</v>
      </c>
      <c r="I277">
        <f>SUM(Y261:Y276)</f>
        <v>0</v>
      </c>
      <c r="J277">
        <f>SUM(Z261:Z276)</f>
        <v>0</v>
      </c>
    </row>
    <row r="279" spans="1:29" ht="16.5" x14ac:dyDescent="0.25">
      <c r="A279" s="71" t="str">
        <f>CONCATENATE("Раздел: ",IF(Source!G142&lt;&gt;"Новый раздел", Source!G142, ""))</f>
        <v>Раздел: Базовое оборудование СПС.</v>
      </c>
      <c r="B279" s="71"/>
      <c r="C279" s="71"/>
      <c r="D279" s="71"/>
      <c r="E279" s="71"/>
      <c r="F279" s="71"/>
      <c r="G279" s="71"/>
      <c r="H279" s="71"/>
      <c r="I279" s="71"/>
      <c r="J279" s="71"/>
      <c r="K279" s="71"/>
    </row>
    <row r="280" spans="1:29" ht="42" x14ac:dyDescent="0.25">
      <c r="A280" s="31">
        <v>22</v>
      </c>
      <c r="B280" s="31" t="str">
        <f>Source!F146</f>
        <v>4.10-80-1</v>
      </c>
      <c r="C280" s="31" t="s">
        <v>186</v>
      </c>
      <c r="D280" s="33" t="str">
        <f>Source!H146</f>
        <v>1  ШТ.</v>
      </c>
      <c r="E280" s="32">
        <f>Source!I146</f>
        <v>3</v>
      </c>
      <c r="F280" s="35"/>
      <c r="G280" s="34"/>
      <c r="H280" s="32"/>
      <c r="I280" s="35"/>
      <c r="J280" s="32"/>
      <c r="K280" s="35"/>
      <c r="Q280">
        <f>Source!X146</f>
        <v>322.43</v>
      </c>
      <c r="R280">
        <f>Source!X147</f>
        <v>18169.16</v>
      </c>
      <c r="S280">
        <f>Source!Y146</f>
        <v>164.8</v>
      </c>
      <c r="T280">
        <f>Source!Y147</f>
        <v>9286.4599999999991</v>
      </c>
      <c r="U280">
        <f>ROUND((175/100)*ROUND(Source!R146, 2), 2)</f>
        <v>7.0000000000000007E-2</v>
      </c>
      <c r="V280">
        <f>ROUND((0/100)*ROUND(Source!R147, 2), 2)</f>
        <v>0</v>
      </c>
      <c r="AC280">
        <v>0</v>
      </c>
    </row>
    <row r="281" spans="1:29" ht="14.5" x14ac:dyDescent="0.25">
      <c r="A281" s="31"/>
      <c r="B281" s="31"/>
      <c r="C281" s="31" t="s">
        <v>651</v>
      </c>
      <c r="D281" s="33"/>
      <c r="E281" s="32"/>
      <c r="F281" s="35">
        <f>Source!AO146</f>
        <v>95.04</v>
      </c>
      <c r="G281" s="36" t="s">
        <v>182</v>
      </c>
      <c r="H281" s="32">
        <f>Source!AV147</f>
        <v>1.0469999999999999</v>
      </c>
      <c r="I281" s="35">
        <f>Source!S146</f>
        <v>358.22</v>
      </c>
      <c r="J281" s="32">
        <f>IF(Source!BA147&lt;&gt; 0, Source!BA147, 1)</f>
        <v>56.35</v>
      </c>
      <c r="K281" s="35">
        <f>Source!S147</f>
        <v>20185.7</v>
      </c>
    </row>
    <row r="282" spans="1:29" ht="14.5" x14ac:dyDescent="0.25">
      <c r="A282" s="31"/>
      <c r="B282" s="31"/>
      <c r="C282" s="31" t="s">
        <v>653</v>
      </c>
      <c r="D282" s="33"/>
      <c r="E282" s="32"/>
      <c r="F282" s="35">
        <f>Source!AM146</f>
        <v>0.06</v>
      </c>
      <c r="G282" s="36" t="s">
        <v>182</v>
      </c>
      <c r="H282" s="32">
        <f>Source!AV147</f>
        <v>1.0469999999999999</v>
      </c>
      <c r="I282" s="35">
        <f>Source!Q146</f>
        <v>0.23</v>
      </c>
      <c r="J282" s="32">
        <f>IF(Source!BB147&lt;&gt; 0, Source!BB147, 1)</f>
        <v>18.5</v>
      </c>
      <c r="K282" s="35">
        <f>Source!Q147</f>
        <v>4.26</v>
      </c>
    </row>
    <row r="283" spans="1:29" ht="14.5" x14ac:dyDescent="0.25">
      <c r="A283" s="31"/>
      <c r="B283" s="31"/>
      <c r="C283" s="31" t="s">
        <v>654</v>
      </c>
      <c r="D283" s="33"/>
      <c r="E283" s="32"/>
      <c r="F283" s="35">
        <f>Source!AN146</f>
        <v>0.01</v>
      </c>
      <c r="G283" s="36" t="s">
        <v>182</v>
      </c>
      <c r="H283" s="32">
        <f>Source!AV147</f>
        <v>1.0469999999999999</v>
      </c>
      <c r="I283" s="37">
        <f>Source!R146</f>
        <v>0.04</v>
      </c>
      <c r="J283" s="32">
        <f>IF(Source!BS147&lt;&gt; 0, Source!BS147, 1)</f>
        <v>56.35</v>
      </c>
      <c r="K283" s="37">
        <f>Source!R147</f>
        <v>2.25</v>
      </c>
    </row>
    <row r="284" spans="1:29" ht="14.5" x14ac:dyDescent="0.25">
      <c r="A284" s="31"/>
      <c r="B284" s="31"/>
      <c r="C284" s="31" t="s">
        <v>666</v>
      </c>
      <c r="D284" s="33"/>
      <c r="E284" s="32"/>
      <c r="F284" s="35">
        <f>Source!AL146</f>
        <v>12.53</v>
      </c>
      <c r="G284" s="36" t="s">
        <v>3</v>
      </c>
      <c r="H284" s="32">
        <f>Source!AW147</f>
        <v>1</v>
      </c>
      <c r="I284" s="35">
        <f>Source!P146</f>
        <v>37.590000000000003</v>
      </c>
      <c r="J284" s="32">
        <f>IF(Source!BC147&lt;&gt; 0, Source!BC147, 1)</f>
        <v>9.84</v>
      </c>
      <c r="K284" s="35">
        <f>Source!P147</f>
        <v>369.89</v>
      </c>
    </row>
    <row r="285" spans="1:29" ht="14.5" x14ac:dyDescent="0.25">
      <c r="A285" s="31"/>
      <c r="B285" s="31"/>
      <c r="C285" s="31" t="s">
        <v>655</v>
      </c>
      <c r="D285" s="33" t="s">
        <v>656</v>
      </c>
      <c r="E285" s="32">
        <f>Source!BZ147</f>
        <v>90</v>
      </c>
      <c r="F285" s="35"/>
      <c r="G285" s="34"/>
      <c r="H285" s="32"/>
      <c r="I285" s="35">
        <f>SUM(Q280:Q284)</f>
        <v>322.43</v>
      </c>
      <c r="J285" s="32">
        <f>Source!AT147</f>
        <v>90</v>
      </c>
      <c r="K285" s="35">
        <f>SUM(R280:R284)</f>
        <v>18169.16</v>
      </c>
    </row>
    <row r="286" spans="1:29" ht="14.5" x14ac:dyDescent="0.25">
      <c r="A286" s="31"/>
      <c r="B286" s="31"/>
      <c r="C286" s="31" t="s">
        <v>657</v>
      </c>
      <c r="D286" s="33" t="s">
        <v>656</v>
      </c>
      <c r="E286" s="32">
        <f>Source!CA147</f>
        <v>46</v>
      </c>
      <c r="F286" s="35"/>
      <c r="G286" s="34"/>
      <c r="H286" s="32"/>
      <c r="I286" s="35">
        <f>SUM(S280:S285)</f>
        <v>164.8</v>
      </c>
      <c r="J286" s="32">
        <f>Source!AU147</f>
        <v>46</v>
      </c>
      <c r="K286" s="35">
        <f>SUM(T280:T285)</f>
        <v>9286.4599999999991</v>
      </c>
    </row>
    <row r="287" spans="1:29" ht="14.5" x14ac:dyDescent="0.25">
      <c r="A287" s="38"/>
      <c r="B287" s="38"/>
      <c r="C287" s="38" t="s">
        <v>658</v>
      </c>
      <c r="D287" s="39" t="s">
        <v>659</v>
      </c>
      <c r="E287" s="40">
        <f>Source!AQ146</f>
        <v>7.2</v>
      </c>
      <c r="F287" s="41"/>
      <c r="G287" s="42" t="s">
        <v>182</v>
      </c>
      <c r="H287" s="40">
        <f>Source!AV147</f>
        <v>1.0469999999999999</v>
      </c>
      <c r="I287" s="41">
        <f>Source!U146</f>
        <v>27.13824</v>
      </c>
      <c r="J287" s="40"/>
      <c r="K287" s="41"/>
    </row>
    <row r="288" spans="1:29" ht="14" x14ac:dyDescent="0.25">
      <c r="C288" s="43" t="s">
        <v>660</v>
      </c>
      <c r="H288" s="70">
        <f>I281+I282+I284+I285+I286+0-0-0</f>
        <v>883.27</v>
      </c>
      <c r="I288" s="70"/>
      <c r="J288" s="70">
        <f>K281+K282+K284+K285+K286+0-0-0</f>
        <v>48015.469999999994</v>
      </c>
      <c r="K288" s="70"/>
    </row>
    <row r="289" spans="1:29" ht="14" hidden="1" x14ac:dyDescent="0.25">
      <c r="C289" s="43" t="s">
        <v>661</v>
      </c>
      <c r="H289" s="65">
        <f>0+0</f>
        <v>0</v>
      </c>
      <c r="I289" s="65"/>
      <c r="J289" s="65">
        <f>0+0</f>
        <v>0</v>
      </c>
      <c r="K289" s="65"/>
    </row>
    <row r="290" spans="1:29" ht="14" x14ac:dyDescent="0.25">
      <c r="C290" s="43" t="s">
        <v>662</v>
      </c>
      <c r="H290" s="65">
        <f>I281+I282+I284+I285+I286+0</f>
        <v>883.27</v>
      </c>
      <c r="I290" s="65"/>
      <c r="J290" s="65">
        <f>K281+K282+K284+K285+K286+0</f>
        <v>48015.469999999994</v>
      </c>
      <c r="K290" s="65"/>
      <c r="O290" s="44">
        <f>I281+I282+I284+I285+I286+0</f>
        <v>883.27</v>
      </c>
      <c r="P290" s="44">
        <f>K281+K282+K284+K285+K286+0</f>
        <v>48015.469999999994</v>
      </c>
    </row>
    <row r="292" spans="1:29" ht="82" x14ac:dyDescent="0.25">
      <c r="A292" s="52">
        <v>23</v>
      </c>
      <c r="B292" s="52" t="str">
        <f>Source!F148</f>
        <v>КА п.2</v>
      </c>
      <c r="C292" s="52" t="s">
        <v>667</v>
      </c>
      <c r="D292" s="53" t="str">
        <f>Source!H148</f>
        <v>ШТ</v>
      </c>
      <c r="E292" s="54">
        <f>Source!I148</f>
        <v>3</v>
      </c>
      <c r="F292" s="55">
        <f>Source!AL148</f>
        <v>4851.08</v>
      </c>
      <c r="G292" s="56" t="s">
        <v>3</v>
      </c>
      <c r="H292" s="54">
        <f>Source!AW149</f>
        <v>1</v>
      </c>
      <c r="I292" s="55">
        <f>Source!P148</f>
        <v>14553.24</v>
      </c>
      <c r="J292" s="54">
        <f>IF(Source!BC149&lt;&gt; 0, Source!BC149, 1)</f>
        <v>7.57</v>
      </c>
      <c r="K292" s="55">
        <f>Source!P149</f>
        <v>110168.03</v>
      </c>
      <c r="Q292">
        <f>Source!X148</f>
        <v>0</v>
      </c>
      <c r="R292">
        <f>Source!X149</f>
        <v>0</v>
      </c>
      <c r="S292">
        <f>Source!Y148</f>
        <v>0</v>
      </c>
      <c r="T292">
        <f>Source!Y149</f>
        <v>0</v>
      </c>
      <c r="U292">
        <f>ROUND((175/100)*ROUND(Source!R148, 2), 2)</f>
        <v>0</v>
      </c>
      <c r="V292">
        <f>ROUND((0/100)*ROUND(Source!R149, 2), 2)</f>
        <v>0</v>
      </c>
      <c r="AC292">
        <v>5</v>
      </c>
    </row>
    <row r="293" spans="1:29" ht="14" x14ac:dyDescent="0.25">
      <c r="A293" s="57"/>
      <c r="B293" s="57"/>
      <c r="C293" s="58" t="s">
        <v>662</v>
      </c>
      <c r="D293" s="57"/>
      <c r="E293" s="57"/>
      <c r="F293" s="57"/>
      <c r="G293" s="57"/>
      <c r="H293" s="72">
        <f>I292+0</f>
        <v>14553.24</v>
      </c>
      <c r="I293" s="72"/>
      <c r="J293" s="72">
        <f>K292+0</f>
        <v>110168.03</v>
      </c>
      <c r="K293" s="72"/>
      <c r="O293" s="44">
        <f>I292+0</f>
        <v>14553.24</v>
      </c>
      <c r="P293" s="44">
        <f>K292+0</f>
        <v>110168.03</v>
      </c>
    </row>
    <row r="295" spans="1:29" ht="28" x14ac:dyDescent="0.25">
      <c r="A295" s="31">
        <v>24</v>
      </c>
      <c r="B295" s="31" t="str">
        <f>Source!F154</f>
        <v>4.10-170-2</v>
      </c>
      <c r="C295" s="31" t="s">
        <v>198</v>
      </c>
      <c r="D295" s="33" t="str">
        <f>Source!H154</f>
        <v>1  ШТ.</v>
      </c>
      <c r="E295" s="32">
        <f>Source!I154</f>
        <v>1</v>
      </c>
      <c r="F295" s="35"/>
      <c r="G295" s="34"/>
      <c r="H295" s="32"/>
      <c r="I295" s="35"/>
      <c r="J295" s="32"/>
      <c r="K295" s="35"/>
      <c r="Q295">
        <f>Source!X154</f>
        <v>37.85</v>
      </c>
      <c r="R295">
        <f>Source!X155</f>
        <v>2132.5700000000002</v>
      </c>
      <c r="S295">
        <f>Source!Y154</f>
        <v>19.34</v>
      </c>
      <c r="T295">
        <f>Source!Y155</f>
        <v>1089.98</v>
      </c>
      <c r="U295">
        <f>ROUND((175/100)*ROUND(Source!R154, 2), 2)</f>
        <v>0</v>
      </c>
      <c r="V295">
        <f>ROUND((0/100)*ROUND(Source!R155, 2), 2)</f>
        <v>0</v>
      </c>
      <c r="AC295">
        <v>0</v>
      </c>
    </row>
    <row r="296" spans="1:29" ht="14.5" x14ac:dyDescent="0.25">
      <c r="A296" s="31"/>
      <c r="B296" s="31"/>
      <c r="C296" s="31" t="s">
        <v>651</v>
      </c>
      <c r="D296" s="33"/>
      <c r="E296" s="32"/>
      <c r="F296" s="35">
        <f>Source!AO154</f>
        <v>33.47</v>
      </c>
      <c r="G296" s="36" t="s">
        <v>182</v>
      </c>
      <c r="H296" s="32">
        <f>Source!AV155</f>
        <v>1.0469999999999999</v>
      </c>
      <c r="I296" s="35">
        <f>Source!S154</f>
        <v>42.05</v>
      </c>
      <c r="J296" s="32">
        <f>IF(Source!BA155&lt;&gt; 0, Source!BA155, 1)</f>
        <v>56.35</v>
      </c>
      <c r="K296" s="35">
        <f>Source!S155</f>
        <v>2369.52</v>
      </c>
    </row>
    <row r="297" spans="1:29" ht="14.5" x14ac:dyDescent="0.25">
      <c r="A297" s="31"/>
      <c r="B297" s="31"/>
      <c r="C297" s="31" t="s">
        <v>666</v>
      </c>
      <c r="D297" s="33"/>
      <c r="E297" s="32"/>
      <c r="F297" s="35">
        <f>Source!AL154</f>
        <v>2.34</v>
      </c>
      <c r="G297" s="36" t="s">
        <v>3</v>
      </c>
      <c r="H297" s="32">
        <f>Source!AW155</f>
        <v>1</v>
      </c>
      <c r="I297" s="35">
        <f>Source!P154</f>
        <v>2.34</v>
      </c>
      <c r="J297" s="32">
        <f>IF(Source!BC155&lt;&gt; 0, Source!BC155, 1)</f>
        <v>10.24</v>
      </c>
      <c r="K297" s="35">
        <f>Source!P155</f>
        <v>23.96</v>
      </c>
    </row>
    <row r="298" spans="1:29" ht="68" x14ac:dyDescent="0.25">
      <c r="A298" s="47" t="s">
        <v>199</v>
      </c>
      <c r="B298" s="47" t="str">
        <f>Source!F156</f>
        <v>КА. п. 3</v>
      </c>
      <c r="C298" s="47" t="s">
        <v>668</v>
      </c>
      <c r="D298" s="48" t="str">
        <f>Source!H156</f>
        <v>шт.</v>
      </c>
      <c r="E298" s="49">
        <f>Source!I156</f>
        <v>1</v>
      </c>
      <c r="F298" s="50">
        <f>Source!AK156</f>
        <v>2385.0700000000002</v>
      </c>
      <c r="G298" s="51" t="s">
        <v>3</v>
      </c>
      <c r="H298" s="49">
        <f>Source!AW157</f>
        <v>1</v>
      </c>
      <c r="I298" s="50">
        <f>Source!O156</f>
        <v>2385.0700000000002</v>
      </c>
      <c r="J298" s="49">
        <f>IF(Source!BC157&lt;&gt; 0, Source!BC157, 1)</f>
        <v>7.57</v>
      </c>
      <c r="K298" s="50">
        <f>Source!O157</f>
        <v>18054.98</v>
      </c>
      <c r="Q298">
        <f>Source!X156</f>
        <v>0</v>
      </c>
      <c r="R298">
        <f>Source!X157</f>
        <v>0</v>
      </c>
      <c r="S298">
        <f>Source!Y156</f>
        <v>0</v>
      </c>
      <c r="T298">
        <f>Source!Y157</f>
        <v>0</v>
      </c>
      <c r="U298">
        <f>ROUND((175/100)*ROUND(Source!R156, 2), 2)</f>
        <v>0</v>
      </c>
      <c r="V298">
        <f>ROUND((0/100)*ROUND(Source!R157, 2), 2)</f>
        <v>0</v>
      </c>
      <c r="AC298">
        <v>5</v>
      </c>
    </row>
    <row r="299" spans="1:29" ht="14.5" x14ac:dyDescent="0.25">
      <c r="A299" s="31"/>
      <c r="B299" s="31"/>
      <c r="C299" s="31" t="s">
        <v>655</v>
      </c>
      <c r="D299" s="33" t="s">
        <v>656</v>
      </c>
      <c r="E299" s="32">
        <f>Source!BZ155</f>
        <v>90</v>
      </c>
      <c r="F299" s="35"/>
      <c r="G299" s="34"/>
      <c r="H299" s="32"/>
      <c r="I299" s="35">
        <f>SUM(Q295:Q298)</f>
        <v>37.85</v>
      </c>
      <c r="J299" s="32">
        <f>Source!AT155</f>
        <v>90</v>
      </c>
      <c r="K299" s="35">
        <f>SUM(R295:R298)</f>
        <v>2132.5700000000002</v>
      </c>
    </row>
    <row r="300" spans="1:29" ht="14.5" x14ac:dyDescent="0.25">
      <c r="A300" s="31"/>
      <c r="B300" s="31"/>
      <c r="C300" s="31" t="s">
        <v>657</v>
      </c>
      <c r="D300" s="33" t="s">
        <v>656</v>
      </c>
      <c r="E300" s="32">
        <f>Source!CA155</f>
        <v>46</v>
      </c>
      <c r="F300" s="35"/>
      <c r="G300" s="34"/>
      <c r="H300" s="32"/>
      <c r="I300" s="35">
        <f>SUM(S295:S299)</f>
        <v>19.34</v>
      </c>
      <c r="J300" s="32">
        <f>Source!AU155</f>
        <v>46</v>
      </c>
      <c r="K300" s="35">
        <f>SUM(T295:T299)</f>
        <v>1089.98</v>
      </c>
    </row>
    <row r="301" spans="1:29" ht="14.5" x14ac:dyDescent="0.25">
      <c r="A301" s="38"/>
      <c r="B301" s="38"/>
      <c r="C301" s="38" t="s">
        <v>658</v>
      </c>
      <c r="D301" s="39" t="s">
        <v>659</v>
      </c>
      <c r="E301" s="40">
        <f>Source!AQ154</f>
        <v>2.65</v>
      </c>
      <c r="F301" s="41"/>
      <c r="G301" s="42" t="s">
        <v>182</v>
      </c>
      <c r="H301" s="40">
        <f>Source!AV155</f>
        <v>1.0469999999999999</v>
      </c>
      <c r="I301" s="41">
        <f>Source!U154</f>
        <v>3.3294599999999996</v>
      </c>
      <c r="J301" s="40"/>
      <c r="K301" s="41"/>
    </row>
    <row r="302" spans="1:29" ht="14" x14ac:dyDescent="0.25">
      <c r="C302" s="43" t="s">
        <v>660</v>
      </c>
      <c r="H302" s="70">
        <f>I296+I297+I299+I300+SUM(I298:I298)-SUMIF(AC298:AC298, 5, I298:I298)-SUMIF(AC298:AC298, 6, I298:I298)</f>
        <v>101.57999999999993</v>
      </c>
      <c r="I302" s="70"/>
      <c r="J302" s="70">
        <f>K296+K297+K299+K300+SUM(K298:K298)-SUMIF(AC298:AC298, 5, K298:K298)-SUMIF(AC298:AC298, 6, K298:K298)</f>
        <v>5616.0300000000025</v>
      </c>
      <c r="K302" s="70"/>
    </row>
    <row r="303" spans="1:29" ht="14" x14ac:dyDescent="0.25">
      <c r="C303" s="43" t="s">
        <v>661</v>
      </c>
      <c r="H303" s="65">
        <f>SUMIF(AC298:AC298, 5, I298:I298)+SUMIF(AC298:AC298, 6, I298:I298)</f>
        <v>2385.0700000000002</v>
      </c>
      <c r="I303" s="65"/>
      <c r="J303" s="65">
        <f>SUMIF(AC298:AC298, 5, K298:K298)+SUMIF(AC298:AC298, 6, K298:K298)</f>
        <v>18054.98</v>
      </c>
      <c r="K303" s="65"/>
    </row>
    <row r="304" spans="1:29" ht="14" x14ac:dyDescent="0.25">
      <c r="C304" s="43" t="s">
        <v>662</v>
      </c>
      <c r="H304" s="65">
        <f>I296+I297+I299+I300+SUM(I298:I298)</f>
        <v>2486.65</v>
      </c>
      <c r="I304" s="65"/>
      <c r="J304" s="65">
        <f>K296+K297+K299+K300+SUM(K298:K298)</f>
        <v>23671.010000000002</v>
      </c>
      <c r="K304" s="65"/>
      <c r="O304" s="44">
        <f>I296+I297+I299+I300+SUM(I298:I298)</f>
        <v>2486.65</v>
      </c>
      <c r="P304" s="44">
        <f>K296+K297+K299+K300+SUM(K298:K298)</f>
        <v>23671.010000000002</v>
      </c>
    </row>
    <row r="306" spans="1:29" ht="28" x14ac:dyDescent="0.25">
      <c r="A306" s="31">
        <v>25</v>
      </c>
      <c r="B306" s="31" t="str">
        <f>Source!F158</f>
        <v>4.10-167-1</v>
      </c>
      <c r="C306" s="31" t="s">
        <v>204</v>
      </c>
      <c r="D306" s="33" t="str">
        <f>Source!H158</f>
        <v>1  ШТ.</v>
      </c>
      <c r="E306" s="32">
        <f>Source!I158</f>
        <v>4</v>
      </c>
      <c r="F306" s="35"/>
      <c r="G306" s="34"/>
      <c r="H306" s="32"/>
      <c r="I306" s="35"/>
      <c r="J306" s="32"/>
      <c r="K306" s="35"/>
      <c r="Q306">
        <f>Source!X158</f>
        <v>85.66</v>
      </c>
      <c r="R306">
        <f>Source!X159</f>
        <v>4827.05</v>
      </c>
      <c r="S306">
        <f>Source!Y158</f>
        <v>43.78</v>
      </c>
      <c r="T306">
        <f>Source!Y159</f>
        <v>2467.16</v>
      </c>
      <c r="U306">
        <f>ROUND((175/100)*ROUND(Source!R158, 2), 2)</f>
        <v>0</v>
      </c>
      <c r="V306">
        <f>ROUND((0/100)*ROUND(Source!R159, 2), 2)</f>
        <v>0</v>
      </c>
      <c r="AC306">
        <v>0</v>
      </c>
    </row>
    <row r="307" spans="1:29" x14ac:dyDescent="0.25">
      <c r="C307" s="45" t="str">
        <f>"Объем: "&amp;Source!I158&amp;"=1+"&amp;"2+"&amp;"1"</f>
        <v>Объем: 4=1+2+1</v>
      </c>
    </row>
    <row r="308" spans="1:29" ht="14.5" x14ac:dyDescent="0.25">
      <c r="A308" s="31"/>
      <c r="B308" s="31"/>
      <c r="C308" s="31" t="s">
        <v>651</v>
      </c>
      <c r="D308" s="33"/>
      <c r="E308" s="32"/>
      <c r="F308" s="35">
        <f>Source!AO158</f>
        <v>18.940000000000001</v>
      </c>
      <c r="G308" s="36" t="s">
        <v>182</v>
      </c>
      <c r="H308" s="32">
        <f>Source!AV159</f>
        <v>1.0469999999999999</v>
      </c>
      <c r="I308" s="35">
        <f>Source!S158</f>
        <v>95.18</v>
      </c>
      <c r="J308" s="32">
        <f>IF(Source!BA159&lt;&gt; 0, Source!BA159, 1)</f>
        <v>56.35</v>
      </c>
      <c r="K308" s="35">
        <f>Source!S159</f>
        <v>5363.39</v>
      </c>
    </row>
    <row r="309" spans="1:29" ht="14.5" x14ac:dyDescent="0.25">
      <c r="A309" s="31"/>
      <c r="B309" s="31"/>
      <c r="C309" s="31" t="s">
        <v>653</v>
      </c>
      <c r="D309" s="33"/>
      <c r="E309" s="32"/>
      <c r="F309" s="35">
        <f>Source!AM158</f>
        <v>0.02</v>
      </c>
      <c r="G309" s="36" t="s">
        <v>182</v>
      </c>
      <c r="H309" s="32">
        <f>Source!AV159</f>
        <v>1.0469999999999999</v>
      </c>
      <c r="I309" s="35">
        <f>Source!Q158</f>
        <v>0.1</v>
      </c>
      <c r="J309" s="32">
        <f>IF(Source!BB159&lt;&gt; 0, Source!BB159, 1)</f>
        <v>11</v>
      </c>
      <c r="K309" s="35">
        <f>Source!Q159</f>
        <v>1.1000000000000001</v>
      </c>
    </row>
    <row r="310" spans="1:29" ht="14.5" x14ac:dyDescent="0.25">
      <c r="A310" s="31"/>
      <c r="B310" s="31"/>
      <c r="C310" s="31" t="s">
        <v>666</v>
      </c>
      <c r="D310" s="33"/>
      <c r="E310" s="32"/>
      <c r="F310" s="35">
        <f>Source!AL158</f>
        <v>2.34</v>
      </c>
      <c r="G310" s="36" t="s">
        <v>3</v>
      </c>
      <c r="H310" s="32">
        <f>Source!AW159</f>
        <v>1</v>
      </c>
      <c r="I310" s="35">
        <f>Source!P158</f>
        <v>9.36</v>
      </c>
      <c r="J310" s="32">
        <f>IF(Source!BC159&lt;&gt; 0, Source!BC159, 1)</f>
        <v>10.24</v>
      </c>
      <c r="K310" s="35">
        <f>Source!P159</f>
        <v>95.85</v>
      </c>
    </row>
    <row r="311" spans="1:29" ht="68" x14ac:dyDescent="0.25">
      <c r="A311" s="47" t="s">
        <v>205</v>
      </c>
      <c r="B311" s="47" t="str">
        <f>Source!F160</f>
        <v>КА. п. 4</v>
      </c>
      <c r="C311" s="47" t="s">
        <v>669</v>
      </c>
      <c r="D311" s="48" t="str">
        <f>Source!H160</f>
        <v>шт.</v>
      </c>
      <c r="E311" s="49">
        <f>Source!I160</f>
        <v>1</v>
      </c>
      <c r="F311" s="50">
        <f>Source!AK160</f>
        <v>861.62</v>
      </c>
      <c r="G311" s="51" t="s">
        <v>3</v>
      </c>
      <c r="H311" s="49">
        <f>Source!AW161</f>
        <v>1</v>
      </c>
      <c r="I311" s="50">
        <f>Source!O160</f>
        <v>861.62</v>
      </c>
      <c r="J311" s="49">
        <f>IF(Source!BC161&lt;&gt; 0, Source!BC161, 1)</f>
        <v>7.57</v>
      </c>
      <c r="K311" s="50">
        <f>Source!O161</f>
        <v>6522.46</v>
      </c>
      <c r="Q311">
        <f>Source!X160</f>
        <v>0</v>
      </c>
      <c r="R311">
        <f>Source!X161</f>
        <v>0</v>
      </c>
      <c r="S311">
        <f>Source!Y160</f>
        <v>0</v>
      </c>
      <c r="T311">
        <f>Source!Y161</f>
        <v>0</v>
      </c>
      <c r="U311">
        <f>ROUND((175/100)*ROUND(Source!R160, 2), 2)</f>
        <v>0</v>
      </c>
      <c r="V311">
        <f>ROUND((0/100)*ROUND(Source!R161, 2), 2)</f>
        <v>0</v>
      </c>
      <c r="AC311">
        <v>5</v>
      </c>
    </row>
    <row r="312" spans="1:29" ht="68" x14ac:dyDescent="0.25">
      <c r="A312" s="47" t="s">
        <v>209</v>
      </c>
      <c r="B312" s="47" t="str">
        <f>Source!F162</f>
        <v>КА. п. 5</v>
      </c>
      <c r="C312" s="47" t="s">
        <v>670</v>
      </c>
      <c r="D312" s="48" t="str">
        <f>Source!H162</f>
        <v>шт.</v>
      </c>
      <c r="E312" s="49">
        <f>Source!I162</f>
        <v>2</v>
      </c>
      <c r="F312" s="50">
        <f>Source!AK162</f>
        <v>937.47</v>
      </c>
      <c r="G312" s="51" t="s">
        <v>3</v>
      </c>
      <c r="H312" s="49">
        <f>Source!AW163</f>
        <v>1</v>
      </c>
      <c r="I312" s="50">
        <f>Source!O162</f>
        <v>1874.94</v>
      </c>
      <c r="J312" s="49">
        <f>IF(Source!BC163&lt;&gt; 0, Source!BC163, 1)</f>
        <v>7.57</v>
      </c>
      <c r="K312" s="50">
        <f>Source!O163</f>
        <v>14193.3</v>
      </c>
      <c r="Q312">
        <f>Source!X162</f>
        <v>0</v>
      </c>
      <c r="R312">
        <f>Source!X163</f>
        <v>0</v>
      </c>
      <c r="S312">
        <f>Source!Y162</f>
        <v>0</v>
      </c>
      <c r="T312">
        <f>Source!Y163</f>
        <v>0</v>
      </c>
      <c r="U312">
        <f>ROUND((175/100)*ROUND(Source!R162, 2), 2)</f>
        <v>0</v>
      </c>
      <c r="V312">
        <f>ROUND((0/100)*ROUND(Source!R163, 2), 2)</f>
        <v>0</v>
      </c>
      <c r="AC312">
        <v>5</v>
      </c>
    </row>
    <row r="313" spans="1:29" ht="68" x14ac:dyDescent="0.25">
      <c r="A313" s="47" t="s">
        <v>213</v>
      </c>
      <c r="B313" s="47" t="str">
        <f>Source!F164</f>
        <v>КА. п. 6</v>
      </c>
      <c r="C313" s="47" t="s">
        <v>671</v>
      </c>
      <c r="D313" s="48" t="str">
        <f>Source!H164</f>
        <v>шт.</v>
      </c>
      <c r="E313" s="49">
        <f>Source!I164</f>
        <v>1</v>
      </c>
      <c r="F313" s="50">
        <f>Source!AK164</f>
        <v>1470.07</v>
      </c>
      <c r="G313" s="51" t="s">
        <v>3</v>
      </c>
      <c r="H313" s="49">
        <f>Source!AW165</f>
        <v>1</v>
      </c>
      <c r="I313" s="50">
        <f>Source!O164</f>
        <v>1470.07</v>
      </c>
      <c r="J313" s="49">
        <f>IF(Source!BC165&lt;&gt; 0, Source!BC165, 1)</f>
        <v>7.57</v>
      </c>
      <c r="K313" s="50">
        <f>Source!O165</f>
        <v>11128.43</v>
      </c>
      <c r="Q313">
        <f>Source!X164</f>
        <v>0</v>
      </c>
      <c r="R313">
        <f>Source!X165</f>
        <v>0</v>
      </c>
      <c r="S313">
        <f>Source!Y164</f>
        <v>0</v>
      </c>
      <c r="T313">
        <f>Source!Y165</f>
        <v>0</v>
      </c>
      <c r="U313">
        <f>ROUND((175/100)*ROUND(Source!R164, 2), 2)</f>
        <v>0</v>
      </c>
      <c r="V313">
        <f>ROUND((0/100)*ROUND(Source!R165, 2), 2)</f>
        <v>0</v>
      </c>
      <c r="AC313">
        <v>5</v>
      </c>
    </row>
    <row r="314" spans="1:29" ht="14.5" x14ac:dyDescent="0.25">
      <c r="A314" s="31"/>
      <c r="B314" s="31"/>
      <c r="C314" s="31" t="s">
        <v>655</v>
      </c>
      <c r="D314" s="33" t="s">
        <v>656</v>
      </c>
      <c r="E314" s="32">
        <f>Source!BZ159</f>
        <v>90</v>
      </c>
      <c r="F314" s="35"/>
      <c r="G314" s="34"/>
      <c r="H314" s="32"/>
      <c r="I314" s="35">
        <f>SUM(Q306:Q313)</f>
        <v>85.66</v>
      </c>
      <c r="J314" s="32">
        <f>Source!AT159</f>
        <v>90</v>
      </c>
      <c r="K314" s="35">
        <f>SUM(R306:R313)</f>
        <v>4827.05</v>
      </c>
    </row>
    <row r="315" spans="1:29" ht="14.5" x14ac:dyDescent="0.25">
      <c r="A315" s="31"/>
      <c r="B315" s="31"/>
      <c r="C315" s="31" t="s">
        <v>657</v>
      </c>
      <c r="D315" s="33" t="s">
        <v>656</v>
      </c>
      <c r="E315" s="32">
        <f>Source!CA159</f>
        <v>46</v>
      </c>
      <c r="F315" s="35"/>
      <c r="G315" s="34"/>
      <c r="H315" s="32"/>
      <c r="I315" s="35">
        <f>SUM(S306:S314)</f>
        <v>43.78</v>
      </c>
      <c r="J315" s="32">
        <f>Source!AU159</f>
        <v>46</v>
      </c>
      <c r="K315" s="35">
        <f>SUM(T306:T314)</f>
        <v>2467.16</v>
      </c>
    </row>
    <row r="316" spans="1:29" ht="14.5" x14ac:dyDescent="0.25">
      <c r="A316" s="38"/>
      <c r="B316" s="38"/>
      <c r="C316" s="38" t="s">
        <v>658</v>
      </c>
      <c r="D316" s="39" t="s">
        <v>659</v>
      </c>
      <c r="E316" s="40">
        <f>Source!AQ158</f>
        <v>1.36</v>
      </c>
      <c r="F316" s="41"/>
      <c r="G316" s="42" t="s">
        <v>182</v>
      </c>
      <c r="H316" s="40">
        <f>Source!AV159</f>
        <v>1.0469999999999999</v>
      </c>
      <c r="I316" s="41">
        <f>Source!U158</f>
        <v>6.834816</v>
      </c>
      <c r="J316" s="40"/>
      <c r="K316" s="41"/>
    </row>
    <row r="317" spans="1:29" ht="14" x14ac:dyDescent="0.25">
      <c r="C317" s="43" t="s">
        <v>660</v>
      </c>
      <c r="H317" s="70">
        <f>I308+I309+I310+I314+I315+SUM(I311:I313)-SUMIF(AC311:AC313, 5, I311:I313)-SUMIF(AC311:AC313, 6, I311:I313)</f>
        <v>234.07999999999993</v>
      </c>
      <c r="I317" s="70"/>
      <c r="J317" s="70">
        <f>K308+K309+K310+K314+K315+SUM(K311:K313)-SUMIF(AC311:AC313, 5, K311:K313)-SUMIF(AC311:AC313, 6, K311:K313)</f>
        <v>12754.55</v>
      </c>
      <c r="K317" s="70"/>
    </row>
    <row r="318" spans="1:29" ht="14" x14ac:dyDescent="0.25">
      <c r="C318" s="43" t="s">
        <v>661</v>
      </c>
      <c r="H318" s="65">
        <f>SUMIF(AC311:AC313, 5, I311:I313)+SUMIF(AC311:AC313, 6, I311:I313)</f>
        <v>4206.63</v>
      </c>
      <c r="I318" s="65"/>
      <c r="J318" s="65">
        <f>SUMIF(AC311:AC313, 5, K311:K313)+SUMIF(AC311:AC313, 6, K311:K313)</f>
        <v>31844.19</v>
      </c>
      <c r="K318" s="65"/>
    </row>
    <row r="319" spans="1:29" ht="14" x14ac:dyDescent="0.25">
      <c r="C319" s="43" t="s">
        <v>662</v>
      </c>
      <c r="H319" s="65">
        <f>I308+I309+I310+I314+I315+SUM(I311:I313)</f>
        <v>4440.71</v>
      </c>
      <c r="I319" s="65"/>
      <c r="J319" s="65">
        <f>K308+K309+K310+K314+K315+SUM(K311:K313)</f>
        <v>44598.74</v>
      </c>
      <c r="K319" s="65"/>
      <c r="O319" s="44">
        <f>I308+I309+I310+I314+I315+SUM(I311:I313)</f>
        <v>4440.71</v>
      </c>
      <c r="P319" s="44">
        <f>K308+K309+K310+K314+K315+SUM(K311:K313)</f>
        <v>44598.74</v>
      </c>
    </row>
    <row r="322" spans="1:42" ht="14" x14ac:dyDescent="0.3">
      <c r="A322" s="67" t="str">
        <f>CONCATENATE("Итого по разделу: ",IF(Source!G167&lt;&gt;"Новый раздел", Source!G167, ""))</f>
        <v>Итого по разделу: Базовое оборудование СПС.</v>
      </c>
      <c r="B322" s="67"/>
      <c r="C322" s="67"/>
      <c r="D322" s="67"/>
      <c r="E322" s="67"/>
      <c r="F322" s="67"/>
      <c r="G322" s="67"/>
      <c r="H322" s="65">
        <f>SUM(O279:O321)</f>
        <v>22363.87</v>
      </c>
      <c r="I322" s="66"/>
      <c r="J322" s="65">
        <f>SUM(P279:P321)</f>
        <v>226453.25</v>
      </c>
      <c r="K322" s="66"/>
    </row>
    <row r="323" spans="1:42" hidden="1" x14ac:dyDescent="0.25">
      <c r="A323" t="s">
        <v>663</v>
      </c>
      <c r="I323">
        <f>SUM(W279:W322)</f>
        <v>0</v>
      </c>
      <c r="J323">
        <f>SUM(X279:X322)</f>
        <v>0</v>
      </c>
    </row>
    <row r="324" spans="1:42" hidden="1" x14ac:dyDescent="0.25">
      <c r="A324" t="s">
        <v>664</v>
      </c>
      <c r="I324">
        <f>SUM(Y279:Y323)</f>
        <v>0</v>
      </c>
      <c r="J324">
        <f>SUM(Z279:Z323)</f>
        <v>0</v>
      </c>
    </row>
    <row r="326" spans="1:42" ht="16.5" x14ac:dyDescent="0.25">
      <c r="A326" s="71" t="str">
        <f>CONCATENATE("Раздел: ",IF(Source!G197&lt;&gt;"Новый раздел", Source!G197, ""))</f>
        <v>Раздел: Оконечное оборудование СПС. Автоматические и ручные пожарные и охранные извещатели.</v>
      </c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AP326" s="30" t="str">
        <f>CONCATENATE("Раздел: ",IF(Source!G197&lt;&gt;"Новый раздел", Source!G197, ""))</f>
        <v>Раздел: Оконечное оборудование СПС. Автоматические и ручные пожарные и охранные извещатели.</v>
      </c>
    </row>
    <row r="327" spans="1:42" ht="56" x14ac:dyDescent="0.25">
      <c r="A327" s="31">
        <v>26</v>
      </c>
      <c r="B327" s="31" t="str">
        <f>Source!F207</f>
        <v>4.10-81-2</v>
      </c>
      <c r="C327" s="31" t="s">
        <v>218</v>
      </c>
      <c r="D327" s="33" t="str">
        <f>Source!H207</f>
        <v>1  ШТ.</v>
      </c>
      <c r="E327" s="32">
        <f>Source!I207</f>
        <v>524</v>
      </c>
      <c r="F327" s="35"/>
      <c r="G327" s="34"/>
      <c r="H327" s="32"/>
      <c r="I327" s="35"/>
      <c r="J327" s="32"/>
      <c r="K327" s="35"/>
      <c r="Q327">
        <f>Source!X207</f>
        <v>12567.31</v>
      </c>
      <c r="R327">
        <f>Source!X208</f>
        <v>708168.03</v>
      </c>
      <c r="S327">
        <f>Source!Y207</f>
        <v>6423.29</v>
      </c>
      <c r="T327">
        <f>Source!Y208</f>
        <v>361952.55</v>
      </c>
      <c r="U327">
        <f>ROUND((175/100)*ROUND(Source!R207, 2), 2)</f>
        <v>11.52</v>
      </c>
      <c r="V327">
        <f>ROUND((0/100)*ROUND(Source!R208, 2), 2)</f>
        <v>0</v>
      </c>
      <c r="AC327">
        <v>0</v>
      </c>
    </row>
    <row r="328" spans="1:42" x14ac:dyDescent="0.25">
      <c r="C328" s="45" t="str">
        <f>"Объем: "&amp;Source!I207&amp;"=356+"&amp;"6+"&amp;"162"</f>
        <v>Объем: 524=356+6+162</v>
      </c>
    </row>
    <row r="329" spans="1:42" ht="14.5" x14ac:dyDescent="0.25">
      <c r="A329" s="31"/>
      <c r="B329" s="31"/>
      <c r="C329" s="31" t="s">
        <v>651</v>
      </c>
      <c r="D329" s="33"/>
      <c r="E329" s="32"/>
      <c r="F329" s="35">
        <f>Source!AO207</f>
        <v>21.2</v>
      </c>
      <c r="G329" s="36" t="s">
        <v>182</v>
      </c>
      <c r="H329" s="32">
        <f>Source!AV208</f>
        <v>1.0469999999999999</v>
      </c>
      <c r="I329" s="35">
        <f>Source!S207</f>
        <v>13957.1</v>
      </c>
      <c r="J329" s="32">
        <f>IF(Source!BA208&lt;&gt; 0, Source!BA208, 1)</f>
        <v>56.35</v>
      </c>
      <c r="K329" s="35">
        <f>Source!S208</f>
        <v>786482.59</v>
      </c>
    </row>
    <row r="330" spans="1:42" ht="14.5" x14ac:dyDescent="0.25">
      <c r="A330" s="31"/>
      <c r="B330" s="31"/>
      <c r="C330" s="31" t="s">
        <v>653</v>
      </c>
      <c r="D330" s="33"/>
      <c r="E330" s="32"/>
      <c r="F330" s="35">
        <f>Source!AM207</f>
        <v>0.06</v>
      </c>
      <c r="G330" s="36" t="s">
        <v>182</v>
      </c>
      <c r="H330" s="32">
        <f>Source!AV208</f>
        <v>1.0469999999999999</v>
      </c>
      <c r="I330" s="35">
        <f>Source!Q207</f>
        <v>39.5</v>
      </c>
      <c r="J330" s="32">
        <f>IF(Source!BB208&lt;&gt; 0, Source!BB208, 1)</f>
        <v>18.5</v>
      </c>
      <c r="K330" s="35">
        <f>Source!Q208</f>
        <v>730.75</v>
      </c>
    </row>
    <row r="331" spans="1:42" ht="14.5" x14ac:dyDescent="0.25">
      <c r="A331" s="31"/>
      <c r="B331" s="31"/>
      <c r="C331" s="31" t="s">
        <v>654</v>
      </c>
      <c r="D331" s="33"/>
      <c r="E331" s="32"/>
      <c r="F331" s="35">
        <f>Source!AN207</f>
        <v>0.01</v>
      </c>
      <c r="G331" s="36" t="s">
        <v>182</v>
      </c>
      <c r="H331" s="32">
        <f>Source!AV208</f>
        <v>1.0469999999999999</v>
      </c>
      <c r="I331" s="37">
        <f>Source!R207</f>
        <v>6.58</v>
      </c>
      <c r="J331" s="32">
        <f>IF(Source!BS208&lt;&gt; 0, Source!BS208, 1)</f>
        <v>56.35</v>
      </c>
      <c r="K331" s="37">
        <f>Source!R208</f>
        <v>370.78</v>
      </c>
    </row>
    <row r="332" spans="1:42" ht="14.5" x14ac:dyDescent="0.25">
      <c r="A332" s="31"/>
      <c r="B332" s="31"/>
      <c r="C332" s="31" t="s">
        <v>666</v>
      </c>
      <c r="D332" s="33"/>
      <c r="E332" s="32"/>
      <c r="F332" s="35">
        <f>Source!AL207</f>
        <v>1.26</v>
      </c>
      <c r="G332" s="36" t="s">
        <v>3</v>
      </c>
      <c r="H332" s="32">
        <f>Source!AW208</f>
        <v>1</v>
      </c>
      <c r="I332" s="35">
        <f>Source!P207</f>
        <v>660.24</v>
      </c>
      <c r="J332" s="32">
        <f>IF(Source!BC208&lt;&gt; 0, Source!BC208, 1)</f>
        <v>9.84</v>
      </c>
      <c r="K332" s="35">
        <f>Source!P208</f>
        <v>6496.76</v>
      </c>
    </row>
    <row r="333" spans="1:42" ht="14.5" x14ac:dyDescent="0.25">
      <c r="A333" s="31"/>
      <c r="B333" s="31"/>
      <c r="C333" s="31" t="s">
        <v>655</v>
      </c>
      <c r="D333" s="33" t="s">
        <v>656</v>
      </c>
      <c r="E333" s="32">
        <f>Source!BZ208</f>
        <v>90</v>
      </c>
      <c r="F333" s="35"/>
      <c r="G333" s="34"/>
      <c r="H333" s="32"/>
      <c r="I333" s="35">
        <f>SUM(Q327:Q332)</f>
        <v>12567.31</v>
      </c>
      <c r="J333" s="32">
        <f>Source!AT208</f>
        <v>90</v>
      </c>
      <c r="K333" s="35">
        <f>SUM(R327:R332)</f>
        <v>708168.03</v>
      </c>
    </row>
    <row r="334" spans="1:42" ht="14.5" x14ac:dyDescent="0.25">
      <c r="A334" s="31"/>
      <c r="B334" s="31"/>
      <c r="C334" s="31" t="s">
        <v>657</v>
      </c>
      <c r="D334" s="33" t="s">
        <v>656</v>
      </c>
      <c r="E334" s="32">
        <f>Source!CA208</f>
        <v>46</v>
      </c>
      <c r="F334" s="35"/>
      <c r="G334" s="34"/>
      <c r="H334" s="32"/>
      <c r="I334" s="35">
        <f>SUM(S327:S333)</f>
        <v>6423.29</v>
      </c>
      <c r="J334" s="32">
        <f>Source!AU208</f>
        <v>46</v>
      </c>
      <c r="K334" s="35">
        <f>SUM(T327:T333)</f>
        <v>361952.55</v>
      </c>
    </row>
    <row r="335" spans="1:42" ht="14.5" x14ac:dyDescent="0.25">
      <c r="A335" s="38"/>
      <c r="B335" s="38"/>
      <c r="C335" s="38" t="s">
        <v>658</v>
      </c>
      <c r="D335" s="39" t="s">
        <v>659</v>
      </c>
      <c r="E335" s="40">
        <f>Source!AQ207</f>
        <v>1.68</v>
      </c>
      <c r="F335" s="41"/>
      <c r="G335" s="42" t="s">
        <v>182</v>
      </c>
      <c r="H335" s="40">
        <f>Source!AV208</f>
        <v>1.0469999999999999</v>
      </c>
      <c r="I335" s="41">
        <f>Source!U207</f>
        <v>1106.0340479999998</v>
      </c>
      <c r="J335" s="40"/>
      <c r="K335" s="41"/>
    </row>
    <row r="336" spans="1:42" ht="14" x14ac:dyDescent="0.25">
      <c r="C336" s="43" t="s">
        <v>660</v>
      </c>
      <c r="H336" s="70">
        <f>I329+I330+I332+I333+I334+0-0-0</f>
        <v>33647.440000000002</v>
      </c>
      <c r="I336" s="70"/>
      <c r="J336" s="70">
        <f>K329+K330+K332+K333+K334+0-0-0</f>
        <v>1863830.68</v>
      </c>
      <c r="K336" s="70"/>
    </row>
    <row r="337" spans="1:29" ht="14" hidden="1" x14ac:dyDescent="0.25">
      <c r="C337" s="43" t="s">
        <v>661</v>
      </c>
      <c r="H337" s="65">
        <f>0+0</f>
        <v>0</v>
      </c>
      <c r="I337" s="65"/>
      <c r="J337" s="65">
        <f>0+0</f>
        <v>0</v>
      </c>
      <c r="K337" s="65"/>
    </row>
    <row r="338" spans="1:29" ht="14" x14ac:dyDescent="0.25">
      <c r="C338" s="43" t="s">
        <v>662</v>
      </c>
      <c r="H338" s="65">
        <f>I329+I330+I332+I333+I334+0</f>
        <v>33647.440000000002</v>
      </c>
      <c r="I338" s="65"/>
      <c r="J338" s="65">
        <f>K329+K330+K332+K333+K334+0</f>
        <v>1863830.68</v>
      </c>
      <c r="K338" s="65"/>
      <c r="O338" s="44">
        <f>I329+I330+I332+I333+I334+0</f>
        <v>33647.440000000002</v>
      </c>
      <c r="P338" s="44">
        <f>K329+K330+K332+K333+K334+0</f>
        <v>1863830.68</v>
      </c>
    </row>
    <row r="340" spans="1:29" ht="82" x14ac:dyDescent="0.25">
      <c r="A340" s="52">
        <v>27</v>
      </c>
      <c r="B340" s="52" t="str">
        <f>Source!F209</f>
        <v>КА. п. 29</v>
      </c>
      <c r="C340" s="52" t="s">
        <v>672</v>
      </c>
      <c r="D340" s="53" t="str">
        <f>Source!H209</f>
        <v>шт.</v>
      </c>
      <c r="E340" s="54">
        <f>Source!I209</f>
        <v>518</v>
      </c>
      <c r="F340" s="55">
        <f>Source!AL209</f>
        <v>175.22</v>
      </c>
      <c r="G340" s="56" t="s">
        <v>3</v>
      </c>
      <c r="H340" s="54">
        <f>Source!AW210</f>
        <v>1</v>
      </c>
      <c r="I340" s="55">
        <f>Source!P209</f>
        <v>90763.96</v>
      </c>
      <c r="J340" s="54">
        <f>IF(Source!BC210&lt;&gt; 0, Source!BC210, 1)</f>
        <v>7.57</v>
      </c>
      <c r="K340" s="55">
        <f>Source!P210</f>
        <v>687083.18</v>
      </c>
      <c r="Q340">
        <f>Source!X209</f>
        <v>0</v>
      </c>
      <c r="R340">
        <f>Source!X210</f>
        <v>0</v>
      </c>
      <c r="S340">
        <f>Source!Y209</f>
        <v>0</v>
      </c>
      <c r="T340">
        <f>Source!Y210</f>
        <v>0</v>
      </c>
      <c r="U340">
        <f>ROUND((175/100)*ROUND(Source!R209, 2), 2)</f>
        <v>0</v>
      </c>
      <c r="V340">
        <f>ROUND((0/100)*ROUND(Source!R210, 2), 2)</f>
        <v>0</v>
      </c>
      <c r="AC340">
        <v>5</v>
      </c>
    </row>
    <row r="341" spans="1:29" ht="14" x14ac:dyDescent="0.25">
      <c r="A341" s="57"/>
      <c r="B341" s="57"/>
      <c r="C341" s="58" t="s">
        <v>662</v>
      </c>
      <c r="D341" s="57"/>
      <c r="E341" s="57"/>
      <c r="F341" s="57"/>
      <c r="G341" s="57"/>
      <c r="H341" s="72">
        <f>I340+0</f>
        <v>90763.96</v>
      </c>
      <c r="I341" s="72"/>
      <c r="J341" s="72">
        <f>K340+0</f>
        <v>687083.18</v>
      </c>
      <c r="K341" s="72"/>
      <c r="O341" s="44">
        <f>I340+0</f>
        <v>90763.96</v>
      </c>
      <c r="P341" s="44">
        <f>K340+0</f>
        <v>687083.18</v>
      </c>
    </row>
    <row r="343" spans="1:29" ht="82" x14ac:dyDescent="0.25">
      <c r="A343" s="52">
        <v>28</v>
      </c>
      <c r="B343" s="52" t="str">
        <f>Source!F211</f>
        <v>КА. п. 30</v>
      </c>
      <c r="C343" s="52" t="s">
        <v>673</v>
      </c>
      <c r="D343" s="53" t="str">
        <f>Source!H211</f>
        <v>шт.</v>
      </c>
      <c r="E343" s="54">
        <f>Source!I211</f>
        <v>6</v>
      </c>
      <c r="F343" s="55">
        <f>Source!AL211</f>
        <v>2830.44</v>
      </c>
      <c r="G343" s="56" t="s">
        <v>3</v>
      </c>
      <c r="H343" s="54">
        <f>Source!AW212</f>
        <v>1</v>
      </c>
      <c r="I343" s="55">
        <f>Source!P211</f>
        <v>16982.64</v>
      </c>
      <c r="J343" s="54">
        <f>IF(Source!BC212&lt;&gt; 0, Source!BC212, 1)</f>
        <v>7.57</v>
      </c>
      <c r="K343" s="55">
        <f>Source!P212</f>
        <v>128558.58</v>
      </c>
      <c r="Q343">
        <f>Source!X211</f>
        <v>0</v>
      </c>
      <c r="R343">
        <f>Source!X212</f>
        <v>0</v>
      </c>
      <c r="S343">
        <f>Source!Y211</f>
        <v>0</v>
      </c>
      <c r="T343">
        <f>Source!Y212</f>
        <v>0</v>
      </c>
      <c r="U343">
        <f>ROUND((175/100)*ROUND(Source!R211, 2), 2)</f>
        <v>0</v>
      </c>
      <c r="V343">
        <f>ROUND((0/100)*ROUND(Source!R212, 2), 2)</f>
        <v>0</v>
      </c>
      <c r="AC343">
        <v>5</v>
      </c>
    </row>
    <row r="344" spans="1:29" ht="14" x14ac:dyDescent="0.25">
      <c r="A344" s="57"/>
      <c r="B344" s="57"/>
      <c r="C344" s="58" t="s">
        <v>662</v>
      </c>
      <c r="D344" s="57"/>
      <c r="E344" s="57"/>
      <c r="F344" s="57"/>
      <c r="G344" s="57"/>
      <c r="H344" s="72">
        <f>I343+0</f>
        <v>16982.64</v>
      </c>
      <c r="I344" s="72"/>
      <c r="J344" s="72">
        <f>K343+0</f>
        <v>128558.58</v>
      </c>
      <c r="K344" s="72"/>
      <c r="O344" s="44">
        <f>I343+0</f>
        <v>16982.64</v>
      </c>
      <c r="P344" s="44">
        <f>K343+0</f>
        <v>128558.58</v>
      </c>
    </row>
    <row r="346" spans="1:29" ht="42" x14ac:dyDescent="0.25">
      <c r="A346" s="31">
        <v>29</v>
      </c>
      <c r="B346" s="31" t="str">
        <f>Source!F217</f>
        <v>4.10-81-1</v>
      </c>
      <c r="C346" s="31" t="s">
        <v>232</v>
      </c>
      <c r="D346" s="33" t="str">
        <f>Source!H217</f>
        <v>1  ШТ.</v>
      </c>
      <c r="E346" s="32">
        <f>Source!I217</f>
        <v>10</v>
      </c>
      <c r="F346" s="35"/>
      <c r="G346" s="34"/>
      <c r="H346" s="32"/>
      <c r="I346" s="35"/>
      <c r="J346" s="32"/>
      <c r="K346" s="35"/>
      <c r="Q346">
        <f>Source!X217</f>
        <v>119.86</v>
      </c>
      <c r="R346">
        <f>Source!X218</f>
        <v>6754.22</v>
      </c>
      <c r="S346">
        <f>Source!Y217</f>
        <v>61.26</v>
      </c>
      <c r="T346">
        <f>Source!Y218</f>
        <v>3452.16</v>
      </c>
      <c r="U346">
        <f>ROUND((175/100)*ROUND(Source!R217, 2), 2)</f>
        <v>0</v>
      </c>
      <c r="V346">
        <f>ROUND((0/100)*ROUND(Source!R218, 2), 2)</f>
        <v>0</v>
      </c>
      <c r="AC346">
        <v>0</v>
      </c>
    </row>
    <row r="347" spans="1:29" ht="14.5" x14ac:dyDescent="0.25">
      <c r="A347" s="31"/>
      <c r="B347" s="31"/>
      <c r="C347" s="31" t="s">
        <v>651</v>
      </c>
      <c r="D347" s="33"/>
      <c r="E347" s="32"/>
      <c r="F347" s="35">
        <f>Source!AO217</f>
        <v>10.6</v>
      </c>
      <c r="G347" s="36" t="s">
        <v>182</v>
      </c>
      <c r="H347" s="32">
        <f>Source!AV218</f>
        <v>1.0469999999999999</v>
      </c>
      <c r="I347" s="35">
        <f>Source!S217</f>
        <v>133.18</v>
      </c>
      <c r="J347" s="32">
        <f>IF(Source!BA218&lt;&gt; 0, Source!BA218, 1)</f>
        <v>56.35</v>
      </c>
      <c r="K347" s="35">
        <f>Source!S218</f>
        <v>7504.69</v>
      </c>
    </row>
    <row r="348" spans="1:29" ht="14.5" x14ac:dyDescent="0.25">
      <c r="A348" s="31"/>
      <c r="B348" s="31"/>
      <c r="C348" s="31" t="s">
        <v>653</v>
      </c>
      <c r="D348" s="33"/>
      <c r="E348" s="32"/>
      <c r="F348" s="35">
        <f>Source!AM217</f>
        <v>0.03</v>
      </c>
      <c r="G348" s="36" t="s">
        <v>182</v>
      </c>
      <c r="H348" s="32">
        <f>Source!AV218</f>
        <v>1.0469999999999999</v>
      </c>
      <c r="I348" s="35">
        <f>Source!Q217</f>
        <v>0.38</v>
      </c>
      <c r="J348" s="32">
        <f>IF(Source!BB218&lt;&gt; 0, Source!BB218, 1)</f>
        <v>11</v>
      </c>
      <c r="K348" s="35">
        <f>Source!Q218</f>
        <v>4.18</v>
      </c>
    </row>
    <row r="349" spans="1:29" ht="14.5" x14ac:dyDescent="0.25">
      <c r="A349" s="31"/>
      <c r="B349" s="31"/>
      <c r="C349" s="31" t="s">
        <v>666</v>
      </c>
      <c r="D349" s="33"/>
      <c r="E349" s="32"/>
      <c r="F349" s="35">
        <f>Source!AL217</f>
        <v>0.56000000000000005</v>
      </c>
      <c r="G349" s="36" t="s">
        <v>3</v>
      </c>
      <c r="H349" s="32">
        <f>Source!AW218</f>
        <v>1</v>
      </c>
      <c r="I349" s="35">
        <f>Source!P217</f>
        <v>5.6</v>
      </c>
      <c r="J349" s="32">
        <f>IF(Source!BC218&lt;&gt; 0, Source!BC218, 1)</f>
        <v>9.84</v>
      </c>
      <c r="K349" s="35">
        <f>Source!P218</f>
        <v>55.1</v>
      </c>
    </row>
    <row r="350" spans="1:29" ht="14.5" x14ac:dyDescent="0.25">
      <c r="A350" s="31"/>
      <c r="B350" s="31"/>
      <c r="C350" s="31" t="s">
        <v>655</v>
      </c>
      <c r="D350" s="33" t="s">
        <v>656</v>
      </c>
      <c r="E350" s="32">
        <f>Source!BZ218</f>
        <v>90</v>
      </c>
      <c r="F350" s="35"/>
      <c r="G350" s="34"/>
      <c r="H350" s="32"/>
      <c r="I350" s="35">
        <f>SUM(Q346:Q349)</f>
        <v>119.86</v>
      </c>
      <c r="J350" s="32">
        <f>Source!AT218</f>
        <v>90</v>
      </c>
      <c r="K350" s="35">
        <f>SUM(R346:R349)</f>
        <v>6754.22</v>
      </c>
    </row>
    <row r="351" spans="1:29" ht="14.5" x14ac:dyDescent="0.25">
      <c r="A351" s="31"/>
      <c r="B351" s="31"/>
      <c r="C351" s="31" t="s">
        <v>657</v>
      </c>
      <c r="D351" s="33" t="s">
        <v>656</v>
      </c>
      <c r="E351" s="32">
        <f>Source!CA218</f>
        <v>46</v>
      </c>
      <c r="F351" s="35"/>
      <c r="G351" s="34"/>
      <c r="H351" s="32"/>
      <c r="I351" s="35">
        <f>SUM(S346:S350)</f>
        <v>61.26</v>
      </c>
      <c r="J351" s="32">
        <f>Source!AU218</f>
        <v>46</v>
      </c>
      <c r="K351" s="35">
        <f>SUM(T346:T350)</f>
        <v>3452.16</v>
      </c>
    </row>
    <row r="352" spans="1:29" ht="14.5" x14ac:dyDescent="0.25">
      <c r="A352" s="38"/>
      <c r="B352" s="38"/>
      <c r="C352" s="38" t="s">
        <v>658</v>
      </c>
      <c r="D352" s="39" t="s">
        <v>659</v>
      </c>
      <c r="E352" s="40">
        <f>Source!AQ217</f>
        <v>0.84</v>
      </c>
      <c r="F352" s="41"/>
      <c r="G352" s="42" t="s">
        <v>182</v>
      </c>
      <c r="H352" s="40">
        <f>Source!AV218</f>
        <v>1.0469999999999999</v>
      </c>
      <c r="I352" s="41">
        <f>Source!U217</f>
        <v>10.553759999999999</v>
      </c>
      <c r="J352" s="40"/>
      <c r="K352" s="41"/>
    </row>
    <row r="353" spans="1:29" ht="14" x14ac:dyDescent="0.25">
      <c r="C353" s="43" t="s">
        <v>660</v>
      </c>
      <c r="H353" s="70">
        <f>I347+I348+I349+I350+I351+0-0-0</f>
        <v>320.27999999999997</v>
      </c>
      <c r="I353" s="70"/>
      <c r="J353" s="70">
        <f>K347+K348+K349+K350+K351+0-0-0</f>
        <v>17770.349999999999</v>
      </c>
      <c r="K353" s="70"/>
    </row>
    <row r="354" spans="1:29" ht="14" hidden="1" x14ac:dyDescent="0.25">
      <c r="C354" s="43" t="s">
        <v>661</v>
      </c>
      <c r="H354" s="65">
        <f>0+0</f>
        <v>0</v>
      </c>
      <c r="I354" s="65"/>
      <c r="J354" s="65">
        <f>0+0</f>
        <v>0</v>
      </c>
      <c r="K354" s="65"/>
    </row>
    <row r="355" spans="1:29" ht="14" x14ac:dyDescent="0.25">
      <c r="C355" s="43" t="s">
        <v>662</v>
      </c>
      <c r="H355" s="65">
        <f>I347+I348+I349+I350+I351+0</f>
        <v>320.27999999999997</v>
      </c>
      <c r="I355" s="65"/>
      <c r="J355" s="65">
        <f>K347+K348+K349+K350+K351+0</f>
        <v>17770.349999999999</v>
      </c>
      <c r="K355" s="65"/>
      <c r="O355" s="44">
        <f>I347+I348+I349+I350+I351+0</f>
        <v>320.27999999999997</v>
      </c>
      <c r="P355" s="44">
        <f>K347+K348+K349+K350+K351+0</f>
        <v>17770.349999999999</v>
      </c>
    </row>
    <row r="357" spans="1:29" ht="96" x14ac:dyDescent="0.25">
      <c r="A357" s="52">
        <v>30</v>
      </c>
      <c r="B357" s="52" t="str">
        <f>Source!F219</f>
        <v>КА. п. 31</v>
      </c>
      <c r="C357" s="52" t="s">
        <v>674</v>
      </c>
      <c r="D357" s="53" t="str">
        <f>Source!H219</f>
        <v>шт.</v>
      </c>
      <c r="E357" s="54">
        <f>Source!I219</f>
        <v>10</v>
      </c>
      <c r="F357" s="55">
        <f>Source!AL219</f>
        <v>172.58</v>
      </c>
      <c r="G357" s="56" t="s">
        <v>3</v>
      </c>
      <c r="H357" s="54">
        <f>Source!AW220</f>
        <v>1</v>
      </c>
      <c r="I357" s="55">
        <f>Source!P219</f>
        <v>1725.8</v>
      </c>
      <c r="J357" s="54">
        <f>IF(Source!BC220&lt;&gt; 0, Source!BC220, 1)</f>
        <v>7.57</v>
      </c>
      <c r="K357" s="55">
        <f>Source!P220</f>
        <v>13064.31</v>
      </c>
      <c r="Q357">
        <f>Source!X219</f>
        <v>0</v>
      </c>
      <c r="R357">
        <f>Source!X220</f>
        <v>0</v>
      </c>
      <c r="S357">
        <f>Source!Y219</f>
        <v>0</v>
      </c>
      <c r="T357">
        <f>Source!Y220</f>
        <v>0</v>
      </c>
      <c r="U357">
        <f>ROUND((175/100)*ROUND(Source!R219, 2), 2)</f>
        <v>0</v>
      </c>
      <c r="V357">
        <f>ROUND((0/100)*ROUND(Source!R220, 2), 2)</f>
        <v>0</v>
      </c>
      <c r="AC357">
        <v>5</v>
      </c>
    </row>
    <row r="358" spans="1:29" ht="14" x14ac:dyDescent="0.25">
      <c r="A358" s="57"/>
      <c r="B358" s="57"/>
      <c r="C358" s="58" t="s">
        <v>662</v>
      </c>
      <c r="D358" s="57"/>
      <c r="E358" s="57"/>
      <c r="F358" s="57"/>
      <c r="G358" s="57"/>
      <c r="H358" s="72">
        <f>I357+0</f>
        <v>1725.8</v>
      </c>
      <c r="I358" s="72"/>
      <c r="J358" s="72">
        <f>K357+0</f>
        <v>13064.31</v>
      </c>
      <c r="K358" s="72"/>
      <c r="O358" s="44">
        <f>I357+0</f>
        <v>1725.8</v>
      </c>
      <c r="P358" s="44">
        <f>K357+0</f>
        <v>13064.31</v>
      </c>
    </row>
    <row r="360" spans="1:29" ht="14.5" x14ac:dyDescent="0.25">
      <c r="A360" s="31">
        <v>31</v>
      </c>
      <c r="B360" s="31" t="str">
        <f>Source!F221</f>
        <v>4.10-76-10</v>
      </c>
      <c r="C360" s="31" t="s">
        <v>241</v>
      </c>
      <c r="D360" s="33" t="str">
        <f>Source!H221</f>
        <v>1  ШТ.</v>
      </c>
      <c r="E360" s="32">
        <f>Source!I221</f>
        <v>61</v>
      </c>
      <c r="F360" s="35"/>
      <c r="G360" s="34"/>
      <c r="H360" s="32"/>
      <c r="I360" s="35"/>
      <c r="J360" s="32"/>
      <c r="K360" s="35"/>
      <c r="Q360">
        <f>Source!X221</f>
        <v>865.69</v>
      </c>
      <c r="R360">
        <f>Source!X222</f>
        <v>48781.49</v>
      </c>
      <c r="S360">
        <f>Source!Y221</f>
        <v>482.96</v>
      </c>
      <c r="T360">
        <f>Source!Y222</f>
        <v>27214.94</v>
      </c>
      <c r="U360">
        <f>ROUND((175/100)*ROUND(Source!R221, 2), 2)</f>
        <v>0</v>
      </c>
      <c r="V360">
        <f>ROUND((0/100)*ROUND(Source!R222, 2), 2)</f>
        <v>0</v>
      </c>
      <c r="AC360">
        <v>0</v>
      </c>
    </row>
    <row r="361" spans="1:29" ht="14.5" x14ac:dyDescent="0.25">
      <c r="A361" s="31"/>
      <c r="B361" s="31"/>
      <c r="C361" s="31" t="s">
        <v>651</v>
      </c>
      <c r="D361" s="33"/>
      <c r="E361" s="32"/>
      <c r="F361" s="35">
        <f>Source!AO221</f>
        <v>11.89</v>
      </c>
      <c r="G361" s="36" t="s">
        <v>182</v>
      </c>
      <c r="H361" s="32">
        <f>Source!AV222</f>
        <v>1.0469999999999999</v>
      </c>
      <c r="I361" s="35">
        <f>Source!S221</f>
        <v>911.25</v>
      </c>
      <c r="J361" s="32">
        <f>IF(Source!BA222&lt;&gt; 0, Source!BA222, 1)</f>
        <v>56.35</v>
      </c>
      <c r="K361" s="35">
        <f>Source!S222</f>
        <v>51348.94</v>
      </c>
    </row>
    <row r="362" spans="1:29" ht="14.5" x14ac:dyDescent="0.25">
      <c r="A362" s="31"/>
      <c r="B362" s="31"/>
      <c r="C362" s="31" t="s">
        <v>666</v>
      </c>
      <c r="D362" s="33"/>
      <c r="E362" s="32"/>
      <c r="F362" s="35">
        <f>Source!AL221</f>
        <v>1.67</v>
      </c>
      <c r="G362" s="36" t="s">
        <v>3</v>
      </c>
      <c r="H362" s="32">
        <f>Source!AW222</f>
        <v>1</v>
      </c>
      <c r="I362" s="35">
        <f>Source!P221</f>
        <v>101.87</v>
      </c>
      <c r="J362" s="32">
        <f>IF(Source!BC222&lt;&gt; 0, Source!BC222, 1)</f>
        <v>17.87</v>
      </c>
      <c r="K362" s="35">
        <f>Source!P222</f>
        <v>1820.42</v>
      </c>
    </row>
    <row r="363" spans="1:29" ht="98" x14ac:dyDescent="0.25">
      <c r="A363" s="47" t="s">
        <v>242</v>
      </c>
      <c r="B363" s="47" t="str">
        <f>Source!F223</f>
        <v>13.1-2-530</v>
      </c>
      <c r="C363" s="47" t="s">
        <v>675</v>
      </c>
      <c r="D363" s="48" t="str">
        <f>Source!H223</f>
        <v>шт.</v>
      </c>
      <c r="E363" s="49">
        <f>Source!I223</f>
        <v>61</v>
      </c>
      <c r="F363" s="50">
        <f>Source!AK223</f>
        <v>59</v>
      </c>
      <c r="G363" s="51" t="s">
        <v>3</v>
      </c>
      <c r="H363" s="49">
        <f>Source!AW224</f>
        <v>1</v>
      </c>
      <c r="I363" s="50">
        <f>Source!O223</f>
        <v>3599</v>
      </c>
      <c r="J363" s="49">
        <f>IF(Source!BC224&lt;&gt; 0, Source!BC224, 1)</f>
        <v>14.35</v>
      </c>
      <c r="K363" s="50">
        <f>Source!O224</f>
        <v>51645.65</v>
      </c>
      <c r="Q363">
        <f>Source!X223</f>
        <v>0</v>
      </c>
      <c r="R363">
        <f>Source!X224</f>
        <v>0</v>
      </c>
      <c r="S363">
        <f>Source!Y223</f>
        <v>0</v>
      </c>
      <c r="T363">
        <f>Source!Y224</f>
        <v>0</v>
      </c>
      <c r="U363">
        <f>ROUND((175/100)*ROUND(Source!R223, 2), 2)</f>
        <v>0</v>
      </c>
      <c r="V363">
        <f>ROUND((0/100)*ROUND(Source!R224, 2), 2)</f>
        <v>0</v>
      </c>
      <c r="AC363">
        <v>5</v>
      </c>
    </row>
    <row r="364" spans="1:29" ht="14.5" x14ac:dyDescent="0.25">
      <c r="A364" s="31"/>
      <c r="B364" s="31"/>
      <c r="C364" s="31" t="s">
        <v>655</v>
      </c>
      <c r="D364" s="33" t="s">
        <v>656</v>
      </c>
      <c r="E364" s="32">
        <f>Source!BZ222</f>
        <v>95</v>
      </c>
      <c r="F364" s="35"/>
      <c r="G364" s="34"/>
      <c r="H364" s="32"/>
      <c r="I364" s="35">
        <f>SUM(Q360:Q363)</f>
        <v>865.69</v>
      </c>
      <c r="J364" s="32">
        <f>Source!AT222</f>
        <v>95</v>
      </c>
      <c r="K364" s="35">
        <f>SUM(R360:R363)</f>
        <v>48781.49</v>
      </c>
    </row>
    <row r="365" spans="1:29" ht="14.5" x14ac:dyDescent="0.25">
      <c r="A365" s="31"/>
      <c r="B365" s="31"/>
      <c r="C365" s="31" t="s">
        <v>657</v>
      </c>
      <c r="D365" s="33" t="s">
        <v>656</v>
      </c>
      <c r="E365" s="32">
        <f>Source!CA222</f>
        <v>53</v>
      </c>
      <c r="F365" s="35"/>
      <c r="G365" s="34"/>
      <c r="H365" s="32"/>
      <c r="I365" s="35">
        <f>SUM(S360:S364)</f>
        <v>482.96</v>
      </c>
      <c r="J365" s="32">
        <f>Source!AU222</f>
        <v>53</v>
      </c>
      <c r="K365" s="35">
        <f>SUM(T360:T364)</f>
        <v>27214.94</v>
      </c>
    </row>
    <row r="366" spans="1:29" ht="14.5" x14ac:dyDescent="0.25">
      <c r="A366" s="38"/>
      <c r="B366" s="38"/>
      <c r="C366" s="38" t="s">
        <v>658</v>
      </c>
      <c r="D366" s="39" t="s">
        <v>659</v>
      </c>
      <c r="E366" s="40">
        <f>Source!AQ221</f>
        <v>1</v>
      </c>
      <c r="F366" s="41"/>
      <c r="G366" s="42" t="s">
        <v>182</v>
      </c>
      <c r="H366" s="40">
        <f>Source!AV222</f>
        <v>1.0469999999999999</v>
      </c>
      <c r="I366" s="41">
        <f>Source!U221</f>
        <v>76.6404</v>
      </c>
      <c r="J366" s="40"/>
      <c r="K366" s="41"/>
    </row>
    <row r="367" spans="1:29" ht="14" x14ac:dyDescent="0.25">
      <c r="C367" s="43" t="s">
        <v>660</v>
      </c>
      <c r="H367" s="70">
        <f>I361+I362+I364+I365+SUM(I363:I363)-SUMIF(AC363:AC363, 5, I363:I363)-SUMIF(AC363:AC363, 6, I363:I363)</f>
        <v>2361.7700000000004</v>
      </c>
      <c r="I367" s="70"/>
      <c r="J367" s="70">
        <f>K361+K362+K364+K365+SUM(K363:K363)-SUMIF(AC363:AC363, 5, K363:K363)-SUMIF(AC363:AC363, 6, K363:K363)</f>
        <v>129165.79000000001</v>
      </c>
      <c r="K367" s="70"/>
    </row>
    <row r="368" spans="1:29" ht="14" x14ac:dyDescent="0.25">
      <c r="C368" s="43" t="s">
        <v>661</v>
      </c>
      <c r="H368" s="65">
        <f>SUMIF(AC363:AC363, 5, I363:I363)+SUMIF(AC363:AC363, 6, I363:I363)</f>
        <v>3599</v>
      </c>
      <c r="I368" s="65"/>
      <c r="J368" s="65">
        <f>SUMIF(AC363:AC363, 5, K363:K363)+SUMIF(AC363:AC363, 6, K363:K363)</f>
        <v>51645.65</v>
      </c>
      <c r="K368" s="65"/>
    </row>
    <row r="369" spans="1:29" ht="14" x14ac:dyDescent="0.25">
      <c r="C369" s="43" t="s">
        <v>662</v>
      </c>
      <c r="H369" s="65">
        <f>I361+I362+I364+I365+SUM(I363:I363)</f>
        <v>5960.77</v>
      </c>
      <c r="I369" s="65"/>
      <c r="J369" s="65">
        <f>K361+K362+K364+K365+SUM(K363:K363)</f>
        <v>180811.44</v>
      </c>
      <c r="K369" s="65"/>
      <c r="O369" s="44">
        <f>I361+I362+I364+I365+SUM(I363:I363)</f>
        <v>5960.77</v>
      </c>
      <c r="P369" s="44">
        <f>K361+K362+K364+K365+SUM(K363:K363)</f>
        <v>180811.44</v>
      </c>
    </row>
    <row r="371" spans="1:29" ht="28" x14ac:dyDescent="0.25">
      <c r="A371" s="31">
        <v>32</v>
      </c>
      <c r="B371" s="31" t="str">
        <f>Source!F229</f>
        <v>4.10-80-13</v>
      </c>
      <c r="C371" s="31" t="s">
        <v>246</v>
      </c>
      <c r="D371" s="33" t="str">
        <f>Source!H229</f>
        <v>1  ШТ.</v>
      </c>
      <c r="E371" s="32">
        <f>Source!I229</f>
        <v>104</v>
      </c>
      <c r="F371" s="35"/>
      <c r="G371" s="34"/>
      <c r="H371" s="32"/>
      <c r="I371" s="35"/>
      <c r="J371" s="32"/>
      <c r="K371" s="35"/>
      <c r="Q371">
        <f>Source!X229</f>
        <v>1891</v>
      </c>
      <c r="R371">
        <f>Source!X230</f>
        <v>106557.8</v>
      </c>
      <c r="S371">
        <f>Source!Y229</f>
        <v>966.51</v>
      </c>
      <c r="T371">
        <f>Source!Y230</f>
        <v>54462.87</v>
      </c>
      <c r="U371">
        <f>ROUND((175/100)*ROUND(Source!R229, 2), 2)</f>
        <v>2.29</v>
      </c>
      <c r="V371">
        <f>ROUND((0/100)*ROUND(Source!R230, 2), 2)</f>
        <v>0</v>
      </c>
      <c r="AC371">
        <v>0</v>
      </c>
    </row>
    <row r="372" spans="1:29" x14ac:dyDescent="0.25">
      <c r="C372" s="45" t="str">
        <f>"Объем: "&amp;Source!I229&amp;"=20+"&amp;"84"</f>
        <v>Объем: 104=20+84</v>
      </c>
    </row>
    <row r="373" spans="1:29" ht="14.5" x14ac:dyDescent="0.25">
      <c r="A373" s="31"/>
      <c r="B373" s="31"/>
      <c r="C373" s="31" t="s">
        <v>651</v>
      </c>
      <c r="D373" s="33"/>
      <c r="E373" s="32"/>
      <c r="F373" s="35">
        <f>Source!AO229</f>
        <v>16.07</v>
      </c>
      <c r="G373" s="36" t="s">
        <v>182</v>
      </c>
      <c r="H373" s="32">
        <f>Source!AV230</f>
        <v>1.0469999999999999</v>
      </c>
      <c r="I373" s="35">
        <f>Source!S229</f>
        <v>2099.8000000000002</v>
      </c>
      <c r="J373" s="32">
        <f>IF(Source!BA230&lt;&gt; 0, Source!BA230, 1)</f>
        <v>56.35</v>
      </c>
      <c r="K373" s="35">
        <f>Source!S230</f>
        <v>118323.73</v>
      </c>
    </row>
    <row r="374" spans="1:29" ht="14.5" x14ac:dyDescent="0.25">
      <c r="A374" s="31"/>
      <c r="B374" s="31"/>
      <c r="C374" s="31" t="s">
        <v>653</v>
      </c>
      <c r="D374" s="33"/>
      <c r="E374" s="32"/>
      <c r="F374" s="35">
        <f>Source!AM229</f>
        <v>0.05</v>
      </c>
      <c r="G374" s="36" t="s">
        <v>182</v>
      </c>
      <c r="H374" s="32">
        <f>Source!AV230</f>
        <v>1.0469999999999999</v>
      </c>
      <c r="I374" s="35">
        <f>Source!Q229</f>
        <v>6.53</v>
      </c>
      <c r="J374" s="32">
        <f>IF(Source!BB230&lt;&gt; 0, Source!BB230, 1)</f>
        <v>20</v>
      </c>
      <c r="K374" s="35">
        <f>Source!Q230</f>
        <v>130.6</v>
      </c>
    </row>
    <row r="375" spans="1:29" ht="14.5" x14ac:dyDescent="0.25">
      <c r="A375" s="31"/>
      <c r="B375" s="31"/>
      <c r="C375" s="31" t="s">
        <v>654</v>
      </c>
      <c r="D375" s="33"/>
      <c r="E375" s="32"/>
      <c r="F375" s="35">
        <f>Source!AN229</f>
        <v>0.01</v>
      </c>
      <c r="G375" s="36" t="s">
        <v>182</v>
      </c>
      <c r="H375" s="32">
        <f>Source!AV230</f>
        <v>1.0469999999999999</v>
      </c>
      <c r="I375" s="37">
        <f>Source!R229</f>
        <v>1.31</v>
      </c>
      <c r="J375" s="32">
        <f>IF(Source!BS230&lt;&gt; 0, Source!BS230, 1)</f>
        <v>56.35</v>
      </c>
      <c r="K375" s="37">
        <f>Source!R230</f>
        <v>73.819999999999993</v>
      </c>
    </row>
    <row r="376" spans="1:29" ht="14.5" x14ac:dyDescent="0.25">
      <c r="A376" s="31"/>
      <c r="B376" s="31"/>
      <c r="C376" s="31" t="s">
        <v>666</v>
      </c>
      <c r="D376" s="33"/>
      <c r="E376" s="32"/>
      <c r="F376" s="35">
        <f>Source!AL229</f>
        <v>1.96</v>
      </c>
      <c r="G376" s="36" t="s">
        <v>3</v>
      </c>
      <c r="H376" s="32">
        <f>Source!AW230</f>
        <v>1</v>
      </c>
      <c r="I376" s="35">
        <f>Source!P229</f>
        <v>203.84</v>
      </c>
      <c r="J376" s="32">
        <f>IF(Source!BC230&lt;&gt; 0, Source!BC230, 1)</f>
        <v>9.84</v>
      </c>
      <c r="K376" s="35">
        <f>Source!P230</f>
        <v>2005.79</v>
      </c>
    </row>
    <row r="377" spans="1:29" ht="14.5" x14ac:dyDescent="0.25">
      <c r="A377" s="31"/>
      <c r="B377" s="31"/>
      <c r="C377" s="31" t="s">
        <v>655</v>
      </c>
      <c r="D377" s="33" t="s">
        <v>656</v>
      </c>
      <c r="E377" s="32">
        <f>Source!BZ230</f>
        <v>90</v>
      </c>
      <c r="F377" s="35"/>
      <c r="G377" s="34"/>
      <c r="H377" s="32"/>
      <c r="I377" s="35">
        <f>SUM(Q371:Q376)</f>
        <v>1891</v>
      </c>
      <c r="J377" s="32">
        <f>Source!AT230</f>
        <v>90</v>
      </c>
      <c r="K377" s="35">
        <f>SUM(R371:R376)</f>
        <v>106557.8</v>
      </c>
    </row>
    <row r="378" spans="1:29" ht="14.5" x14ac:dyDescent="0.25">
      <c r="A378" s="31"/>
      <c r="B378" s="31"/>
      <c r="C378" s="31" t="s">
        <v>657</v>
      </c>
      <c r="D378" s="33" t="s">
        <v>656</v>
      </c>
      <c r="E378" s="32">
        <f>Source!CA230</f>
        <v>46</v>
      </c>
      <c r="F378" s="35"/>
      <c r="G378" s="34"/>
      <c r="H378" s="32"/>
      <c r="I378" s="35">
        <f>SUM(S371:S377)</f>
        <v>966.51</v>
      </c>
      <c r="J378" s="32">
        <f>Source!AU230</f>
        <v>46</v>
      </c>
      <c r="K378" s="35">
        <f>SUM(T371:T377)</f>
        <v>54462.87</v>
      </c>
    </row>
    <row r="379" spans="1:29" ht="14.5" x14ac:dyDescent="0.25">
      <c r="A379" s="38"/>
      <c r="B379" s="38"/>
      <c r="C379" s="38" t="s">
        <v>658</v>
      </c>
      <c r="D379" s="39" t="s">
        <v>659</v>
      </c>
      <c r="E379" s="40">
        <f>Source!AQ229</f>
        <v>1.2</v>
      </c>
      <c r="F379" s="41"/>
      <c r="G379" s="42" t="s">
        <v>182</v>
      </c>
      <c r="H379" s="40">
        <f>Source!AV230</f>
        <v>1.0469999999999999</v>
      </c>
      <c r="I379" s="41">
        <f>Source!U229</f>
        <v>156.79872</v>
      </c>
      <c r="J379" s="40"/>
      <c r="K379" s="41"/>
    </row>
    <row r="380" spans="1:29" ht="14" x14ac:dyDescent="0.25">
      <c r="C380" s="43" t="s">
        <v>660</v>
      </c>
      <c r="H380" s="70">
        <f>I373+I374+I376+I377+I378+0-0-0</f>
        <v>5167.68</v>
      </c>
      <c r="I380" s="70"/>
      <c r="J380" s="70">
        <f>K373+K374+K376+K377+K378+0-0-0</f>
        <v>281480.78999999998</v>
      </c>
      <c r="K380" s="70"/>
    </row>
    <row r="381" spans="1:29" ht="14" hidden="1" x14ac:dyDescent="0.25">
      <c r="C381" s="43" t="s">
        <v>661</v>
      </c>
      <c r="H381" s="65">
        <f>0+0</f>
        <v>0</v>
      </c>
      <c r="I381" s="65"/>
      <c r="J381" s="65">
        <f>0+0</f>
        <v>0</v>
      </c>
      <c r="K381" s="65"/>
    </row>
    <row r="382" spans="1:29" ht="14" x14ac:dyDescent="0.25">
      <c r="C382" s="43" t="s">
        <v>662</v>
      </c>
      <c r="H382" s="65">
        <f>I373+I374+I376+I377+I378+0</f>
        <v>5167.68</v>
      </c>
      <c r="I382" s="65"/>
      <c r="J382" s="65">
        <f>K373+K374+K376+K377+K378+0</f>
        <v>281480.78999999998</v>
      </c>
      <c r="K382" s="65"/>
      <c r="O382" s="44">
        <f>I373+I374+I376+I377+I378+0</f>
        <v>5167.68</v>
      </c>
      <c r="P382" s="44">
        <f>K373+K374+K376+K377+K378+0</f>
        <v>281480.78999999998</v>
      </c>
    </row>
    <row r="384" spans="1:29" ht="68" x14ac:dyDescent="0.25">
      <c r="A384" s="52">
        <v>33</v>
      </c>
      <c r="B384" s="52" t="str">
        <f>Source!F231</f>
        <v>КА. п. 32</v>
      </c>
      <c r="C384" s="52" t="s">
        <v>676</v>
      </c>
      <c r="D384" s="53" t="str">
        <f>Source!H231</f>
        <v>шт.</v>
      </c>
      <c r="E384" s="54">
        <f>Source!I231</f>
        <v>20</v>
      </c>
      <c r="F384" s="55">
        <f>Source!AL231</f>
        <v>93.76</v>
      </c>
      <c r="G384" s="56" t="s">
        <v>3</v>
      </c>
      <c r="H384" s="54">
        <f>Source!AW232</f>
        <v>1</v>
      </c>
      <c r="I384" s="55">
        <f>Source!P231</f>
        <v>1875.2</v>
      </c>
      <c r="J384" s="54">
        <f>IF(Source!BC232&lt;&gt; 0, Source!BC232, 1)</f>
        <v>7.57</v>
      </c>
      <c r="K384" s="55">
        <f>Source!P232</f>
        <v>14195.26</v>
      </c>
      <c r="Q384">
        <f>Source!X231</f>
        <v>0</v>
      </c>
      <c r="R384">
        <f>Source!X232</f>
        <v>0</v>
      </c>
      <c r="S384">
        <f>Source!Y231</f>
        <v>0</v>
      </c>
      <c r="T384">
        <f>Source!Y232</f>
        <v>0</v>
      </c>
      <c r="U384">
        <f>ROUND((175/100)*ROUND(Source!R231, 2), 2)</f>
        <v>0</v>
      </c>
      <c r="V384">
        <f>ROUND((0/100)*ROUND(Source!R232, 2), 2)</f>
        <v>0</v>
      </c>
      <c r="AC384">
        <v>5</v>
      </c>
    </row>
    <row r="385" spans="1:29" ht="14" x14ac:dyDescent="0.25">
      <c r="A385" s="57"/>
      <c r="B385" s="57"/>
      <c r="C385" s="58" t="s">
        <v>662</v>
      </c>
      <c r="D385" s="57"/>
      <c r="E385" s="57"/>
      <c r="F385" s="57"/>
      <c r="G385" s="57"/>
      <c r="H385" s="72">
        <f>I384+0</f>
        <v>1875.2</v>
      </c>
      <c r="I385" s="72"/>
      <c r="J385" s="72">
        <f>K384+0</f>
        <v>14195.26</v>
      </c>
      <c r="K385" s="72"/>
      <c r="O385" s="44">
        <f>I384+0</f>
        <v>1875.2</v>
      </c>
      <c r="P385" s="44">
        <f>K384+0</f>
        <v>14195.26</v>
      </c>
    </row>
    <row r="387" spans="1:29" ht="68" x14ac:dyDescent="0.25">
      <c r="A387" s="52">
        <v>34</v>
      </c>
      <c r="B387" s="52" t="str">
        <f>Source!F233</f>
        <v>КА. п. 33</v>
      </c>
      <c r="C387" s="52" t="s">
        <v>677</v>
      </c>
      <c r="D387" s="53" t="str">
        <f>Source!H233</f>
        <v>шт.</v>
      </c>
      <c r="E387" s="54">
        <f>Source!I233</f>
        <v>84</v>
      </c>
      <c r="F387" s="55">
        <f>Source!AL233</f>
        <v>66.02000000000001</v>
      </c>
      <c r="G387" s="56" t="s">
        <v>3</v>
      </c>
      <c r="H387" s="54">
        <f>Source!AW234</f>
        <v>1</v>
      </c>
      <c r="I387" s="55">
        <f>Source!P233</f>
        <v>5545.68</v>
      </c>
      <c r="J387" s="54">
        <f>IF(Source!BC234&lt;&gt; 0, Source!BC234, 1)</f>
        <v>7.57</v>
      </c>
      <c r="K387" s="55">
        <f>Source!P234</f>
        <v>41980.800000000003</v>
      </c>
      <c r="Q387">
        <f>Source!X233</f>
        <v>0</v>
      </c>
      <c r="R387">
        <f>Source!X234</f>
        <v>0</v>
      </c>
      <c r="S387">
        <f>Source!Y233</f>
        <v>0</v>
      </c>
      <c r="T387">
        <f>Source!Y234</f>
        <v>0</v>
      </c>
      <c r="U387">
        <f>ROUND((175/100)*ROUND(Source!R233, 2), 2)</f>
        <v>0</v>
      </c>
      <c r="V387">
        <f>ROUND((0/100)*ROUND(Source!R234, 2), 2)</f>
        <v>0</v>
      </c>
      <c r="AC387">
        <v>5</v>
      </c>
    </row>
    <row r="388" spans="1:29" ht="14" x14ac:dyDescent="0.25">
      <c r="A388" s="57"/>
      <c r="B388" s="57"/>
      <c r="C388" s="58" t="s">
        <v>662</v>
      </c>
      <c r="D388" s="57"/>
      <c r="E388" s="57"/>
      <c r="F388" s="57"/>
      <c r="G388" s="57"/>
      <c r="H388" s="72">
        <f>I387+0</f>
        <v>5545.68</v>
      </c>
      <c r="I388" s="72"/>
      <c r="J388" s="72">
        <f>K387+0</f>
        <v>41980.800000000003</v>
      </c>
      <c r="K388" s="72"/>
      <c r="O388" s="44">
        <f>I387+0</f>
        <v>5545.68</v>
      </c>
      <c r="P388" s="44">
        <f>K387+0</f>
        <v>41980.800000000003</v>
      </c>
    </row>
    <row r="390" spans="1:29" ht="14.5" x14ac:dyDescent="0.25">
      <c r="A390" s="31">
        <v>35</v>
      </c>
      <c r="B390" s="31" t="str">
        <f>Source!F235</f>
        <v>4.10-81-6</v>
      </c>
      <c r="C390" s="31" t="s">
        <v>259</v>
      </c>
      <c r="D390" s="33" t="str">
        <f>Source!H235</f>
        <v>1  ШТ.</v>
      </c>
      <c r="E390" s="32">
        <f>Source!I235</f>
        <v>58</v>
      </c>
      <c r="F390" s="35"/>
      <c r="G390" s="34"/>
      <c r="H390" s="32"/>
      <c r="I390" s="35"/>
      <c r="J390" s="32"/>
      <c r="K390" s="35"/>
      <c r="Q390">
        <f>Source!X235</f>
        <v>308.24</v>
      </c>
      <c r="R390">
        <f>Source!X236</f>
        <v>17369.38</v>
      </c>
      <c r="S390">
        <f>Source!Y235</f>
        <v>157.55000000000001</v>
      </c>
      <c r="T390">
        <f>Source!Y236</f>
        <v>8877.68</v>
      </c>
      <c r="U390">
        <f>ROUND((175/100)*ROUND(Source!R235, 2), 2)</f>
        <v>35.700000000000003</v>
      </c>
      <c r="V390">
        <f>ROUND((0/100)*ROUND(Source!R236, 2), 2)</f>
        <v>0</v>
      </c>
      <c r="AC390">
        <v>0</v>
      </c>
    </row>
    <row r="391" spans="1:29" ht="14.5" x14ac:dyDescent="0.25">
      <c r="A391" s="31"/>
      <c r="B391" s="31"/>
      <c r="C391" s="31" t="s">
        <v>651</v>
      </c>
      <c r="D391" s="33"/>
      <c r="E391" s="32"/>
      <c r="F391" s="35">
        <f>Source!AO235</f>
        <v>4.42</v>
      </c>
      <c r="G391" s="36" t="s">
        <v>182</v>
      </c>
      <c r="H391" s="32">
        <f>Source!AV236</f>
        <v>1.0469999999999999</v>
      </c>
      <c r="I391" s="35">
        <f>Source!S235</f>
        <v>322.08999999999997</v>
      </c>
      <c r="J391" s="32">
        <f>IF(Source!BA236&lt;&gt; 0, Source!BA236, 1)</f>
        <v>56.35</v>
      </c>
      <c r="K391" s="35">
        <f>Source!S236</f>
        <v>18149.77</v>
      </c>
    </row>
    <row r="392" spans="1:29" ht="14.5" x14ac:dyDescent="0.25">
      <c r="A392" s="31"/>
      <c r="B392" s="31"/>
      <c r="C392" s="31" t="s">
        <v>653</v>
      </c>
      <c r="D392" s="33"/>
      <c r="E392" s="32"/>
      <c r="F392" s="35">
        <f>Source!AM235</f>
        <v>4.5599999999999996</v>
      </c>
      <c r="G392" s="36" t="s">
        <v>182</v>
      </c>
      <c r="H392" s="32">
        <f>Source!AV236</f>
        <v>1.0469999999999999</v>
      </c>
      <c r="I392" s="35">
        <f>Source!Q235</f>
        <v>332.29</v>
      </c>
      <c r="J392" s="32">
        <f>IF(Source!BB236&lt;&gt; 0, Source!BB236, 1)</f>
        <v>13.75</v>
      </c>
      <c r="K392" s="35">
        <f>Source!Q236</f>
        <v>4568.99</v>
      </c>
    </row>
    <row r="393" spans="1:29" ht="14.5" x14ac:dyDescent="0.25">
      <c r="A393" s="31"/>
      <c r="B393" s="31"/>
      <c r="C393" s="31" t="s">
        <v>654</v>
      </c>
      <c r="D393" s="33"/>
      <c r="E393" s="32"/>
      <c r="F393" s="35">
        <f>Source!AN235</f>
        <v>0.28000000000000003</v>
      </c>
      <c r="G393" s="36" t="s">
        <v>182</v>
      </c>
      <c r="H393" s="32">
        <f>Source!AV236</f>
        <v>1.0469999999999999</v>
      </c>
      <c r="I393" s="37">
        <f>Source!R235</f>
        <v>20.399999999999999</v>
      </c>
      <c r="J393" s="32">
        <f>IF(Source!BS236&lt;&gt; 0, Source!BS236, 1)</f>
        <v>56.35</v>
      </c>
      <c r="K393" s="37">
        <f>Source!R236</f>
        <v>1149.54</v>
      </c>
    </row>
    <row r="394" spans="1:29" ht="14.5" x14ac:dyDescent="0.25">
      <c r="A394" s="31"/>
      <c r="B394" s="31"/>
      <c r="C394" s="31" t="s">
        <v>666</v>
      </c>
      <c r="D394" s="33"/>
      <c r="E394" s="32"/>
      <c r="F394" s="35">
        <f>Source!AL235</f>
        <v>1.05</v>
      </c>
      <c r="G394" s="36" t="s">
        <v>3</v>
      </c>
      <c r="H394" s="32">
        <f>Source!AW236</f>
        <v>1</v>
      </c>
      <c r="I394" s="35">
        <f>Source!P235</f>
        <v>60.9</v>
      </c>
      <c r="J394" s="32">
        <f>IF(Source!BC236&lt;&gt; 0, Source!BC236, 1)</f>
        <v>9.84</v>
      </c>
      <c r="K394" s="35">
        <f>Source!P236</f>
        <v>599.26</v>
      </c>
    </row>
    <row r="395" spans="1:29" ht="42" x14ac:dyDescent="0.25">
      <c r="A395" s="31" t="s">
        <v>260</v>
      </c>
      <c r="B395" s="31" t="str">
        <f>Source!F237</f>
        <v>1.14-2-48</v>
      </c>
      <c r="C395" s="31" t="s">
        <v>262</v>
      </c>
      <c r="D395" s="33" t="str">
        <f>Source!H237</f>
        <v>шт.</v>
      </c>
      <c r="E395" s="32">
        <f>Source!I237</f>
        <v>58</v>
      </c>
      <c r="F395" s="35">
        <f>Source!AK237</f>
        <v>15.49</v>
      </c>
      <c r="G395" s="36" t="s">
        <v>3</v>
      </c>
      <c r="H395" s="32">
        <f>Source!AW238</f>
        <v>1</v>
      </c>
      <c r="I395" s="35">
        <f>Source!O237</f>
        <v>898.42</v>
      </c>
      <c r="J395" s="32">
        <f>IF(Source!BC238&lt;&gt; 0, Source!BC238, 1)</f>
        <v>6.8</v>
      </c>
      <c r="K395" s="35">
        <f>Source!O238</f>
        <v>6109.26</v>
      </c>
      <c r="Q395">
        <f>Source!X237</f>
        <v>0</v>
      </c>
      <c r="R395">
        <f>Source!X238</f>
        <v>0</v>
      </c>
      <c r="S395">
        <f>Source!Y237</f>
        <v>0</v>
      </c>
      <c r="T395">
        <f>Source!Y238</f>
        <v>0</v>
      </c>
      <c r="U395">
        <f>ROUND((175/100)*ROUND(Source!R237, 2), 2)</f>
        <v>0</v>
      </c>
      <c r="V395">
        <f>ROUND((0/100)*ROUND(Source!R238, 2), 2)</f>
        <v>0</v>
      </c>
      <c r="AC395">
        <v>3</v>
      </c>
    </row>
    <row r="396" spans="1:29" ht="14.5" x14ac:dyDescent="0.25">
      <c r="A396" s="31"/>
      <c r="B396" s="31"/>
      <c r="C396" s="31" t="s">
        <v>655</v>
      </c>
      <c r="D396" s="33" t="s">
        <v>656</v>
      </c>
      <c r="E396" s="32">
        <f>Source!BZ236</f>
        <v>90</v>
      </c>
      <c r="F396" s="35"/>
      <c r="G396" s="34"/>
      <c r="H396" s="32"/>
      <c r="I396" s="35">
        <f>SUM(Q390:Q395)</f>
        <v>308.24</v>
      </c>
      <c r="J396" s="32">
        <f>Source!AT236</f>
        <v>90</v>
      </c>
      <c r="K396" s="35">
        <f>SUM(R390:R395)</f>
        <v>17369.38</v>
      </c>
    </row>
    <row r="397" spans="1:29" ht="14.5" x14ac:dyDescent="0.25">
      <c r="A397" s="31"/>
      <c r="B397" s="31"/>
      <c r="C397" s="31" t="s">
        <v>657</v>
      </c>
      <c r="D397" s="33" t="s">
        <v>656</v>
      </c>
      <c r="E397" s="32">
        <f>Source!CA236</f>
        <v>46</v>
      </c>
      <c r="F397" s="35"/>
      <c r="G397" s="34"/>
      <c r="H397" s="32"/>
      <c r="I397" s="35">
        <f>SUM(S390:S396)</f>
        <v>157.55000000000001</v>
      </c>
      <c r="J397" s="32">
        <f>Source!AU236</f>
        <v>46</v>
      </c>
      <c r="K397" s="35">
        <f>SUM(T390:T396)</f>
        <v>8877.68</v>
      </c>
    </row>
    <row r="398" spans="1:29" ht="14.5" x14ac:dyDescent="0.25">
      <c r="A398" s="38"/>
      <c r="B398" s="38"/>
      <c r="C398" s="38" t="s">
        <v>658</v>
      </c>
      <c r="D398" s="39" t="s">
        <v>659</v>
      </c>
      <c r="E398" s="40">
        <f>Source!AQ235</f>
        <v>0.35</v>
      </c>
      <c r="F398" s="41"/>
      <c r="G398" s="42" t="s">
        <v>182</v>
      </c>
      <c r="H398" s="40">
        <f>Source!AV236</f>
        <v>1.0469999999999999</v>
      </c>
      <c r="I398" s="41">
        <f>Source!U235</f>
        <v>25.504919999999998</v>
      </c>
      <c r="J398" s="40"/>
      <c r="K398" s="41"/>
    </row>
    <row r="399" spans="1:29" ht="14" x14ac:dyDescent="0.25">
      <c r="C399" s="43" t="s">
        <v>660</v>
      </c>
      <c r="H399" s="70">
        <f>I391+I392+I394+I396+I397+SUM(I395:I395)-SUMIF(AC395:AC395, 5, I395:I395)-SUMIF(AC395:AC395, 6, I395:I395)</f>
        <v>2079.4899999999998</v>
      </c>
      <c r="I399" s="70"/>
      <c r="J399" s="70">
        <f>K391+K392+K394+K396+K397+SUM(K395:K395)-SUMIF(AC395:AC395, 5, K395:K395)-SUMIF(AC395:AC395, 6, K395:K395)</f>
        <v>55674.340000000004</v>
      </c>
      <c r="K399" s="70"/>
    </row>
    <row r="400" spans="1:29" ht="14" hidden="1" x14ac:dyDescent="0.25">
      <c r="C400" s="43" t="s">
        <v>661</v>
      </c>
      <c r="H400" s="65">
        <f>SUMIF(AC395:AC395, 5, I395:I395)+SUMIF(AC395:AC395, 6, I395:I395)</f>
        <v>0</v>
      </c>
      <c r="I400" s="65"/>
      <c r="J400" s="65">
        <f>SUMIF(AC395:AC395, 5, K395:K395)+SUMIF(AC395:AC395, 6, K395:K395)</f>
        <v>0</v>
      </c>
      <c r="K400" s="65"/>
    </row>
    <row r="401" spans="1:43" ht="14" x14ac:dyDescent="0.25">
      <c r="C401" s="43" t="s">
        <v>662</v>
      </c>
      <c r="H401" s="65">
        <f>I391+I392+I394+I396+I397+SUM(I395:I395)</f>
        <v>2079.4899999999998</v>
      </c>
      <c r="I401" s="65"/>
      <c r="J401" s="65">
        <f>K391+K392+K394+K396+K397+SUM(K395:K395)</f>
        <v>55674.340000000004</v>
      </c>
      <c r="K401" s="65"/>
      <c r="O401" s="44">
        <f>I391+I392+I394+I396+I397+SUM(I395:I395)</f>
        <v>2079.4899999999998</v>
      </c>
      <c r="P401" s="44">
        <f>K391+K392+K394+K396+K397+SUM(K395:K395)</f>
        <v>55674.340000000004</v>
      </c>
    </row>
    <row r="404" spans="1:43" ht="28" x14ac:dyDescent="0.3">
      <c r="A404" s="67" t="str">
        <f>CONCATENATE("Итого по разделу: ",IF(Source!G240&lt;&gt;"Новый раздел", Source!G240, ""))</f>
        <v>Итого по разделу: Оконечное оборудование СПС. Автоматические и ручные пожарные и охранные извещатели.</v>
      </c>
      <c r="B404" s="67"/>
      <c r="C404" s="67"/>
      <c r="D404" s="67"/>
      <c r="E404" s="67"/>
      <c r="F404" s="67"/>
      <c r="G404" s="67"/>
      <c r="H404" s="65">
        <f>SUM(O326:O403)</f>
        <v>164068.93999999997</v>
      </c>
      <c r="I404" s="66"/>
      <c r="J404" s="65">
        <f>SUM(P326:P403)</f>
        <v>3284449.7299999995</v>
      </c>
      <c r="K404" s="66"/>
      <c r="AQ404" s="46" t="str">
        <f>CONCATENATE("Итого по разделу: ",IF(Source!G240&lt;&gt;"Новый раздел", Source!G240, ""))</f>
        <v>Итого по разделу: Оконечное оборудование СПС. Автоматические и ручные пожарные и охранные извещатели.</v>
      </c>
    </row>
    <row r="405" spans="1:43" hidden="1" x14ac:dyDescent="0.25">
      <c r="A405" t="s">
        <v>663</v>
      </c>
      <c r="I405">
        <f>SUM(W326:W404)</f>
        <v>0</v>
      </c>
      <c r="J405">
        <f>SUM(X326:X404)</f>
        <v>0</v>
      </c>
    </row>
    <row r="406" spans="1:43" hidden="1" x14ac:dyDescent="0.25">
      <c r="A406" t="s">
        <v>664</v>
      </c>
      <c r="I406">
        <f>SUM(Y326:Y405)</f>
        <v>0</v>
      </c>
      <c r="J406">
        <f>SUM(Z326:Z405)</f>
        <v>0</v>
      </c>
    </row>
    <row r="408" spans="1:43" ht="16.5" x14ac:dyDescent="0.25">
      <c r="A408" s="71" t="str">
        <f>CONCATENATE("Раздел: ",IF(Source!G270&lt;&gt;"Новый раздел", Source!G270, ""))</f>
        <v>Раздел: Материалы, поставляемые с оборудованием СПС,</v>
      </c>
      <c r="B408" s="71"/>
      <c r="C408" s="71"/>
      <c r="D408" s="71"/>
      <c r="E408" s="71"/>
      <c r="F408" s="71"/>
      <c r="G408" s="71"/>
      <c r="H408" s="71"/>
      <c r="I408" s="71"/>
      <c r="J408" s="71"/>
      <c r="K408" s="71"/>
    </row>
    <row r="409" spans="1:43" ht="68" x14ac:dyDescent="0.25">
      <c r="A409" s="52">
        <v>36</v>
      </c>
      <c r="B409" s="52" t="str">
        <f>Source!F274</f>
        <v>КА. п. 7</v>
      </c>
      <c r="C409" s="52" t="s">
        <v>678</v>
      </c>
      <c r="D409" s="53" t="str">
        <f>Source!H274</f>
        <v>шт.</v>
      </c>
      <c r="E409" s="54">
        <f>Source!I274</f>
        <v>2</v>
      </c>
      <c r="F409" s="55">
        <f>Source!AL274</f>
        <v>378.75</v>
      </c>
      <c r="G409" s="56" t="s">
        <v>3</v>
      </c>
      <c r="H409" s="54">
        <f>Source!AW275</f>
        <v>1</v>
      </c>
      <c r="I409" s="55">
        <f>Source!P274</f>
        <v>757.5</v>
      </c>
      <c r="J409" s="54">
        <f>IF(Source!BC275&lt;&gt; 0, Source!BC275, 1)</f>
        <v>7.57</v>
      </c>
      <c r="K409" s="55">
        <f>Source!P275</f>
        <v>5734.28</v>
      </c>
      <c r="Q409">
        <f>Source!X274</f>
        <v>0</v>
      </c>
      <c r="R409">
        <f>Source!X275</f>
        <v>0</v>
      </c>
      <c r="S409">
        <f>Source!Y274</f>
        <v>0</v>
      </c>
      <c r="T409">
        <f>Source!Y275</f>
        <v>0</v>
      </c>
      <c r="U409">
        <f>ROUND((175/100)*ROUND(Source!R274, 2), 2)</f>
        <v>0</v>
      </c>
      <c r="V409">
        <f>ROUND((0/100)*ROUND(Source!R275, 2), 2)</f>
        <v>0</v>
      </c>
      <c r="AC409">
        <v>5</v>
      </c>
    </row>
    <row r="410" spans="1:43" ht="14" x14ac:dyDescent="0.25">
      <c r="A410" s="57"/>
      <c r="B410" s="57"/>
      <c r="C410" s="58" t="s">
        <v>662</v>
      </c>
      <c r="D410" s="57"/>
      <c r="E410" s="57"/>
      <c r="F410" s="57"/>
      <c r="G410" s="57"/>
      <c r="H410" s="72">
        <f>I409+0</f>
        <v>757.5</v>
      </c>
      <c r="I410" s="72"/>
      <c r="J410" s="72">
        <f>K409+0</f>
        <v>5734.28</v>
      </c>
      <c r="K410" s="72"/>
      <c r="O410" s="44">
        <f>I409+0</f>
        <v>757.5</v>
      </c>
      <c r="P410" s="44">
        <f>K409+0</f>
        <v>5734.28</v>
      </c>
    </row>
    <row r="412" spans="1:43" ht="68" x14ac:dyDescent="0.25">
      <c r="A412" s="52">
        <v>37</v>
      </c>
      <c r="B412" s="52" t="str">
        <f>Source!F276</f>
        <v>КА. п. 8</v>
      </c>
      <c r="C412" s="52" t="s">
        <v>679</v>
      </c>
      <c r="D412" s="53" t="str">
        <f>Source!H276</f>
        <v>шт.</v>
      </c>
      <c r="E412" s="54">
        <f>Source!I276</f>
        <v>4</v>
      </c>
      <c r="F412" s="55">
        <f>Source!AL276</f>
        <v>625.07999999999993</v>
      </c>
      <c r="G412" s="56" t="s">
        <v>3</v>
      </c>
      <c r="H412" s="54">
        <f>Source!AW277</f>
        <v>1</v>
      </c>
      <c r="I412" s="55">
        <f>Source!P276</f>
        <v>2500.3200000000002</v>
      </c>
      <c r="J412" s="54">
        <f>IF(Source!BC277&lt;&gt; 0, Source!BC277, 1)</f>
        <v>7.57</v>
      </c>
      <c r="K412" s="55">
        <f>Source!P277</f>
        <v>18927.419999999998</v>
      </c>
      <c r="Q412">
        <f>Source!X276</f>
        <v>0</v>
      </c>
      <c r="R412">
        <f>Source!X277</f>
        <v>0</v>
      </c>
      <c r="S412">
        <f>Source!Y276</f>
        <v>0</v>
      </c>
      <c r="T412">
        <f>Source!Y277</f>
        <v>0</v>
      </c>
      <c r="U412">
        <f>ROUND((175/100)*ROUND(Source!R276, 2), 2)</f>
        <v>0</v>
      </c>
      <c r="V412">
        <f>ROUND((0/100)*ROUND(Source!R277, 2), 2)</f>
        <v>0</v>
      </c>
      <c r="AC412">
        <v>5</v>
      </c>
    </row>
    <row r="413" spans="1:43" ht="14" x14ac:dyDescent="0.25">
      <c r="A413" s="57"/>
      <c r="B413" s="57"/>
      <c r="C413" s="58" t="s">
        <v>662</v>
      </c>
      <c r="D413" s="57"/>
      <c r="E413" s="57"/>
      <c r="F413" s="57"/>
      <c r="G413" s="57"/>
      <c r="H413" s="72">
        <f>I412+0</f>
        <v>2500.3200000000002</v>
      </c>
      <c r="I413" s="72"/>
      <c r="J413" s="72">
        <f>K412+0</f>
        <v>18927.419999999998</v>
      </c>
      <c r="K413" s="72"/>
      <c r="O413" s="44">
        <f>I412+0</f>
        <v>2500.3200000000002</v>
      </c>
      <c r="P413" s="44">
        <f>K412+0</f>
        <v>18927.419999999998</v>
      </c>
    </row>
    <row r="415" spans="1:43" ht="68" x14ac:dyDescent="0.25">
      <c r="A415" s="52">
        <v>38</v>
      </c>
      <c r="B415" s="52" t="str">
        <f>Source!F278</f>
        <v>КА. п. 9</v>
      </c>
      <c r="C415" s="52" t="s">
        <v>680</v>
      </c>
      <c r="D415" s="53" t="str">
        <f>Source!H278</f>
        <v>шт.</v>
      </c>
      <c r="E415" s="54">
        <f>Source!I278</f>
        <v>2</v>
      </c>
      <c r="F415" s="55">
        <f>Source!AL278</f>
        <v>1671.87</v>
      </c>
      <c r="G415" s="56" t="s">
        <v>3</v>
      </c>
      <c r="H415" s="54">
        <f>Source!AW279</f>
        <v>1</v>
      </c>
      <c r="I415" s="55">
        <f>Source!P278</f>
        <v>3343.74</v>
      </c>
      <c r="J415" s="54">
        <f>IF(Source!BC279&lt;&gt; 0, Source!BC279, 1)</f>
        <v>7.57</v>
      </c>
      <c r="K415" s="55">
        <f>Source!P279</f>
        <v>25312.11</v>
      </c>
      <c r="Q415">
        <f>Source!X278</f>
        <v>0</v>
      </c>
      <c r="R415">
        <f>Source!X279</f>
        <v>0</v>
      </c>
      <c r="S415">
        <f>Source!Y278</f>
        <v>0</v>
      </c>
      <c r="T415">
        <f>Source!Y279</f>
        <v>0</v>
      </c>
      <c r="U415">
        <f>ROUND((175/100)*ROUND(Source!R278, 2), 2)</f>
        <v>0</v>
      </c>
      <c r="V415">
        <f>ROUND((0/100)*ROUND(Source!R279, 2), 2)</f>
        <v>0</v>
      </c>
      <c r="AC415">
        <v>5</v>
      </c>
    </row>
    <row r="416" spans="1:43" ht="14" x14ac:dyDescent="0.25">
      <c r="A416" s="57"/>
      <c r="B416" s="57"/>
      <c r="C416" s="58" t="s">
        <v>662</v>
      </c>
      <c r="D416" s="57"/>
      <c r="E416" s="57"/>
      <c r="F416" s="57"/>
      <c r="G416" s="57"/>
      <c r="H416" s="72">
        <f>I415+0</f>
        <v>3343.74</v>
      </c>
      <c r="I416" s="72"/>
      <c r="J416" s="72">
        <f>K415+0</f>
        <v>25312.11</v>
      </c>
      <c r="K416" s="72"/>
      <c r="O416" s="44">
        <f>I415+0</f>
        <v>3343.74</v>
      </c>
      <c r="P416" s="44">
        <f>K415+0</f>
        <v>25312.11</v>
      </c>
    </row>
    <row r="419" spans="1:29" ht="14" x14ac:dyDescent="0.3">
      <c r="A419" s="67" t="str">
        <f>CONCATENATE("Итого по разделу: ",IF(Source!G281&lt;&gt;"Новый раздел", Source!G281, ""))</f>
        <v>Итого по разделу: Материалы, поставляемые с оборудованием СПС,</v>
      </c>
      <c r="B419" s="67"/>
      <c r="C419" s="67"/>
      <c r="D419" s="67"/>
      <c r="E419" s="67"/>
      <c r="F419" s="67"/>
      <c r="G419" s="67"/>
      <c r="H419" s="65">
        <f>SUM(O408:O418)</f>
        <v>6601.5599999999995</v>
      </c>
      <c r="I419" s="66"/>
      <c r="J419" s="65">
        <f>SUM(P408:P418)</f>
        <v>49973.81</v>
      </c>
      <c r="K419" s="66"/>
    </row>
    <row r="420" spans="1:29" hidden="1" x14ac:dyDescent="0.25">
      <c r="A420" t="s">
        <v>663</v>
      </c>
      <c r="I420">
        <f>SUM(W408:W419)</f>
        <v>0</v>
      </c>
      <c r="J420">
        <f>SUM(X408:X419)</f>
        <v>0</v>
      </c>
    </row>
    <row r="421" spans="1:29" hidden="1" x14ac:dyDescent="0.25">
      <c r="A421" t="s">
        <v>664</v>
      </c>
      <c r="I421">
        <f>SUM(Y408:Y420)</f>
        <v>0</v>
      </c>
      <c r="J421">
        <f>SUM(Z408:Z420)</f>
        <v>0</v>
      </c>
    </row>
    <row r="423" spans="1:29" ht="16.5" x14ac:dyDescent="0.25">
      <c r="A423" s="71" t="str">
        <f>CONCATENATE("Раздел: ",IF(Source!G311&lt;&gt;"Новый раздел", Source!G311, ""))</f>
        <v>Раздел: Базовое оборудование СПА.</v>
      </c>
      <c r="B423" s="71"/>
      <c r="C423" s="71"/>
      <c r="D423" s="71"/>
      <c r="E423" s="71"/>
      <c r="F423" s="71"/>
      <c r="G423" s="71"/>
      <c r="H423" s="71"/>
      <c r="I423" s="71"/>
      <c r="J423" s="71"/>
      <c r="K423" s="71"/>
    </row>
    <row r="424" spans="1:29" ht="42" x14ac:dyDescent="0.25">
      <c r="A424" s="31">
        <v>39</v>
      </c>
      <c r="B424" s="31" t="str">
        <f>Source!F315</f>
        <v>4.10-80-1</v>
      </c>
      <c r="C424" s="31" t="s">
        <v>186</v>
      </c>
      <c r="D424" s="33" t="str">
        <f>Source!H315</f>
        <v>1  ШТ.</v>
      </c>
      <c r="E424" s="32">
        <f>Source!I315</f>
        <v>2</v>
      </c>
      <c r="F424" s="35"/>
      <c r="G424" s="34"/>
      <c r="H424" s="32"/>
      <c r="I424" s="35"/>
      <c r="J424" s="32"/>
      <c r="K424" s="35"/>
      <c r="Q424">
        <f>Source!X315</f>
        <v>214.97</v>
      </c>
      <c r="R424">
        <f>Source!X316</f>
        <v>12113.28</v>
      </c>
      <c r="S424">
        <f>Source!Y315</f>
        <v>109.87</v>
      </c>
      <c r="T424">
        <f>Source!Y316</f>
        <v>6191.23</v>
      </c>
      <c r="U424">
        <f>ROUND((175/100)*ROUND(Source!R315, 2), 2)</f>
        <v>0.05</v>
      </c>
      <c r="V424">
        <f>ROUND((0/100)*ROUND(Source!R316, 2), 2)</f>
        <v>0</v>
      </c>
      <c r="AC424">
        <v>0</v>
      </c>
    </row>
    <row r="425" spans="1:29" ht="14.5" x14ac:dyDescent="0.25">
      <c r="A425" s="31"/>
      <c r="B425" s="31"/>
      <c r="C425" s="31" t="s">
        <v>651</v>
      </c>
      <c r="D425" s="33"/>
      <c r="E425" s="32"/>
      <c r="F425" s="35">
        <f>Source!AO315</f>
        <v>95.04</v>
      </c>
      <c r="G425" s="36" t="s">
        <v>182</v>
      </c>
      <c r="H425" s="32">
        <f>Source!AV316</f>
        <v>1.0469999999999999</v>
      </c>
      <c r="I425" s="35">
        <f>Source!S315</f>
        <v>238.82</v>
      </c>
      <c r="J425" s="32">
        <f>IF(Source!BA316&lt;&gt; 0, Source!BA316, 1)</f>
        <v>56.35</v>
      </c>
      <c r="K425" s="35">
        <f>Source!S316</f>
        <v>13457.51</v>
      </c>
    </row>
    <row r="426" spans="1:29" ht="14.5" x14ac:dyDescent="0.25">
      <c r="A426" s="31"/>
      <c r="B426" s="31"/>
      <c r="C426" s="31" t="s">
        <v>653</v>
      </c>
      <c r="D426" s="33"/>
      <c r="E426" s="32"/>
      <c r="F426" s="35">
        <f>Source!AM315</f>
        <v>0.06</v>
      </c>
      <c r="G426" s="36" t="s">
        <v>182</v>
      </c>
      <c r="H426" s="32">
        <f>Source!AV316</f>
        <v>1.0469999999999999</v>
      </c>
      <c r="I426" s="35">
        <f>Source!Q315</f>
        <v>0.15</v>
      </c>
      <c r="J426" s="32">
        <f>IF(Source!BB316&lt;&gt; 0, Source!BB316, 1)</f>
        <v>18.5</v>
      </c>
      <c r="K426" s="35">
        <f>Source!Q316</f>
        <v>2.78</v>
      </c>
    </row>
    <row r="427" spans="1:29" ht="14.5" x14ac:dyDescent="0.25">
      <c r="A427" s="31"/>
      <c r="B427" s="31"/>
      <c r="C427" s="31" t="s">
        <v>654</v>
      </c>
      <c r="D427" s="33"/>
      <c r="E427" s="32"/>
      <c r="F427" s="35">
        <f>Source!AN315</f>
        <v>0.01</v>
      </c>
      <c r="G427" s="36" t="s">
        <v>182</v>
      </c>
      <c r="H427" s="32">
        <f>Source!AV316</f>
        <v>1.0469999999999999</v>
      </c>
      <c r="I427" s="37">
        <f>Source!R315</f>
        <v>0.03</v>
      </c>
      <c r="J427" s="32">
        <f>IF(Source!BS316&lt;&gt; 0, Source!BS316, 1)</f>
        <v>56.35</v>
      </c>
      <c r="K427" s="37">
        <f>Source!R316</f>
        <v>1.69</v>
      </c>
    </row>
    <row r="428" spans="1:29" ht="14.5" x14ac:dyDescent="0.25">
      <c r="A428" s="31"/>
      <c r="B428" s="31"/>
      <c r="C428" s="31" t="s">
        <v>666</v>
      </c>
      <c r="D428" s="33"/>
      <c r="E428" s="32"/>
      <c r="F428" s="35">
        <f>Source!AL315</f>
        <v>12.53</v>
      </c>
      <c r="G428" s="36" t="s">
        <v>3</v>
      </c>
      <c r="H428" s="32">
        <f>Source!AW316</f>
        <v>1</v>
      </c>
      <c r="I428" s="35">
        <f>Source!P315</f>
        <v>25.06</v>
      </c>
      <c r="J428" s="32">
        <f>IF(Source!BC316&lt;&gt; 0, Source!BC316, 1)</f>
        <v>9.84</v>
      </c>
      <c r="K428" s="35">
        <f>Source!P316</f>
        <v>246.59</v>
      </c>
    </row>
    <row r="429" spans="1:29" ht="14.5" x14ac:dyDescent="0.25">
      <c r="A429" s="31"/>
      <c r="B429" s="31"/>
      <c r="C429" s="31" t="s">
        <v>655</v>
      </c>
      <c r="D429" s="33" t="s">
        <v>656</v>
      </c>
      <c r="E429" s="32">
        <f>Source!BZ316</f>
        <v>90</v>
      </c>
      <c r="F429" s="35"/>
      <c r="G429" s="34"/>
      <c r="H429" s="32"/>
      <c r="I429" s="35">
        <f>SUM(Q424:Q428)</f>
        <v>214.97</v>
      </c>
      <c r="J429" s="32">
        <f>Source!AT316</f>
        <v>90</v>
      </c>
      <c r="K429" s="35">
        <f>SUM(R424:R428)</f>
        <v>12113.28</v>
      </c>
    </row>
    <row r="430" spans="1:29" ht="14.5" x14ac:dyDescent="0.25">
      <c r="A430" s="31"/>
      <c r="B430" s="31"/>
      <c r="C430" s="31" t="s">
        <v>657</v>
      </c>
      <c r="D430" s="33" t="s">
        <v>656</v>
      </c>
      <c r="E430" s="32">
        <f>Source!CA316</f>
        <v>46</v>
      </c>
      <c r="F430" s="35"/>
      <c r="G430" s="34"/>
      <c r="H430" s="32"/>
      <c r="I430" s="35">
        <f>SUM(S424:S429)</f>
        <v>109.87</v>
      </c>
      <c r="J430" s="32">
        <f>Source!AU316</f>
        <v>46</v>
      </c>
      <c r="K430" s="35">
        <f>SUM(T424:T429)</f>
        <v>6191.23</v>
      </c>
    </row>
    <row r="431" spans="1:29" ht="14.5" x14ac:dyDescent="0.25">
      <c r="A431" s="38"/>
      <c r="B431" s="38"/>
      <c r="C431" s="38" t="s">
        <v>658</v>
      </c>
      <c r="D431" s="39" t="s">
        <v>659</v>
      </c>
      <c r="E431" s="40">
        <f>Source!AQ315</f>
        <v>7.2</v>
      </c>
      <c r="F431" s="41"/>
      <c r="G431" s="42" t="s">
        <v>182</v>
      </c>
      <c r="H431" s="40">
        <f>Source!AV316</f>
        <v>1.0469999999999999</v>
      </c>
      <c r="I431" s="41">
        <f>Source!U315</f>
        <v>18.09216</v>
      </c>
      <c r="J431" s="40"/>
      <c r="K431" s="41"/>
    </row>
    <row r="432" spans="1:29" ht="14" x14ac:dyDescent="0.25">
      <c r="C432" s="43" t="s">
        <v>660</v>
      </c>
      <c r="H432" s="70">
        <f>I425+I426+I428+I429+I430+0-0-0</f>
        <v>588.87</v>
      </c>
      <c r="I432" s="70"/>
      <c r="J432" s="70">
        <f>K425+K426+K428+K429+K430+0-0-0</f>
        <v>32011.390000000003</v>
      </c>
      <c r="K432" s="70"/>
    </row>
    <row r="433" spans="1:29" ht="14" hidden="1" x14ac:dyDescent="0.25">
      <c r="C433" s="43" t="s">
        <v>661</v>
      </c>
      <c r="H433" s="65">
        <f>0+0</f>
        <v>0</v>
      </c>
      <c r="I433" s="65"/>
      <c r="J433" s="65">
        <f>0+0</f>
        <v>0</v>
      </c>
      <c r="K433" s="65"/>
    </row>
    <row r="434" spans="1:29" ht="14" x14ac:dyDescent="0.25">
      <c r="C434" s="43" t="s">
        <v>662</v>
      </c>
      <c r="H434" s="65">
        <f>I425+I426+I428+I429+I430+0</f>
        <v>588.87</v>
      </c>
      <c r="I434" s="65"/>
      <c r="J434" s="65">
        <f>K425+K426+K428+K429+K430+0</f>
        <v>32011.390000000003</v>
      </c>
      <c r="K434" s="65"/>
      <c r="O434" s="44">
        <f>I425+I426+I428+I429+I430+0</f>
        <v>588.87</v>
      </c>
      <c r="P434" s="44">
        <f>K425+K426+K428+K429+K430+0</f>
        <v>32011.390000000003</v>
      </c>
    </row>
    <row r="436" spans="1:29" ht="82" x14ac:dyDescent="0.25">
      <c r="A436" s="52">
        <v>40</v>
      </c>
      <c r="B436" s="52" t="str">
        <f>Source!F317</f>
        <v>КА. п. 2</v>
      </c>
      <c r="C436" s="52" t="s">
        <v>667</v>
      </c>
      <c r="D436" s="53" t="str">
        <f>Source!H317</f>
        <v>шт.</v>
      </c>
      <c r="E436" s="54">
        <f>Source!I317</f>
        <v>2</v>
      </c>
      <c r="F436" s="55">
        <f>Source!AL317</f>
        <v>4851.08</v>
      </c>
      <c r="G436" s="56" t="s">
        <v>3</v>
      </c>
      <c r="H436" s="54">
        <f>Source!AW318</f>
        <v>1</v>
      </c>
      <c r="I436" s="55">
        <f>Source!P317</f>
        <v>9702.16</v>
      </c>
      <c r="J436" s="54">
        <f>IF(Source!BC318&lt;&gt; 0, Source!BC318, 1)</f>
        <v>7.57</v>
      </c>
      <c r="K436" s="55">
        <f>Source!P318</f>
        <v>73445.350000000006</v>
      </c>
      <c r="Q436">
        <f>Source!X317</f>
        <v>0</v>
      </c>
      <c r="R436">
        <f>Source!X318</f>
        <v>0</v>
      </c>
      <c r="S436">
        <f>Source!Y317</f>
        <v>0</v>
      </c>
      <c r="T436">
        <f>Source!Y318</f>
        <v>0</v>
      </c>
      <c r="U436">
        <f>ROUND((175/100)*ROUND(Source!R317, 2), 2)</f>
        <v>0</v>
      </c>
      <c r="V436">
        <f>ROUND((0/100)*ROUND(Source!R318, 2), 2)</f>
        <v>0</v>
      </c>
      <c r="AC436">
        <v>5</v>
      </c>
    </row>
    <row r="437" spans="1:29" ht="14" x14ac:dyDescent="0.25">
      <c r="A437" s="57"/>
      <c r="B437" s="57"/>
      <c r="C437" s="58" t="s">
        <v>662</v>
      </c>
      <c r="D437" s="57"/>
      <c r="E437" s="57"/>
      <c r="F437" s="57"/>
      <c r="G437" s="57"/>
      <c r="H437" s="72">
        <f>I436+0</f>
        <v>9702.16</v>
      </c>
      <c r="I437" s="72"/>
      <c r="J437" s="72">
        <f>K436+0</f>
        <v>73445.350000000006</v>
      </c>
      <c r="K437" s="72"/>
      <c r="O437" s="44">
        <f>I436+0</f>
        <v>9702.16</v>
      </c>
      <c r="P437" s="44">
        <f>K436+0</f>
        <v>73445.350000000006</v>
      </c>
    </row>
    <row r="439" spans="1:29" ht="28" x14ac:dyDescent="0.25">
      <c r="A439" s="31">
        <v>41</v>
      </c>
      <c r="B439" s="31" t="str">
        <f>Source!F323</f>
        <v>4.10-80-13</v>
      </c>
      <c r="C439" s="31" t="s">
        <v>246</v>
      </c>
      <c r="D439" s="33" t="str">
        <f>Source!H323</f>
        <v>1  ШТ.</v>
      </c>
      <c r="E439" s="32">
        <f>Source!I323</f>
        <v>2</v>
      </c>
      <c r="F439" s="35"/>
      <c r="G439" s="34"/>
      <c r="H439" s="32"/>
      <c r="I439" s="35"/>
      <c r="J439" s="32"/>
      <c r="K439" s="35"/>
      <c r="Q439">
        <f>Source!X323</f>
        <v>36.369999999999997</v>
      </c>
      <c r="R439">
        <f>Source!X324</f>
        <v>2049.39</v>
      </c>
      <c r="S439">
        <f>Source!Y323</f>
        <v>18.59</v>
      </c>
      <c r="T439">
        <f>Source!Y324</f>
        <v>1047.47</v>
      </c>
      <c r="U439">
        <f>ROUND((175/100)*ROUND(Source!R323, 2), 2)</f>
        <v>0.05</v>
      </c>
      <c r="V439">
        <f>ROUND((0/100)*ROUND(Source!R324, 2), 2)</f>
        <v>0</v>
      </c>
      <c r="AC439">
        <v>0</v>
      </c>
    </row>
    <row r="440" spans="1:29" x14ac:dyDescent="0.25">
      <c r="C440" s="45" t="str">
        <f>"Объем: "&amp;Source!I323&amp;"=1+"&amp;"1"</f>
        <v>Объем: 2=1+1</v>
      </c>
    </row>
    <row r="441" spans="1:29" ht="14.5" x14ac:dyDescent="0.25">
      <c r="A441" s="31"/>
      <c r="B441" s="31"/>
      <c r="C441" s="31" t="s">
        <v>651</v>
      </c>
      <c r="D441" s="33"/>
      <c r="E441" s="32"/>
      <c r="F441" s="35">
        <f>Source!AO323</f>
        <v>16.07</v>
      </c>
      <c r="G441" s="36" t="s">
        <v>182</v>
      </c>
      <c r="H441" s="32">
        <f>Source!AV324</f>
        <v>1.0469999999999999</v>
      </c>
      <c r="I441" s="35">
        <f>Source!S323</f>
        <v>40.380000000000003</v>
      </c>
      <c r="J441" s="32">
        <f>IF(Source!BA324&lt;&gt; 0, Source!BA324, 1)</f>
        <v>56.35</v>
      </c>
      <c r="K441" s="35">
        <f>Source!S324</f>
        <v>2275.41</v>
      </c>
    </row>
    <row r="442" spans="1:29" ht="14.5" x14ac:dyDescent="0.25">
      <c r="A442" s="31"/>
      <c r="B442" s="31"/>
      <c r="C442" s="31" t="s">
        <v>653</v>
      </c>
      <c r="D442" s="33"/>
      <c r="E442" s="32"/>
      <c r="F442" s="35">
        <f>Source!AM323</f>
        <v>0.05</v>
      </c>
      <c r="G442" s="36" t="s">
        <v>182</v>
      </c>
      <c r="H442" s="32">
        <f>Source!AV324</f>
        <v>1.0469999999999999</v>
      </c>
      <c r="I442" s="35">
        <f>Source!Q323</f>
        <v>0.13</v>
      </c>
      <c r="J442" s="32">
        <f>IF(Source!BB324&lt;&gt; 0, Source!BB324, 1)</f>
        <v>20</v>
      </c>
      <c r="K442" s="35">
        <f>Source!Q324</f>
        <v>2.6</v>
      </c>
    </row>
    <row r="443" spans="1:29" ht="14.5" x14ac:dyDescent="0.25">
      <c r="A443" s="31"/>
      <c r="B443" s="31"/>
      <c r="C443" s="31" t="s">
        <v>654</v>
      </c>
      <c r="D443" s="33"/>
      <c r="E443" s="32"/>
      <c r="F443" s="35">
        <f>Source!AN323</f>
        <v>0.01</v>
      </c>
      <c r="G443" s="36" t="s">
        <v>182</v>
      </c>
      <c r="H443" s="32">
        <f>Source!AV324</f>
        <v>1.0469999999999999</v>
      </c>
      <c r="I443" s="37">
        <f>Source!R323</f>
        <v>0.03</v>
      </c>
      <c r="J443" s="32">
        <f>IF(Source!BS324&lt;&gt; 0, Source!BS324, 1)</f>
        <v>56.35</v>
      </c>
      <c r="K443" s="37">
        <f>Source!R324</f>
        <v>1.69</v>
      </c>
    </row>
    <row r="444" spans="1:29" ht="14.5" x14ac:dyDescent="0.25">
      <c r="A444" s="31"/>
      <c r="B444" s="31"/>
      <c r="C444" s="31" t="s">
        <v>666</v>
      </c>
      <c r="D444" s="33"/>
      <c r="E444" s="32"/>
      <c r="F444" s="35">
        <f>Source!AL323</f>
        <v>1.96</v>
      </c>
      <c r="G444" s="36" t="s">
        <v>3</v>
      </c>
      <c r="H444" s="32">
        <f>Source!AW324</f>
        <v>1</v>
      </c>
      <c r="I444" s="35">
        <f>Source!P323</f>
        <v>3.92</v>
      </c>
      <c r="J444" s="32">
        <f>IF(Source!BC324&lt;&gt; 0, Source!BC324, 1)</f>
        <v>9.84</v>
      </c>
      <c r="K444" s="35">
        <f>Source!P324</f>
        <v>38.57</v>
      </c>
    </row>
    <row r="445" spans="1:29" ht="54" x14ac:dyDescent="0.25">
      <c r="A445" s="47" t="s">
        <v>281</v>
      </c>
      <c r="B445" s="47" t="str">
        <f>Source!F325</f>
        <v>КА. п. 10</v>
      </c>
      <c r="C445" s="47" t="s">
        <v>681</v>
      </c>
      <c r="D445" s="48" t="str">
        <f>Source!H325</f>
        <v>шт.</v>
      </c>
      <c r="E445" s="49">
        <f>Source!I325</f>
        <v>1</v>
      </c>
      <c r="F445" s="50">
        <f>Source!AK325</f>
        <v>898.41</v>
      </c>
      <c r="G445" s="51" t="s">
        <v>3</v>
      </c>
      <c r="H445" s="49">
        <f>Source!AW326</f>
        <v>1</v>
      </c>
      <c r="I445" s="50">
        <f>Source!O325</f>
        <v>898.41</v>
      </c>
      <c r="J445" s="49">
        <f>IF(Source!BC326&lt;&gt; 0, Source!BC326, 1)</f>
        <v>7.57</v>
      </c>
      <c r="K445" s="50">
        <f>Source!O326</f>
        <v>6800.96</v>
      </c>
      <c r="Q445">
        <f>Source!X325</f>
        <v>0</v>
      </c>
      <c r="R445">
        <f>Source!X326</f>
        <v>0</v>
      </c>
      <c r="S445">
        <f>Source!Y325</f>
        <v>0</v>
      </c>
      <c r="T445">
        <f>Source!Y326</f>
        <v>0</v>
      </c>
      <c r="U445">
        <f>ROUND((175/100)*ROUND(Source!R325, 2), 2)</f>
        <v>0</v>
      </c>
      <c r="V445">
        <f>ROUND((0/100)*ROUND(Source!R326, 2), 2)</f>
        <v>0</v>
      </c>
      <c r="AC445">
        <v>5</v>
      </c>
    </row>
    <row r="446" spans="1:29" ht="54" x14ac:dyDescent="0.25">
      <c r="A446" s="47" t="s">
        <v>285</v>
      </c>
      <c r="B446" s="47" t="str">
        <f>Source!F327</f>
        <v>КА. п. 11</v>
      </c>
      <c r="C446" s="47" t="s">
        <v>682</v>
      </c>
      <c r="D446" s="48" t="str">
        <f>Source!H327</f>
        <v>шт.</v>
      </c>
      <c r="E446" s="49">
        <f>Source!I327</f>
        <v>1</v>
      </c>
      <c r="F446" s="50">
        <f>Source!AK327</f>
        <v>2208.4499999999998</v>
      </c>
      <c r="G446" s="51" t="s">
        <v>3</v>
      </c>
      <c r="H446" s="49">
        <f>Source!AW328</f>
        <v>1</v>
      </c>
      <c r="I446" s="50">
        <f>Source!O327</f>
        <v>2208.4499999999998</v>
      </c>
      <c r="J446" s="49">
        <f>IF(Source!BC328&lt;&gt; 0, Source!BC328, 1)</f>
        <v>7.57</v>
      </c>
      <c r="K446" s="50">
        <f>Source!O328</f>
        <v>16717.97</v>
      </c>
      <c r="Q446">
        <f>Source!X327</f>
        <v>0</v>
      </c>
      <c r="R446">
        <f>Source!X328</f>
        <v>0</v>
      </c>
      <c r="S446">
        <f>Source!Y327</f>
        <v>0</v>
      </c>
      <c r="T446">
        <f>Source!Y328</f>
        <v>0</v>
      </c>
      <c r="U446">
        <f>ROUND((175/100)*ROUND(Source!R327, 2), 2)</f>
        <v>0</v>
      </c>
      <c r="V446">
        <f>ROUND((0/100)*ROUND(Source!R328, 2), 2)</f>
        <v>0</v>
      </c>
      <c r="AC446">
        <v>5</v>
      </c>
    </row>
    <row r="447" spans="1:29" ht="14.5" x14ac:dyDescent="0.25">
      <c r="A447" s="31"/>
      <c r="B447" s="31"/>
      <c r="C447" s="31" t="s">
        <v>655</v>
      </c>
      <c r="D447" s="33" t="s">
        <v>656</v>
      </c>
      <c r="E447" s="32">
        <f>Source!BZ324</f>
        <v>90</v>
      </c>
      <c r="F447" s="35"/>
      <c r="G447" s="34"/>
      <c r="H447" s="32"/>
      <c r="I447" s="35">
        <f>SUM(Q439:Q446)</f>
        <v>36.369999999999997</v>
      </c>
      <c r="J447" s="32">
        <f>Source!AT324</f>
        <v>90</v>
      </c>
      <c r="K447" s="35">
        <f>SUM(R439:R446)</f>
        <v>2049.39</v>
      </c>
    </row>
    <row r="448" spans="1:29" ht="14.5" x14ac:dyDescent="0.25">
      <c r="A448" s="31"/>
      <c r="B448" s="31"/>
      <c r="C448" s="31" t="s">
        <v>657</v>
      </c>
      <c r="D448" s="33" t="s">
        <v>656</v>
      </c>
      <c r="E448" s="32">
        <f>Source!CA324</f>
        <v>46</v>
      </c>
      <c r="F448" s="35"/>
      <c r="G448" s="34"/>
      <c r="H448" s="32"/>
      <c r="I448" s="35">
        <f>SUM(S439:S447)</f>
        <v>18.59</v>
      </c>
      <c r="J448" s="32">
        <f>Source!AU324</f>
        <v>46</v>
      </c>
      <c r="K448" s="35">
        <f>SUM(T439:T447)</f>
        <v>1047.47</v>
      </c>
    </row>
    <row r="449" spans="1:29" ht="14.5" x14ac:dyDescent="0.25">
      <c r="A449" s="38"/>
      <c r="B449" s="38"/>
      <c r="C449" s="38" t="s">
        <v>658</v>
      </c>
      <c r="D449" s="39" t="s">
        <v>659</v>
      </c>
      <c r="E449" s="40">
        <f>Source!AQ323</f>
        <v>1.2</v>
      </c>
      <c r="F449" s="41"/>
      <c r="G449" s="42" t="s">
        <v>182</v>
      </c>
      <c r="H449" s="40">
        <f>Source!AV324</f>
        <v>1.0469999999999999</v>
      </c>
      <c r="I449" s="41">
        <f>Source!U323</f>
        <v>3.0153599999999998</v>
      </c>
      <c r="J449" s="40"/>
      <c r="K449" s="41"/>
    </row>
    <row r="450" spans="1:29" ht="14" x14ac:dyDescent="0.25">
      <c r="C450" s="43" t="s">
        <v>660</v>
      </c>
      <c r="H450" s="70">
        <f>I441+I442+I444+I447+I448+SUM(I445:I446)-SUMIF(AC445:AC446, 5, I445:I446)-SUMIF(AC445:AC446, 6, I445:I446)</f>
        <v>99.389999999999873</v>
      </c>
      <c r="I450" s="70"/>
      <c r="J450" s="70">
        <f>K441+K442+K444+K447+K448+SUM(K445:K446)-SUMIF(AC445:AC446, 5, K445:K446)-SUMIF(AC445:AC446, 6, K445:K446)</f>
        <v>5413.4399999999987</v>
      </c>
      <c r="K450" s="70"/>
    </row>
    <row r="451" spans="1:29" ht="14" x14ac:dyDescent="0.25">
      <c r="C451" s="43" t="s">
        <v>661</v>
      </c>
      <c r="H451" s="65">
        <f>SUMIF(AC445:AC446, 5, I445:I446)+SUMIF(AC445:AC446, 6, I445:I446)</f>
        <v>3106.8599999999997</v>
      </c>
      <c r="I451" s="65"/>
      <c r="J451" s="65">
        <f>SUMIF(AC445:AC446, 5, K445:K446)+SUMIF(AC445:AC446, 6, K445:K446)</f>
        <v>23518.93</v>
      </c>
      <c r="K451" s="65"/>
    </row>
    <row r="452" spans="1:29" ht="14" x14ac:dyDescent="0.25">
      <c r="C452" s="43" t="s">
        <v>662</v>
      </c>
      <c r="H452" s="65">
        <f>I441+I442+I444+I447+I448+SUM(I445:I446)</f>
        <v>3206.2499999999995</v>
      </c>
      <c r="I452" s="65"/>
      <c r="J452" s="65">
        <f>K441+K442+K444+K447+K448+SUM(K445:K446)</f>
        <v>28932.37</v>
      </c>
      <c r="K452" s="65"/>
      <c r="O452" s="44">
        <f>I441+I442+I444+I447+I448+SUM(I445:I446)</f>
        <v>3206.2499999999995</v>
      </c>
      <c r="P452" s="44">
        <f>K441+K442+K444+K447+K448+SUM(K445:K446)</f>
        <v>28932.37</v>
      </c>
    </row>
    <row r="454" spans="1:29" ht="28" x14ac:dyDescent="0.25">
      <c r="A454" s="31">
        <v>42</v>
      </c>
      <c r="B454" s="31" t="str">
        <f>Source!F329</f>
        <v>4.10-167-1</v>
      </c>
      <c r="C454" s="31" t="s">
        <v>204</v>
      </c>
      <c r="D454" s="33" t="str">
        <f>Source!H329</f>
        <v>1  ШТ.</v>
      </c>
      <c r="E454" s="32">
        <f>Source!I329</f>
        <v>2</v>
      </c>
      <c r="F454" s="35"/>
      <c r="G454" s="34"/>
      <c r="H454" s="32"/>
      <c r="I454" s="35"/>
      <c r="J454" s="32"/>
      <c r="K454" s="35"/>
      <c r="Q454">
        <f>Source!X329</f>
        <v>42.83</v>
      </c>
      <c r="R454">
        <f>Source!X330</f>
        <v>2413.5300000000002</v>
      </c>
      <c r="S454">
        <f>Source!Y329</f>
        <v>21.89</v>
      </c>
      <c r="T454">
        <f>Source!Y330</f>
        <v>1233.58</v>
      </c>
      <c r="U454">
        <f>ROUND((175/100)*ROUND(Source!R329, 2), 2)</f>
        <v>0</v>
      </c>
      <c r="V454">
        <f>ROUND((0/100)*ROUND(Source!R330, 2), 2)</f>
        <v>0</v>
      </c>
      <c r="AC454">
        <v>0</v>
      </c>
    </row>
    <row r="455" spans="1:29" ht="14.5" x14ac:dyDescent="0.25">
      <c r="A455" s="31"/>
      <c r="B455" s="31"/>
      <c r="C455" s="31" t="s">
        <v>651</v>
      </c>
      <c r="D455" s="33"/>
      <c r="E455" s="32"/>
      <c r="F455" s="35">
        <f>Source!AO329</f>
        <v>18.940000000000001</v>
      </c>
      <c r="G455" s="36" t="s">
        <v>182</v>
      </c>
      <c r="H455" s="32">
        <f>Source!AV330</f>
        <v>1.0469999999999999</v>
      </c>
      <c r="I455" s="35">
        <f>Source!S329</f>
        <v>47.59</v>
      </c>
      <c r="J455" s="32">
        <f>IF(Source!BA330&lt;&gt; 0, Source!BA330, 1)</f>
        <v>56.35</v>
      </c>
      <c r="K455" s="35">
        <f>Source!S330</f>
        <v>2681.7</v>
      </c>
    </row>
    <row r="456" spans="1:29" ht="14.5" x14ac:dyDescent="0.25">
      <c r="A456" s="31"/>
      <c r="B456" s="31"/>
      <c r="C456" s="31" t="s">
        <v>653</v>
      </c>
      <c r="D456" s="33"/>
      <c r="E456" s="32"/>
      <c r="F456" s="35">
        <f>Source!AM329</f>
        <v>0.02</v>
      </c>
      <c r="G456" s="36" t="s">
        <v>182</v>
      </c>
      <c r="H456" s="32">
        <f>Source!AV330</f>
        <v>1.0469999999999999</v>
      </c>
      <c r="I456" s="35">
        <f>Source!Q329</f>
        <v>0.05</v>
      </c>
      <c r="J456" s="32">
        <f>IF(Source!BB330&lt;&gt; 0, Source!BB330, 1)</f>
        <v>11</v>
      </c>
      <c r="K456" s="35">
        <f>Source!Q330</f>
        <v>0.55000000000000004</v>
      </c>
    </row>
    <row r="457" spans="1:29" ht="14.5" x14ac:dyDescent="0.25">
      <c r="A457" s="31"/>
      <c r="B457" s="31"/>
      <c r="C457" s="31" t="s">
        <v>666</v>
      </c>
      <c r="D457" s="33"/>
      <c r="E457" s="32"/>
      <c r="F457" s="35">
        <f>Source!AL329</f>
        <v>2.34</v>
      </c>
      <c r="G457" s="36" t="s">
        <v>3</v>
      </c>
      <c r="H457" s="32">
        <f>Source!AW330</f>
        <v>1</v>
      </c>
      <c r="I457" s="35">
        <f>Source!P329</f>
        <v>4.68</v>
      </c>
      <c r="J457" s="32">
        <f>IF(Source!BC330&lt;&gt; 0, Source!BC330, 1)</f>
        <v>10.24</v>
      </c>
      <c r="K457" s="35">
        <f>Source!P330</f>
        <v>47.92</v>
      </c>
    </row>
    <row r="458" spans="1:29" ht="68" x14ac:dyDescent="0.25">
      <c r="A458" s="47" t="s">
        <v>290</v>
      </c>
      <c r="B458" s="47" t="str">
        <f>Source!F331</f>
        <v>КА. п. 5</v>
      </c>
      <c r="C458" s="47" t="s">
        <v>670</v>
      </c>
      <c r="D458" s="48" t="str">
        <f>Source!H331</f>
        <v>шт.</v>
      </c>
      <c r="E458" s="49">
        <f>Source!I331</f>
        <v>2</v>
      </c>
      <c r="F458" s="50">
        <f>Source!AK331</f>
        <v>937.47</v>
      </c>
      <c r="G458" s="51" t="s">
        <v>3</v>
      </c>
      <c r="H458" s="49">
        <f>Source!AW332</f>
        <v>1</v>
      </c>
      <c r="I458" s="50">
        <f>Source!O331</f>
        <v>1874.94</v>
      </c>
      <c r="J458" s="49">
        <f>IF(Source!BC332&lt;&gt; 0, Source!BC332, 1)</f>
        <v>7.57</v>
      </c>
      <c r="K458" s="50">
        <f>Source!O332</f>
        <v>14193.3</v>
      </c>
      <c r="Q458">
        <f>Source!X331</f>
        <v>0</v>
      </c>
      <c r="R458">
        <f>Source!X332</f>
        <v>0</v>
      </c>
      <c r="S458">
        <f>Source!Y331</f>
        <v>0</v>
      </c>
      <c r="T458">
        <f>Source!Y332</f>
        <v>0</v>
      </c>
      <c r="U458">
        <f>ROUND((175/100)*ROUND(Source!R331, 2), 2)</f>
        <v>0</v>
      </c>
      <c r="V458">
        <f>ROUND((0/100)*ROUND(Source!R332, 2), 2)</f>
        <v>0</v>
      </c>
      <c r="AC458">
        <v>5</v>
      </c>
    </row>
    <row r="459" spans="1:29" ht="14.5" x14ac:dyDescent="0.25">
      <c r="A459" s="31"/>
      <c r="B459" s="31"/>
      <c r="C459" s="31" t="s">
        <v>655</v>
      </c>
      <c r="D459" s="33" t="s">
        <v>656</v>
      </c>
      <c r="E459" s="32">
        <f>Source!BZ330</f>
        <v>90</v>
      </c>
      <c r="F459" s="35"/>
      <c r="G459" s="34"/>
      <c r="H459" s="32"/>
      <c r="I459" s="35">
        <f>SUM(Q454:Q458)</f>
        <v>42.83</v>
      </c>
      <c r="J459" s="32">
        <f>Source!AT330</f>
        <v>90</v>
      </c>
      <c r="K459" s="35">
        <f>SUM(R454:R458)</f>
        <v>2413.5300000000002</v>
      </c>
    </row>
    <row r="460" spans="1:29" ht="14.5" x14ac:dyDescent="0.25">
      <c r="A460" s="31"/>
      <c r="B460" s="31"/>
      <c r="C460" s="31" t="s">
        <v>657</v>
      </c>
      <c r="D460" s="33" t="s">
        <v>656</v>
      </c>
      <c r="E460" s="32">
        <f>Source!CA330</f>
        <v>46</v>
      </c>
      <c r="F460" s="35"/>
      <c r="G460" s="34"/>
      <c r="H460" s="32"/>
      <c r="I460" s="35">
        <f>SUM(S454:S459)</f>
        <v>21.89</v>
      </c>
      <c r="J460" s="32">
        <f>Source!AU330</f>
        <v>46</v>
      </c>
      <c r="K460" s="35">
        <f>SUM(T454:T459)</f>
        <v>1233.58</v>
      </c>
    </row>
    <row r="461" spans="1:29" ht="14.5" x14ac:dyDescent="0.25">
      <c r="A461" s="38"/>
      <c r="B461" s="38"/>
      <c r="C461" s="38" t="s">
        <v>658</v>
      </c>
      <c r="D461" s="39" t="s">
        <v>659</v>
      </c>
      <c r="E461" s="40">
        <f>Source!AQ329</f>
        <v>1.36</v>
      </c>
      <c r="F461" s="41"/>
      <c r="G461" s="42" t="s">
        <v>182</v>
      </c>
      <c r="H461" s="40">
        <f>Source!AV330</f>
        <v>1.0469999999999999</v>
      </c>
      <c r="I461" s="41">
        <f>Source!U329</f>
        <v>3.417408</v>
      </c>
      <c r="J461" s="40"/>
      <c r="K461" s="41"/>
    </row>
    <row r="462" spans="1:29" ht="14" x14ac:dyDescent="0.25">
      <c r="C462" s="43" t="s">
        <v>660</v>
      </c>
      <c r="H462" s="70">
        <f>I455+I456+I457+I459+I460+SUM(I458:I458)-SUMIF(AC458:AC458, 5, I458:I458)-SUMIF(AC458:AC458, 6, I458:I458)</f>
        <v>117.03999999999996</v>
      </c>
      <c r="I462" s="70"/>
      <c r="J462" s="70">
        <f>K455+K456+K457+K459+K460+SUM(K458:K458)-SUMIF(AC458:AC458, 5, K458:K458)-SUMIF(AC458:AC458, 6, K458:K458)</f>
        <v>6377.2800000000025</v>
      </c>
      <c r="K462" s="70"/>
    </row>
    <row r="463" spans="1:29" ht="14" x14ac:dyDescent="0.25">
      <c r="C463" s="43" t="s">
        <v>661</v>
      </c>
      <c r="H463" s="65">
        <f>SUMIF(AC458:AC458, 5, I458:I458)+SUMIF(AC458:AC458, 6, I458:I458)</f>
        <v>1874.94</v>
      </c>
      <c r="I463" s="65"/>
      <c r="J463" s="65">
        <f>SUMIF(AC458:AC458, 5, K458:K458)+SUMIF(AC458:AC458, 6, K458:K458)</f>
        <v>14193.3</v>
      </c>
      <c r="K463" s="65"/>
    </row>
    <row r="464" spans="1:29" ht="14" x14ac:dyDescent="0.25">
      <c r="C464" s="43" t="s">
        <v>662</v>
      </c>
      <c r="H464" s="65">
        <f>I455+I456+I457+I459+I460+SUM(I458:I458)</f>
        <v>1991.98</v>
      </c>
      <c r="I464" s="65"/>
      <c r="J464" s="65">
        <f>K455+K456+K457+K459+K460+SUM(K458:K458)</f>
        <v>20570.580000000002</v>
      </c>
      <c r="K464" s="65"/>
      <c r="O464" s="44">
        <f>I455+I456+I457+I459+I460+SUM(I458:I458)</f>
        <v>1991.98</v>
      </c>
      <c r="P464" s="44">
        <f>K455+K456+K457+K459+K460+SUM(K458:K458)</f>
        <v>20570.580000000002</v>
      </c>
    </row>
    <row r="467" spans="1:29" ht="14" x14ac:dyDescent="0.3">
      <c r="A467" s="67" t="str">
        <f>CONCATENATE("Итого по разделу: ",IF(Source!G334&lt;&gt;"Новый раздел", Source!G334, ""))</f>
        <v>Итого по разделу: Базовое оборудование СПА.</v>
      </c>
      <c r="B467" s="67"/>
      <c r="C467" s="67"/>
      <c r="D467" s="67"/>
      <c r="E467" s="67"/>
      <c r="F467" s="67"/>
      <c r="G467" s="67"/>
      <c r="H467" s="65">
        <f>SUM(O423:O466)</f>
        <v>15489.26</v>
      </c>
      <c r="I467" s="66"/>
      <c r="J467" s="65">
        <f>SUM(P423:P466)</f>
        <v>154959.69</v>
      </c>
      <c r="K467" s="66"/>
    </row>
    <row r="468" spans="1:29" hidden="1" x14ac:dyDescent="0.25">
      <c r="A468" t="s">
        <v>663</v>
      </c>
      <c r="I468">
        <f>SUM(W423:W467)</f>
        <v>0</v>
      </c>
      <c r="J468">
        <f>SUM(X423:X467)</f>
        <v>0</v>
      </c>
    </row>
    <row r="469" spans="1:29" hidden="1" x14ac:dyDescent="0.25">
      <c r="A469" t="s">
        <v>664</v>
      </c>
      <c r="I469">
        <f>SUM(Y423:Y468)</f>
        <v>0</v>
      </c>
      <c r="J469">
        <f>SUM(Z423:Z468)</f>
        <v>0</v>
      </c>
    </row>
    <row r="471" spans="1:29" ht="16.5" x14ac:dyDescent="0.25">
      <c r="A471" s="71" t="str">
        <f>CONCATENATE("Раздел: ",IF(Source!G364&lt;&gt;"Новый раздел", Source!G364, ""))</f>
        <v>Раздел: Оконечное оборудование СПА.</v>
      </c>
      <c r="B471" s="71"/>
      <c r="C471" s="71"/>
      <c r="D471" s="71"/>
      <c r="E471" s="71"/>
      <c r="F471" s="71"/>
      <c r="G471" s="71"/>
      <c r="H471" s="71"/>
      <c r="I471" s="71"/>
      <c r="J471" s="71"/>
      <c r="K471" s="71"/>
    </row>
    <row r="472" spans="1:29" ht="28" x14ac:dyDescent="0.25">
      <c r="A472" s="31">
        <v>43</v>
      </c>
      <c r="B472" s="31" t="str">
        <f>Source!F368</f>
        <v>4.11-3-1</v>
      </c>
      <c r="C472" s="31" t="s">
        <v>294</v>
      </c>
      <c r="D472" s="33" t="str">
        <f>Source!H368</f>
        <v>1  ШТ.</v>
      </c>
      <c r="E472" s="32">
        <f>Source!I368</f>
        <v>223</v>
      </c>
      <c r="F472" s="35"/>
      <c r="G472" s="34"/>
      <c r="H472" s="32"/>
      <c r="I472" s="35"/>
      <c r="J472" s="32"/>
      <c r="K472" s="35"/>
      <c r="Q472">
        <f>Source!X368</f>
        <v>1702.08</v>
      </c>
      <c r="R472">
        <f>Source!X369</f>
        <v>95912.21</v>
      </c>
      <c r="S472">
        <f>Source!Y368</f>
        <v>869.95</v>
      </c>
      <c r="T472">
        <f>Source!Y369</f>
        <v>49021.8</v>
      </c>
      <c r="U472">
        <f>ROUND((175/100)*ROUND(Source!R368, 2), 2)</f>
        <v>0</v>
      </c>
      <c r="V472">
        <f>ROUND((0/100)*ROUND(Source!R369, 2), 2)</f>
        <v>0</v>
      </c>
      <c r="AC472">
        <v>0</v>
      </c>
    </row>
    <row r="473" spans="1:29" ht="14.5" x14ac:dyDescent="0.25">
      <c r="A473" s="31"/>
      <c r="B473" s="31"/>
      <c r="C473" s="31" t="s">
        <v>651</v>
      </c>
      <c r="D473" s="33"/>
      <c r="E473" s="32"/>
      <c r="F473" s="35">
        <f>Source!AO368</f>
        <v>6.75</v>
      </c>
      <c r="G473" s="36" t="s">
        <v>182</v>
      </c>
      <c r="H473" s="32">
        <f>Source!AV369</f>
        <v>1.0469999999999999</v>
      </c>
      <c r="I473" s="35">
        <f>Source!S368</f>
        <v>1891.2</v>
      </c>
      <c r="J473" s="32">
        <f>IF(Source!BA369&lt;&gt; 0, Source!BA369, 1)</f>
        <v>56.35</v>
      </c>
      <c r="K473" s="35">
        <f>Source!S369</f>
        <v>106569.12</v>
      </c>
    </row>
    <row r="474" spans="1:29" ht="28" x14ac:dyDescent="0.25">
      <c r="A474" s="31" t="s">
        <v>296</v>
      </c>
      <c r="B474" s="31" t="str">
        <f>Source!F370</f>
        <v>1.1-1-60</v>
      </c>
      <c r="C474" s="31" t="s">
        <v>298</v>
      </c>
      <c r="D474" s="33" t="str">
        <f>Source!H370</f>
        <v>т</v>
      </c>
      <c r="E474" s="32">
        <f>Source!I370</f>
        <v>7.8050000000000012E-3</v>
      </c>
      <c r="F474" s="35">
        <f>Source!AK370</f>
        <v>22524.65</v>
      </c>
      <c r="G474" s="36" t="s">
        <v>3</v>
      </c>
      <c r="H474" s="32">
        <f>Source!AW371</f>
        <v>1</v>
      </c>
      <c r="I474" s="35">
        <f>Source!O370</f>
        <v>175.8</v>
      </c>
      <c r="J474" s="32">
        <f>IF(Source!BC371&lt;&gt; 0, Source!BC371, 1)</f>
        <v>5.93</v>
      </c>
      <c r="K474" s="35">
        <f>Source!O371</f>
        <v>1042.49</v>
      </c>
      <c r="Q474">
        <f>Source!X370</f>
        <v>0</v>
      </c>
      <c r="R474">
        <f>Source!X371</f>
        <v>0</v>
      </c>
      <c r="S474">
        <f>Source!Y370</f>
        <v>0</v>
      </c>
      <c r="T474">
        <f>Source!Y371</f>
        <v>0</v>
      </c>
      <c r="U474">
        <f>ROUND((175/100)*ROUND(Source!R370, 2), 2)</f>
        <v>0</v>
      </c>
      <c r="V474">
        <f>ROUND((0/100)*ROUND(Source!R371, 2), 2)</f>
        <v>0</v>
      </c>
      <c r="AC474">
        <v>3</v>
      </c>
    </row>
    <row r="475" spans="1:29" ht="14.5" x14ac:dyDescent="0.25">
      <c r="A475" s="31"/>
      <c r="B475" s="31"/>
      <c r="C475" s="31" t="s">
        <v>655</v>
      </c>
      <c r="D475" s="33" t="s">
        <v>656</v>
      </c>
      <c r="E475" s="32">
        <f>Source!BZ369</f>
        <v>90</v>
      </c>
      <c r="F475" s="35"/>
      <c r="G475" s="34"/>
      <c r="H475" s="32"/>
      <c r="I475" s="35">
        <f>SUM(Q472:Q474)</f>
        <v>1702.08</v>
      </c>
      <c r="J475" s="32">
        <f>Source!AT369</f>
        <v>90</v>
      </c>
      <c r="K475" s="35">
        <f>SUM(R472:R474)</f>
        <v>95912.21</v>
      </c>
    </row>
    <row r="476" spans="1:29" ht="14.5" x14ac:dyDescent="0.25">
      <c r="A476" s="31"/>
      <c r="B476" s="31"/>
      <c r="C476" s="31" t="s">
        <v>657</v>
      </c>
      <c r="D476" s="33" t="s">
        <v>656</v>
      </c>
      <c r="E476" s="32">
        <f>Source!CA369</f>
        <v>46</v>
      </c>
      <c r="F476" s="35"/>
      <c r="G476" s="34"/>
      <c r="H476" s="32"/>
      <c r="I476" s="35">
        <f>SUM(S472:S475)</f>
        <v>869.95</v>
      </c>
      <c r="J476" s="32">
        <f>Source!AU369</f>
        <v>46</v>
      </c>
      <c r="K476" s="35">
        <f>SUM(T472:T475)</f>
        <v>49021.8</v>
      </c>
    </row>
    <row r="477" spans="1:29" ht="14.5" x14ac:dyDescent="0.25">
      <c r="A477" s="38"/>
      <c r="B477" s="38"/>
      <c r="C477" s="38" t="s">
        <v>658</v>
      </c>
      <c r="D477" s="39" t="s">
        <v>659</v>
      </c>
      <c r="E477" s="40">
        <f>Source!AQ368</f>
        <v>0.52</v>
      </c>
      <c r="F477" s="41"/>
      <c r="G477" s="42" t="s">
        <v>182</v>
      </c>
      <c r="H477" s="40">
        <f>Source!AV369</f>
        <v>1.0469999999999999</v>
      </c>
      <c r="I477" s="41">
        <f>Source!U368</f>
        <v>145.69214399999998</v>
      </c>
      <c r="J477" s="40"/>
      <c r="K477" s="41"/>
    </row>
    <row r="478" spans="1:29" ht="14" x14ac:dyDescent="0.25">
      <c r="C478" s="43" t="s">
        <v>660</v>
      </c>
      <c r="H478" s="70">
        <f>I473+I475+I476+SUM(I474:I474)-SUMIF(AC474:AC474, 5, I474:I474)-SUMIF(AC474:AC474, 6, I474:I474)</f>
        <v>4639.03</v>
      </c>
      <c r="I478" s="70"/>
      <c r="J478" s="70">
        <f>K473+K475+K476+SUM(K474:K474)-SUMIF(AC474:AC474, 5, K474:K474)-SUMIF(AC474:AC474, 6, K474:K474)</f>
        <v>252545.62</v>
      </c>
      <c r="K478" s="70"/>
    </row>
    <row r="479" spans="1:29" ht="14" hidden="1" x14ac:dyDescent="0.25">
      <c r="C479" s="43" t="s">
        <v>661</v>
      </c>
      <c r="H479" s="65">
        <f>SUMIF(AC474:AC474, 5, I474:I474)+SUMIF(AC474:AC474, 6, I474:I474)</f>
        <v>0</v>
      </c>
      <c r="I479" s="65"/>
      <c r="J479" s="65">
        <f>SUMIF(AC474:AC474, 5, K474:K474)+SUMIF(AC474:AC474, 6, K474:K474)</f>
        <v>0</v>
      </c>
      <c r="K479" s="65"/>
    </row>
    <row r="480" spans="1:29" ht="14" x14ac:dyDescent="0.25">
      <c r="C480" s="43" t="s">
        <v>662</v>
      </c>
      <c r="H480" s="65">
        <f>I473+I475+I476+SUM(I474:I474)</f>
        <v>4639.03</v>
      </c>
      <c r="I480" s="65"/>
      <c r="J480" s="65">
        <f>K473+K475+K476+SUM(K474:K474)</f>
        <v>252545.62</v>
      </c>
      <c r="K480" s="65"/>
      <c r="O480" s="44">
        <f>I473+I475+I476+SUM(I474:I474)</f>
        <v>4639.03</v>
      </c>
      <c r="P480" s="44">
        <f>K473+K475+K476+SUM(K474:K474)</f>
        <v>252545.62</v>
      </c>
    </row>
    <row r="482" spans="1:29" ht="68" x14ac:dyDescent="0.25">
      <c r="A482" s="52">
        <v>44</v>
      </c>
      <c r="B482" s="52" t="str">
        <f>Source!F372</f>
        <v>КА. п. 12</v>
      </c>
      <c r="C482" s="52" t="s">
        <v>683</v>
      </c>
      <c r="D482" s="53" t="str">
        <f>Source!H372</f>
        <v>шт.</v>
      </c>
      <c r="E482" s="54">
        <f>Source!I372</f>
        <v>223</v>
      </c>
      <c r="F482" s="55">
        <f>Source!AL372</f>
        <v>468.39000000000004</v>
      </c>
      <c r="G482" s="56" t="s">
        <v>3</v>
      </c>
      <c r="H482" s="54">
        <f>Source!AW373</f>
        <v>1</v>
      </c>
      <c r="I482" s="55">
        <f>Source!P372</f>
        <v>104450.97</v>
      </c>
      <c r="J482" s="54">
        <f>IF(Source!BC373&lt;&gt; 0, Source!BC373, 1)</f>
        <v>7.57</v>
      </c>
      <c r="K482" s="55">
        <f>Source!P373</f>
        <v>790693.84</v>
      </c>
      <c r="Q482">
        <f>Source!X372</f>
        <v>0</v>
      </c>
      <c r="R482">
        <f>Source!X373</f>
        <v>0</v>
      </c>
      <c r="S482">
        <f>Source!Y372</f>
        <v>0</v>
      </c>
      <c r="T482">
        <f>Source!Y373</f>
        <v>0</v>
      </c>
      <c r="U482">
        <f>ROUND((175/100)*ROUND(Source!R372, 2), 2)</f>
        <v>0</v>
      </c>
      <c r="V482">
        <f>ROUND((0/100)*ROUND(Source!R373, 2), 2)</f>
        <v>0</v>
      </c>
      <c r="AC482">
        <v>5</v>
      </c>
    </row>
    <row r="483" spans="1:29" ht="14" x14ac:dyDescent="0.25">
      <c r="A483" s="57"/>
      <c r="B483" s="57"/>
      <c r="C483" s="58" t="s">
        <v>662</v>
      </c>
      <c r="D483" s="57"/>
      <c r="E483" s="57"/>
      <c r="F483" s="57"/>
      <c r="G483" s="57"/>
      <c r="H483" s="72">
        <f>I482+0</f>
        <v>104450.97</v>
      </c>
      <c r="I483" s="72"/>
      <c r="J483" s="72">
        <f>K482+0</f>
        <v>790693.84</v>
      </c>
      <c r="K483" s="72"/>
      <c r="O483" s="44">
        <f>I482+0</f>
        <v>104450.97</v>
      </c>
      <c r="P483" s="44">
        <f>K482+0</f>
        <v>790693.84</v>
      </c>
    </row>
    <row r="485" spans="1:29" ht="14.5" x14ac:dyDescent="0.25">
      <c r="A485" s="31">
        <v>45</v>
      </c>
      <c r="B485" s="31" t="str">
        <f>Source!F378</f>
        <v>4.10-76-10</v>
      </c>
      <c r="C485" s="31" t="s">
        <v>241</v>
      </c>
      <c r="D485" s="33" t="str">
        <f>Source!H378</f>
        <v>1  ШТ.</v>
      </c>
      <c r="E485" s="32">
        <f>Source!I378</f>
        <v>20</v>
      </c>
      <c r="F485" s="35"/>
      <c r="G485" s="34"/>
      <c r="H485" s="32"/>
      <c r="I485" s="35"/>
      <c r="J485" s="32"/>
      <c r="K485" s="35"/>
      <c r="Q485">
        <f>Source!X378</f>
        <v>283.83</v>
      </c>
      <c r="R485">
        <f>Source!X379</f>
        <v>15993.91</v>
      </c>
      <c r="S485">
        <f>Source!Y378</f>
        <v>158.35</v>
      </c>
      <c r="T485">
        <f>Source!Y379</f>
        <v>8922.92</v>
      </c>
      <c r="U485">
        <f>ROUND((175/100)*ROUND(Source!R378, 2), 2)</f>
        <v>0</v>
      </c>
      <c r="V485">
        <f>ROUND((0/100)*ROUND(Source!R379, 2), 2)</f>
        <v>0</v>
      </c>
      <c r="AC485">
        <v>0</v>
      </c>
    </row>
    <row r="486" spans="1:29" ht="14.5" x14ac:dyDescent="0.25">
      <c r="A486" s="31"/>
      <c r="B486" s="31"/>
      <c r="C486" s="31" t="s">
        <v>651</v>
      </c>
      <c r="D486" s="33"/>
      <c r="E486" s="32"/>
      <c r="F486" s="35">
        <f>Source!AO378</f>
        <v>11.89</v>
      </c>
      <c r="G486" s="36" t="s">
        <v>182</v>
      </c>
      <c r="H486" s="32">
        <f>Source!AV379</f>
        <v>1.0469999999999999</v>
      </c>
      <c r="I486" s="35">
        <f>Source!S378</f>
        <v>298.77</v>
      </c>
      <c r="J486" s="32">
        <f>IF(Source!BA379&lt;&gt; 0, Source!BA379, 1)</f>
        <v>56.35</v>
      </c>
      <c r="K486" s="35">
        <f>Source!S379</f>
        <v>16835.689999999999</v>
      </c>
    </row>
    <row r="487" spans="1:29" ht="14.5" x14ac:dyDescent="0.25">
      <c r="A487" s="31"/>
      <c r="B487" s="31"/>
      <c r="C487" s="31" t="s">
        <v>666</v>
      </c>
      <c r="D487" s="33"/>
      <c r="E487" s="32"/>
      <c r="F487" s="35">
        <f>Source!AL378</f>
        <v>1.67</v>
      </c>
      <c r="G487" s="36" t="s">
        <v>3</v>
      </c>
      <c r="H487" s="32">
        <f>Source!AW379</f>
        <v>1</v>
      </c>
      <c r="I487" s="35">
        <f>Source!P378</f>
        <v>33.4</v>
      </c>
      <c r="J487" s="32">
        <f>IF(Source!BC379&lt;&gt; 0, Source!BC379, 1)</f>
        <v>17.87</v>
      </c>
      <c r="K487" s="35">
        <f>Source!P379</f>
        <v>596.86</v>
      </c>
    </row>
    <row r="488" spans="1:29" ht="68" x14ac:dyDescent="0.25">
      <c r="A488" s="47" t="s">
        <v>307</v>
      </c>
      <c r="B488" s="47" t="str">
        <f>Source!F380</f>
        <v>КА. п. 13</v>
      </c>
      <c r="C488" s="47" t="s">
        <v>684</v>
      </c>
      <c r="D488" s="48" t="str">
        <f>Source!H380</f>
        <v>шт.</v>
      </c>
      <c r="E488" s="49">
        <f>Source!I380</f>
        <v>20</v>
      </c>
      <c r="F488" s="50">
        <f>Source!AK380</f>
        <v>172.66</v>
      </c>
      <c r="G488" s="51" t="s">
        <v>3</v>
      </c>
      <c r="H488" s="49">
        <f>Source!AW381</f>
        <v>1</v>
      </c>
      <c r="I488" s="50">
        <f>Source!O380</f>
        <v>3453.2</v>
      </c>
      <c r="J488" s="49">
        <f>IF(Source!BC381&lt;&gt; 0, Source!BC381, 1)</f>
        <v>7.57</v>
      </c>
      <c r="K488" s="50">
        <f>Source!O381</f>
        <v>26140.720000000001</v>
      </c>
      <c r="Q488">
        <f>Source!X380</f>
        <v>0</v>
      </c>
      <c r="R488">
        <f>Source!X381</f>
        <v>0</v>
      </c>
      <c r="S488">
        <f>Source!Y380</f>
        <v>0</v>
      </c>
      <c r="T488">
        <f>Source!Y381</f>
        <v>0</v>
      </c>
      <c r="U488">
        <f>ROUND((175/100)*ROUND(Source!R380, 2), 2)</f>
        <v>0</v>
      </c>
      <c r="V488">
        <f>ROUND((0/100)*ROUND(Source!R381, 2), 2)</f>
        <v>0</v>
      </c>
      <c r="AC488">
        <v>5</v>
      </c>
    </row>
    <row r="489" spans="1:29" ht="14.5" x14ac:dyDescent="0.25">
      <c r="A489" s="31"/>
      <c r="B489" s="31"/>
      <c r="C489" s="31" t="s">
        <v>655</v>
      </c>
      <c r="D489" s="33" t="s">
        <v>656</v>
      </c>
      <c r="E489" s="32">
        <f>Source!BZ379</f>
        <v>95</v>
      </c>
      <c r="F489" s="35"/>
      <c r="G489" s="34"/>
      <c r="H489" s="32"/>
      <c r="I489" s="35">
        <f>SUM(Q485:Q488)</f>
        <v>283.83</v>
      </c>
      <c r="J489" s="32">
        <f>Source!AT379</f>
        <v>95</v>
      </c>
      <c r="K489" s="35">
        <f>SUM(R485:R488)</f>
        <v>15993.91</v>
      </c>
    </row>
    <row r="490" spans="1:29" ht="14.5" x14ac:dyDescent="0.25">
      <c r="A490" s="31"/>
      <c r="B490" s="31"/>
      <c r="C490" s="31" t="s">
        <v>657</v>
      </c>
      <c r="D490" s="33" t="s">
        <v>656</v>
      </c>
      <c r="E490" s="32">
        <f>Source!CA379</f>
        <v>53</v>
      </c>
      <c r="F490" s="35"/>
      <c r="G490" s="34"/>
      <c r="H490" s="32"/>
      <c r="I490" s="35">
        <f>SUM(S485:S489)</f>
        <v>158.35</v>
      </c>
      <c r="J490" s="32">
        <f>Source!AU379</f>
        <v>53</v>
      </c>
      <c r="K490" s="35">
        <f>SUM(T485:T489)</f>
        <v>8922.92</v>
      </c>
    </row>
    <row r="491" spans="1:29" ht="14.5" x14ac:dyDescent="0.25">
      <c r="A491" s="38"/>
      <c r="B491" s="38"/>
      <c r="C491" s="38" t="s">
        <v>658</v>
      </c>
      <c r="D491" s="39" t="s">
        <v>659</v>
      </c>
      <c r="E491" s="40">
        <f>Source!AQ378</f>
        <v>1</v>
      </c>
      <c r="F491" s="41"/>
      <c r="G491" s="42" t="s">
        <v>182</v>
      </c>
      <c r="H491" s="40">
        <f>Source!AV379</f>
        <v>1.0469999999999999</v>
      </c>
      <c r="I491" s="41">
        <f>Source!U378</f>
        <v>25.128</v>
      </c>
      <c r="J491" s="40"/>
      <c r="K491" s="41"/>
    </row>
    <row r="492" spans="1:29" ht="14" x14ac:dyDescent="0.25">
      <c r="C492" s="43" t="s">
        <v>660</v>
      </c>
      <c r="H492" s="70">
        <f>I486+I487+I489+I490+SUM(I488:I488)-SUMIF(AC488:AC488, 5, I488:I488)-SUMIF(AC488:AC488, 6, I488:I488)</f>
        <v>774.35000000000036</v>
      </c>
      <c r="I492" s="70"/>
      <c r="J492" s="70">
        <f>K486+K487+K489+K490+SUM(K488:K488)-SUMIF(AC488:AC488, 5, K488:K488)-SUMIF(AC488:AC488, 6, K488:K488)</f>
        <v>42349.380000000005</v>
      </c>
      <c r="K492" s="70"/>
    </row>
    <row r="493" spans="1:29" ht="14" x14ac:dyDescent="0.25">
      <c r="C493" s="43" t="s">
        <v>661</v>
      </c>
      <c r="H493" s="65">
        <f>SUMIF(AC488:AC488, 5, I488:I488)+SUMIF(AC488:AC488, 6, I488:I488)</f>
        <v>3453.2</v>
      </c>
      <c r="I493" s="65"/>
      <c r="J493" s="65">
        <f>SUMIF(AC488:AC488, 5, K488:K488)+SUMIF(AC488:AC488, 6, K488:K488)</f>
        <v>26140.720000000001</v>
      </c>
      <c r="K493" s="65"/>
    </row>
    <row r="494" spans="1:29" ht="14" x14ac:dyDescent="0.25">
      <c r="C494" s="43" t="s">
        <v>662</v>
      </c>
      <c r="H494" s="65">
        <f>I486+I487+I489+I490+SUM(I488:I488)</f>
        <v>4227.55</v>
      </c>
      <c r="I494" s="65"/>
      <c r="J494" s="65">
        <f>K486+K487+K489+K490+SUM(K488:K488)</f>
        <v>68490.100000000006</v>
      </c>
      <c r="K494" s="65"/>
      <c r="O494" s="44">
        <f>I486+I487+I489+I490+SUM(I488:I488)</f>
        <v>4227.55</v>
      </c>
      <c r="P494" s="44">
        <f>K486+K487+K489+K490+SUM(K488:K488)</f>
        <v>68490.100000000006</v>
      </c>
    </row>
    <row r="496" spans="1:29" ht="28" x14ac:dyDescent="0.25">
      <c r="A496" s="31">
        <v>46</v>
      </c>
      <c r="B496" s="31" t="str">
        <f>Source!F382</f>
        <v>4.10-80-13</v>
      </c>
      <c r="C496" s="31" t="s">
        <v>246</v>
      </c>
      <c r="D496" s="33" t="str">
        <f>Source!H382</f>
        <v>1  ШТ.</v>
      </c>
      <c r="E496" s="32">
        <f>Source!I382</f>
        <v>84</v>
      </c>
      <c r="F496" s="35"/>
      <c r="G496" s="34"/>
      <c r="H496" s="32"/>
      <c r="I496" s="35"/>
      <c r="J496" s="32"/>
      <c r="K496" s="35"/>
      <c r="Q496">
        <f>Source!X382</f>
        <v>1527.35</v>
      </c>
      <c r="R496">
        <f>Source!X383</f>
        <v>86065.89</v>
      </c>
      <c r="S496">
        <f>Source!Y382</f>
        <v>780.64</v>
      </c>
      <c r="T496">
        <f>Source!Y383</f>
        <v>43989.23</v>
      </c>
      <c r="U496">
        <f>ROUND((175/100)*ROUND(Source!R382, 2), 2)</f>
        <v>1.86</v>
      </c>
      <c r="V496">
        <f>ROUND((0/100)*ROUND(Source!R383, 2), 2)</f>
        <v>0</v>
      </c>
      <c r="AC496">
        <v>0</v>
      </c>
    </row>
    <row r="497" spans="1:29" ht="14.5" x14ac:dyDescent="0.25">
      <c r="A497" s="31"/>
      <c r="B497" s="31"/>
      <c r="C497" s="31" t="s">
        <v>651</v>
      </c>
      <c r="D497" s="33"/>
      <c r="E497" s="32"/>
      <c r="F497" s="35">
        <f>Source!AO382</f>
        <v>16.07</v>
      </c>
      <c r="G497" s="36" t="s">
        <v>182</v>
      </c>
      <c r="H497" s="32">
        <f>Source!AV383</f>
        <v>1.0469999999999999</v>
      </c>
      <c r="I497" s="35">
        <f>Source!S382</f>
        <v>1695.99</v>
      </c>
      <c r="J497" s="32">
        <f>IF(Source!BA383&lt;&gt; 0, Source!BA383, 1)</f>
        <v>56.35</v>
      </c>
      <c r="K497" s="35">
        <f>Source!S383</f>
        <v>95569.04</v>
      </c>
    </row>
    <row r="498" spans="1:29" ht="14.5" x14ac:dyDescent="0.25">
      <c r="A498" s="31"/>
      <c r="B498" s="31"/>
      <c r="C498" s="31" t="s">
        <v>653</v>
      </c>
      <c r="D498" s="33"/>
      <c r="E498" s="32"/>
      <c r="F498" s="35">
        <f>Source!AM382</f>
        <v>0.05</v>
      </c>
      <c r="G498" s="36" t="s">
        <v>182</v>
      </c>
      <c r="H498" s="32">
        <f>Source!AV383</f>
        <v>1.0469999999999999</v>
      </c>
      <c r="I498" s="35">
        <f>Source!Q382</f>
        <v>5.28</v>
      </c>
      <c r="J498" s="32">
        <f>IF(Source!BB383&lt;&gt; 0, Source!BB383, 1)</f>
        <v>20</v>
      </c>
      <c r="K498" s="35">
        <f>Source!Q383</f>
        <v>105.6</v>
      </c>
    </row>
    <row r="499" spans="1:29" ht="14.5" x14ac:dyDescent="0.25">
      <c r="A499" s="31"/>
      <c r="B499" s="31"/>
      <c r="C499" s="31" t="s">
        <v>654</v>
      </c>
      <c r="D499" s="33"/>
      <c r="E499" s="32"/>
      <c r="F499" s="35">
        <f>Source!AN382</f>
        <v>0.01</v>
      </c>
      <c r="G499" s="36" t="s">
        <v>182</v>
      </c>
      <c r="H499" s="32">
        <f>Source!AV383</f>
        <v>1.0469999999999999</v>
      </c>
      <c r="I499" s="37">
        <f>Source!R382</f>
        <v>1.06</v>
      </c>
      <c r="J499" s="32">
        <f>IF(Source!BS383&lt;&gt; 0, Source!BS383, 1)</f>
        <v>56.35</v>
      </c>
      <c r="K499" s="37">
        <f>Source!R383</f>
        <v>59.73</v>
      </c>
    </row>
    <row r="500" spans="1:29" ht="14.5" x14ac:dyDescent="0.25">
      <c r="A500" s="31"/>
      <c r="B500" s="31"/>
      <c r="C500" s="31" t="s">
        <v>666</v>
      </c>
      <c r="D500" s="33"/>
      <c r="E500" s="32"/>
      <c r="F500" s="35">
        <f>Source!AL382</f>
        <v>1.96</v>
      </c>
      <c r="G500" s="36" t="s">
        <v>3</v>
      </c>
      <c r="H500" s="32">
        <f>Source!AW383</f>
        <v>1</v>
      </c>
      <c r="I500" s="35">
        <f>Source!P382</f>
        <v>164.64</v>
      </c>
      <c r="J500" s="32">
        <f>IF(Source!BC383&lt;&gt; 0, Source!BC383, 1)</f>
        <v>9.84</v>
      </c>
      <c r="K500" s="35">
        <f>Source!P383</f>
        <v>1620.06</v>
      </c>
    </row>
    <row r="501" spans="1:29" ht="54" x14ac:dyDescent="0.25">
      <c r="A501" s="47" t="s">
        <v>312</v>
      </c>
      <c r="B501" s="47" t="str">
        <f>Source!F384</f>
        <v>КА. п. 14</v>
      </c>
      <c r="C501" s="47" t="s">
        <v>685</v>
      </c>
      <c r="D501" s="48" t="str">
        <f>Source!H384</f>
        <v>шт.</v>
      </c>
      <c r="E501" s="49">
        <f>Source!I384</f>
        <v>84</v>
      </c>
      <c r="F501" s="50">
        <f>Source!AK384</f>
        <v>76.939999999999984</v>
      </c>
      <c r="G501" s="51" t="s">
        <v>3</v>
      </c>
      <c r="H501" s="49">
        <f>Source!AW385</f>
        <v>1</v>
      </c>
      <c r="I501" s="50">
        <f>Source!O384</f>
        <v>6462.96</v>
      </c>
      <c r="J501" s="49">
        <f>IF(Source!BC385&lt;&gt; 0, Source!BC385, 1)</f>
        <v>7.57</v>
      </c>
      <c r="K501" s="50">
        <f>Source!O385</f>
        <v>48924.61</v>
      </c>
      <c r="Q501">
        <f>Source!X384</f>
        <v>0</v>
      </c>
      <c r="R501">
        <f>Source!X385</f>
        <v>0</v>
      </c>
      <c r="S501">
        <f>Source!Y384</f>
        <v>0</v>
      </c>
      <c r="T501">
        <f>Source!Y385</f>
        <v>0</v>
      </c>
      <c r="U501">
        <f>ROUND((175/100)*ROUND(Source!R384, 2), 2)</f>
        <v>0</v>
      </c>
      <c r="V501">
        <f>ROUND((0/100)*ROUND(Source!R385, 2), 2)</f>
        <v>0</v>
      </c>
      <c r="AC501">
        <v>5</v>
      </c>
    </row>
    <row r="502" spans="1:29" ht="14.5" x14ac:dyDescent="0.25">
      <c r="A502" s="31"/>
      <c r="B502" s="31"/>
      <c r="C502" s="31" t="s">
        <v>655</v>
      </c>
      <c r="D502" s="33" t="s">
        <v>656</v>
      </c>
      <c r="E502" s="32">
        <f>Source!BZ383</f>
        <v>90</v>
      </c>
      <c r="F502" s="35"/>
      <c r="G502" s="34"/>
      <c r="H502" s="32"/>
      <c r="I502" s="35">
        <f>SUM(Q496:Q501)</f>
        <v>1527.35</v>
      </c>
      <c r="J502" s="32">
        <f>Source!AT383</f>
        <v>90</v>
      </c>
      <c r="K502" s="35">
        <f>SUM(R496:R501)</f>
        <v>86065.89</v>
      </c>
    </row>
    <row r="503" spans="1:29" ht="14.5" x14ac:dyDescent="0.25">
      <c r="A503" s="31"/>
      <c r="B503" s="31"/>
      <c r="C503" s="31" t="s">
        <v>657</v>
      </c>
      <c r="D503" s="33" t="s">
        <v>656</v>
      </c>
      <c r="E503" s="32">
        <f>Source!CA383</f>
        <v>46</v>
      </c>
      <c r="F503" s="35"/>
      <c r="G503" s="34"/>
      <c r="H503" s="32"/>
      <c r="I503" s="35">
        <f>SUM(S496:S502)</f>
        <v>780.64</v>
      </c>
      <c r="J503" s="32">
        <f>Source!AU383</f>
        <v>46</v>
      </c>
      <c r="K503" s="35">
        <f>SUM(T496:T502)</f>
        <v>43989.23</v>
      </c>
    </row>
    <row r="504" spans="1:29" ht="14.5" x14ac:dyDescent="0.25">
      <c r="A504" s="38"/>
      <c r="B504" s="38"/>
      <c r="C504" s="38" t="s">
        <v>658</v>
      </c>
      <c r="D504" s="39" t="s">
        <v>659</v>
      </c>
      <c r="E504" s="40">
        <f>Source!AQ382</f>
        <v>1.2</v>
      </c>
      <c r="F504" s="41"/>
      <c r="G504" s="42" t="s">
        <v>182</v>
      </c>
      <c r="H504" s="40">
        <f>Source!AV383</f>
        <v>1.0469999999999999</v>
      </c>
      <c r="I504" s="41">
        <f>Source!U382</f>
        <v>126.64511999999999</v>
      </c>
      <c r="J504" s="40"/>
      <c r="K504" s="41"/>
    </row>
    <row r="505" spans="1:29" ht="14" x14ac:dyDescent="0.25">
      <c r="C505" s="43" t="s">
        <v>660</v>
      </c>
      <c r="H505" s="70">
        <f>I497+I498+I500+I502+I503+SUM(I501:I501)-SUMIF(AC501:AC501, 5, I501:I501)-SUMIF(AC501:AC501, 6, I501:I501)</f>
        <v>4173.9000000000005</v>
      </c>
      <c r="I505" s="70"/>
      <c r="J505" s="70">
        <f>K497+K498+K500+K502+K503+SUM(K501:K501)-SUMIF(AC501:AC501, 5, K501:K501)-SUMIF(AC501:AC501, 6, K501:K501)</f>
        <v>227349.82</v>
      </c>
      <c r="K505" s="70"/>
    </row>
    <row r="506" spans="1:29" ht="14" x14ac:dyDescent="0.25">
      <c r="C506" s="43" t="s">
        <v>661</v>
      </c>
      <c r="H506" s="65">
        <f>SUMIF(AC501:AC501, 5, I501:I501)+SUMIF(AC501:AC501, 6, I501:I501)</f>
        <v>6462.96</v>
      </c>
      <c r="I506" s="65"/>
      <c r="J506" s="65">
        <f>SUMIF(AC501:AC501, 5, K501:K501)+SUMIF(AC501:AC501, 6, K501:K501)</f>
        <v>48924.61</v>
      </c>
      <c r="K506" s="65"/>
    </row>
    <row r="507" spans="1:29" ht="14" x14ac:dyDescent="0.25">
      <c r="C507" s="43" t="s">
        <v>662</v>
      </c>
      <c r="H507" s="65">
        <f>I497+I498+I500+I502+I503+SUM(I501:I501)</f>
        <v>10636.86</v>
      </c>
      <c r="I507" s="65"/>
      <c r="J507" s="65">
        <f>K497+K498+K500+K502+K503+SUM(K501:K501)</f>
        <v>276274.43</v>
      </c>
      <c r="K507" s="65"/>
      <c r="O507" s="44">
        <f>I497+I498+I500+I502+I503+SUM(I501:I501)</f>
        <v>10636.86</v>
      </c>
      <c r="P507" s="44">
        <f>K497+K498+K500+K502+K503+SUM(K501:K501)</f>
        <v>276274.43</v>
      </c>
    </row>
    <row r="509" spans="1:29" ht="14.5" x14ac:dyDescent="0.25">
      <c r="A509" s="31">
        <v>47</v>
      </c>
      <c r="B509" s="31" t="str">
        <f>Source!F386</f>
        <v>4.11-17-1</v>
      </c>
      <c r="C509" s="31" t="s">
        <v>318</v>
      </c>
      <c r="D509" s="33" t="str">
        <f>Source!H386</f>
        <v>1  ШТ.</v>
      </c>
      <c r="E509" s="32">
        <f>Source!I386</f>
        <v>15</v>
      </c>
      <c r="F509" s="35"/>
      <c r="G509" s="34"/>
      <c r="H509" s="32"/>
      <c r="I509" s="35"/>
      <c r="J509" s="32"/>
      <c r="K509" s="35"/>
      <c r="Q509">
        <f>Source!X386</f>
        <v>1020.56</v>
      </c>
      <c r="R509">
        <f>Source!X387</f>
        <v>57508.79</v>
      </c>
      <c r="S509">
        <f>Source!Y386</f>
        <v>521.62</v>
      </c>
      <c r="T509">
        <f>Source!Y387</f>
        <v>29393.38</v>
      </c>
      <c r="U509">
        <f>ROUND((175/100)*ROUND(Source!R386, 2), 2)</f>
        <v>12.53</v>
      </c>
      <c r="V509">
        <f>ROUND((0/100)*ROUND(Source!R387, 2), 2)</f>
        <v>0</v>
      </c>
      <c r="AC509">
        <v>0</v>
      </c>
    </row>
    <row r="510" spans="1:29" ht="14.5" x14ac:dyDescent="0.25">
      <c r="A510" s="31"/>
      <c r="B510" s="31"/>
      <c r="C510" s="31" t="s">
        <v>651</v>
      </c>
      <c r="D510" s="33"/>
      <c r="E510" s="32"/>
      <c r="F510" s="35">
        <f>Source!AO386</f>
        <v>59.79</v>
      </c>
      <c r="G510" s="36" t="s">
        <v>182</v>
      </c>
      <c r="H510" s="32">
        <f>Source!AV387</f>
        <v>1.0469999999999999</v>
      </c>
      <c r="I510" s="35">
        <f>Source!S386</f>
        <v>1126.8</v>
      </c>
      <c r="J510" s="32">
        <f>IF(Source!BA387&lt;&gt; 0, Source!BA387, 1)</f>
        <v>56.35</v>
      </c>
      <c r="K510" s="35">
        <f>Source!S387</f>
        <v>63495.18</v>
      </c>
    </row>
    <row r="511" spans="1:29" ht="14.5" x14ac:dyDescent="0.25">
      <c r="A511" s="31"/>
      <c r="B511" s="31"/>
      <c r="C511" s="31" t="s">
        <v>653</v>
      </c>
      <c r="D511" s="33"/>
      <c r="E511" s="32"/>
      <c r="F511" s="35">
        <f>Source!AM386</f>
        <v>4.2699999999999996</v>
      </c>
      <c r="G511" s="36" t="s">
        <v>182</v>
      </c>
      <c r="H511" s="32">
        <f>Source!AV387</f>
        <v>1.0469999999999999</v>
      </c>
      <c r="I511" s="35">
        <f>Source!Q386</f>
        <v>80.47</v>
      </c>
      <c r="J511" s="32">
        <f>IF(Source!BB387&lt;&gt; 0, Source!BB387, 1)</f>
        <v>15.26</v>
      </c>
      <c r="K511" s="35">
        <f>Source!Q387</f>
        <v>1227.97</v>
      </c>
    </row>
    <row r="512" spans="1:29" ht="14.5" x14ac:dyDescent="0.25">
      <c r="A512" s="31"/>
      <c r="B512" s="31"/>
      <c r="C512" s="31" t="s">
        <v>654</v>
      </c>
      <c r="D512" s="33"/>
      <c r="E512" s="32"/>
      <c r="F512" s="35">
        <f>Source!AN386</f>
        <v>0.38</v>
      </c>
      <c r="G512" s="36" t="s">
        <v>182</v>
      </c>
      <c r="H512" s="32">
        <f>Source!AV387</f>
        <v>1.0469999999999999</v>
      </c>
      <c r="I512" s="37">
        <f>Source!R386</f>
        <v>7.16</v>
      </c>
      <c r="J512" s="32">
        <f>IF(Source!BS387&lt;&gt; 0, Source!BS387, 1)</f>
        <v>56.35</v>
      </c>
      <c r="K512" s="37">
        <f>Source!R387</f>
        <v>403.47</v>
      </c>
    </row>
    <row r="513" spans="1:29" ht="14.5" x14ac:dyDescent="0.25">
      <c r="A513" s="31"/>
      <c r="B513" s="31"/>
      <c r="C513" s="31" t="s">
        <v>666</v>
      </c>
      <c r="D513" s="33"/>
      <c r="E513" s="32"/>
      <c r="F513" s="35">
        <f>Source!AL386</f>
        <v>89.36</v>
      </c>
      <c r="G513" s="36" t="s">
        <v>3</v>
      </c>
      <c r="H513" s="32">
        <f>Source!AW387</f>
        <v>1</v>
      </c>
      <c r="I513" s="35">
        <f>Source!P386</f>
        <v>1340.4</v>
      </c>
      <c r="J513" s="32">
        <f>IF(Source!BC387&lt;&gt; 0, Source!BC387, 1)</f>
        <v>4.5</v>
      </c>
      <c r="K513" s="35">
        <f>Source!P387</f>
        <v>6031.8</v>
      </c>
    </row>
    <row r="514" spans="1:29" ht="14.5" x14ac:dyDescent="0.25">
      <c r="A514" s="31"/>
      <c r="B514" s="31"/>
      <c r="C514" s="31" t="s">
        <v>655</v>
      </c>
      <c r="D514" s="33" t="s">
        <v>656</v>
      </c>
      <c r="E514" s="32">
        <f>Source!BZ387</f>
        <v>90</v>
      </c>
      <c r="F514" s="35"/>
      <c r="G514" s="34"/>
      <c r="H514" s="32"/>
      <c r="I514" s="35">
        <f>SUM(Q509:Q513)</f>
        <v>1020.56</v>
      </c>
      <c r="J514" s="32">
        <f>Source!AT387</f>
        <v>90</v>
      </c>
      <c r="K514" s="35">
        <f>SUM(R509:R513)</f>
        <v>57508.79</v>
      </c>
    </row>
    <row r="515" spans="1:29" ht="14.5" x14ac:dyDescent="0.25">
      <c r="A515" s="31"/>
      <c r="B515" s="31"/>
      <c r="C515" s="31" t="s">
        <v>657</v>
      </c>
      <c r="D515" s="33" t="s">
        <v>656</v>
      </c>
      <c r="E515" s="32">
        <f>Source!CA387</f>
        <v>46</v>
      </c>
      <c r="F515" s="35"/>
      <c r="G515" s="34"/>
      <c r="H515" s="32"/>
      <c r="I515" s="35">
        <f>SUM(S509:S514)</f>
        <v>521.62</v>
      </c>
      <c r="J515" s="32">
        <f>Source!AU387</f>
        <v>46</v>
      </c>
      <c r="K515" s="35">
        <f>SUM(T509:T514)</f>
        <v>29393.38</v>
      </c>
    </row>
    <row r="516" spans="1:29" ht="14.5" x14ac:dyDescent="0.25">
      <c r="A516" s="38"/>
      <c r="B516" s="38"/>
      <c r="C516" s="38" t="s">
        <v>658</v>
      </c>
      <c r="D516" s="39" t="s">
        <v>659</v>
      </c>
      <c r="E516" s="40">
        <f>Source!AQ386</f>
        <v>5.15</v>
      </c>
      <c r="F516" s="41"/>
      <c r="G516" s="42" t="s">
        <v>182</v>
      </c>
      <c r="H516" s="40">
        <f>Source!AV387</f>
        <v>1.0469999999999999</v>
      </c>
      <c r="I516" s="41">
        <f>Source!U386</f>
        <v>97.056899999999999</v>
      </c>
      <c r="J516" s="40"/>
      <c r="K516" s="41"/>
    </row>
    <row r="517" spans="1:29" ht="14" x14ac:dyDescent="0.25">
      <c r="C517" s="43" t="s">
        <v>660</v>
      </c>
      <c r="H517" s="70">
        <f>I510+I511+I513+I514+I515+0-0-0</f>
        <v>4089.85</v>
      </c>
      <c r="I517" s="70"/>
      <c r="J517" s="70">
        <f>K510+K511+K513+K514+K515+0-0-0</f>
        <v>157657.12</v>
      </c>
      <c r="K517" s="70"/>
    </row>
    <row r="518" spans="1:29" ht="14" hidden="1" x14ac:dyDescent="0.25">
      <c r="C518" s="43" t="s">
        <v>661</v>
      </c>
      <c r="H518" s="65">
        <f>0+0</f>
        <v>0</v>
      </c>
      <c r="I518" s="65"/>
      <c r="J518" s="65">
        <f>0+0</f>
        <v>0</v>
      </c>
      <c r="K518" s="65"/>
    </row>
    <row r="519" spans="1:29" ht="14" x14ac:dyDescent="0.25">
      <c r="C519" s="43" t="s">
        <v>662</v>
      </c>
      <c r="H519" s="65">
        <f>I510+I511+I513+I514+I515+0</f>
        <v>4089.85</v>
      </c>
      <c r="I519" s="65"/>
      <c r="J519" s="65">
        <f>K510+K511+K513+K514+K515+0</f>
        <v>157657.12</v>
      </c>
      <c r="K519" s="65"/>
      <c r="O519" s="44">
        <f>I510+I511+I513+I514+I515+0</f>
        <v>4089.85</v>
      </c>
      <c r="P519" s="44">
        <f>K510+K511+K513+K514+K515+0</f>
        <v>157657.12</v>
      </c>
    </row>
    <row r="521" spans="1:29" ht="82" x14ac:dyDescent="0.25">
      <c r="A521" s="52">
        <v>48</v>
      </c>
      <c r="B521" s="52" t="str">
        <f>Source!F388</f>
        <v>КА. п. 15</v>
      </c>
      <c r="C521" s="52" t="s">
        <v>686</v>
      </c>
      <c r="D521" s="53" t="str">
        <f>Source!H388</f>
        <v>шт.</v>
      </c>
      <c r="E521" s="54">
        <f>Source!I388</f>
        <v>1</v>
      </c>
      <c r="F521" s="55">
        <f>Source!AL388</f>
        <v>5689.5700000000006</v>
      </c>
      <c r="G521" s="56" t="s">
        <v>3</v>
      </c>
      <c r="H521" s="54">
        <f>Source!AW389</f>
        <v>1</v>
      </c>
      <c r="I521" s="55">
        <f>Source!P388</f>
        <v>5689.57</v>
      </c>
      <c r="J521" s="54">
        <f>IF(Source!BC389&lt;&gt; 0, Source!BC389, 1)</f>
        <v>7.57</v>
      </c>
      <c r="K521" s="55">
        <f>Source!P389</f>
        <v>43070.04</v>
      </c>
      <c r="Q521">
        <f>Source!X388</f>
        <v>0</v>
      </c>
      <c r="R521">
        <f>Source!X389</f>
        <v>0</v>
      </c>
      <c r="S521">
        <f>Source!Y388</f>
        <v>0</v>
      </c>
      <c r="T521">
        <f>Source!Y389</f>
        <v>0</v>
      </c>
      <c r="U521">
        <f>ROUND((175/100)*ROUND(Source!R388, 2), 2)</f>
        <v>0</v>
      </c>
      <c r="V521">
        <f>ROUND((0/100)*ROUND(Source!R389, 2), 2)</f>
        <v>0</v>
      </c>
      <c r="AC521">
        <v>5</v>
      </c>
    </row>
    <row r="522" spans="1:29" ht="14" x14ac:dyDescent="0.25">
      <c r="A522" s="57"/>
      <c r="B522" s="57"/>
      <c r="C522" s="58" t="s">
        <v>662</v>
      </c>
      <c r="D522" s="57"/>
      <c r="E522" s="57"/>
      <c r="F522" s="57"/>
      <c r="G522" s="57"/>
      <c r="H522" s="72">
        <f>I521+0</f>
        <v>5689.57</v>
      </c>
      <c r="I522" s="72"/>
      <c r="J522" s="72">
        <f>K521+0</f>
        <v>43070.04</v>
      </c>
      <c r="K522" s="72"/>
      <c r="O522" s="44">
        <f>I521+0</f>
        <v>5689.57</v>
      </c>
      <c r="P522" s="44">
        <f>K521+0</f>
        <v>43070.04</v>
      </c>
    </row>
    <row r="524" spans="1:29" ht="82" x14ac:dyDescent="0.25">
      <c r="A524" s="52">
        <v>49</v>
      </c>
      <c r="B524" s="52" t="str">
        <f>Source!F390</f>
        <v>КА. п. 16</v>
      </c>
      <c r="C524" s="52" t="s">
        <v>687</v>
      </c>
      <c r="D524" s="53" t="str">
        <f>Source!H390</f>
        <v>шт.</v>
      </c>
      <c r="E524" s="54">
        <f>Source!I390</f>
        <v>8</v>
      </c>
      <c r="F524" s="55">
        <f>Source!AL390</f>
        <v>6283.2300000000005</v>
      </c>
      <c r="G524" s="56" t="s">
        <v>3</v>
      </c>
      <c r="H524" s="54">
        <f>Source!AW391</f>
        <v>1</v>
      </c>
      <c r="I524" s="55">
        <f>Source!P390</f>
        <v>50265.84</v>
      </c>
      <c r="J524" s="54">
        <f>IF(Source!BC391&lt;&gt; 0, Source!BC391, 1)</f>
        <v>7.57</v>
      </c>
      <c r="K524" s="55">
        <f>Source!P391</f>
        <v>380512.41</v>
      </c>
      <c r="Q524">
        <f>Source!X390</f>
        <v>0</v>
      </c>
      <c r="R524">
        <f>Source!X391</f>
        <v>0</v>
      </c>
      <c r="S524">
        <f>Source!Y390</f>
        <v>0</v>
      </c>
      <c r="T524">
        <f>Source!Y391</f>
        <v>0</v>
      </c>
      <c r="U524">
        <f>ROUND((175/100)*ROUND(Source!R390, 2), 2)</f>
        <v>0</v>
      </c>
      <c r="V524">
        <f>ROUND((0/100)*ROUND(Source!R391, 2), 2)</f>
        <v>0</v>
      </c>
      <c r="AC524">
        <v>5</v>
      </c>
    </row>
    <row r="525" spans="1:29" ht="14" x14ac:dyDescent="0.25">
      <c r="A525" s="57"/>
      <c r="B525" s="57"/>
      <c r="C525" s="58" t="s">
        <v>662</v>
      </c>
      <c r="D525" s="57"/>
      <c r="E525" s="57"/>
      <c r="F525" s="57"/>
      <c r="G525" s="57"/>
      <c r="H525" s="72">
        <f>I524+0</f>
        <v>50265.84</v>
      </c>
      <c r="I525" s="72"/>
      <c r="J525" s="72">
        <f>K524+0</f>
        <v>380512.41</v>
      </c>
      <c r="K525" s="72"/>
      <c r="O525" s="44">
        <f>I524+0</f>
        <v>50265.84</v>
      </c>
      <c r="P525" s="44">
        <f>K524+0</f>
        <v>380512.41</v>
      </c>
    </row>
    <row r="527" spans="1:29" ht="68" x14ac:dyDescent="0.25">
      <c r="A527" s="52">
        <v>50</v>
      </c>
      <c r="B527" s="52" t="str">
        <f>Source!F392</f>
        <v>КА. п. 17</v>
      </c>
      <c r="C527" s="52" t="s">
        <v>688</v>
      </c>
      <c r="D527" s="53" t="str">
        <f>Source!H392</f>
        <v>шт.</v>
      </c>
      <c r="E527" s="54">
        <f>Source!I392</f>
        <v>3</v>
      </c>
      <c r="F527" s="55">
        <f>Source!AL392</f>
        <v>16017.92</v>
      </c>
      <c r="G527" s="56" t="s">
        <v>3</v>
      </c>
      <c r="H527" s="54">
        <f>Source!AW393</f>
        <v>1</v>
      </c>
      <c r="I527" s="55">
        <f>Source!P392</f>
        <v>48053.760000000002</v>
      </c>
      <c r="J527" s="54">
        <f>IF(Source!BC393&lt;&gt; 0, Source!BC393, 1)</f>
        <v>7.57</v>
      </c>
      <c r="K527" s="55">
        <f>Source!P393</f>
        <v>363766.96</v>
      </c>
      <c r="Q527">
        <f>Source!X392</f>
        <v>0</v>
      </c>
      <c r="R527">
        <f>Source!X393</f>
        <v>0</v>
      </c>
      <c r="S527">
        <f>Source!Y392</f>
        <v>0</v>
      </c>
      <c r="T527">
        <f>Source!Y393</f>
        <v>0</v>
      </c>
      <c r="U527">
        <f>ROUND((175/100)*ROUND(Source!R392, 2), 2)</f>
        <v>0</v>
      </c>
      <c r="V527">
        <f>ROUND((0/100)*ROUND(Source!R393, 2), 2)</f>
        <v>0</v>
      </c>
      <c r="AC527">
        <v>5</v>
      </c>
    </row>
    <row r="528" spans="1:29" ht="14" x14ac:dyDescent="0.25">
      <c r="A528" s="57"/>
      <c r="B528" s="57"/>
      <c r="C528" s="58" t="s">
        <v>662</v>
      </c>
      <c r="D528" s="57"/>
      <c r="E528" s="57"/>
      <c r="F528" s="57"/>
      <c r="G528" s="57"/>
      <c r="H528" s="72">
        <f>I527+0</f>
        <v>48053.760000000002</v>
      </c>
      <c r="I528" s="72"/>
      <c r="J528" s="72">
        <f>K527+0</f>
        <v>363766.96</v>
      </c>
      <c r="K528" s="72"/>
      <c r="O528" s="44">
        <f>I527+0</f>
        <v>48053.760000000002</v>
      </c>
      <c r="P528" s="44">
        <f>K527+0</f>
        <v>363766.96</v>
      </c>
    </row>
    <row r="530" spans="1:29" ht="68" x14ac:dyDescent="0.25">
      <c r="A530" s="52">
        <v>51</v>
      </c>
      <c r="B530" s="52" t="str">
        <f>Source!F394</f>
        <v>КА. п. 18</v>
      </c>
      <c r="C530" s="52" t="s">
        <v>689</v>
      </c>
      <c r="D530" s="53" t="str">
        <f>Source!H394</f>
        <v>шт.</v>
      </c>
      <c r="E530" s="54">
        <f>Source!I394</f>
        <v>2</v>
      </c>
      <c r="F530" s="55">
        <f>Source!AL394</f>
        <v>29859.18</v>
      </c>
      <c r="G530" s="56" t="s">
        <v>3</v>
      </c>
      <c r="H530" s="54">
        <f>Source!AW395</f>
        <v>1</v>
      </c>
      <c r="I530" s="55">
        <f>Source!P394</f>
        <v>59718.36</v>
      </c>
      <c r="J530" s="54">
        <f>IF(Source!BC395&lt;&gt; 0, Source!BC395, 1)</f>
        <v>7.57</v>
      </c>
      <c r="K530" s="55">
        <f>Source!P395</f>
        <v>452067.99</v>
      </c>
      <c r="Q530">
        <f>Source!X394</f>
        <v>0</v>
      </c>
      <c r="R530">
        <f>Source!X395</f>
        <v>0</v>
      </c>
      <c r="S530">
        <f>Source!Y394</f>
        <v>0</v>
      </c>
      <c r="T530">
        <f>Source!Y395</f>
        <v>0</v>
      </c>
      <c r="U530">
        <f>ROUND((175/100)*ROUND(Source!R394, 2), 2)</f>
        <v>0</v>
      </c>
      <c r="V530">
        <f>ROUND((0/100)*ROUND(Source!R395, 2), 2)</f>
        <v>0</v>
      </c>
      <c r="AC530">
        <v>5</v>
      </c>
    </row>
    <row r="531" spans="1:29" ht="14" x14ac:dyDescent="0.25">
      <c r="A531" s="57"/>
      <c r="B531" s="57"/>
      <c r="C531" s="58" t="s">
        <v>662</v>
      </c>
      <c r="D531" s="57"/>
      <c r="E531" s="57"/>
      <c r="F531" s="57"/>
      <c r="G531" s="57"/>
      <c r="H531" s="72">
        <f>I530+0</f>
        <v>59718.36</v>
      </c>
      <c r="I531" s="72"/>
      <c r="J531" s="72">
        <f>K530+0</f>
        <v>452067.99</v>
      </c>
      <c r="K531" s="72"/>
      <c r="O531" s="44">
        <f>I530+0</f>
        <v>59718.36</v>
      </c>
      <c r="P531" s="44">
        <f>K530+0</f>
        <v>452067.99</v>
      </c>
    </row>
    <row r="533" spans="1:29" ht="68" x14ac:dyDescent="0.25">
      <c r="A533" s="52">
        <v>52</v>
      </c>
      <c r="B533" s="52" t="str">
        <f>Source!F396</f>
        <v>КА. п. 19</v>
      </c>
      <c r="C533" s="52" t="s">
        <v>690</v>
      </c>
      <c r="D533" s="53" t="str">
        <f>Source!H396</f>
        <v>шт.</v>
      </c>
      <c r="E533" s="54">
        <f>Source!I396</f>
        <v>1</v>
      </c>
      <c r="F533" s="55">
        <f>Source!AL396</f>
        <v>4175.93</v>
      </c>
      <c r="G533" s="56" t="s">
        <v>3</v>
      </c>
      <c r="H533" s="54">
        <f>Source!AW397</f>
        <v>1</v>
      </c>
      <c r="I533" s="55">
        <f>Source!P396</f>
        <v>4175.93</v>
      </c>
      <c r="J533" s="54">
        <f>IF(Source!BC397&lt;&gt; 0, Source!BC397, 1)</f>
        <v>7.57</v>
      </c>
      <c r="K533" s="55">
        <f>Source!P397</f>
        <v>31611.79</v>
      </c>
      <c r="Q533">
        <f>Source!X396</f>
        <v>0</v>
      </c>
      <c r="R533">
        <f>Source!X397</f>
        <v>0</v>
      </c>
      <c r="S533">
        <f>Source!Y396</f>
        <v>0</v>
      </c>
      <c r="T533">
        <f>Source!Y397</f>
        <v>0</v>
      </c>
      <c r="U533">
        <f>ROUND((175/100)*ROUND(Source!R396, 2), 2)</f>
        <v>0</v>
      </c>
      <c r="V533">
        <f>ROUND((0/100)*ROUND(Source!R397, 2), 2)</f>
        <v>0</v>
      </c>
      <c r="AC533">
        <v>5</v>
      </c>
    </row>
    <row r="534" spans="1:29" ht="14" x14ac:dyDescent="0.25">
      <c r="A534" s="57"/>
      <c r="B534" s="57"/>
      <c r="C534" s="58" t="s">
        <v>662</v>
      </c>
      <c r="D534" s="57"/>
      <c r="E534" s="57"/>
      <c r="F534" s="57"/>
      <c r="G534" s="57"/>
      <c r="H534" s="72">
        <f>I533+0</f>
        <v>4175.93</v>
      </c>
      <c r="I534" s="72"/>
      <c r="J534" s="72">
        <f>K533+0</f>
        <v>31611.79</v>
      </c>
      <c r="K534" s="72"/>
      <c r="O534" s="44">
        <f>I533+0</f>
        <v>4175.93</v>
      </c>
      <c r="P534" s="44">
        <f>K533+0</f>
        <v>31611.79</v>
      </c>
    </row>
    <row r="536" spans="1:29" ht="28" x14ac:dyDescent="0.25">
      <c r="A536" s="31">
        <v>53</v>
      </c>
      <c r="B536" s="31" t="str">
        <f>Source!F410</f>
        <v>4.10-80-12</v>
      </c>
      <c r="C536" s="31" t="s">
        <v>342</v>
      </c>
      <c r="D536" s="33" t="str">
        <f>Source!H410</f>
        <v>1  ШТ.</v>
      </c>
      <c r="E536" s="32">
        <f>Source!I410</f>
        <v>25</v>
      </c>
      <c r="F536" s="35"/>
      <c r="G536" s="34"/>
      <c r="H536" s="32"/>
      <c r="I536" s="35"/>
      <c r="J536" s="32"/>
      <c r="K536" s="35"/>
      <c r="Q536">
        <f>Source!X410</f>
        <v>921</v>
      </c>
      <c r="R536">
        <f>Source!X411</f>
        <v>51898.19</v>
      </c>
      <c r="S536">
        <f>Source!Y410</f>
        <v>470.73</v>
      </c>
      <c r="T536">
        <f>Source!Y411</f>
        <v>26525.74</v>
      </c>
      <c r="U536">
        <f>ROUND((175/100)*ROUND(Source!R410, 2), 2)</f>
        <v>0.54</v>
      </c>
      <c r="V536">
        <f>ROUND((0/100)*ROUND(Source!R411, 2), 2)</f>
        <v>0</v>
      </c>
      <c r="AC536">
        <v>0</v>
      </c>
    </row>
    <row r="537" spans="1:29" x14ac:dyDescent="0.25">
      <c r="C537" s="45" t="str">
        <f>"Объем: "&amp;Source!I410&amp;"=24+"&amp;"1"</f>
        <v>Объем: 25=24+1</v>
      </c>
    </row>
    <row r="538" spans="1:29" ht="14.5" x14ac:dyDescent="0.25">
      <c r="A538" s="31"/>
      <c r="B538" s="31"/>
      <c r="C538" s="31" t="s">
        <v>651</v>
      </c>
      <c r="D538" s="33"/>
      <c r="E538" s="32"/>
      <c r="F538" s="35">
        <f>Source!AO410</f>
        <v>32.57</v>
      </c>
      <c r="G538" s="36" t="s">
        <v>182</v>
      </c>
      <c r="H538" s="32">
        <f>Source!AV411</f>
        <v>1.0469999999999999</v>
      </c>
      <c r="I538" s="35">
        <f>Source!S410</f>
        <v>1023.02</v>
      </c>
      <c r="J538" s="32">
        <f>IF(Source!BA411&lt;&gt; 0, Source!BA411, 1)</f>
        <v>56.35</v>
      </c>
      <c r="K538" s="35">
        <f>Source!S411</f>
        <v>57647.18</v>
      </c>
    </row>
    <row r="539" spans="1:29" ht="14.5" x14ac:dyDescent="0.25">
      <c r="A539" s="31"/>
      <c r="B539" s="31"/>
      <c r="C539" s="31" t="s">
        <v>653</v>
      </c>
      <c r="D539" s="33"/>
      <c r="E539" s="32"/>
      <c r="F539" s="35">
        <f>Source!AM410</f>
        <v>0.05</v>
      </c>
      <c r="G539" s="36" t="s">
        <v>182</v>
      </c>
      <c r="H539" s="32">
        <f>Source!AV411</f>
        <v>1.0469999999999999</v>
      </c>
      <c r="I539" s="35">
        <f>Source!Q410</f>
        <v>1.57</v>
      </c>
      <c r="J539" s="32">
        <f>IF(Source!BB411&lt;&gt; 0, Source!BB411, 1)</f>
        <v>20</v>
      </c>
      <c r="K539" s="35">
        <f>Source!Q411</f>
        <v>31.4</v>
      </c>
    </row>
    <row r="540" spans="1:29" ht="14.5" x14ac:dyDescent="0.25">
      <c r="A540" s="31"/>
      <c r="B540" s="31"/>
      <c r="C540" s="31" t="s">
        <v>654</v>
      </c>
      <c r="D540" s="33"/>
      <c r="E540" s="32"/>
      <c r="F540" s="35">
        <f>Source!AN410</f>
        <v>0.01</v>
      </c>
      <c r="G540" s="36" t="s">
        <v>182</v>
      </c>
      <c r="H540" s="32">
        <f>Source!AV411</f>
        <v>1.0469999999999999</v>
      </c>
      <c r="I540" s="37">
        <f>Source!R410</f>
        <v>0.31</v>
      </c>
      <c r="J540" s="32">
        <f>IF(Source!BS411&lt;&gt; 0, Source!BS411, 1)</f>
        <v>56.35</v>
      </c>
      <c r="K540" s="37">
        <f>Source!R411</f>
        <v>17.47</v>
      </c>
    </row>
    <row r="541" spans="1:29" ht="14.5" x14ac:dyDescent="0.25">
      <c r="A541" s="31"/>
      <c r="B541" s="31"/>
      <c r="C541" s="31" t="s">
        <v>666</v>
      </c>
      <c r="D541" s="33"/>
      <c r="E541" s="32"/>
      <c r="F541" s="35">
        <f>Source!AL410</f>
        <v>3.71</v>
      </c>
      <c r="G541" s="36" t="s">
        <v>3</v>
      </c>
      <c r="H541" s="32">
        <f>Source!AW411</f>
        <v>1</v>
      </c>
      <c r="I541" s="35">
        <f>Source!P410</f>
        <v>92.75</v>
      </c>
      <c r="J541" s="32">
        <f>IF(Source!BC411&lt;&gt; 0, Source!BC411, 1)</f>
        <v>9.84</v>
      </c>
      <c r="K541" s="35">
        <f>Source!P411</f>
        <v>912.66</v>
      </c>
    </row>
    <row r="542" spans="1:29" ht="27" x14ac:dyDescent="0.25">
      <c r="A542" s="31" t="s">
        <v>343</v>
      </c>
      <c r="B542" s="31" t="str">
        <f>Source!F412</f>
        <v>КА. п. 20</v>
      </c>
      <c r="C542" s="31" t="s">
        <v>691</v>
      </c>
      <c r="D542" s="33" t="str">
        <f>Source!H412</f>
        <v>шт.</v>
      </c>
      <c r="E542" s="32">
        <f>Source!I412</f>
        <v>24</v>
      </c>
      <c r="F542" s="35">
        <f>Source!AK412</f>
        <v>142.99</v>
      </c>
      <c r="G542" s="36" t="s">
        <v>3</v>
      </c>
      <c r="H542" s="32">
        <f>Source!AW413</f>
        <v>1</v>
      </c>
      <c r="I542" s="35">
        <f>Source!O412</f>
        <v>3431.76</v>
      </c>
      <c r="J542" s="32">
        <f>IF(Source!BC413&lt;&gt; 0, Source!BC413, 1)</f>
        <v>9.84</v>
      </c>
      <c r="K542" s="35">
        <f>Source!O413</f>
        <v>33768.519999999997</v>
      </c>
      <c r="Q542">
        <f>Source!X412</f>
        <v>0</v>
      </c>
      <c r="R542">
        <f>Source!X413</f>
        <v>0</v>
      </c>
      <c r="S542">
        <f>Source!Y412</f>
        <v>0</v>
      </c>
      <c r="T542">
        <f>Source!Y413</f>
        <v>0</v>
      </c>
      <c r="U542">
        <f>ROUND((175/100)*ROUND(Source!R412, 2), 2)</f>
        <v>0</v>
      </c>
      <c r="V542">
        <f>ROUND((0/100)*ROUND(Source!R413, 2), 2)</f>
        <v>0</v>
      </c>
      <c r="AC542">
        <v>3</v>
      </c>
    </row>
    <row r="543" spans="1:29" ht="27" x14ac:dyDescent="0.25">
      <c r="A543" s="31" t="s">
        <v>348</v>
      </c>
      <c r="B543" s="31" t="str">
        <f>Source!F414</f>
        <v>КА. п. 21</v>
      </c>
      <c r="C543" s="31" t="s">
        <v>692</v>
      </c>
      <c r="D543" s="33" t="str">
        <f>Source!H414</f>
        <v>шт.</v>
      </c>
      <c r="E543" s="32">
        <f>Source!I414</f>
        <v>1</v>
      </c>
      <c r="F543" s="35">
        <f>Source!AK414</f>
        <v>80.039999999999992</v>
      </c>
      <c r="G543" s="36" t="s">
        <v>3</v>
      </c>
      <c r="H543" s="32">
        <f>Source!AW415</f>
        <v>1</v>
      </c>
      <c r="I543" s="35">
        <f>Source!O414</f>
        <v>80.040000000000006</v>
      </c>
      <c r="J543" s="32">
        <f>IF(Source!BC415&lt;&gt; 0, Source!BC415, 1)</f>
        <v>9.84</v>
      </c>
      <c r="K543" s="35">
        <f>Source!O415</f>
        <v>787.59</v>
      </c>
      <c r="Q543">
        <f>Source!X414</f>
        <v>0</v>
      </c>
      <c r="R543">
        <f>Source!X415</f>
        <v>0</v>
      </c>
      <c r="S543">
        <f>Source!Y414</f>
        <v>0</v>
      </c>
      <c r="T543">
        <f>Source!Y415</f>
        <v>0</v>
      </c>
      <c r="U543">
        <f>ROUND((175/100)*ROUND(Source!R414, 2), 2)</f>
        <v>0</v>
      </c>
      <c r="V543">
        <f>ROUND((0/100)*ROUND(Source!R415, 2), 2)</f>
        <v>0</v>
      </c>
      <c r="AC543">
        <v>3</v>
      </c>
    </row>
    <row r="544" spans="1:29" ht="14.5" x14ac:dyDescent="0.25">
      <c r="A544" s="31"/>
      <c r="B544" s="31"/>
      <c r="C544" s="31" t="s">
        <v>655</v>
      </c>
      <c r="D544" s="33" t="s">
        <v>656</v>
      </c>
      <c r="E544" s="32">
        <f>Source!BZ411</f>
        <v>90</v>
      </c>
      <c r="F544" s="35"/>
      <c r="G544" s="34"/>
      <c r="H544" s="32"/>
      <c r="I544" s="35">
        <f>SUM(Q536:Q543)</f>
        <v>921</v>
      </c>
      <c r="J544" s="32">
        <f>Source!AT411</f>
        <v>90</v>
      </c>
      <c r="K544" s="35">
        <f>SUM(R536:R543)</f>
        <v>51898.19</v>
      </c>
    </row>
    <row r="545" spans="1:29" ht="14.5" x14ac:dyDescent="0.25">
      <c r="A545" s="31"/>
      <c r="B545" s="31"/>
      <c r="C545" s="31" t="s">
        <v>657</v>
      </c>
      <c r="D545" s="33" t="s">
        <v>656</v>
      </c>
      <c r="E545" s="32">
        <f>Source!CA411</f>
        <v>46</v>
      </c>
      <c r="F545" s="35"/>
      <c r="G545" s="34"/>
      <c r="H545" s="32"/>
      <c r="I545" s="35">
        <f>SUM(S536:S544)</f>
        <v>470.73</v>
      </c>
      <c r="J545" s="32">
        <f>Source!AU411</f>
        <v>46</v>
      </c>
      <c r="K545" s="35">
        <f>SUM(T536:T544)</f>
        <v>26525.74</v>
      </c>
    </row>
    <row r="546" spans="1:29" ht="14.5" x14ac:dyDescent="0.25">
      <c r="A546" s="38"/>
      <c r="B546" s="38"/>
      <c r="C546" s="38" t="s">
        <v>658</v>
      </c>
      <c r="D546" s="39" t="s">
        <v>659</v>
      </c>
      <c r="E546" s="40">
        <f>Source!AQ410</f>
        <v>2.4</v>
      </c>
      <c r="F546" s="41"/>
      <c r="G546" s="42" t="s">
        <v>182</v>
      </c>
      <c r="H546" s="40">
        <f>Source!AV411</f>
        <v>1.0469999999999999</v>
      </c>
      <c r="I546" s="41">
        <f>Source!U410</f>
        <v>75.384</v>
      </c>
      <c r="J546" s="40"/>
      <c r="K546" s="41"/>
    </row>
    <row r="547" spans="1:29" ht="14" x14ac:dyDescent="0.25">
      <c r="C547" s="43" t="s">
        <v>660</v>
      </c>
      <c r="H547" s="70">
        <f>I538+I539+I541+I544+I545+SUM(I542:I543)-SUMIF(AC542:AC543, 5, I542:I543)-SUMIF(AC542:AC543, 6, I542:I543)</f>
        <v>6020.87</v>
      </c>
      <c r="I547" s="70"/>
      <c r="J547" s="70">
        <f>K538+K539+K541+K544+K545+SUM(K542:K543)-SUMIF(AC542:AC543, 5, K542:K543)-SUMIF(AC542:AC543, 6, K542:K543)</f>
        <v>171571.28</v>
      </c>
      <c r="K547" s="70"/>
    </row>
    <row r="548" spans="1:29" ht="14" hidden="1" x14ac:dyDescent="0.25">
      <c r="C548" s="43" t="s">
        <v>661</v>
      </c>
      <c r="H548" s="65">
        <f>SUMIF(AC542:AC543, 5, I542:I543)+SUMIF(AC542:AC543, 6, I542:I543)</f>
        <v>0</v>
      </c>
      <c r="I548" s="65"/>
      <c r="J548" s="65">
        <f>SUMIF(AC542:AC543, 5, K542:K543)+SUMIF(AC542:AC543, 6, K542:K543)</f>
        <v>0</v>
      </c>
      <c r="K548" s="65"/>
    </row>
    <row r="549" spans="1:29" ht="14" x14ac:dyDescent="0.25">
      <c r="C549" s="43" t="s">
        <v>662</v>
      </c>
      <c r="H549" s="65">
        <f>I538+I539+I541+I544+I545+SUM(I542:I543)</f>
        <v>6020.87</v>
      </c>
      <c r="I549" s="65"/>
      <c r="J549" s="65">
        <f>K538+K539+K541+K544+K545+SUM(K542:K543)</f>
        <v>171571.28</v>
      </c>
      <c r="K549" s="65"/>
      <c r="O549" s="44">
        <f>I538+I539+I541+I544+I545+SUM(I542:I543)</f>
        <v>6020.87</v>
      </c>
      <c r="P549" s="44">
        <f>K538+K539+K541+K544+K545+SUM(K542:K543)</f>
        <v>171571.28</v>
      </c>
    </row>
    <row r="551" spans="1:29" ht="28" x14ac:dyDescent="0.25">
      <c r="A551" s="31">
        <v>54</v>
      </c>
      <c r="B551" s="31" t="str">
        <f>Source!F416</f>
        <v>4.10-80-13</v>
      </c>
      <c r="C551" s="31" t="s">
        <v>246</v>
      </c>
      <c r="D551" s="33" t="str">
        <f>Source!H416</f>
        <v>1  ШТ.</v>
      </c>
      <c r="E551" s="32">
        <f>Source!I416</f>
        <v>27</v>
      </c>
      <c r="F551" s="35"/>
      <c r="G551" s="34"/>
      <c r="H551" s="32"/>
      <c r="I551" s="35"/>
      <c r="J551" s="32"/>
      <c r="K551" s="35"/>
      <c r="Q551">
        <f>Source!X416</f>
        <v>490.93</v>
      </c>
      <c r="R551">
        <f>Source!X417</f>
        <v>27664.02</v>
      </c>
      <c r="S551">
        <f>Source!Y416</f>
        <v>250.92</v>
      </c>
      <c r="T551">
        <f>Source!Y417</f>
        <v>14139.39</v>
      </c>
      <c r="U551">
        <f>ROUND((175/100)*ROUND(Source!R416, 2), 2)</f>
        <v>0.6</v>
      </c>
      <c r="V551">
        <f>ROUND((0/100)*ROUND(Source!R417, 2), 2)</f>
        <v>0</v>
      </c>
      <c r="AC551">
        <v>0</v>
      </c>
    </row>
    <row r="552" spans="1:29" x14ac:dyDescent="0.25">
      <c r="C552" s="45" t="str">
        <f>"Объем: "&amp;Source!I416&amp;"=7+"&amp;"20"</f>
        <v>Объем: 27=7+20</v>
      </c>
    </row>
    <row r="553" spans="1:29" ht="14.5" x14ac:dyDescent="0.25">
      <c r="A553" s="31"/>
      <c r="B553" s="31"/>
      <c r="C553" s="31" t="s">
        <v>651</v>
      </c>
      <c r="D553" s="33"/>
      <c r="E553" s="32"/>
      <c r="F553" s="35">
        <f>Source!AO416</f>
        <v>16.07</v>
      </c>
      <c r="G553" s="36" t="s">
        <v>182</v>
      </c>
      <c r="H553" s="32">
        <f>Source!AV417</f>
        <v>1.0469999999999999</v>
      </c>
      <c r="I553" s="35">
        <f>Source!S416</f>
        <v>545.14</v>
      </c>
      <c r="J553" s="32">
        <f>IF(Source!BA417&lt;&gt; 0, Source!BA417, 1)</f>
        <v>56.35</v>
      </c>
      <c r="K553" s="35">
        <f>Source!S417</f>
        <v>30718.639999999999</v>
      </c>
    </row>
    <row r="554" spans="1:29" ht="14.5" x14ac:dyDescent="0.25">
      <c r="A554" s="31"/>
      <c r="B554" s="31"/>
      <c r="C554" s="31" t="s">
        <v>653</v>
      </c>
      <c r="D554" s="33"/>
      <c r="E554" s="32"/>
      <c r="F554" s="35">
        <f>Source!AM416</f>
        <v>0.05</v>
      </c>
      <c r="G554" s="36" t="s">
        <v>182</v>
      </c>
      <c r="H554" s="32">
        <f>Source!AV417</f>
        <v>1.0469999999999999</v>
      </c>
      <c r="I554" s="35">
        <f>Source!Q416</f>
        <v>1.7</v>
      </c>
      <c r="J554" s="32">
        <f>IF(Source!BB417&lt;&gt; 0, Source!BB417, 1)</f>
        <v>20</v>
      </c>
      <c r="K554" s="35">
        <f>Source!Q417</f>
        <v>34</v>
      </c>
    </row>
    <row r="555" spans="1:29" ht="14.5" x14ac:dyDescent="0.25">
      <c r="A555" s="31"/>
      <c r="B555" s="31"/>
      <c r="C555" s="31" t="s">
        <v>654</v>
      </c>
      <c r="D555" s="33"/>
      <c r="E555" s="32"/>
      <c r="F555" s="35">
        <f>Source!AN416</f>
        <v>0.01</v>
      </c>
      <c r="G555" s="36" t="s">
        <v>182</v>
      </c>
      <c r="H555" s="32">
        <f>Source!AV417</f>
        <v>1.0469999999999999</v>
      </c>
      <c r="I555" s="37">
        <f>Source!R416</f>
        <v>0.34</v>
      </c>
      <c r="J555" s="32">
        <f>IF(Source!BS417&lt;&gt; 0, Source!BS417, 1)</f>
        <v>56.35</v>
      </c>
      <c r="K555" s="37">
        <f>Source!R417</f>
        <v>19.16</v>
      </c>
    </row>
    <row r="556" spans="1:29" ht="14.5" x14ac:dyDescent="0.25">
      <c r="A556" s="31"/>
      <c r="B556" s="31"/>
      <c r="C556" s="31" t="s">
        <v>666</v>
      </c>
      <c r="D556" s="33"/>
      <c r="E556" s="32"/>
      <c r="F556" s="35">
        <f>Source!AL416</f>
        <v>1.96</v>
      </c>
      <c r="G556" s="36" t="s">
        <v>3</v>
      </c>
      <c r="H556" s="32">
        <f>Source!AW417</f>
        <v>1</v>
      </c>
      <c r="I556" s="35">
        <f>Source!P416</f>
        <v>52.92</v>
      </c>
      <c r="J556" s="32">
        <f>IF(Source!BC417&lt;&gt; 0, Source!BC417, 1)</f>
        <v>9.84</v>
      </c>
      <c r="K556" s="35">
        <f>Source!P417</f>
        <v>520.73</v>
      </c>
    </row>
    <row r="557" spans="1:29" ht="54" x14ac:dyDescent="0.25">
      <c r="A557" s="47" t="s">
        <v>353</v>
      </c>
      <c r="B557" s="47" t="str">
        <f>Source!F418</f>
        <v>КА. п. 22</v>
      </c>
      <c r="C557" s="47" t="s">
        <v>693</v>
      </c>
      <c r="D557" s="48" t="str">
        <f>Source!H418</f>
        <v>шт.</v>
      </c>
      <c r="E557" s="49">
        <f>Source!I418</f>
        <v>7</v>
      </c>
      <c r="F557" s="50">
        <f>Source!AK418</f>
        <v>414.79</v>
      </c>
      <c r="G557" s="51" t="s">
        <v>3</v>
      </c>
      <c r="H557" s="49">
        <f>Source!AW419</f>
        <v>1</v>
      </c>
      <c r="I557" s="50">
        <f>Source!O418</f>
        <v>2903.53</v>
      </c>
      <c r="J557" s="49">
        <f>IF(Source!BC419&lt;&gt; 0, Source!BC419, 1)</f>
        <v>7.57</v>
      </c>
      <c r="K557" s="50">
        <f>Source!O419</f>
        <v>21979.72</v>
      </c>
      <c r="Q557">
        <f>Source!X418</f>
        <v>0</v>
      </c>
      <c r="R557">
        <f>Source!X419</f>
        <v>0</v>
      </c>
      <c r="S557">
        <f>Source!Y418</f>
        <v>0</v>
      </c>
      <c r="T557">
        <f>Source!Y419</f>
        <v>0</v>
      </c>
      <c r="U557">
        <f>ROUND((175/100)*ROUND(Source!R418, 2), 2)</f>
        <v>0</v>
      </c>
      <c r="V557">
        <f>ROUND((0/100)*ROUND(Source!R419, 2), 2)</f>
        <v>0</v>
      </c>
      <c r="AC557">
        <v>5</v>
      </c>
    </row>
    <row r="558" spans="1:29" ht="54" x14ac:dyDescent="0.25">
      <c r="A558" s="47" t="s">
        <v>357</v>
      </c>
      <c r="B558" s="47" t="str">
        <f>Source!F420</f>
        <v>КА. п. 23</v>
      </c>
      <c r="C558" s="47" t="s">
        <v>694</v>
      </c>
      <c r="D558" s="48" t="str">
        <f>Source!H420</f>
        <v>шт.</v>
      </c>
      <c r="E558" s="49">
        <f>Source!I420</f>
        <v>20</v>
      </c>
      <c r="F558" s="50">
        <f>Source!AK420</f>
        <v>169.63</v>
      </c>
      <c r="G558" s="51" t="s">
        <v>3</v>
      </c>
      <c r="H558" s="49">
        <f>Source!AW421</f>
        <v>1</v>
      </c>
      <c r="I558" s="50">
        <f>Source!O420</f>
        <v>3392.6</v>
      </c>
      <c r="J558" s="49">
        <f>IF(Source!BC421&lt;&gt; 0, Source!BC421, 1)</f>
        <v>7.57</v>
      </c>
      <c r="K558" s="50">
        <f>Source!O421</f>
        <v>25681.98</v>
      </c>
      <c r="Q558">
        <f>Source!X420</f>
        <v>0</v>
      </c>
      <c r="R558">
        <f>Source!X421</f>
        <v>0</v>
      </c>
      <c r="S558">
        <f>Source!Y420</f>
        <v>0</v>
      </c>
      <c r="T558">
        <f>Source!Y421</f>
        <v>0</v>
      </c>
      <c r="U558">
        <f>ROUND((175/100)*ROUND(Source!R420, 2), 2)</f>
        <v>0</v>
      </c>
      <c r="V558">
        <f>ROUND((0/100)*ROUND(Source!R421, 2), 2)</f>
        <v>0</v>
      </c>
      <c r="AC558">
        <v>5</v>
      </c>
    </row>
    <row r="559" spans="1:29" ht="14.5" x14ac:dyDescent="0.25">
      <c r="A559" s="31"/>
      <c r="B559" s="31"/>
      <c r="C559" s="31" t="s">
        <v>655</v>
      </c>
      <c r="D559" s="33" t="s">
        <v>656</v>
      </c>
      <c r="E559" s="32">
        <f>Source!BZ417</f>
        <v>90</v>
      </c>
      <c r="F559" s="35"/>
      <c r="G559" s="34"/>
      <c r="H559" s="32"/>
      <c r="I559" s="35">
        <f>SUM(Q551:Q558)</f>
        <v>490.93</v>
      </c>
      <c r="J559" s="32">
        <f>Source!AT417</f>
        <v>90</v>
      </c>
      <c r="K559" s="35">
        <f>SUM(R551:R558)</f>
        <v>27664.02</v>
      </c>
    </row>
    <row r="560" spans="1:29" ht="14.5" x14ac:dyDescent="0.25">
      <c r="A560" s="31"/>
      <c r="B560" s="31"/>
      <c r="C560" s="31" t="s">
        <v>657</v>
      </c>
      <c r="D560" s="33" t="s">
        <v>656</v>
      </c>
      <c r="E560" s="32">
        <f>Source!CA417</f>
        <v>46</v>
      </c>
      <c r="F560" s="35"/>
      <c r="G560" s="34"/>
      <c r="H560" s="32"/>
      <c r="I560" s="35">
        <f>SUM(S551:S559)</f>
        <v>250.92</v>
      </c>
      <c r="J560" s="32">
        <f>Source!AU417</f>
        <v>46</v>
      </c>
      <c r="K560" s="35">
        <f>SUM(T551:T559)</f>
        <v>14139.39</v>
      </c>
    </row>
    <row r="561" spans="1:29" ht="14.5" x14ac:dyDescent="0.25">
      <c r="A561" s="38"/>
      <c r="B561" s="38"/>
      <c r="C561" s="38" t="s">
        <v>658</v>
      </c>
      <c r="D561" s="39" t="s">
        <v>659</v>
      </c>
      <c r="E561" s="40">
        <f>Source!AQ416</f>
        <v>1.2</v>
      </c>
      <c r="F561" s="41"/>
      <c r="G561" s="42" t="s">
        <v>182</v>
      </c>
      <c r="H561" s="40">
        <f>Source!AV417</f>
        <v>1.0469999999999999</v>
      </c>
      <c r="I561" s="41">
        <f>Source!U416</f>
        <v>40.707359999999994</v>
      </c>
      <c r="J561" s="40"/>
      <c r="K561" s="41"/>
    </row>
    <row r="562" spans="1:29" ht="14" x14ac:dyDescent="0.25">
      <c r="C562" s="43" t="s">
        <v>660</v>
      </c>
      <c r="H562" s="70">
        <f>I553+I554+I556+I559+I560+SUM(I557:I558)-SUMIF(AC557:AC558, 5, I557:I558)-SUMIF(AC557:AC558, 6, I557:I558)</f>
        <v>1341.6099999999997</v>
      </c>
      <c r="I562" s="70"/>
      <c r="J562" s="70">
        <f>K553+K554+K556+K559+K560+SUM(K557:K558)-SUMIF(AC557:AC558, 5, K557:K558)-SUMIF(AC557:AC558, 6, K557:K558)</f>
        <v>73076.78</v>
      </c>
      <c r="K562" s="70"/>
    </row>
    <row r="563" spans="1:29" ht="14" x14ac:dyDescent="0.25">
      <c r="C563" s="43" t="s">
        <v>661</v>
      </c>
      <c r="H563" s="65">
        <f>SUMIF(AC557:AC558, 5, I557:I558)+SUMIF(AC557:AC558, 6, I557:I558)</f>
        <v>6296.13</v>
      </c>
      <c r="I563" s="65"/>
      <c r="J563" s="65">
        <f>SUMIF(AC557:AC558, 5, K557:K558)+SUMIF(AC557:AC558, 6, K557:K558)</f>
        <v>47661.7</v>
      </c>
      <c r="K563" s="65"/>
    </row>
    <row r="564" spans="1:29" ht="14" x14ac:dyDescent="0.25">
      <c r="C564" s="43" t="s">
        <v>662</v>
      </c>
      <c r="H564" s="65">
        <f>I553+I554+I556+I559+I560+SUM(I557:I558)</f>
        <v>7637.74</v>
      </c>
      <c r="I564" s="65"/>
      <c r="J564" s="65">
        <f>K553+K554+K556+K559+K560+SUM(K557:K558)</f>
        <v>120738.48</v>
      </c>
      <c r="K564" s="65"/>
      <c r="O564" s="44">
        <f>I553+I554+I556+I559+I560+SUM(I557:I558)</f>
        <v>7637.74</v>
      </c>
      <c r="P564" s="44">
        <f>K553+K554+K556+K559+K560+SUM(K557:K558)</f>
        <v>120738.48</v>
      </c>
    </row>
    <row r="567" spans="1:29" ht="14" x14ac:dyDescent="0.3">
      <c r="A567" s="67" t="str">
        <f>CONCATENATE("Итого по разделу: ",IF(Source!G423&lt;&gt;"Новый раздел", Source!G423, ""))</f>
        <v>Итого по разделу: Оконечное оборудование СПА.</v>
      </c>
      <c r="B567" s="67"/>
      <c r="C567" s="67"/>
      <c r="D567" s="67"/>
      <c r="E567" s="67"/>
      <c r="F567" s="67"/>
      <c r="G567" s="67"/>
      <c r="H567" s="65">
        <f>SUM(O471:O566)</f>
        <v>309606.33</v>
      </c>
      <c r="I567" s="66"/>
      <c r="J567" s="65">
        <f>SUM(P471:P566)</f>
        <v>3109000.0599999996</v>
      </c>
      <c r="K567" s="66"/>
    </row>
    <row r="568" spans="1:29" hidden="1" x14ac:dyDescent="0.25">
      <c r="A568" t="s">
        <v>663</v>
      </c>
      <c r="I568">
        <f>SUM(W471:W567)</f>
        <v>0</v>
      </c>
      <c r="J568">
        <f>SUM(X471:X567)</f>
        <v>0</v>
      </c>
    </row>
    <row r="569" spans="1:29" hidden="1" x14ac:dyDescent="0.25">
      <c r="A569" t="s">
        <v>664</v>
      </c>
      <c r="I569">
        <f>SUM(Y471:Y568)</f>
        <v>0</v>
      </c>
      <c r="J569">
        <f>SUM(Z471:Z568)</f>
        <v>0</v>
      </c>
    </row>
    <row r="571" spans="1:29" ht="16.5" x14ac:dyDescent="0.25">
      <c r="A571" s="71" t="str">
        <f>CONCATENATE("Раздел: ",IF(Source!G453&lt;&gt;"Новый раздел", Source!G453, ""))</f>
        <v>Раздел: Материалы, поставляемые с оборудованием СПА.</v>
      </c>
      <c r="B571" s="71"/>
      <c r="C571" s="71"/>
      <c r="D571" s="71"/>
      <c r="E571" s="71"/>
      <c r="F571" s="71"/>
      <c r="G571" s="71"/>
      <c r="H571" s="71"/>
      <c r="I571" s="71"/>
      <c r="J571" s="71"/>
      <c r="K571" s="71"/>
    </row>
    <row r="572" spans="1:29" ht="68" x14ac:dyDescent="0.25">
      <c r="A572" s="52">
        <v>55</v>
      </c>
      <c r="B572" s="52" t="str">
        <f>Source!F457</f>
        <v>КА. п. 8</v>
      </c>
      <c r="C572" s="52" t="s">
        <v>679</v>
      </c>
      <c r="D572" s="53" t="str">
        <f>Source!H457</f>
        <v>шт.</v>
      </c>
      <c r="E572" s="54">
        <f>Source!I457</f>
        <v>4</v>
      </c>
      <c r="F572" s="55">
        <f>Source!AL457</f>
        <v>625.07999999999993</v>
      </c>
      <c r="G572" s="56" t="s">
        <v>3</v>
      </c>
      <c r="H572" s="54">
        <f>Source!AW458</f>
        <v>1</v>
      </c>
      <c r="I572" s="55">
        <f>Source!P457</f>
        <v>2500.3200000000002</v>
      </c>
      <c r="J572" s="54">
        <f>IF(Source!BC458&lt;&gt; 0, Source!BC458, 1)</f>
        <v>7.57</v>
      </c>
      <c r="K572" s="55">
        <f>Source!P458</f>
        <v>18927.419999999998</v>
      </c>
      <c r="Q572">
        <f>Source!X457</f>
        <v>0</v>
      </c>
      <c r="R572">
        <f>Source!X458</f>
        <v>0</v>
      </c>
      <c r="S572">
        <f>Source!Y457</f>
        <v>0</v>
      </c>
      <c r="T572">
        <f>Source!Y458</f>
        <v>0</v>
      </c>
      <c r="U572">
        <f>ROUND((175/100)*ROUND(Source!R457, 2), 2)</f>
        <v>0</v>
      </c>
      <c r="V572">
        <f>ROUND((0/100)*ROUND(Source!R458, 2), 2)</f>
        <v>0</v>
      </c>
      <c r="AC572">
        <v>5</v>
      </c>
    </row>
    <row r="573" spans="1:29" ht="14" x14ac:dyDescent="0.25">
      <c r="A573" s="57"/>
      <c r="B573" s="57"/>
      <c r="C573" s="58" t="s">
        <v>662</v>
      </c>
      <c r="D573" s="57"/>
      <c r="E573" s="57"/>
      <c r="F573" s="57"/>
      <c r="G573" s="57"/>
      <c r="H573" s="72">
        <f>I572+0</f>
        <v>2500.3200000000002</v>
      </c>
      <c r="I573" s="72"/>
      <c r="J573" s="72">
        <f>K572+0</f>
        <v>18927.419999999998</v>
      </c>
      <c r="K573" s="72"/>
      <c r="O573" s="44">
        <f>I572+0</f>
        <v>2500.3200000000002</v>
      </c>
      <c r="P573" s="44">
        <f>K572+0</f>
        <v>18927.419999999998</v>
      </c>
    </row>
    <row r="576" spans="1:29" ht="14" x14ac:dyDescent="0.3">
      <c r="A576" s="67" t="str">
        <f>CONCATENATE("Итого по разделу: ",IF(Source!G462&lt;&gt;"Новый раздел", Source!G462, ""))</f>
        <v>Итого по разделу: Материалы, поставляемые с оборудованием СПА.</v>
      </c>
      <c r="B576" s="67"/>
      <c r="C576" s="67"/>
      <c r="D576" s="67"/>
      <c r="E576" s="67"/>
      <c r="F576" s="67"/>
      <c r="G576" s="67"/>
      <c r="H576" s="65">
        <f>SUM(O571:O575)</f>
        <v>2500.3200000000002</v>
      </c>
      <c r="I576" s="66"/>
      <c r="J576" s="65">
        <f>SUM(P571:P575)</f>
        <v>18927.419999999998</v>
      </c>
      <c r="K576" s="66"/>
    </row>
    <row r="577" spans="1:29" hidden="1" x14ac:dyDescent="0.25">
      <c r="A577" t="s">
        <v>663</v>
      </c>
      <c r="I577">
        <f>SUM(W571:W576)</f>
        <v>0</v>
      </c>
      <c r="J577">
        <f>SUM(X571:X576)</f>
        <v>0</v>
      </c>
    </row>
    <row r="578" spans="1:29" hidden="1" x14ac:dyDescent="0.25">
      <c r="A578" t="s">
        <v>664</v>
      </c>
      <c r="I578">
        <f>SUM(Y571:Y577)</f>
        <v>0</v>
      </c>
      <c r="J578">
        <f>SUM(Z571:Z577)</f>
        <v>0</v>
      </c>
    </row>
    <row r="580" spans="1:29" ht="16.5" x14ac:dyDescent="0.25">
      <c r="A580" s="71" t="str">
        <f>CONCATENATE("Раздел: ",IF(Source!G492&lt;&gt;"Новый раздел", Source!G492, ""))</f>
        <v>Раздел: Кабельная продукция и материалы.</v>
      </c>
      <c r="B580" s="71"/>
      <c r="C580" s="71"/>
      <c r="D580" s="71"/>
      <c r="E580" s="71"/>
      <c r="F580" s="71"/>
      <c r="G580" s="71"/>
      <c r="H580" s="71"/>
      <c r="I580" s="71"/>
      <c r="J580" s="71"/>
      <c r="K580" s="71"/>
    </row>
    <row r="581" spans="1:29" ht="56" x14ac:dyDescent="0.25">
      <c r="A581" s="31">
        <v>56</v>
      </c>
      <c r="B581" s="31" t="str">
        <f>Source!F496</f>
        <v>4.10-185-8</v>
      </c>
      <c r="C581" s="31" t="s">
        <v>98</v>
      </c>
      <c r="D581" s="33" t="str">
        <f>Source!H496</f>
        <v>100 м</v>
      </c>
      <c r="E581" s="32">
        <f>Source!I496</f>
        <v>51.5</v>
      </c>
      <c r="F581" s="35"/>
      <c r="G581" s="34"/>
      <c r="H581" s="32"/>
      <c r="I581" s="35"/>
      <c r="J581" s="32"/>
      <c r="K581" s="35"/>
      <c r="Q581">
        <f>Source!X496</f>
        <v>23957.52</v>
      </c>
      <c r="R581">
        <f>Source!X497</f>
        <v>1350006.42</v>
      </c>
      <c r="S581">
        <f>Source!Y496</f>
        <v>12244.96</v>
      </c>
      <c r="T581">
        <f>Source!Y497</f>
        <v>690003.28</v>
      </c>
      <c r="U581">
        <f>ROUND((175/100)*ROUND(Source!R496, 2), 2)</f>
        <v>0</v>
      </c>
      <c r="V581">
        <f>ROUND((0/100)*ROUND(Source!R497, 2), 2)</f>
        <v>0</v>
      </c>
      <c r="AC581">
        <v>0</v>
      </c>
    </row>
    <row r="582" spans="1:29" x14ac:dyDescent="0.25">
      <c r="C582" s="45" t="str">
        <f>"Объем: "&amp;Source!I496&amp;"=5150/"&amp;"100"</f>
        <v>Объем: 51,5=5150/100</v>
      </c>
    </row>
    <row r="583" spans="1:29" ht="14.5" x14ac:dyDescent="0.25">
      <c r="A583" s="31"/>
      <c r="B583" s="31"/>
      <c r="C583" s="31" t="s">
        <v>651</v>
      </c>
      <c r="D583" s="33"/>
      <c r="E583" s="32"/>
      <c r="F583" s="35">
        <f>Source!AO496</f>
        <v>411.4</v>
      </c>
      <c r="G583" s="36" t="s">
        <v>182</v>
      </c>
      <c r="H583" s="32">
        <f>Source!AV497</f>
        <v>1.0469999999999999</v>
      </c>
      <c r="I583" s="35">
        <f>Source!S496</f>
        <v>26619.47</v>
      </c>
      <c r="J583" s="32">
        <f>IF(Source!BA497&lt;&gt; 0, Source!BA497, 1)</f>
        <v>56.35</v>
      </c>
      <c r="K583" s="35">
        <f>Source!S497</f>
        <v>1500007.13</v>
      </c>
    </row>
    <row r="584" spans="1:29" ht="14.5" x14ac:dyDescent="0.25">
      <c r="A584" s="31"/>
      <c r="B584" s="31"/>
      <c r="C584" s="31" t="s">
        <v>653</v>
      </c>
      <c r="D584" s="33"/>
      <c r="E584" s="32"/>
      <c r="F584" s="35">
        <f>Source!AM496</f>
        <v>6.99</v>
      </c>
      <c r="G584" s="36" t="s">
        <v>182</v>
      </c>
      <c r="H584" s="32">
        <f>Source!AV497</f>
        <v>1.0469999999999999</v>
      </c>
      <c r="I584" s="35">
        <f>Source!Q496</f>
        <v>452.29</v>
      </c>
      <c r="J584" s="32">
        <f>IF(Source!BB497&lt;&gt; 0, Source!BB497, 1)</f>
        <v>9.6</v>
      </c>
      <c r="K584" s="35">
        <f>Source!Q497</f>
        <v>4341.9799999999996</v>
      </c>
    </row>
    <row r="585" spans="1:29" ht="14.5" x14ac:dyDescent="0.25">
      <c r="A585" s="31"/>
      <c r="B585" s="31"/>
      <c r="C585" s="31" t="s">
        <v>666</v>
      </c>
      <c r="D585" s="33"/>
      <c r="E585" s="32"/>
      <c r="F585" s="35">
        <f>Source!AL496</f>
        <v>23.39</v>
      </c>
      <c r="G585" s="36" t="s">
        <v>3</v>
      </c>
      <c r="H585" s="32">
        <f>Source!AW497</f>
        <v>1</v>
      </c>
      <c r="I585" s="35">
        <f>Source!P496</f>
        <v>1204.5899999999999</v>
      </c>
      <c r="J585" s="32">
        <f>IF(Source!BC497&lt;&gt; 0, Source!BC497, 1)</f>
        <v>7.41</v>
      </c>
      <c r="K585" s="35">
        <f>Source!P497</f>
        <v>8926.01</v>
      </c>
    </row>
    <row r="586" spans="1:29" ht="42" x14ac:dyDescent="0.25">
      <c r="A586" s="31" t="s">
        <v>368</v>
      </c>
      <c r="B586" s="31" t="str">
        <f>Source!F498</f>
        <v>1.12-5-372</v>
      </c>
      <c r="C586" s="31" t="s">
        <v>370</v>
      </c>
      <c r="D586" s="33" t="str">
        <f>Source!H498</f>
        <v>м</v>
      </c>
      <c r="E586" s="32">
        <f>Source!I498</f>
        <v>5253</v>
      </c>
      <c r="F586" s="35">
        <f>Source!AK498</f>
        <v>3.45</v>
      </c>
      <c r="G586" s="36" t="s">
        <v>3</v>
      </c>
      <c r="H586" s="32">
        <f>Source!AW499</f>
        <v>1</v>
      </c>
      <c r="I586" s="35">
        <f>Source!O498</f>
        <v>18122.849999999999</v>
      </c>
      <c r="J586" s="32">
        <f>IF(Source!BC499&lt;&gt; 0, Source!BC499, 1)</f>
        <v>3.79</v>
      </c>
      <c r="K586" s="35">
        <f>Source!O499</f>
        <v>68685.600000000006</v>
      </c>
      <c r="Q586">
        <f>Source!X498</f>
        <v>0</v>
      </c>
      <c r="R586">
        <f>Source!X499</f>
        <v>0</v>
      </c>
      <c r="S586">
        <f>Source!Y498</f>
        <v>0</v>
      </c>
      <c r="T586">
        <f>Source!Y499</f>
        <v>0</v>
      </c>
      <c r="U586">
        <f>ROUND((175/100)*ROUND(Source!R498, 2), 2)</f>
        <v>0</v>
      </c>
      <c r="V586">
        <f>ROUND((0/100)*ROUND(Source!R499, 2), 2)</f>
        <v>0</v>
      </c>
      <c r="AC586">
        <v>3</v>
      </c>
    </row>
    <row r="587" spans="1:29" ht="14.5" x14ac:dyDescent="0.25">
      <c r="A587" s="31"/>
      <c r="B587" s="31"/>
      <c r="C587" s="31" t="s">
        <v>655</v>
      </c>
      <c r="D587" s="33" t="s">
        <v>656</v>
      </c>
      <c r="E587" s="32">
        <f>Source!BZ497</f>
        <v>90</v>
      </c>
      <c r="F587" s="35"/>
      <c r="G587" s="34"/>
      <c r="H587" s="32"/>
      <c r="I587" s="35">
        <f>SUM(Q581:Q586)</f>
        <v>23957.52</v>
      </c>
      <c r="J587" s="32">
        <f>Source!AT497</f>
        <v>90</v>
      </c>
      <c r="K587" s="35">
        <f>SUM(R581:R586)</f>
        <v>1350006.42</v>
      </c>
    </row>
    <row r="588" spans="1:29" ht="14.5" x14ac:dyDescent="0.25">
      <c r="A588" s="31"/>
      <c r="B588" s="31"/>
      <c r="C588" s="31" t="s">
        <v>657</v>
      </c>
      <c r="D588" s="33" t="s">
        <v>656</v>
      </c>
      <c r="E588" s="32">
        <f>Source!CA497</f>
        <v>46</v>
      </c>
      <c r="F588" s="35"/>
      <c r="G588" s="34"/>
      <c r="H588" s="32"/>
      <c r="I588" s="35">
        <f>SUM(S581:S587)</f>
        <v>12244.96</v>
      </c>
      <c r="J588" s="32">
        <f>Source!AU497</f>
        <v>46</v>
      </c>
      <c r="K588" s="35">
        <f>SUM(T581:T587)</f>
        <v>690003.28</v>
      </c>
    </row>
    <row r="589" spans="1:29" ht="14.5" x14ac:dyDescent="0.25">
      <c r="A589" s="38"/>
      <c r="B589" s="38"/>
      <c r="C589" s="38" t="s">
        <v>658</v>
      </c>
      <c r="D589" s="39" t="s">
        <v>659</v>
      </c>
      <c r="E589" s="40">
        <f>Source!AQ496</f>
        <v>34.61</v>
      </c>
      <c r="F589" s="41"/>
      <c r="G589" s="42" t="s">
        <v>182</v>
      </c>
      <c r="H589" s="40">
        <f>Source!AV497</f>
        <v>1.0469999999999999</v>
      </c>
      <c r="I589" s="41">
        <f>Source!U496</f>
        <v>2239.4262059999996</v>
      </c>
      <c r="J589" s="40"/>
      <c r="K589" s="41"/>
    </row>
    <row r="590" spans="1:29" ht="14" x14ac:dyDescent="0.25">
      <c r="C590" s="43" t="s">
        <v>660</v>
      </c>
      <c r="H590" s="70">
        <f>I583+I584+I585+I587+I588+SUM(I586:I586)-SUMIF(AC586:AC586, 5, I586:I586)-SUMIF(AC586:AC586, 6, I586:I586)</f>
        <v>82601.679999999993</v>
      </c>
      <c r="I590" s="70"/>
      <c r="J590" s="70">
        <f>K583+K584+K585+K587+K588+SUM(K586:K586)-SUMIF(AC586:AC586, 5, K586:K586)-SUMIF(AC586:AC586, 6, K586:K586)</f>
        <v>3621970.4200000004</v>
      </c>
      <c r="K590" s="70"/>
    </row>
    <row r="591" spans="1:29" ht="14" hidden="1" x14ac:dyDescent="0.25">
      <c r="C591" s="43" t="s">
        <v>661</v>
      </c>
      <c r="H591" s="65">
        <f>SUMIF(AC586:AC586, 5, I586:I586)+SUMIF(AC586:AC586, 6, I586:I586)</f>
        <v>0</v>
      </c>
      <c r="I591" s="65"/>
      <c r="J591" s="65">
        <f>SUMIF(AC586:AC586, 5, K586:K586)+SUMIF(AC586:AC586, 6, K586:K586)</f>
        <v>0</v>
      </c>
      <c r="K591" s="65"/>
    </row>
    <row r="592" spans="1:29" ht="14" x14ac:dyDescent="0.25">
      <c r="C592" s="43" t="s">
        <v>662</v>
      </c>
      <c r="H592" s="65">
        <f>I583+I584+I585+I587+I588+SUM(I586:I586)</f>
        <v>82601.679999999993</v>
      </c>
      <c r="I592" s="65"/>
      <c r="J592" s="65">
        <f>K583+K584+K585+K587+K588+SUM(K586:K586)</f>
        <v>3621970.4200000004</v>
      </c>
      <c r="K592" s="65"/>
      <c r="O592" s="44">
        <f>I583+I584+I585+I587+I588+SUM(I586:I586)</f>
        <v>82601.679999999993</v>
      </c>
      <c r="P592" s="44">
        <f>K583+K584+K585+K587+K588+SUM(K586:K586)</f>
        <v>3621970.4200000004</v>
      </c>
    </row>
    <row r="594" spans="1:29" ht="42" x14ac:dyDescent="0.25">
      <c r="A594" s="31">
        <v>57</v>
      </c>
      <c r="B594" s="31" t="str">
        <f>Source!F502</f>
        <v>1.21-5-1475</v>
      </c>
      <c r="C594" s="31" t="s">
        <v>381</v>
      </c>
      <c r="D594" s="33" t="str">
        <f>Source!H502</f>
        <v>1000 шт.</v>
      </c>
      <c r="E594" s="32">
        <f>Source!I502</f>
        <v>12.9</v>
      </c>
      <c r="F594" s="35">
        <f>Source!AL502</f>
        <v>452.68</v>
      </c>
      <c r="G594" s="36" t="s">
        <v>3</v>
      </c>
      <c r="H594" s="32">
        <f>Source!AW503</f>
        <v>1</v>
      </c>
      <c r="I594" s="35">
        <f>Source!P502</f>
        <v>5839.57</v>
      </c>
      <c r="J594" s="32">
        <f>IF(Source!BC503&lt;&gt; 0, Source!BC503, 1)</f>
        <v>3.66</v>
      </c>
      <c r="K594" s="35">
        <f>Source!P503</f>
        <v>21372.83</v>
      </c>
      <c r="Q594">
        <f>Source!X502</f>
        <v>0</v>
      </c>
      <c r="R594">
        <f>Source!X503</f>
        <v>0</v>
      </c>
      <c r="S594">
        <f>Source!Y502</f>
        <v>0</v>
      </c>
      <c r="T594">
        <f>Source!Y503</f>
        <v>0</v>
      </c>
      <c r="U594">
        <f>ROUND((175/100)*ROUND(Source!R502, 2), 2)</f>
        <v>0</v>
      </c>
      <c r="V594">
        <f>ROUND((0/100)*ROUND(Source!R503, 2), 2)</f>
        <v>0</v>
      </c>
      <c r="AC594">
        <v>3</v>
      </c>
    </row>
    <row r="595" spans="1:29" x14ac:dyDescent="0.25">
      <c r="A595" s="59"/>
      <c r="B595" s="59"/>
      <c r="C595" s="60" t="str">
        <f>"Объем: "&amp;Source!I502&amp;"=12900/"&amp;"1000"</f>
        <v>Объем: 12,9=12900/1000</v>
      </c>
      <c r="D595" s="59"/>
      <c r="E595" s="59"/>
      <c r="F595" s="59"/>
      <c r="G595" s="59"/>
      <c r="H595" s="59"/>
      <c r="I595" s="59"/>
      <c r="J595" s="59"/>
      <c r="K595" s="59"/>
    </row>
    <row r="596" spans="1:29" ht="14" x14ac:dyDescent="0.25">
      <c r="C596" s="43" t="s">
        <v>662</v>
      </c>
      <c r="H596" s="70">
        <f>I594+0</f>
        <v>5839.57</v>
      </c>
      <c r="I596" s="70"/>
      <c r="J596" s="70">
        <f>K594+0</f>
        <v>21372.83</v>
      </c>
      <c r="K596" s="70"/>
      <c r="O596" s="44">
        <f>I594+0</f>
        <v>5839.57</v>
      </c>
      <c r="P596" s="44">
        <f>K594+0</f>
        <v>21372.83</v>
      </c>
    </row>
    <row r="598" spans="1:29" ht="55" x14ac:dyDescent="0.25">
      <c r="A598" s="31">
        <v>58</v>
      </c>
      <c r="B598" s="31" t="str">
        <f>Source!F504</f>
        <v>КА. п. 24</v>
      </c>
      <c r="C598" s="31" t="s">
        <v>695</v>
      </c>
      <c r="D598" s="33" t="str">
        <f>Source!H504</f>
        <v>М.</v>
      </c>
      <c r="E598" s="32">
        <f>Source!I504</f>
        <v>4845</v>
      </c>
      <c r="F598" s="35">
        <f>Source!AL504</f>
        <v>9.59</v>
      </c>
      <c r="G598" s="36" t="s">
        <v>3</v>
      </c>
      <c r="H598" s="32">
        <f>Source!AW505</f>
        <v>1</v>
      </c>
      <c r="I598" s="35">
        <f>Source!P504</f>
        <v>46463.55</v>
      </c>
      <c r="J598" s="32">
        <f>IF(Source!BC505&lt;&gt; 0, Source!BC505, 1)</f>
        <v>9.84</v>
      </c>
      <c r="K598" s="35">
        <f>Source!P505</f>
        <v>457201.33</v>
      </c>
      <c r="Q598">
        <f>Source!X504</f>
        <v>0</v>
      </c>
      <c r="R598">
        <f>Source!X505</f>
        <v>0</v>
      </c>
      <c r="S598">
        <f>Source!Y504</f>
        <v>0</v>
      </c>
      <c r="T598">
        <f>Source!Y505</f>
        <v>0</v>
      </c>
      <c r="U598">
        <f>ROUND((175/100)*ROUND(Source!R504, 2), 2)</f>
        <v>0</v>
      </c>
      <c r="V598">
        <f>ROUND((0/100)*ROUND(Source!R505, 2), 2)</f>
        <v>0</v>
      </c>
      <c r="AC598">
        <v>3</v>
      </c>
    </row>
    <row r="599" spans="1:29" x14ac:dyDescent="0.25">
      <c r="A599" s="59"/>
      <c r="B599" s="59"/>
      <c r="C599" s="60" t="str">
        <f>"Объем: "&amp;Source!I504&amp;"=4750*"&amp;"1,02"</f>
        <v>Объем: 4845=4750*1,02</v>
      </c>
      <c r="D599" s="59"/>
      <c r="E599" s="59"/>
      <c r="F599" s="59"/>
      <c r="G599" s="59"/>
      <c r="H599" s="59"/>
      <c r="I599" s="59"/>
      <c r="J599" s="59"/>
      <c r="K599" s="59"/>
    </row>
    <row r="600" spans="1:29" ht="14" x14ac:dyDescent="0.25">
      <c r="C600" s="43" t="s">
        <v>662</v>
      </c>
      <c r="H600" s="70">
        <f>I598+0</f>
        <v>46463.55</v>
      </c>
      <c r="I600" s="70"/>
      <c r="J600" s="70">
        <f>K598+0</f>
        <v>457201.33</v>
      </c>
      <c r="K600" s="70"/>
      <c r="O600" s="44">
        <f>I598+0</f>
        <v>46463.55</v>
      </c>
      <c r="P600" s="44">
        <f>K598+0</f>
        <v>457201.33</v>
      </c>
    </row>
    <row r="602" spans="1:29" ht="55" x14ac:dyDescent="0.25">
      <c r="A602" s="31">
        <v>59</v>
      </c>
      <c r="B602" s="31" t="str">
        <f>Source!F506</f>
        <v>КА. п. 25</v>
      </c>
      <c r="C602" s="31" t="s">
        <v>696</v>
      </c>
      <c r="D602" s="33" t="str">
        <f>Source!H506</f>
        <v>М.</v>
      </c>
      <c r="E602" s="32">
        <f>Source!I506</f>
        <v>102</v>
      </c>
      <c r="F602" s="35">
        <f>Source!AL506</f>
        <v>26.419999999999998</v>
      </c>
      <c r="G602" s="36" t="s">
        <v>3</v>
      </c>
      <c r="H602" s="32">
        <f>Source!AW507</f>
        <v>1</v>
      </c>
      <c r="I602" s="35">
        <f>Source!P506</f>
        <v>2694.84</v>
      </c>
      <c r="J602" s="32">
        <f>IF(Source!BC507&lt;&gt; 0, Source!BC507, 1)</f>
        <v>9.84</v>
      </c>
      <c r="K602" s="35">
        <f>Source!P507</f>
        <v>26517.23</v>
      </c>
      <c r="Q602">
        <f>Source!X506</f>
        <v>0</v>
      </c>
      <c r="R602">
        <f>Source!X507</f>
        <v>0</v>
      </c>
      <c r="S602">
        <f>Source!Y506</f>
        <v>0</v>
      </c>
      <c r="T602">
        <f>Source!Y507</f>
        <v>0</v>
      </c>
      <c r="U602">
        <f>ROUND((175/100)*ROUND(Source!R506, 2), 2)</f>
        <v>0</v>
      </c>
      <c r="V602">
        <f>ROUND((0/100)*ROUND(Source!R507, 2), 2)</f>
        <v>0</v>
      </c>
      <c r="AC602">
        <v>3</v>
      </c>
    </row>
    <row r="603" spans="1:29" x14ac:dyDescent="0.25">
      <c r="A603" s="59"/>
      <c r="B603" s="59"/>
      <c r="C603" s="60" t="str">
        <f>"Объем: "&amp;Source!I506&amp;"=100*"&amp;"1,02"</f>
        <v>Объем: 102=100*1,02</v>
      </c>
      <c r="D603" s="59"/>
      <c r="E603" s="59"/>
      <c r="F603" s="59"/>
      <c r="G603" s="59"/>
      <c r="H603" s="59"/>
      <c r="I603" s="59"/>
      <c r="J603" s="59"/>
      <c r="K603" s="59"/>
    </row>
    <row r="604" spans="1:29" ht="14" x14ac:dyDescent="0.25">
      <c r="C604" s="43" t="s">
        <v>662</v>
      </c>
      <c r="H604" s="70">
        <f>I602+0</f>
        <v>2694.84</v>
      </c>
      <c r="I604" s="70"/>
      <c r="J604" s="70">
        <f>K602+0</f>
        <v>26517.23</v>
      </c>
      <c r="K604" s="70"/>
      <c r="O604" s="44">
        <f>I602+0</f>
        <v>2694.84</v>
      </c>
      <c r="P604" s="44">
        <f>K602+0</f>
        <v>26517.23</v>
      </c>
    </row>
    <row r="606" spans="1:29" ht="55" x14ac:dyDescent="0.25">
      <c r="A606" s="31">
        <v>60</v>
      </c>
      <c r="B606" s="31" t="str">
        <f>Source!F508</f>
        <v>КА. п. 26</v>
      </c>
      <c r="C606" s="31" t="s">
        <v>697</v>
      </c>
      <c r="D606" s="33" t="str">
        <f>Source!H508</f>
        <v>М.</v>
      </c>
      <c r="E606" s="32">
        <f>Source!I508</f>
        <v>102</v>
      </c>
      <c r="F606" s="35">
        <f>Source!AL508</f>
        <v>22.330000000000002</v>
      </c>
      <c r="G606" s="36" t="s">
        <v>3</v>
      </c>
      <c r="H606" s="32">
        <f>Source!AW509</f>
        <v>1</v>
      </c>
      <c r="I606" s="35">
        <f>Source!P508</f>
        <v>2277.66</v>
      </c>
      <c r="J606" s="32">
        <f>IF(Source!BC509&lt;&gt; 0, Source!BC509, 1)</f>
        <v>9.84</v>
      </c>
      <c r="K606" s="35">
        <f>Source!P509</f>
        <v>22412.17</v>
      </c>
      <c r="Q606">
        <f>Source!X508</f>
        <v>0</v>
      </c>
      <c r="R606">
        <f>Source!X509</f>
        <v>0</v>
      </c>
      <c r="S606">
        <f>Source!Y508</f>
        <v>0</v>
      </c>
      <c r="T606">
        <f>Source!Y509</f>
        <v>0</v>
      </c>
      <c r="U606">
        <f>ROUND((175/100)*ROUND(Source!R508, 2), 2)</f>
        <v>0</v>
      </c>
      <c r="V606">
        <f>ROUND((0/100)*ROUND(Source!R509, 2), 2)</f>
        <v>0</v>
      </c>
      <c r="AC606">
        <v>3</v>
      </c>
    </row>
    <row r="607" spans="1:29" x14ac:dyDescent="0.25">
      <c r="A607" s="59"/>
      <c r="B607" s="59"/>
      <c r="C607" s="60" t="str">
        <f>"Объем: "&amp;Source!I508&amp;"=100*"&amp;"1,02"</f>
        <v>Объем: 102=100*1,02</v>
      </c>
      <c r="D607" s="59"/>
      <c r="E607" s="59"/>
      <c r="F607" s="59"/>
      <c r="G607" s="59"/>
      <c r="H607" s="59"/>
      <c r="I607" s="59"/>
      <c r="J607" s="59"/>
      <c r="K607" s="59"/>
    </row>
    <row r="608" spans="1:29" ht="14" x14ac:dyDescent="0.25">
      <c r="C608" s="43" t="s">
        <v>662</v>
      </c>
      <c r="H608" s="70">
        <f>I606+0</f>
        <v>2277.66</v>
      </c>
      <c r="I608" s="70"/>
      <c r="J608" s="70">
        <f>K606+0</f>
        <v>22412.17</v>
      </c>
      <c r="K608" s="70"/>
      <c r="O608" s="44">
        <f>I606+0</f>
        <v>2277.66</v>
      </c>
      <c r="P608" s="44">
        <f>K606+0</f>
        <v>22412.17</v>
      </c>
    </row>
    <row r="610" spans="1:29" ht="55" x14ac:dyDescent="0.25">
      <c r="A610" s="31">
        <v>61</v>
      </c>
      <c r="B610" s="31" t="str">
        <f>Source!F510</f>
        <v>КА. п. 27</v>
      </c>
      <c r="C610" s="31" t="s">
        <v>698</v>
      </c>
      <c r="D610" s="33" t="str">
        <f>Source!H510</f>
        <v>М.</v>
      </c>
      <c r="E610" s="32">
        <f>Source!I510</f>
        <v>102</v>
      </c>
      <c r="F610" s="35">
        <f>Source!AL510</f>
        <v>18.650000000000002</v>
      </c>
      <c r="G610" s="36" t="s">
        <v>3</v>
      </c>
      <c r="H610" s="32">
        <f>Source!AW511</f>
        <v>1</v>
      </c>
      <c r="I610" s="35">
        <f>Source!P510</f>
        <v>1902.3</v>
      </c>
      <c r="J610" s="32">
        <f>IF(Source!BC511&lt;&gt; 0, Source!BC511, 1)</f>
        <v>9.84</v>
      </c>
      <c r="K610" s="35">
        <f>Source!P511</f>
        <v>18718.63</v>
      </c>
      <c r="Q610">
        <f>Source!X510</f>
        <v>0</v>
      </c>
      <c r="R610">
        <f>Source!X511</f>
        <v>0</v>
      </c>
      <c r="S610">
        <f>Source!Y510</f>
        <v>0</v>
      </c>
      <c r="T610">
        <f>Source!Y511</f>
        <v>0</v>
      </c>
      <c r="U610">
        <f>ROUND((175/100)*ROUND(Source!R510, 2), 2)</f>
        <v>0</v>
      </c>
      <c r="V610">
        <f>ROUND((0/100)*ROUND(Source!R511, 2), 2)</f>
        <v>0</v>
      </c>
      <c r="AC610">
        <v>3</v>
      </c>
    </row>
    <row r="611" spans="1:29" x14ac:dyDescent="0.25">
      <c r="A611" s="59"/>
      <c r="B611" s="59"/>
      <c r="C611" s="60" t="str">
        <f>"Объем: "&amp;Source!I510&amp;"=100*"&amp;"1,02"</f>
        <v>Объем: 102=100*1,02</v>
      </c>
      <c r="D611" s="59"/>
      <c r="E611" s="59"/>
      <c r="F611" s="59"/>
      <c r="G611" s="59"/>
      <c r="H611" s="59"/>
      <c r="I611" s="59"/>
      <c r="J611" s="59"/>
      <c r="K611" s="59"/>
    </row>
    <row r="612" spans="1:29" ht="14" x14ac:dyDescent="0.25">
      <c r="C612" s="43" t="s">
        <v>662</v>
      </c>
      <c r="H612" s="70">
        <f>I610+0</f>
        <v>1902.3</v>
      </c>
      <c r="I612" s="70"/>
      <c r="J612" s="70">
        <f>K610+0</f>
        <v>18718.63</v>
      </c>
      <c r="K612" s="70"/>
      <c r="O612" s="44">
        <f>I610+0</f>
        <v>1902.3</v>
      </c>
      <c r="P612" s="44">
        <f>K610+0</f>
        <v>18718.63</v>
      </c>
    </row>
    <row r="614" spans="1:29" ht="41" x14ac:dyDescent="0.25">
      <c r="A614" s="31">
        <v>62</v>
      </c>
      <c r="B614" s="31" t="str">
        <f>Source!F512</f>
        <v>КА. п. 28</v>
      </c>
      <c r="C614" s="31" t="s">
        <v>699</v>
      </c>
      <c r="D614" s="33" t="str">
        <f>Source!H512</f>
        <v>М.</v>
      </c>
      <c r="E614" s="32">
        <f>Source!I512</f>
        <v>102</v>
      </c>
      <c r="F614" s="35">
        <f>Source!AL512</f>
        <v>21.05</v>
      </c>
      <c r="G614" s="36" t="s">
        <v>3</v>
      </c>
      <c r="H614" s="32">
        <f>Source!AW513</f>
        <v>1</v>
      </c>
      <c r="I614" s="35">
        <f>Source!P512</f>
        <v>2147.1</v>
      </c>
      <c r="J614" s="32">
        <f>IF(Source!BC513&lt;&gt; 0, Source!BC513, 1)</f>
        <v>9.84</v>
      </c>
      <c r="K614" s="35">
        <f>Source!P513</f>
        <v>21127.46</v>
      </c>
      <c r="Q614">
        <f>Source!X512</f>
        <v>0</v>
      </c>
      <c r="R614">
        <f>Source!X513</f>
        <v>0</v>
      </c>
      <c r="S614">
        <f>Source!Y512</f>
        <v>0</v>
      </c>
      <c r="T614">
        <f>Source!Y513</f>
        <v>0</v>
      </c>
      <c r="U614">
        <f>ROUND((175/100)*ROUND(Source!R512, 2), 2)</f>
        <v>0</v>
      </c>
      <c r="V614">
        <f>ROUND((0/100)*ROUND(Source!R513, 2), 2)</f>
        <v>0</v>
      </c>
      <c r="AC614">
        <v>3</v>
      </c>
    </row>
    <row r="615" spans="1:29" x14ac:dyDescent="0.25">
      <c r="A615" s="59"/>
      <c r="B615" s="59"/>
      <c r="C615" s="60" t="str">
        <f>"Объем: "&amp;Source!I512&amp;"=100*"&amp;"1,02"</f>
        <v>Объем: 102=100*1,02</v>
      </c>
      <c r="D615" s="59"/>
      <c r="E615" s="59"/>
      <c r="F615" s="59"/>
      <c r="G615" s="59"/>
      <c r="H615" s="59"/>
      <c r="I615" s="59"/>
      <c r="J615" s="59"/>
      <c r="K615" s="59"/>
    </row>
    <row r="616" spans="1:29" ht="14" x14ac:dyDescent="0.25">
      <c r="C616" s="43" t="s">
        <v>662</v>
      </c>
      <c r="H616" s="70">
        <f>I614+0</f>
        <v>2147.1</v>
      </c>
      <c r="I616" s="70"/>
      <c r="J616" s="70">
        <f>K614+0</f>
        <v>21127.46</v>
      </c>
      <c r="K616" s="70"/>
      <c r="O616" s="44">
        <f>I614+0</f>
        <v>2147.1</v>
      </c>
      <c r="P616" s="44">
        <f>K614+0</f>
        <v>21127.46</v>
      </c>
    </row>
    <row r="618" spans="1:29" ht="55" x14ac:dyDescent="0.25">
      <c r="A618" s="31">
        <v>63</v>
      </c>
      <c r="B618" s="31" t="str">
        <f>Source!F514</f>
        <v>КА. п. 24</v>
      </c>
      <c r="C618" s="31" t="s">
        <v>695</v>
      </c>
      <c r="D618" s="33" t="str">
        <f>Source!H514</f>
        <v>М.</v>
      </c>
      <c r="E618" s="32">
        <f>Source!I514</f>
        <v>4335</v>
      </c>
      <c r="F618" s="35">
        <f>Source!AL514</f>
        <v>9.59</v>
      </c>
      <c r="G618" s="36" t="s">
        <v>3</v>
      </c>
      <c r="H618" s="32">
        <f>Source!AW515</f>
        <v>1</v>
      </c>
      <c r="I618" s="35">
        <f>Source!P514</f>
        <v>41572.65</v>
      </c>
      <c r="J618" s="32">
        <f>IF(Source!BC515&lt;&gt; 0, Source!BC515, 1)</f>
        <v>9.84</v>
      </c>
      <c r="K618" s="35">
        <f>Source!P515</f>
        <v>409074.88</v>
      </c>
      <c r="Q618">
        <f>Source!X514</f>
        <v>0</v>
      </c>
      <c r="R618">
        <f>Source!X515</f>
        <v>0</v>
      </c>
      <c r="S618">
        <f>Source!Y514</f>
        <v>0</v>
      </c>
      <c r="T618">
        <f>Source!Y515</f>
        <v>0</v>
      </c>
      <c r="U618">
        <f>ROUND((175/100)*ROUND(Source!R514, 2), 2)</f>
        <v>0</v>
      </c>
      <c r="V618">
        <f>ROUND((0/100)*ROUND(Source!R515, 2), 2)</f>
        <v>0</v>
      </c>
      <c r="AC618">
        <v>3</v>
      </c>
    </row>
    <row r="619" spans="1:29" x14ac:dyDescent="0.25">
      <c r="A619" s="59"/>
      <c r="B619" s="59"/>
      <c r="C619" s="60" t="str">
        <f>"Объем: "&amp;Source!I514&amp;"=4250*"&amp;"1,02"</f>
        <v>Объем: 4335=4250*1,02</v>
      </c>
      <c r="D619" s="59"/>
      <c r="E619" s="59"/>
      <c r="F619" s="59"/>
      <c r="G619" s="59"/>
      <c r="H619" s="59"/>
      <c r="I619" s="59"/>
      <c r="J619" s="59"/>
      <c r="K619" s="59"/>
    </row>
    <row r="620" spans="1:29" ht="14" x14ac:dyDescent="0.25">
      <c r="C620" s="43" t="s">
        <v>662</v>
      </c>
      <c r="H620" s="70">
        <f>I618+0</f>
        <v>41572.65</v>
      </c>
      <c r="I620" s="70"/>
      <c r="J620" s="70">
        <f>K618+0</f>
        <v>409074.88</v>
      </c>
      <c r="K620" s="70"/>
      <c r="O620" s="44">
        <f>I618+0</f>
        <v>41572.65</v>
      </c>
      <c r="P620" s="44">
        <f>K618+0</f>
        <v>409074.88</v>
      </c>
    </row>
    <row r="622" spans="1:29" ht="154" x14ac:dyDescent="0.25">
      <c r="A622" s="38">
        <v>64</v>
      </c>
      <c r="B622" s="38" t="str">
        <f>Source!F546</f>
        <v>1.1-1-8066</v>
      </c>
      <c r="C622" s="38" t="s">
        <v>620</v>
      </c>
      <c r="D622" s="39" t="str">
        <f>Source!H546</f>
        <v>кг</v>
      </c>
      <c r="E622" s="40">
        <f>Source!I546</f>
        <v>15</v>
      </c>
      <c r="F622" s="41">
        <f>Source!AL546</f>
        <v>347.24</v>
      </c>
      <c r="G622" s="42" t="s">
        <v>3</v>
      </c>
      <c r="H622" s="40">
        <f>Source!AW547</f>
        <v>1</v>
      </c>
      <c r="I622" s="41">
        <f>Source!P546</f>
        <v>5208.6000000000004</v>
      </c>
      <c r="J622" s="40">
        <f>IF(Source!BC547&lt;&gt; 0, Source!BC547, 1)</f>
        <v>5.45</v>
      </c>
      <c r="K622" s="41">
        <f>Source!P547</f>
        <v>28386.87</v>
      </c>
      <c r="Q622">
        <f>Source!X546</f>
        <v>0</v>
      </c>
      <c r="R622">
        <f>Source!X547</f>
        <v>0</v>
      </c>
      <c r="S622">
        <f>Source!Y546</f>
        <v>0</v>
      </c>
      <c r="T622">
        <f>Source!Y547</f>
        <v>0</v>
      </c>
      <c r="U622">
        <f>ROUND((175/100)*ROUND(Source!R546, 2), 2)</f>
        <v>0</v>
      </c>
      <c r="V622">
        <f>ROUND((0/100)*ROUND(Source!R547, 2), 2)</f>
        <v>0</v>
      </c>
      <c r="AC622">
        <v>3</v>
      </c>
    </row>
    <row r="623" spans="1:29" ht="14" x14ac:dyDescent="0.25">
      <c r="C623" s="43" t="s">
        <v>662</v>
      </c>
      <c r="H623" s="70">
        <f>I622+0</f>
        <v>5208.6000000000004</v>
      </c>
      <c r="I623" s="70"/>
      <c r="J623" s="70">
        <f>K622+0</f>
        <v>28386.87</v>
      </c>
      <c r="K623" s="70"/>
      <c r="O623" s="44">
        <f>I622+0</f>
        <v>5208.6000000000004</v>
      </c>
      <c r="P623" s="44">
        <f>K622+0</f>
        <v>28386.87</v>
      </c>
    </row>
    <row r="626" spans="1:43" ht="14" x14ac:dyDescent="0.3">
      <c r="A626" s="67" t="str">
        <f>CONCATENATE("Итого по разделу: ",IF(Source!G549&lt;&gt;"Новый раздел", Source!G549, ""))</f>
        <v>Итого по разделу: Кабельная продукция и материалы.</v>
      </c>
      <c r="B626" s="67"/>
      <c r="C626" s="67"/>
      <c r="D626" s="67"/>
      <c r="E626" s="67"/>
      <c r="F626" s="67"/>
      <c r="G626" s="67"/>
      <c r="H626" s="65">
        <f>SUM(O580:O625)</f>
        <v>190707.94999999998</v>
      </c>
      <c r="I626" s="66"/>
      <c r="J626" s="65">
        <f>SUM(P580:P625)</f>
        <v>4626781.82</v>
      </c>
      <c r="K626" s="66"/>
    </row>
    <row r="627" spans="1:43" hidden="1" x14ac:dyDescent="0.25">
      <c r="A627" t="s">
        <v>663</v>
      </c>
      <c r="I627">
        <f>SUM(W580:W626)</f>
        <v>0</v>
      </c>
      <c r="J627">
        <f>SUM(X580:X626)</f>
        <v>0</v>
      </c>
    </row>
    <row r="628" spans="1:43" hidden="1" x14ac:dyDescent="0.25">
      <c r="A628" t="s">
        <v>664</v>
      </c>
      <c r="I628">
        <f>SUM(Y580:Y627)</f>
        <v>0</v>
      </c>
      <c r="J628">
        <f>SUM(Z580:Z627)</f>
        <v>0</v>
      </c>
    </row>
    <row r="630" spans="1:43" ht="28" x14ac:dyDescent="0.3">
      <c r="A630" s="67" t="str">
        <f>CONCATENATE("Итого по локальной смете: ",IF(Source!G579&lt;&gt;"Новая локальная смета", Source!G579, ""))</f>
        <v>Итого по локальной смете: Система пожарной сигнализации. Автоматизация систем противопожарной защиты.</v>
      </c>
      <c r="B630" s="67"/>
      <c r="C630" s="67"/>
      <c r="D630" s="67"/>
      <c r="E630" s="67"/>
      <c r="F630" s="67"/>
      <c r="G630" s="67"/>
      <c r="H630" s="65">
        <f>SUM(O36:O629)</f>
        <v>808077.28</v>
      </c>
      <c r="I630" s="66"/>
      <c r="J630" s="65">
        <f>SUM(P36:P629)</f>
        <v>14308431.529999999</v>
      </c>
      <c r="K630" s="66"/>
      <c r="AQ630" s="46" t="str">
        <f>CONCATENATE("Итого по локальной смете: ",IF(Source!G579&lt;&gt;"Новая локальная смета", Source!G579, ""))</f>
        <v>Итого по локальной смете: Система пожарной сигнализации. Автоматизация систем противопожарной защиты.</v>
      </c>
    </row>
    <row r="631" spans="1:43" hidden="1" x14ac:dyDescent="0.25">
      <c r="A631" t="s">
        <v>663</v>
      </c>
      <c r="I631">
        <f>SUM(W36:W630)</f>
        <v>0</v>
      </c>
      <c r="J631">
        <f>SUM(X36:X630)</f>
        <v>0</v>
      </c>
    </row>
    <row r="632" spans="1:43" hidden="1" x14ac:dyDescent="0.25">
      <c r="A632" t="s">
        <v>664</v>
      </c>
      <c r="I632">
        <f>SUM(Y36:Y631)</f>
        <v>0</v>
      </c>
      <c r="J632">
        <f>SUM(Z36:Z631)</f>
        <v>0</v>
      </c>
    </row>
    <row r="633" spans="1:43" ht="14" hidden="1" x14ac:dyDescent="0.3">
      <c r="C633" s="68" t="str">
        <f>Source!H608</f>
        <v>Итого</v>
      </c>
      <c r="D633" s="68"/>
      <c r="E633" s="68"/>
      <c r="F633" s="68"/>
      <c r="G633" s="68"/>
      <c r="H633" s="69">
        <f>Source!F608</f>
        <v>808077.28</v>
      </c>
      <c r="I633" s="69"/>
      <c r="J633" s="69">
        <f>Source!P608</f>
        <v>14308431.529999999</v>
      </c>
      <c r="K633" s="69"/>
    </row>
    <row r="634" spans="1:43" ht="14" hidden="1" x14ac:dyDescent="0.3">
      <c r="C634" s="68" t="str">
        <f>Source!H609</f>
        <v>НДС 20%</v>
      </c>
      <c r="D634" s="68"/>
      <c r="E634" s="68"/>
      <c r="F634" s="68"/>
      <c r="G634" s="68"/>
      <c r="H634" s="69">
        <f>Source!F609</f>
        <v>161615.46</v>
      </c>
      <c r="I634" s="69"/>
      <c r="J634" s="69">
        <f>Source!P609</f>
        <v>2861686.31</v>
      </c>
      <c r="K634" s="69"/>
    </row>
    <row r="635" spans="1:43" ht="14" hidden="1" x14ac:dyDescent="0.3">
      <c r="C635" s="68" t="str">
        <f>Source!H610</f>
        <v>Всего</v>
      </c>
      <c r="D635" s="68"/>
      <c r="E635" s="68"/>
      <c r="F635" s="68"/>
      <c r="G635" s="68"/>
      <c r="H635" s="69">
        <f>Source!F610</f>
        <v>969692.74</v>
      </c>
      <c r="I635" s="69"/>
      <c r="J635" s="69">
        <f>Source!P610</f>
        <v>17170117.84</v>
      </c>
      <c r="K635" s="69"/>
    </row>
    <row r="637" spans="1:43" ht="14" hidden="1" x14ac:dyDescent="0.3">
      <c r="A637" s="67" t="str">
        <f>CONCATENATE("Итого по смете: ",IF(Source!G612&lt;&gt;"Новый объект", Source!G612, ""))</f>
        <v>Итого по смете: 02-01-08 СПС АСПЗ 20.07.26</v>
      </c>
      <c r="B637" s="67"/>
      <c r="C637" s="67"/>
      <c r="D637" s="67"/>
      <c r="E637" s="67"/>
      <c r="F637" s="67"/>
      <c r="G637" s="67"/>
      <c r="H637" s="65">
        <f>SUM(O1:O636)</f>
        <v>808077.28</v>
      </c>
      <c r="I637" s="66"/>
      <c r="J637" s="65">
        <f>SUM(P1:P636)</f>
        <v>14308431.529999999</v>
      </c>
      <c r="K637" s="66"/>
    </row>
    <row r="638" spans="1:43" hidden="1" x14ac:dyDescent="0.25">
      <c r="A638" t="s">
        <v>663</v>
      </c>
      <c r="I638">
        <f>SUM(W1:W637)</f>
        <v>0</v>
      </c>
      <c r="J638">
        <f>SUM(X1:X637)</f>
        <v>0</v>
      </c>
    </row>
    <row r="639" spans="1:43" hidden="1" x14ac:dyDescent="0.25">
      <c r="A639" t="s">
        <v>664</v>
      </c>
      <c r="I639">
        <f>SUM(Y1:Y638)</f>
        <v>0</v>
      </c>
      <c r="J639">
        <f>SUM(Z1:Z638)</f>
        <v>0</v>
      </c>
    </row>
    <row r="640" spans="1:43" ht="14" hidden="1" x14ac:dyDescent="0.3">
      <c r="C640" s="68" t="str">
        <f>Source!H641</f>
        <v>Итого</v>
      </c>
      <c r="D640" s="68"/>
      <c r="E640" s="68"/>
      <c r="F640" s="68"/>
      <c r="G640" s="68"/>
      <c r="H640" s="69">
        <f>Source!F641</f>
        <v>808077.28</v>
      </c>
      <c r="I640" s="69"/>
      <c r="J640" s="69">
        <f>Source!P641</f>
        <v>14308431.529999999</v>
      </c>
      <c r="K640" s="69"/>
    </row>
    <row r="643" spans="1:11" ht="14" x14ac:dyDescent="0.3">
      <c r="A643" s="62" t="s">
        <v>701</v>
      </c>
      <c r="B643" s="62"/>
      <c r="C643" s="61" t="str">
        <f>IF(Source!AC12&lt;&gt;"", Source!AC12," ")</f>
        <v>Ведущий инженер-сметчик</v>
      </c>
      <c r="D643" s="61"/>
      <c r="E643" s="61"/>
      <c r="F643" s="61"/>
      <c r="G643" s="61"/>
      <c r="H643" s="63" t="str">
        <f>IF(Source!AB12&lt;&gt;"", Source!AB12," ")</f>
        <v>О.А.Гришечкина</v>
      </c>
      <c r="I643" s="63"/>
      <c r="J643" s="63"/>
      <c r="K643" s="63"/>
    </row>
    <row r="644" spans="1:11" ht="14" x14ac:dyDescent="0.3">
      <c r="A644" s="17"/>
      <c r="B644" s="17"/>
      <c r="C644" s="64" t="s">
        <v>702</v>
      </c>
      <c r="D644" s="64"/>
      <c r="E644" s="64"/>
      <c r="F644" s="64"/>
      <c r="G644" s="64"/>
      <c r="H644" s="17"/>
      <c r="I644" s="17"/>
      <c r="J644" s="17"/>
      <c r="K644" s="17"/>
    </row>
    <row r="645" spans="1:11" ht="14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</row>
    <row r="646" spans="1:11" ht="14" x14ac:dyDescent="0.3">
      <c r="A646" s="62" t="s">
        <v>703</v>
      </c>
      <c r="B646" s="62"/>
      <c r="C646" s="61" t="str">
        <f>IF(Source!AE12&lt;&gt;"", Source!AE12," ")</f>
        <v>Начальник отдела</v>
      </c>
      <c r="D646" s="61"/>
      <c r="E646" s="61"/>
      <c r="F646" s="61"/>
      <c r="G646" s="61"/>
      <c r="H646" s="63" t="str">
        <f>IF(Source!AD12&lt;&gt;"", Source!AD12," ")</f>
        <v>И.В.Феденко</v>
      </c>
      <c r="I646" s="63"/>
      <c r="J646" s="63"/>
      <c r="K646" s="63"/>
    </row>
    <row r="647" spans="1:11" ht="14" x14ac:dyDescent="0.3">
      <c r="A647" s="17"/>
      <c r="B647" s="17"/>
      <c r="C647" s="64" t="s">
        <v>702</v>
      </c>
      <c r="D647" s="64"/>
      <c r="E647" s="64"/>
      <c r="F647" s="64"/>
      <c r="G647" s="64"/>
      <c r="H647" s="17"/>
      <c r="I647" s="17"/>
      <c r="J647" s="17"/>
      <c r="K647" s="17"/>
    </row>
  </sheetData>
  <mergeCells count="370"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  <mergeCell ref="A32:K32"/>
    <mergeCell ref="A36:K36"/>
    <mergeCell ref="A38:K38"/>
    <mergeCell ref="H46:I46"/>
    <mergeCell ref="J46:K46"/>
    <mergeCell ref="H47:I47"/>
    <mergeCell ref="J47:K47"/>
    <mergeCell ref="E24:H24"/>
    <mergeCell ref="E25:H25"/>
    <mergeCell ref="E26:H26"/>
    <mergeCell ref="E27:H27"/>
    <mergeCell ref="E28:H28"/>
    <mergeCell ref="E29:H29"/>
    <mergeCell ref="H59:I59"/>
    <mergeCell ref="J59:K59"/>
    <mergeCell ref="H66:I66"/>
    <mergeCell ref="J66:K66"/>
    <mergeCell ref="H67:I67"/>
    <mergeCell ref="J67:K67"/>
    <mergeCell ref="H48:I48"/>
    <mergeCell ref="J48:K48"/>
    <mergeCell ref="H57:I57"/>
    <mergeCell ref="J57:K57"/>
    <mergeCell ref="H58:I58"/>
    <mergeCell ref="J58:K58"/>
    <mergeCell ref="H79:I79"/>
    <mergeCell ref="J79:K79"/>
    <mergeCell ref="H89:I89"/>
    <mergeCell ref="J89:K89"/>
    <mergeCell ref="H90:I90"/>
    <mergeCell ref="J90:K90"/>
    <mergeCell ref="H68:I68"/>
    <mergeCell ref="J68:K68"/>
    <mergeCell ref="H77:I77"/>
    <mergeCell ref="J77:K77"/>
    <mergeCell ref="H78:I78"/>
    <mergeCell ref="J78:K78"/>
    <mergeCell ref="H101:I101"/>
    <mergeCell ref="J101:K101"/>
    <mergeCell ref="H108:I108"/>
    <mergeCell ref="J108:K108"/>
    <mergeCell ref="H109:I109"/>
    <mergeCell ref="J109:K109"/>
    <mergeCell ref="H91:I91"/>
    <mergeCell ref="J91:K91"/>
    <mergeCell ref="H99:I99"/>
    <mergeCell ref="J99:K99"/>
    <mergeCell ref="H100:I100"/>
    <mergeCell ref="J100:K100"/>
    <mergeCell ref="H122:I122"/>
    <mergeCell ref="J122:K122"/>
    <mergeCell ref="H131:I131"/>
    <mergeCell ref="J131:K131"/>
    <mergeCell ref="H132:I132"/>
    <mergeCell ref="J132:K132"/>
    <mergeCell ref="H110:I110"/>
    <mergeCell ref="J110:K110"/>
    <mergeCell ref="H120:I120"/>
    <mergeCell ref="J120:K120"/>
    <mergeCell ref="H121:I121"/>
    <mergeCell ref="J121:K121"/>
    <mergeCell ref="H144:I144"/>
    <mergeCell ref="J144:K144"/>
    <mergeCell ref="H154:I154"/>
    <mergeCell ref="J154:K154"/>
    <mergeCell ref="H155:I155"/>
    <mergeCell ref="J155:K155"/>
    <mergeCell ref="H133:I133"/>
    <mergeCell ref="J133:K133"/>
    <mergeCell ref="H142:I142"/>
    <mergeCell ref="J142:K142"/>
    <mergeCell ref="H143:I143"/>
    <mergeCell ref="J143:K143"/>
    <mergeCell ref="H166:I166"/>
    <mergeCell ref="J166:K166"/>
    <mergeCell ref="H175:I175"/>
    <mergeCell ref="J175:K175"/>
    <mergeCell ref="H176:I176"/>
    <mergeCell ref="J176:K176"/>
    <mergeCell ref="H156:I156"/>
    <mergeCell ref="J156:K156"/>
    <mergeCell ref="H164:I164"/>
    <mergeCell ref="J164:K164"/>
    <mergeCell ref="H165:I165"/>
    <mergeCell ref="J165:K165"/>
    <mergeCell ref="H186:I186"/>
    <mergeCell ref="J186:K186"/>
    <mergeCell ref="H195:I195"/>
    <mergeCell ref="J195:K195"/>
    <mergeCell ref="H196:I196"/>
    <mergeCell ref="J196:K196"/>
    <mergeCell ref="H177:I177"/>
    <mergeCell ref="J177:K177"/>
    <mergeCell ref="H184:I184"/>
    <mergeCell ref="J184:K184"/>
    <mergeCell ref="H185:I185"/>
    <mergeCell ref="J185:K185"/>
    <mergeCell ref="H209:I209"/>
    <mergeCell ref="J209:K209"/>
    <mergeCell ref="H219:I219"/>
    <mergeCell ref="J219:K219"/>
    <mergeCell ref="H220:I220"/>
    <mergeCell ref="J220:K220"/>
    <mergeCell ref="H197:I197"/>
    <mergeCell ref="J197:K197"/>
    <mergeCell ref="H207:I207"/>
    <mergeCell ref="J207:K207"/>
    <mergeCell ref="H208:I208"/>
    <mergeCell ref="J208:K208"/>
    <mergeCell ref="H233:I233"/>
    <mergeCell ref="J233:K233"/>
    <mergeCell ref="H242:I242"/>
    <mergeCell ref="J242:K242"/>
    <mergeCell ref="H243:I243"/>
    <mergeCell ref="J243:K243"/>
    <mergeCell ref="H221:I221"/>
    <mergeCell ref="J221:K221"/>
    <mergeCell ref="H231:I231"/>
    <mergeCell ref="J231:K231"/>
    <mergeCell ref="H232:I232"/>
    <mergeCell ref="J232:K232"/>
    <mergeCell ref="H254:I254"/>
    <mergeCell ref="J254:K254"/>
    <mergeCell ref="J257:K257"/>
    <mergeCell ref="H257:I257"/>
    <mergeCell ref="A257:G257"/>
    <mergeCell ref="A261:K261"/>
    <mergeCell ref="H244:I244"/>
    <mergeCell ref="J244:K244"/>
    <mergeCell ref="H252:I252"/>
    <mergeCell ref="J252:K252"/>
    <mergeCell ref="H253:I253"/>
    <mergeCell ref="J253:K253"/>
    <mergeCell ref="J275:K275"/>
    <mergeCell ref="H275:I275"/>
    <mergeCell ref="A275:G275"/>
    <mergeCell ref="A279:K279"/>
    <mergeCell ref="H288:I288"/>
    <mergeCell ref="J288:K288"/>
    <mergeCell ref="H270:I270"/>
    <mergeCell ref="J270:K270"/>
    <mergeCell ref="H271:I271"/>
    <mergeCell ref="J271:K271"/>
    <mergeCell ref="H272:I272"/>
    <mergeCell ref="J272:K272"/>
    <mergeCell ref="H302:I302"/>
    <mergeCell ref="J302:K302"/>
    <mergeCell ref="H303:I303"/>
    <mergeCell ref="J303:K303"/>
    <mergeCell ref="H304:I304"/>
    <mergeCell ref="J304:K304"/>
    <mergeCell ref="H289:I289"/>
    <mergeCell ref="J289:K289"/>
    <mergeCell ref="H290:I290"/>
    <mergeCell ref="J290:K290"/>
    <mergeCell ref="H293:I293"/>
    <mergeCell ref="J293:K293"/>
    <mergeCell ref="J322:K322"/>
    <mergeCell ref="H322:I322"/>
    <mergeCell ref="A322:G322"/>
    <mergeCell ref="A326:K326"/>
    <mergeCell ref="H336:I336"/>
    <mergeCell ref="J336:K336"/>
    <mergeCell ref="H317:I317"/>
    <mergeCell ref="J317:K317"/>
    <mergeCell ref="H318:I318"/>
    <mergeCell ref="J318:K318"/>
    <mergeCell ref="H319:I319"/>
    <mergeCell ref="J319:K319"/>
    <mergeCell ref="H344:I344"/>
    <mergeCell ref="J344:K344"/>
    <mergeCell ref="H353:I353"/>
    <mergeCell ref="J353:K353"/>
    <mergeCell ref="H354:I354"/>
    <mergeCell ref="J354:K354"/>
    <mergeCell ref="H337:I337"/>
    <mergeCell ref="J337:K337"/>
    <mergeCell ref="H338:I338"/>
    <mergeCell ref="J338:K338"/>
    <mergeCell ref="H341:I341"/>
    <mergeCell ref="J341:K341"/>
    <mergeCell ref="H368:I368"/>
    <mergeCell ref="J368:K368"/>
    <mergeCell ref="H369:I369"/>
    <mergeCell ref="J369:K369"/>
    <mergeCell ref="H380:I380"/>
    <mergeCell ref="J380:K380"/>
    <mergeCell ref="H355:I355"/>
    <mergeCell ref="J355:K355"/>
    <mergeCell ref="H358:I358"/>
    <mergeCell ref="J358:K358"/>
    <mergeCell ref="H367:I367"/>
    <mergeCell ref="J367:K367"/>
    <mergeCell ref="A404:G404"/>
    <mergeCell ref="A408:K408"/>
    <mergeCell ref="H388:I388"/>
    <mergeCell ref="J388:K388"/>
    <mergeCell ref="H399:I399"/>
    <mergeCell ref="J399:K399"/>
    <mergeCell ref="H400:I400"/>
    <mergeCell ref="J400:K400"/>
    <mergeCell ref="H381:I381"/>
    <mergeCell ref="J381:K381"/>
    <mergeCell ref="H382:I382"/>
    <mergeCell ref="J382:K382"/>
    <mergeCell ref="H385:I385"/>
    <mergeCell ref="J385:K385"/>
    <mergeCell ref="H410:I410"/>
    <mergeCell ref="J410:K410"/>
    <mergeCell ref="H413:I413"/>
    <mergeCell ref="J413:K413"/>
    <mergeCell ref="H416:I416"/>
    <mergeCell ref="J416:K416"/>
    <mergeCell ref="H401:I401"/>
    <mergeCell ref="J401:K401"/>
    <mergeCell ref="J404:K404"/>
    <mergeCell ref="H404:I404"/>
    <mergeCell ref="H433:I433"/>
    <mergeCell ref="J433:K433"/>
    <mergeCell ref="H434:I434"/>
    <mergeCell ref="J434:K434"/>
    <mergeCell ref="H437:I437"/>
    <mergeCell ref="J437:K437"/>
    <mergeCell ref="J419:K419"/>
    <mergeCell ref="H419:I419"/>
    <mergeCell ref="A419:G419"/>
    <mergeCell ref="A423:K423"/>
    <mergeCell ref="H432:I432"/>
    <mergeCell ref="J432:K432"/>
    <mergeCell ref="H462:I462"/>
    <mergeCell ref="J462:K462"/>
    <mergeCell ref="H463:I463"/>
    <mergeCell ref="J463:K463"/>
    <mergeCell ref="H464:I464"/>
    <mergeCell ref="J464:K464"/>
    <mergeCell ref="H450:I450"/>
    <mergeCell ref="J450:K450"/>
    <mergeCell ref="H451:I451"/>
    <mergeCell ref="J451:K451"/>
    <mergeCell ref="H452:I452"/>
    <mergeCell ref="J452:K452"/>
    <mergeCell ref="H479:I479"/>
    <mergeCell ref="J479:K479"/>
    <mergeCell ref="H480:I480"/>
    <mergeCell ref="J480:K480"/>
    <mergeCell ref="H483:I483"/>
    <mergeCell ref="J483:K483"/>
    <mergeCell ref="J467:K467"/>
    <mergeCell ref="H467:I467"/>
    <mergeCell ref="A467:G467"/>
    <mergeCell ref="A471:K471"/>
    <mergeCell ref="H478:I478"/>
    <mergeCell ref="J478:K478"/>
    <mergeCell ref="H505:I505"/>
    <mergeCell ref="J505:K505"/>
    <mergeCell ref="H506:I506"/>
    <mergeCell ref="J506:K506"/>
    <mergeCell ref="H507:I507"/>
    <mergeCell ref="J507:K507"/>
    <mergeCell ref="H492:I492"/>
    <mergeCell ref="J492:K492"/>
    <mergeCell ref="H493:I493"/>
    <mergeCell ref="J493:K493"/>
    <mergeCell ref="H494:I494"/>
    <mergeCell ref="J494:K494"/>
    <mergeCell ref="H522:I522"/>
    <mergeCell ref="J522:K522"/>
    <mergeCell ref="H525:I525"/>
    <mergeCell ref="J525:K525"/>
    <mergeCell ref="H528:I528"/>
    <mergeCell ref="J528:K528"/>
    <mergeCell ref="H517:I517"/>
    <mergeCell ref="J517:K517"/>
    <mergeCell ref="H518:I518"/>
    <mergeCell ref="J518:K518"/>
    <mergeCell ref="H519:I519"/>
    <mergeCell ref="J519:K519"/>
    <mergeCell ref="H548:I548"/>
    <mergeCell ref="J548:K548"/>
    <mergeCell ref="H549:I549"/>
    <mergeCell ref="J549:K549"/>
    <mergeCell ref="H562:I562"/>
    <mergeCell ref="J562:K562"/>
    <mergeCell ref="H531:I531"/>
    <mergeCell ref="J531:K531"/>
    <mergeCell ref="H534:I534"/>
    <mergeCell ref="J534:K534"/>
    <mergeCell ref="H547:I547"/>
    <mergeCell ref="J547:K547"/>
    <mergeCell ref="A567:G567"/>
    <mergeCell ref="A571:K571"/>
    <mergeCell ref="H573:I573"/>
    <mergeCell ref="J573:K573"/>
    <mergeCell ref="J576:K576"/>
    <mergeCell ref="H576:I576"/>
    <mergeCell ref="A576:G576"/>
    <mergeCell ref="H563:I563"/>
    <mergeCell ref="J563:K563"/>
    <mergeCell ref="H564:I564"/>
    <mergeCell ref="J564:K564"/>
    <mergeCell ref="J567:K567"/>
    <mergeCell ref="H567:I567"/>
    <mergeCell ref="H596:I596"/>
    <mergeCell ref="J596:K596"/>
    <mergeCell ref="H600:I600"/>
    <mergeCell ref="J600:K600"/>
    <mergeCell ref="H604:I604"/>
    <mergeCell ref="J604:K604"/>
    <mergeCell ref="A580:K580"/>
    <mergeCell ref="H590:I590"/>
    <mergeCell ref="J590:K590"/>
    <mergeCell ref="H591:I591"/>
    <mergeCell ref="J591:K591"/>
    <mergeCell ref="H592:I592"/>
    <mergeCell ref="J592:K592"/>
    <mergeCell ref="H620:I620"/>
    <mergeCell ref="J620:K620"/>
    <mergeCell ref="H623:I623"/>
    <mergeCell ref="J623:K623"/>
    <mergeCell ref="J626:K626"/>
    <mergeCell ref="H626:I626"/>
    <mergeCell ref="H608:I608"/>
    <mergeCell ref="J608:K608"/>
    <mergeCell ref="H612:I612"/>
    <mergeCell ref="J612:K612"/>
    <mergeCell ref="H616:I616"/>
    <mergeCell ref="J616:K616"/>
    <mergeCell ref="C634:G634"/>
    <mergeCell ref="H634:I634"/>
    <mergeCell ref="J634:K634"/>
    <mergeCell ref="C635:G635"/>
    <mergeCell ref="H635:I635"/>
    <mergeCell ref="J635:K635"/>
    <mergeCell ref="A626:G626"/>
    <mergeCell ref="J630:K630"/>
    <mergeCell ref="H630:I630"/>
    <mergeCell ref="A630:G630"/>
    <mergeCell ref="C633:G633"/>
    <mergeCell ref="H633:I633"/>
    <mergeCell ref="J633:K633"/>
    <mergeCell ref="A643:B643"/>
    <mergeCell ref="H643:K643"/>
    <mergeCell ref="C644:G644"/>
    <mergeCell ref="A646:B646"/>
    <mergeCell ref="H646:K646"/>
    <mergeCell ref="C647:G647"/>
    <mergeCell ref="J637:K637"/>
    <mergeCell ref="H637:I637"/>
    <mergeCell ref="A637:G637"/>
    <mergeCell ref="C640:G640"/>
    <mergeCell ref="H640:I640"/>
    <mergeCell ref="J640:K640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662"/>
  <sheetViews>
    <sheetView workbookViewId="0">
      <selection activeCell="A658" sqref="A658:AX658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ht="13" x14ac:dyDescent="0.3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ht="13" x14ac:dyDescent="0.3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ht="13" x14ac:dyDescent="0.3">
      <c r="A12" s="10">
        <v>1</v>
      </c>
      <c r="B12" s="10">
        <v>654</v>
      </c>
      <c r="C12" s="10">
        <v>0</v>
      </c>
      <c r="D12" s="10">
        <f>ROW(A612)</f>
        <v>612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2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8</v>
      </c>
      <c r="AC12" s="10" t="s">
        <v>9</v>
      </c>
      <c r="AD12" s="10" t="s">
        <v>10</v>
      </c>
      <c r="AE12" s="10" t="s">
        <v>11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12</v>
      </c>
      <c r="BI12" s="10" t="s">
        <v>13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14</v>
      </c>
      <c r="BZ12" s="10" t="s">
        <v>15</v>
      </c>
      <c r="CA12" s="10" t="s">
        <v>16</v>
      </c>
      <c r="CB12" s="10" t="s">
        <v>16</v>
      </c>
      <c r="CC12" s="10" t="s">
        <v>16</v>
      </c>
      <c r="CD12" s="10" t="s">
        <v>16</v>
      </c>
      <c r="CE12" s="10" t="s">
        <v>17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82</v>
      </c>
      <c r="CL12" s="10"/>
      <c r="CM12" s="10"/>
      <c r="CN12" s="10"/>
      <c r="CO12" s="10"/>
      <c r="CP12" s="10"/>
      <c r="CQ12" s="10" t="s">
        <v>18</v>
      </c>
      <c r="CR12" s="10" t="s">
        <v>19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B612</f>
        <v>654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02-01-08</v>
      </c>
      <c r="G18" s="11" t="str">
        <f t="shared" si="0"/>
        <v>02-01-08 СПС АСПЗ 20.07.26</v>
      </c>
      <c r="H18" s="11"/>
      <c r="I18" s="11"/>
      <c r="J18" s="11"/>
      <c r="K18" s="11"/>
      <c r="L18" s="11"/>
      <c r="M18" s="11"/>
      <c r="N18" s="11"/>
      <c r="O18" s="11">
        <f t="shared" ref="O18:AT18" si="1">O612</f>
        <v>712919.19</v>
      </c>
      <c r="P18" s="11">
        <f t="shared" si="1"/>
        <v>641673.85</v>
      </c>
      <c r="Q18" s="11">
        <f t="shared" si="1"/>
        <v>1768.42</v>
      </c>
      <c r="R18" s="11">
        <f t="shared" si="1"/>
        <v>136.9</v>
      </c>
      <c r="S18" s="11">
        <f t="shared" si="1"/>
        <v>69476.92</v>
      </c>
      <c r="T18" s="11">
        <f t="shared" si="1"/>
        <v>0</v>
      </c>
      <c r="U18" s="11">
        <f t="shared" si="1"/>
        <v>5666.8005989999992</v>
      </c>
      <c r="V18" s="11">
        <f t="shared" si="1"/>
        <v>0</v>
      </c>
      <c r="W18" s="11">
        <f t="shared" si="1"/>
        <v>0</v>
      </c>
      <c r="X18" s="11">
        <f t="shared" si="1"/>
        <v>62893.27</v>
      </c>
      <c r="Y18" s="11">
        <f t="shared" si="1"/>
        <v>32264.82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506854.61</v>
      </c>
      <c r="AQ18" s="11">
        <f t="shared" si="1"/>
        <v>0</v>
      </c>
      <c r="AR18" s="11">
        <f t="shared" si="1"/>
        <v>808077.28</v>
      </c>
      <c r="AS18" s="11">
        <f t="shared" si="1"/>
        <v>3071.8</v>
      </c>
      <c r="AT18" s="11">
        <f t="shared" si="1"/>
        <v>298150.87</v>
      </c>
      <c r="AU18" s="11">
        <f t="shared" ref="AU18:BZ18" si="2">AU612</f>
        <v>0</v>
      </c>
      <c r="AV18" s="11">
        <f t="shared" si="2"/>
        <v>641673.85</v>
      </c>
      <c r="AW18" s="11">
        <f t="shared" si="2"/>
        <v>134819.24</v>
      </c>
      <c r="AX18" s="11">
        <f t="shared" si="2"/>
        <v>0</v>
      </c>
      <c r="AY18" s="11">
        <f t="shared" si="2"/>
        <v>134819.24</v>
      </c>
      <c r="AZ18" s="11">
        <f t="shared" si="2"/>
        <v>506854.61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CA612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DG612</f>
        <v>8946275.1500000004</v>
      </c>
      <c r="DH18" s="12">
        <f t="shared" si="4"/>
        <v>5006903.7</v>
      </c>
      <c r="DI18" s="12">
        <f t="shared" si="4"/>
        <v>24346.99</v>
      </c>
      <c r="DJ18" s="12">
        <f t="shared" si="4"/>
        <v>7714.3</v>
      </c>
      <c r="DK18" s="12">
        <f t="shared" si="4"/>
        <v>3915024.46</v>
      </c>
      <c r="DL18" s="12">
        <f t="shared" si="4"/>
        <v>0</v>
      </c>
      <c r="DM18" s="12">
        <f t="shared" si="4"/>
        <v>5666.8005989999992</v>
      </c>
      <c r="DN18" s="12">
        <f t="shared" si="4"/>
        <v>0</v>
      </c>
      <c r="DO18" s="12">
        <f t="shared" si="4"/>
        <v>0</v>
      </c>
      <c r="DP18" s="12">
        <f t="shared" si="4"/>
        <v>3544034.03</v>
      </c>
      <c r="DQ18" s="12">
        <f t="shared" si="4"/>
        <v>1818122.35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3861290.61</v>
      </c>
      <c r="EI18" s="12">
        <f t="shared" si="4"/>
        <v>0</v>
      </c>
      <c r="EJ18" s="12">
        <f t="shared" si="4"/>
        <v>14308431.529999999</v>
      </c>
      <c r="EK18" s="12">
        <f t="shared" si="4"/>
        <v>173095.65</v>
      </c>
      <c r="EL18" s="12">
        <f t="shared" si="4"/>
        <v>10274045.27</v>
      </c>
      <c r="EM18" s="12">
        <f t="shared" ref="EM18:FR18" si="5">EM612</f>
        <v>0</v>
      </c>
      <c r="EN18" s="12">
        <f t="shared" si="5"/>
        <v>5006903.7</v>
      </c>
      <c r="EO18" s="12">
        <f t="shared" si="5"/>
        <v>1145613.0900000001</v>
      </c>
      <c r="EP18" s="12">
        <f t="shared" si="5"/>
        <v>0</v>
      </c>
      <c r="EQ18" s="12">
        <f t="shared" si="5"/>
        <v>1145613.0900000001</v>
      </c>
      <c r="ER18" s="12">
        <f t="shared" si="5"/>
        <v>3861290.61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FS612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ROW(A579)</f>
        <v>579</v>
      </c>
      <c r="E20" s="10"/>
      <c r="F20" s="10" t="s">
        <v>5</v>
      </c>
      <c r="G20" s="10" t="s">
        <v>20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B579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02-01-08</v>
      </c>
      <c r="G22" s="11" t="str">
        <f t="shared" si="7"/>
        <v>Система пожарной сигнализации. Автоматизация систем противопожарной защиты.</v>
      </c>
      <c r="H22" s="11"/>
      <c r="I22" s="11"/>
      <c r="J22" s="11"/>
      <c r="K22" s="11"/>
      <c r="L22" s="11"/>
      <c r="M22" s="11"/>
      <c r="N22" s="11"/>
      <c r="O22" s="11">
        <f t="shared" ref="O22:AT22" si="8">O579</f>
        <v>712919.19</v>
      </c>
      <c r="P22" s="11">
        <f t="shared" si="8"/>
        <v>641673.85</v>
      </c>
      <c r="Q22" s="11">
        <f t="shared" si="8"/>
        <v>1768.42</v>
      </c>
      <c r="R22" s="11">
        <f t="shared" si="8"/>
        <v>136.9</v>
      </c>
      <c r="S22" s="11">
        <f t="shared" si="8"/>
        <v>69476.92</v>
      </c>
      <c r="T22" s="11">
        <f t="shared" si="8"/>
        <v>0</v>
      </c>
      <c r="U22" s="11">
        <f t="shared" si="8"/>
        <v>5666.8005989999992</v>
      </c>
      <c r="V22" s="11">
        <f t="shared" si="8"/>
        <v>0</v>
      </c>
      <c r="W22" s="11">
        <f t="shared" si="8"/>
        <v>0</v>
      </c>
      <c r="X22" s="11">
        <f t="shared" si="8"/>
        <v>62893.27</v>
      </c>
      <c r="Y22" s="11">
        <f t="shared" si="8"/>
        <v>32264.82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506854.61</v>
      </c>
      <c r="AQ22" s="11">
        <f t="shared" si="8"/>
        <v>0</v>
      </c>
      <c r="AR22" s="11">
        <f t="shared" si="8"/>
        <v>808077.28</v>
      </c>
      <c r="AS22" s="11">
        <f t="shared" si="8"/>
        <v>3071.8</v>
      </c>
      <c r="AT22" s="11">
        <f t="shared" si="8"/>
        <v>298150.87</v>
      </c>
      <c r="AU22" s="11">
        <f t="shared" ref="AU22:BZ22" si="9">AU579</f>
        <v>0</v>
      </c>
      <c r="AV22" s="11">
        <f t="shared" si="9"/>
        <v>641673.85</v>
      </c>
      <c r="AW22" s="11">
        <f t="shared" si="9"/>
        <v>134819.24</v>
      </c>
      <c r="AX22" s="11">
        <f t="shared" si="9"/>
        <v>0</v>
      </c>
      <c r="AY22" s="11">
        <f t="shared" si="9"/>
        <v>134819.24</v>
      </c>
      <c r="AZ22" s="11">
        <f t="shared" si="9"/>
        <v>506854.61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CA579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DG579</f>
        <v>8946275.1500000004</v>
      </c>
      <c r="DH22" s="12">
        <f t="shared" si="11"/>
        <v>5006903.7</v>
      </c>
      <c r="DI22" s="12">
        <f t="shared" si="11"/>
        <v>24346.99</v>
      </c>
      <c r="DJ22" s="12">
        <f t="shared" si="11"/>
        <v>7714.3</v>
      </c>
      <c r="DK22" s="12">
        <f t="shared" si="11"/>
        <v>3915024.46</v>
      </c>
      <c r="DL22" s="12">
        <f t="shared" si="11"/>
        <v>0</v>
      </c>
      <c r="DM22" s="12">
        <f t="shared" si="11"/>
        <v>5666.8005989999992</v>
      </c>
      <c r="DN22" s="12">
        <f t="shared" si="11"/>
        <v>0</v>
      </c>
      <c r="DO22" s="12">
        <f t="shared" si="11"/>
        <v>0</v>
      </c>
      <c r="DP22" s="12">
        <f t="shared" si="11"/>
        <v>3544034.03</v>
      </c>
      <c r="DQ22" s="12">
        <f t="shared" si="11"/>
        <v>1818122.35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3861290.61</v>
      </c>
      <c r="EI22" s="12">
        <f t="shared" si="11"/>
        <v>0</v>
      </c>
      <c r="EJ22" s="12">
        <f t="shared" si="11"/>
        <v>14308431.529999999</v>
      </c>
      <c r="EK22" s="12">
        <f t="shared" si="11"/>
        <v>173095.65</v>
      </c>
      <c r="EL22" s="12">
        <f t="shared" si="11"/>
        <v>10274045.27</v>
      </c>
      <c r="EM22" s="12">
        <f t="shared" ref="EM22:FR22" si="12">EM579</f>
        <v>0</v>
      </c>
      <c r="EN22" s="12">
        <f t="shared" si="12"/>
        <v>5006903.7</v>
      </c>
      <c r="EO22" s="12">
        <f t="shared" si="12"/>
        <v>1145613.0900000001</v>
      </c>
      <c r="EP22" s="12">
        <f t="shared" si="12"/>
        <v>0</v>
      </c>
      <c r="EQ22" s="12">
        <f t="shared" si="12"/>
        <v>1145613.0900000001</v>
      </c>
      <c r="ER22" s="12">
        <f t="shared" si="12"/>
        <v>3861290.61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FS579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ROW(A73)</f>
        <v>73</v>
      </c>
      <c r="E24" s="10"/>
      <c r="F24" s="10" t="s">
        <v>21</v>
      </c>
      <c r="G24" s="10" t="s">
        <v>22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B73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 (Письмо от АНО «РГТ» об утверждении объёмов демонтажных работ)</v>
      </c>
      <c r="H26" s="11"/>
      <c r="I26" s="11"/>
      <c r="J26" s="11"/>
      <c r="K26" s="11"/>
      <c r="L26" s="11"/>
      <c r="M26" s="11"/>
      <c r="N26" s="11"/>
      <c r="O26" s="11">
        <f t="shared" ref="O26:AT26" si="15">O73</f>
        <v>18801.8</v>
      </c>
      <c r="P26" s="11">
        <f t="shared" si="15"/>
        <v>0</v>
      </c>
      <c r="Q26" s="11">
        <f t="shared" si="15"/>
        <v>814.34</v>
      </c>
      <c r="R26" s="11">
        <f t="shared" si="15"/>
        <v>94.56</v>
      </c>
      <c r="S26" s="11">
        <f t="shared" si="15"/>
        <v>17987.46</v>
      </c>
      <c r="T26" s="11">
        <f t="shared" si="15"/>
        <v>0</v>
      </c>
      <c r="U26" s="11">
        <f t="shared" si="15"/>
        <v>1475.5193009999998</v>
      </c>
      <c r="V26" s="11">
        <f t="shared" si="15"/>
        <v>0</v>
      </c>
      <c r="W26" s="11">
        <f t="shared" si="15"/>
        <v>0</v>
      </c>
      <c r="X26" s="11">
        <f t="shared" si="15"/>
        <v>16454.150000000001</v>
      </c>
      <c r="Y26" s="11">
        <f t="shared" si="15"/>
        <v>8475.5</v>
      </c>
      <c r="Z26" s="11">
        <f t="shared" si="15"/>
        <v>0</v>
      </c>
      <c r="AA26" s="11">
        <f t="shared" si="15"/>
        <v>0</v>
      </c>
      <c r="AB26" s="11">
        <f t="shared" si="15"/>
        <v>18801.8</v>
      </c>
      <c r="AC26" s="11">
        <f t="shared" si="15"/>
        <v>0</v>
      </c>
      <c r="AD26" s="11">
        <f t="shared" si="15"/>
        <v>814.34</v>
      </c>
      <c r="AE26" s="11">
        <f t="shared" si="15"/>
        <v>94.56</v>
      </c>
      <c r="AF26" s="11">
        <f t="shared" si="15"/>
        <v>17987.46</v>
      </c>
      <c r="AG26" s="11">
        <f t="shared" si="15"/>
        <v>0</v>
      </c>
      <c r="AH26" s="11">
        <f t="shared" si="15"/>
        <v>1475.5193009999998</v>
      </c>
      <c r="AI26" s="11">
        <f t="shared" si="15"/>
        <v>0</v>
      </c>
      <c r="AJ26" s="11">
        <f t="shared" si="15"/>
        <v>0</v>
      </c>
      <c r="AK26" s="11">
        <f t="shared" si="15"/>
        <v>16454.150000000001</v>
      </c>
      <c r="AL26" s="11">
        <f t="shared" si="15"/>
        <v>8475.5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43731.45</v>
      </c>
      <c r="AS26" s="11">
        <f t="shared" si="15"/>
        <v>3071.8</v>
      </c>
      <c r="AT26" s="11">
        <f t="shared" si="15"/>
        <v>40659.65</v>
      </c>
      <c r="AU26" s="11">
        <f t="shared" ref="AU26:BZ26" si="16">AU73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CA73</f>
        <v>43731.45</v>
      </c>
      <c r="CB26" s="11">
        <f t="shared" si="17"/>
        <v>3071.8</v>
      </c>
      <c r="CC26" s="11">
        <f t="shared" si="17"/>
        <v>40659.65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DG73</f>
        <v>1026183.3</v>
      </c>
      <c r="DH26" s="12">
        <f t="shared" si="18"/>
        <v>0</v>
      </c>
      <c r="DI26" s="12">
        <f t="shared" si="18"/>
        <v>12589.92</v>
      </c>
      <c r="DJ26" s="12">
        <f t="shared" si="18"/>
        <v>5328.44</v>
      </c>
      <c r="DK26" s="12">
        <f t="shared" si="18"/>
        <v>1013593.38</v>
      </c>
      <c r="DL26" s="12">
        <f t="shared" si="18"/>
        <v>0</v>
      </c>
      <c r="DM26" s="12">
        <f t="shared" si="18"/>
        <v>1475.5193009999998</v>
      </c>
      <c r="DN26" s="12">
        <f t="shared" si="18"/>
        <v>0</v>
      </c>
      <c r="DO26" s="12">
        <f t="shared" si="18"/>
        <v>0</v>
      </c>
      <c r="DP26" s="12">
        <f t="shared" si="18"/>
        <v>927189.53</v>
      </c>
      <c r="DQ26" s="12">
        <f t="shared" si="18"/>
        <v>477593.62</v>
      </c>
      <c r="DR26" s="12">
        <f t="shared" si="18"/>
        <v>0</v>
      </c>
      <c r="DS26" s="12">
        <f t="shared" si="18"/>
        <v>0</v>
      </c>
      <c r="DT26" s="12">
        <f t="shared" si="18"/>
        <v>1026183.3</v>
      </c>
      <c r="DU26" s="12">
        <f t="shared" si="18"/>
        <v>0</v>
      </c>
      <c r="DV26" s="12">
        <f t="shared" si="18"/>
        <v>12589.92</v>
      </c>
      <c r="DW26" s="12">
        <f t="shared" si="18"/>
        <v>5328.44</v>
      </c>
      <c r="DX26" s="12">
        <f t="shared" si="18"/>
        <v>1013593.38</v>
      </c>
      <c r="DY26" s="12">
        <f t="shared" si="18"/>
        <v>0</v>
      </c>
      <c r="DZ26" s="12">
        <f t="shared" si="18"/>
        <v>1475.5193009999998</v>
      </c>
      <c r="EA26" s="12">
        <f t="shared" si="18"/>
        <v>0</v>
      </c>
      <c r="EB26" s="12">
        <f t="shared" si="18"/>
        <v>0</v>
      </c>
      <c r="EC26" s="12">
        <f t="shared" si="18"/>
        <v>927189.53</v>
      </c>
      <c r="ED26" s="12">
        <f t="shared" si="18"/>
        <v>477593.62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2430966.4500000002</v>
      </c>
      <c r="EK26" s="12">
        <f t="shared" si="18"/>
        <v>173095.65</v>
      </c>
      <c r="EL26" s="12">
        <f t="shared" si="18"/>
        <v>2257870.7999999998</v>
      </c>
      <c r="EM26" s="12">
        <f t="shared" ref="EM26:FR26" si="19">EM73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FS73</f>
        <v>2430966.4500000002</v>
      </c>
      <c r="FT26" s="12">
        <f t="shared" si="20"/>
        <v>173095.65</v>
      </c>
      <c r="FU26" s="12">
        <f t="shared" si="20"/>
        <v>2257870.7999999998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ROW(SmtRes!A2)</f>
        <v>2</v>
      </c>
      <c r="D28" s="2">
        <f>ROW(EtalonRes!A3)</f>
        <v>3</v>
      </c>
      <c r="E28" s="2" t="s">
        <v>23</v>
      </c>
      <c r="F28" s="2" t="s">
        <v>24</v>
      </c>
      <c r="G28" s="2" t="s">
        <v>25</v>
      </c>
      <c r="H28" s="2" t="s">
        <v>26</v>
      </c>
      <c r="I28" s="2">
        <f>ROUND(1,9)</f>
        <v>1</v>
      </c>
      <c r="J28" s="2">
        <v>0</v>
      </c>
      <c r="K28" s="2">
        <f>ROUND(1,9)</f>
        <v>1</v>
      </c>
      <c r="L28" s="2"/>
      <c r="M28" s="2"/>
      <c r="N28" s="2"/>
      <c r="O28" s="2">
        <f t="shared" ref="O28:O71" si="21">ROUND(CP28,2)</f>
        <v>23.04</v>
      </c>
      <c r="P28" s="2">
        <f t="shared" ref="P28:P71" si="22">ROUND((ROUND((AC28*AW28*I28),2)*BC28),2)</f>
        <v>0</v>
      </c>
      <c r="Q28" s="2">
        <f t="shared" ref="Q28:Q65" si="23">(ROUND((ROUND(((((ET28*1.2)*0.3))*AV28*I28),2)*BB28),2)+ROUND((ROUND(((AE28-(((EU28*1.2)*0.3)))*AV28*I28),2)*BS28),2))</f>
        <v>10.02</v>
      </c>
      <c r="R28" s="2">
        <f t="shared" ref="R28:R65" si="24">(ROUND((ROUND(((((EU28*1.2)*0.3))*AV28*I28),2)*BS28),2)+ROUND((ROUND(((AE28-(((EU28*1.2)*0.3)))*AV28*I28),2)*BS28),2))</f>
        <v>1.52</v>
      </c>
      <c r="S28" s="2">
        <f t="shared" ref="S28:S71" si="25">ROUND((ROUND((AF28*AV28*I28),2)*BA28),2)</f>
        <v>13.02</v>
      </c>
      <c r="T28" s="2">
        <f t="shared" ref="T28:T71" si="26">ROUND(CU28*I28,2)</f>
        <v>0</v>
      </c>
      <c r="U28" s="2">
        <f t="shared" ref="U28:U71" si="27">CV28*I28</f>
        <v>1.1646827999999998</v>
      </c>
      <c r="V28" s="2">
        <f t="shared" ref="V28:V71" si="28">CW28*I28</f>
        <v>0</v>
      </c>
      <c r="W28" s="2">
        <f t="shared" ref="W28:W71" si="29">ROUND(CX28*I28,2)</f>
        <v>0</v>
      </c>
      <c r="X28" s="2">
        <f t="shared" ref="X28:X65" si="30">(ROUND((((S28+ROUND((ROUND(((((EU28*1.2)*0.3))*AV28*I28),2)*BS28),2))*AT28)/100),2)+ROUND(((ROUND((ROUND(((AE28-(((EU28*1.2)*0.3)))*AV28*I28),2)*BS28),2)*AT28)/100),2))</f>
        <v>13.09</v>
      </c>
      <c r="Y28" s="2">
        <f t="shared" ref="Y28:Y65" si="31">(ROUND((((S28+ROUND((ROUND(((((EU28*1.2)*0.3))*AV28*I28),2)*BS28),2))*AU28)/100),2)+ROUND(((ROUND((ROUND(((AE28-(((EU28*1.2)*0.3)))*AV28*I28),2)*BS28),2)*AU28)/100),2))</f>
        <v>6.69</v>
      </c>
      <c r="Z28" s="2"/>
      <c r="AA28" s="2">
        <v>57034452</v>
      </c>
      <c r="AB28" s="2">
        <f t="shared" ref="AB28:AB71" si="32">ROUND((AC28+AD28+AF28),6)</f>
        <v>22.010400000000001</v>
      </c>
      <c r="AC28" s="2">
        <f t="shared" ref="AC28:AC65" si="33">ROUND((((ES28*1)*0)),6)</f>
        <v>0</v>
      </c>
      <c r="AD28" s="2">
        <f t="shared" ref="AD28:AD65" si="34">ROUND((((((ET28*1.2)*0.3))-(((EU28*1.2)*0.3)))+AE28),6)</f>
        <v>9.5724</v>
      </c>
      <c r="AE28" s="2">
        <f t="shared" ref="AE28:AE65" si="35">ROUND((((EU28*1.2)*0.3)),6)</f>
        <v>1.4543999999999999</v>
      </c>
      <c r="AF28" s="2">
        <f t="shared" ref="AF28:AF65" si="36">ROUND((((EV28*1.2)*0.3)),6)</f>
        <v>12.438000000000001</v>
      </c>
      <c r="AG28" s="2">
        <f t="shared" ref="AG28:AG71" si="37">ROUND((AP28),6)</f>
        <v>0</v>
      </c>
      <c r="AH28" s="2">
        <f t="shared" ref="AH28:AH65" si="38">(((EW28*1.2)*0.3))</f>
        <v>1.1123999999999998</v>
      </c>
      <c r="AI28" s="2">
        <f t="shared" ref="AI28:AI65" si="39">(((EX28*1.2)*0.3))</f>
        <v>0</v>
      </c>
      <c r="AJ28" s="2">
        <f t="shared" ref="AJ28:AJ71" si="40">(AS28)</f>
        <v>0</v>
      </c>
      <c r="AK28" s="2">
        <v>61.14</v>
      </c>
      <c r="AL28" s="2">
        <v>0</v>
      </c>
      <c r="AM28" s="2">
        <v>26.59</v>
      </c>
      <c r="AN28" s="2">
        <v>4.04</v>
      </c>
      <c r="AO28" s="2">
        <v>34.549999999999997</v>
      </c>
      <c r="AP28" s="2">
        <v>0</v>
      </c>
      <c r="AQ28" s="2">
        <v>3.09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27</v>
      </c>
      <c r="BK28" s="2"/>
      <c r="BL28" s="2"/>
      <c r="BM28" s="2">
        <v>72</v>
      </c>
      <c r="BN28" s="2">
        <v>0</v>
      </c>
      <c r="BO28" s="2" t="s">
        <v>24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613</v>
      </c>
      <c r="CO28" s="2">
        <v>0</v>
      </c>
      <c r="CP28" s="2">
        <f t="shared" ref="CP28:CP71" si="41">(P28+Q28+S28)</f>
        <v>23.04</v>
      </c>
      <c r="CQ28" s="2">
        <f t="shared" ref="CQ28:CQ71" si="42">ROUND((ROUND((AC28*AW28*1),2)*BC28),2)</f>
        <v>0</v>
      </c>
      <c r="CR28" s="2">
        <f t="shared" ref="CR28:CR65" si="43">(ROUND((ROUND(((((ET28*1.2)*0.3))*AV28*1),2)*BB28),2)+ROUND((ROUND(((AE28-(((EU28*1.2)*0.3)))*AV28*1),2)*BS28),2))</f>
        <v>10.02</v>
      </c>
      <c r="CS28" s="2">
        <f t="shared" ref="CS28:CS65" si="44">(ROUND((ROUND(((((EU28*1.2)*0.3))*AV28*1),2)*BS28),2)+ROUND((ROUND(((AE28-(((EU28*1.2)*0.3)))*AV28*1),2)*BS28),2))</f>
        <v>1.52</v>
      </c>
      <c r="CT28" s="2">
        <f t="shared" ref="CT28:CT71" si="45">ROUND((ROUND((AF28*AV28*1),2)*BA28),2)</f>
        <v>13.02</v>
      </c>
      <c r="CU28" s="2">
        <f t="shared" ref="CU28:CU71" si="46">AG28</f>
        <v>0</v>
      </c>
      <c r="CV28" s="2">
        <f t="shared" ref="CV28:CV71" si="47">(AH28*AV28)</f>
        <v>1.1646827999999998</v>
      </c>
      <c r="CW28" s="2">
        <f t="shared" ref="CW28:CW71" si="48">AI28</f>
        <v>0</v>
      </c>
      <c r="CX28" s="2">
        <f t="shared" ref="CX28:CX71" si="49">AJ28</f>
        <v>0</v>
      </c>
      <c r="CY28" s="2">
        <f t="shared" ref="CY28:CY65" si="50">(ROUND((((S28+ROUND((ROUND(((((EU28*1.2)*0.3))*AV28*1),2)*BS28),2))*AT28)/100),2)+ROUND(((ROUND((ROUND(((AE28-(((EU28*1.2)*0.3)))*AV28*1),2)*BS28),2)*AT28)/100),2))</f>
        <v>13.09</v>
      </c>
      <c r="CZ28" s="2">
        <f t="shared" ref="CZ28:CZ65" si="51">(ROUND((((S28+ROUND((ROUND(((((EU28*1.2)*0.3))*AV28*1),2)*BS28),2))*AU28)/100),2)+ROUND(((ROUND((ROUND(((AE28-(((EU28*1.2)*0.3)))*AV28*1),2)*BS28),2)*AU28)/100),2))</f>
        <v>6.69</v>
      </c>
      <c r="DA28" s="2"/>
      <c r="DB28" s="2">
        <v>1</v>
      </c>
      <c r="DC28" s="2" t="s">
        <v>3</v>
      </c>
      <c r="DD28" s="2" t="s">
        <v>28</v>
      </c>
      <c r="DE28" s="2" t="s">
        <v>29</v>
      </c>
      <c r="DF28" s="2" t="s">
        <v>29</v>
      </c>
      <c r="DG28" s="2" t="s">
        <v>29</v>
      </c>
      <c r="DH28" s="2" t="s">
        <v>3</v>
      </c>
      <c r="DI28" s="2" t="s">
        <v>29</v>
      </c>
      <c r="DJ28" s="2" t="s">
        <v>29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26</v>
      </c>
      <c r="DW28" s="2" t="s">
        <v>26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57042962</v>
      </c>
      <c r="EF28" s="2">
        <v>40</v>
      </c>
      <c r="EG28" s="2" t="s">
        <v>30</v>
      </c>
      <c r="EH28" s="2">
        <v>0</v>
      </c>
      <c r="EI28" s="2" t="s">
        <v>3</v>
      </c>
      <c r="EJ28" s="2">
        <v>2</v>
      </c>
      <c r="EK28" s="2">
        <v>72</v>
      </c>
      <c r="EL28" s="2" t="s">
        <v>31</v>
      </c>
      <c r="EM28" s="2" t="s">
        <v>32</v>
      </c>
      <c r="EN28" s="2"/>
      <c r="EO28" s="2" t="s">
        <v>33</v>
      </c>
      <c r="EP28" s="2"/>
      <c r="EQ28" s="2">
        <v>0</v>
      </c>
      <c r="ER28" s="2">
        <v>61.14</v>
      </c>
      <c r="ES28" s="2">
        <v>0</v>
      </c>
      <c r="ET28" s="2">
        <v>26.59</v>
      </c>
      <c r="EU28" s="2">
        <v>4.04</v>
      </c>
      <c r="EV28" s="2">
        <v>34.549999999999997</v>
      </c>
      <c r="EW28" s="2">
        <v>3.09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204530817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71" si="52">ROUND(IF(AND(BH28=3,BI28=3,FS28&lt;&gt;0),P28,0),2)</f>
        <v>0</v>
      </c>
      <c r="GM28" s="2">
        <f t="shared" ref="GM28:GM71" si="53">ROUND(O28+X28+Y28,2)+GX28</f>
        <v>42.82</v>
      </c>
      <c r="GN28" s="2">
        <f t="shared" ref="GN28:GN71" si="54">IF(OR(BI28=0,BI28=1),GM28-GX28,0)</f>
        <v>0</v>
      </c>
      <c r="GO28" s="2">
        <f t="shared" ref="GO28:GO71" si="55">IF(BI28=2,GM28-GX28,0)</f>
        <v>42.82</v>
      </c>
      <c r="GP28" s="2">
        <f t="shared" ref="GP28:GP71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71" si="57">ROUND((GT28),6)</f>
        <v>0</v>
      </c>
      <c r="GW28" s="2">
        <v>1</v>
      </c>
      <c r="GX28" s="2">
        <f t="shared" ref="GX28:GX71" si="58">ROUND(HC28*I28,2)</f>
        <v>0</v>
      </c>
      <c r="GY28" s="2"/>
      <c r="GZ28" s="2"/>
      <c r="HA28" s="2">
        <v>0</v>
      </c>
      <c r="HB28" s="2">
        <v>0</v>
      </c>
      <c r="HC28" s="2">
        <f t="shared" ref="HC28:HC71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ROW(SmtRes!A4)</f>
        <v>4</v>
      </c>
      <c r="D29" s="3">
        <f>ROW(EtalonRes!A6)</f>
        <v>6</v>
      </c>
      <c r="E29" s="3" t="s">
        <v>23</v>
      </c>
      <c r="F29" s="3" t="s">
        <v>24</v>
      </c>
      <c r="G29" s="3" t="s">
        <v>25</v>
      </c>
      <c r="H29" s="3" t="s">
        <v>26</v>
      </c>
      <c r="I29" s="3">
        <f>ROUND(1,9)</f>
        <v>1</v>
      </c>
      <c r="J29" s="3">
        <v>0</v>
      </c>
      <c r="K29" s="3">
        <f>ROUND(1,9)</f>
        <v>1</v>
      </c>
      <c r="O29" s="3">
        <f t="shared" si="21"/>
        <v>904.72</v>
      </c>
      <c r="P29" s="3">
        <f t="shared" si="22"/>
        <v>0</v>
      </c>
      <c r="Q29" s="3">
        <f t="shared" si="23"/>
        <v>171.04</v>
      </c>
      <c r="R29" s="3">
        <f t="shared" si="24"/>
        <v>85.65</v>
      </c>
      <c r="S29" s="3">
        <f t="shared" si="25"/>
        <v>733.68</v>
      </c>
      <c r="T29" s="3">
        <f t="shared" si="26"/>
        <v>0</v>
      </c>
      <c r="U29" s="3">
        <f t="shared" si="27"/>
        <v>1.1646827999999998</v>
      </c>
      <c r="V29" s="3">
        <f t="shared" si="28"/>
        <v>0</v>
      </c>
      <c r="W29" s="3">
        <f t="shared" si="29"/>
        <v>0</v>
      </c>
      <c r="X29" s="3">
        <f t="shared" si="30"/>
        <v>737.4</v>
      </c>
      <c r="Y29" s="3">
        <f t="shared" si="31"/>
        <v>376.89</v>
      </c>
      <c r="AA29" s="3">
        <v>57034454</v>
      </c>
      <c r="AB29" s="3">
        <f t="shared" si="32"/>
        <v>22.010400000000001</v>
      </c>
      <c r="AC29" s="3">
        <f t="shared" si="33"/>
        <v>0</v>
      </c>
      <c r="AD29" s="3">
        <f t="shared" si="34"/>
        <v>9.5724</v>
      </c>
      <c r="AE29" s="3">
        <f t="shared" si="35"/>
        <v>1.4543999999999999</v>
      </c>
      <c r="AF29" s="3">
        <f t="shared" si="36"/>
        <v>12.438000000000001</v>
      </c>
      <c r="AG29" s="3">
        <f t="shared" si="37"/>
        <v>0</v>
      </c>
      <c r="AH29" s="3">
        <f t="shared" si="38"/>
        <v>1.1123999999999998</v>
      </c>
      <c r="AI29" s="3">
        <f t="shared" si="39"/>
        <v>0</v>
      </c>
      <c r="AJ29" s="3">
        <f t="shared" si="40"/>
        <v>0</v>
      </c>
      <c r="AK29" s="3">
        <v>61.14</v>
      </c>
      <c r="AL29" s="3">
        <v>0</v>
      </c>
      <c r="AM29" s="3">
        <v>26.59</v>
      </c>
      <c r="AN29" s="3">
        <v>4.04</v>
      </c>
      <c r="AO29" s="3">
        <v>34.549999999999997</v>
      </c>
      <c r="AP29" s="3">
        <v>0</v>
      </c>
      <c r="AQ29" s="3">
        <v>3.09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17.07</v>
      </c>
      <c r="BC29" s="3">
        <v>1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27</v>
      </c>
      <c r="BM29" s="3">
        <v>72</v>
      </c>
      <c r="BN29" s="3">
        <v>0</v>
      </c>
      <c r="BO29" s="3" t="s">
        <v>24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613</v>
      </c>
      <c r="CO29" s="3">
        <v>0</v>
      </c>
      <c r="CP29" s="3">
        <f t="shared" si="41"/>
        <v>904.71999999999991</v>
      </c>
      <c r="CQ29" s="3">
        <f t="shared" si="42"/>
        <v>0</v>
      </c>
      <c r="CR29" s="3">
        <f t="shared" si="43"/>
        <v>171.04</v>
      </c>
      <c r="CS29" s="3">
        <f t="shared" si="44"/>
        <v>85.65</v>
      </c>
      <c r="CT29" s="3">
        <f t="shared" si="45"/>
        <v>733.68</v>
      </c>
      <c r="CU29" s="3">
        <f t="shared" si="46"/>
        <v>0</v>
      </c>
      <c r="CV29" s="3">
        <f t="shared" si="47"/>
        <v>1.1646827999999998</v>
      </c>
      <c r="CW29" s="3">
        <f t="shared" si="48"/>
        <v>0</v>
      </c>
      <c r="CX29" s="3">
        <f t="shared" si="49"/>
        <v>0</v>
      </c>
      <c r="CY29" s="3">
        <f t="shared" si="50"/>
        <v>737.4</v>
      </c>
      <c r="CZ29" s="3">
        <f t="shared" si="51"/>
        <v>376.89</v>
      </c>
      <c r="DB29" s="3">
        <v>3</v>
      </c>
      <c r="DC29" s="3" t="s">
        <v>3</v>
      </c>
      <c r="DD29" s="3" t="s">
        <v>28</v>
      </c>
      <c r="DE29" s="3" t="s">
        <v>29</v>
      </c>
      <c r="DF29" s="3" t="s">
        <v>29</v>
      </c>
      <c r="DG29" s="3" t="s">
        <v>29</v>
      </c>
      <c r="DH29" s="3" t="s">
        <v>3</v>
      </c>
      <c r="DI29" s="3" t="s">
        <v>29</v>
      </c>
      <c r="DJ29" s="3" t="s">
        <v>29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26</v>
      </c>
      <c r="DW29" s="3" t="s">
        <v>26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57042962</v>
      </c>
      <c r="EF29" s="3">
        <v>40</v>
      </c>
      <c r="EG29" s="3" t="s">
        <v>30</v>
      </c>
      <c r="EH29" s="3">
        <v>0</v>
      </c>
      <c r="EI29" s="3" t="s">
        <v>3</v>
      </c>
      <c r="EJ29" s="3">
        <v>2</v>
      </c>
      <c r="EK29" s="3">
        <v>72</v>
      </c>
      <c r="EL29" s="3" t="s">
        <v>31</v>
      </c>
      <c r="EM29" s="3" t="s">
        <v>32</v>
      </c>
      <c r="EO29" s="3" t="s">
        <v>33</v>
      </c>
      <c r="EQ29" s="3">
        <v>0</v>
      </c>
      <c r="ER29" s="3">
        <v>61.14</v>
      </c>
      <c r="ES29" s="3">
        <v>0</v>
      </c>
      <c r="ET29" s="3">
        <v>26.59</v>
      </c>
      <c r="EU29" s="3">
        <v>4.04</v>
      </c>
      <c r="EV29" s="3">
        <v>34.549999999999997</v>
      </c>
      <c r="EW29" s="3">
        <v>3.09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204530817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2019.01</v>
      </c>
      <c r="GN29" s="3">
        <f t="shared" si="54"/>
        <v>0</v>
      </c>
      <c r="GO29" s="3">
        <f t="shared" si="55"/>
        <v>2019.01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ROW(SmtRes!A5)</f>
        <v>5</v>
      </c>
      <c r="D30" s="2">
        <f>ROW(EtalonRes!A7)</f>
        <v>7</v>
      </c>
      <c r="E30" s="2" t="s">
        <v>34</v>
      </c>
      <c r="F30" s="2" t="s">
        <v>35</v>
      </c>
      <c r="G30" s="2" t="s">
        <v>36</v>
      </c>
      <c r="H30" s="2" t="s">
        <v>26</v>
      </c>
      <c r="I30" s="2">
        <v>3</v>
      </c>
      <c r="J30" s="2">
        <v>0</v>
      </c>
      <c r="K30" s="2">
        <v>3</v>
      </c>
      <c r="L30" s="2"/>
      <c r="M30" s="2"/>
      <c r="N30" s="2"/>
      <c r="O30" s="2">
        <f t="shared" si="21"/>
        <v>174.7</v>
      </c>
      <c r="P30" s="2">
        <f t="shared" si="22"/>
        <v>0</v>
      </c>
      <c r="Q30" s="2">
        <f t="shared" si="23"/>
        <v>7.0000000000000007E-2</v>
      </c>
      <c r="R30" s="2">
        <f t="shared" si="24"/>
        <v>0.01</v>
      </c>
      <c r="S30" s="2">
        <f t="shared" si="25"/>
        <v>174.63</v>
      </c>
      <c r="T30" s="2">
        <f t="shared" si="26"/>
        <v>0</v>
      </c>
      <c r="U30" s="2">
        <f t="shared" si="27"/>
        <v>13.229892</v>
      </c>
      <c r="V30" s="2">
        <f t="shared" si="28"/>
        <v>0</v>
      </c>
      <c r="W30" s="2">
        <f t="shared" si="29"/>
        <v>0</v>
      </c>
      <c r="X30" s="2">
        <f t="shared" si="30"/>
        <v>157.18</v>
      </c>
      <c r="Y30" s="2">
        <f t="shared" si="31"/>
        <v>80.33</v>
      </c>
      <c r="Z30" s="2"/>
      <c r="AA30" s="2">
        <v>57034452</v>
      </c>
      <c r="AB30" s="2">
        <f t="shared" si="32"/>
        <v>55.62</v>
      </c>
      <c r="AC30" s="2">
        <f t="shared" si="33"/>
        <v>0</v>
      </c>
      <c r="AD30" s="2">
        <f t="shared" si="34"/>
        <v>2.1600000000000001E-2</v>
      </c>
      <c r="AE30" s="2">
        <f t="shared" si="35"/>
        <v>3.5999999999999999E-3</v>
      </c>
      <c r="AF30" s="2">
        <f t="shared" si="36"/>
        <v>55.598399999999998</v>
      </c>
      <c r="AG30" s="2">
        <f t="shared" si="37"/>
        <v>0</v>
      </c>
      <c r="AH30" s="2">
        <f t="shared" si="38"/>
        <v>4.2119999999999997</v>
      </c>
      <c r="AI30" s="2">
        <f t="shared" si="39"/>
        <v>0</v>
      </c>
      <c r="AJ30" s="2">
        <f t="shared" si="40"/>
        <v>0</v>
      </c>
      <c r="AK30" s="2">
        <v>175.43</v>
      </c>
      <c r="AL30" s="2">
        <v>20.93</v>
      </c>
      <c r="AM30" s="2">
        <v>0.06</v>
      </c>
      <c r="AN30" s="2">
        <v>0.01</v>
      </c>
      <c r="AO30" s="2">
        <v>154.44</v>
      </c>
      <c r="AP30" s="2">
        <v>0</v>
      </c>
      <c r="AQ30" s="2">
        <v>11.7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37</v>
      </c>
      <c r="BK30" s="2"/>
      <c r="BL30" s="2"/>
      <c r="BM30" s="2">
        <v>68</v>
      </c>
      <c r="BN30" s="2">
        <v>0</v>
      </c>
      <c r="BO30" s="2" t="s">
        <v>35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613</v>
      </c>
      <c r="CO30" s="2">
        <v>0</v>
      </c>
      <c r="CP30" s="2">
        <f t="shared" si="41"/>
        <v>174.7</v>
      </c>
      <c r="CQ30" s="2">
        <f t="shared" si="42"/>
        <v>0</v>
      </c>
      <c r="CR30" s="2">
        <f t="shared" si="43"/>
        <v>0.02</v>
      </c>
      <c r="CS30" s="2">
        <f t="shared" si="44"/>
        <v>0</v>
      </c>
      <c r="CT30" s="2">
        <f t="shared" si="45"/>
        <v>58.21</v>
      </c>
      <c r="CU30" s="2">
        <f t="shared" si="46"/>
        <v>0</v>
      </c>
      <c r="CV30" s="2">
        <f t="shared" si="47"/>
        <v>4.4099639999999996</v>
      </c>
      <c r="CW30" s="2">
        <f t="shared" si="48"/>
        <v>0</v>
      </c>
      <c r="CX30" s="2">
        <f t="shared" si="49"/>
        <v>0</v>
      </c>
      <c r="CY30" s="2">
        <f t="shared" si="50"/>
        <v>157.16999999999999</v>
      </c>
      <c r="CZ30" s="2">
        <f t="shared" si="51"/>
        <v>80.33</v>
      </c>
      <c r="DA30" s="2"/>
      <c r="DB30" s="2">
        <v>5</v>
      </c>
      <c r="DC30" s="2" t="s">
        <v>3</v>
      </c>
      <c r="DD30" s="2" t="s">
        <v>28</v>
      </c>
      <c r="DE30" s="2" t="s">
        <v>29</v>
      </c>
      <c r="DF30" s="2" t="s">
        <v>29</v>
      </c>
      <c r="DG30" s="2" t="s">
        <v>29</v>
      </c>
      <c r="DH30" s="2" t="s">
        <v>3</v>
      </c>
      <c r="DI30" s="2" t="s">
        <v>29</v>
      </c>
      <c r="DJ30" s="2" t="s">
        <v>29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26</v>
      </c>
      <c r="DW30" s="2" t="s">
        <v>26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57042958</v>
      </c>
      <c r="EF30" s="2">
        <v>40</v>
      </c>
      <c r="EG30" s="2" t="s">
        <v>30</v>
      </c>
      <c r="EH30" s="2">
        <v>0</v>
      </c>
      <c r="EI30" s="2" t="s">
        <v>3</v>
      </c>
      <c r="EJ30" s="2">
        <v>2</v>
      </c>
      <c r="EK30" s="2">
        <v>68</v>
      </c>
      <c r="EL30" s="2" t="s">
        <v>38</v>
      </c>
      <c r="EM30" s="2" t="s">
        <v>39</v>
      </c>
      <c r="EN30" s="2"/>
      <c r="EO30" s="2" t="s">
        <v>33</v>
      </c>
      <c r="EP30" s="2"/>
      <c r="EQ30" s="2">
        <v>0</v>
      </c>
      <c r="ER30" s="2">
        <v>175.43</v>
      </c>
      <c r="ES30" s="2">
        <v>20.93</v>
      </c>
      <c r="ET30" s="2">
        <v>0.06</v>
      </c>
      <c r="EU30" s="2">
        <v>0.01</v>
      </c>
      <c r="EV30" s="2">
        <v>154.44</v>
      </c>
      <c r="EW30" s="2">
        <v>11.7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1592476955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412.21</v>
      </c>
      <c r="GN30" s="2">
        <f t="shared" si="54"/>
        <v>0</v>
      </c>
      <c r="GO30" s="2">
        <f t="shared" si="55"/>
        <v>412.21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ROW(SmtRes!A6)</f>
        <v>6</v>
      </c>
      <c r="D31" s="3">
        <f>ROW(EtalonRes!A8)</f>
        <v>8</v>
      </c>
      <c r="E31" s="3" t="s">
        <v>34</v>
      </c>
      <c r="F31" s="3" t="s">
        <v>35</v>
      </c>
      <c r="G31" s="3" t="s">
        <v>36</v>
      </c>
      <c r="H31" s="3" t="s">
        <v>26</v>
      </c>
      <c r="I31" s="3">
        <v>3</v>
      </c>
      <c r="J31" s="3">
        <v>0</v>
      </c>
      <c r="K31" s="3">
        <v>3</v>
      </c>
      <c r="O31" s="3">
        <f t="shared" si="21"/>
        <v>9841.7000000000007</v>
      </c>
      <c r="P31" s="3">
        <f t="shared" si="22"/>
        <v>0</v>
      </c>
      <c r="Q31" s="3">
        <f t="shared" si="23"/>
        <v>1.3</v>
      </c>
      <c r="R31" s="3">
        <f t="shared" si="24"/>
        <v>0.56000000000000005</v>
      </c>
      <c r="S31" s="3">
        <f t="shared" si="25"/>
        <v>9840.4</v>
      </c>
      <c r="T31" s="3">
        <f t="shared" si="26"/>
        <v>0</v>
      </c>
      <c r="U31" s="3">
        <f t="shared" si="27"/>
        <v>13.229892</v>
      </c>
      <c r="V31" s="3">
        <f t="shared" si="28"/>
        <v>0</v>
      </c>
      <c r="W31" s="3">
        <f t="shared" si="29"/>
        <v>0</v>
      </c>
      <c r="X31" s="3">
        <f t="shared" si="30"/>
        <v>8856.86</v>
      </c>
      <c r="Y31" s="3">
        <f t="shared" si="31"/>
        <v>4526.84</v>
      </c>
      <c r="AA31" s="3">
        <v>57034454</v>
      </c>
      <c r="AB31" s="3">
        <f t="shared" si="32"/>
        <v>55.62</v>
      </c>
      <c r="AC31" s="3">
        <f t="shared" si="33"/>
        <v>0</v>
      </c>
      <c r="AD31" s="3">
        <f t="shared" si="34"/>
        <v>2.1600000000000001E-2</v>
      </c>
      <c r="AE31" s="3">
        <f t="shared" si="35"/>
        <v>3.5999999999999999E-3</v>
      </c>
      <c r="AF31" s="3">
        <f t="shared" si="36"/>
        <v>55.598399999999998</v>
      </c>
      <c r="AG31" s="3">
        <f t="shared" si="37"/>
        <v>0</v>
      </c>
      <c r="AH31" s="3">
        <f t="shared" si="38"/>
        <v>4.2119999999999997</v>
      </c>
      <c r="AI31" s="3">
        <f t="shared" si="39"/>
        <v>0</v>
      </c>
      <c r="AJ31" s="3">
        <f t="shared" si="40"/>
        <v>0</v>
      </c>
      <c r="AK31" s="3">
        <v>175.43</v>
      </c>
      <c r="AL31" s="3">
        <v>20.93</v>
      </c>
      <c r="AM31" s="3">
        <v>0.06</v>
      </c>
      <c r="AN31" s="3">
        <v>0.01</v>
      </c>
      <c r="AO31" s="3">
        <v>154.44</v>
      </c>
      <c r="AP31" s="3">
        <v>0</v>
      </c>
      <c r="AQ31" s="3">
        <v>11.7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18.5</v>
      </c>
      <c r="BC31" s="3">
        <v>9.84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37</v>
      </c>
      <c r="BM31" s="3">
        <v>68</v>
      </c>
      <c r="BN31" s="3">
        <v>0</v>
      </c>
      <c r="BO31" s="3" t="s">
        <v>35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613</v>
      </c>
      <c r="CO31" s="3">
        <v>0</v>
      </c>
      <c r="CP31" s="3">
        <f t="shared" si="41"/>
        <v>9841.6999999999989</v>
      </c>
      <c r="CQ31" s="3">
        <f t="shared" si="42"/>
        <v>0</v>
      </c>
      <c r="CR31" s="3">
        <f t="shared" si="43"/>
        <v>0.37</v>
      </c>
      <c r="CS31" s="3">
        <f t="shared" si="44"/>
        <v>0</v>
      </c>
      <c r="CT31" s="3">
        <f t="shared" si="45"/>
        <v>3280.13</v>
      </c>
      <c r="CU31" s="3">
        <f t="shared" si="46"/>
        <v>0</v>
      </c>
      <c r="CV31" s="3">
        <f t="shared" si="47"/>
        <v>4.4099639999999996</v>
      </c>
      <c r="CW31" s="3">
        <f t="shared" si="48"/>
        <v>0</v>
      </c>
      <c r="CX31" s="3">
        <f t="shared" si="49"/>
        <v>0</v>
      </c>
      <c r="CY31" s="3">
        <f t="shared" si="50"/>
        <v>8856.36</v>
      </c>
      <c r="CZ31" s="3">
        <f t="shared" si="51"/>
        <v>4526.58</v>
      </c>
      <c r="DB31" s="3">
        <v>7</v>
      </c>
      <c r="DC31" s="3" t="s">
        <v>3</v>
      </c>
      <c r="DD31" s="3" t="s">
        <v>28</v>
      </c>
      <c r="DE31" s="3" t="s">
        <v>29</v>
      </c>
      <c r="DF31" s="3" t="s">
        <v>29</v>
      </c>
      <c r="DG31" s="3" t="s">
        <v>29</v>
      </c>
      <c r="DH31" s="3" t="s">
        <v>3</v>
      </c>
      <c r="DI31" s="3" t="s">
        <v>29</v>
      </c>
      <c r="DJ31" s="3" t="s">
        <v>29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26</v>
      </c>
      <c r="DW31" s="3" t="s">
        <v>26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57042958</v>
      </c>
      <c r="EF31" s="3">
        <v>40</v>
      </c>
      <c r="EG31" s="3" t="s">
        <v>30</v>
      </c>
      <c r="EH31" s="3">
        <v>0</v>
      </c>
      <c r="EI31" s="3" t="s">
        <v>3</v>
      </c>
      <c r="EJ31" s="3">
        <v>2</v>
      </c>
      <c r="EK31" s="3">
        <v>68</v>
      </c>
      <c r="EL31" s="3" t="s">
        <v>38</v>
      </c>
      <c r="EM31" s="3" t="s">
        <v>39</v>
      </c>
      <c r="EO31" s="3" t="s">
        <v>33</v>
      </c>
      <c r="EQ31" s="3">
        <v>0</v>
      </c>
      <c r="ER31" s="3">
        <v>175.43</v>
      </c>
      <c r="ES31" s="3">
        <v>20.93</v>
      </c>
      <c r="ET31" s="3">
        <v>0.06</v>
      </c>
      <c r="EU31" s="3">
        <v>0.01</v>
      </c>
      <c r="EV31" s="3">
        <v>154.44</v>
      </c>
      <c r="EW31" s="3">
        <v>11.7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1592476955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23225.4</v>
      </c>
      <c r="GN31" s="3">
        <f t="shared" si="54"/>
        <v>0</v>
      </c>
      <c r="GO31" s="3">
        <f t="shared" si="55"/>
        <v>23225.4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ROW(SmtRes!A10)</f>
        <v>10</v>
      </c>
      <c r="D32" s="2">
        <f>ROW(EtalonRes!A13)</f>
        <v>13</v>
      </c>
      <c r="E32" s="2" t="s">
        <v>40</v>
      </c>
      <c r="F32" s="2" t="s">
        <v>41</v>
      </c>
      <c r="G32" s="2" t="s">
        <v>42</v>
      </c>
      <c r="H32" s="2" t="s">
        <v>26</v>
      </c>
      <c r="I32" s="2">
        <f>ROUND(1,9)</f>
        <v>1</v>
      </c>
      <c r="J32" s="2">
        <v>0</v>
      </c>
      <c r="K32" s="2">
        <f>ROUND(1,9)</f>
        <v>1</v>
      </c>
      <c r="L32" s="2"/>
      <c r="M32" s="2"/>
      <c r="N32" s="2"/>
      <c r="O32" s="2">
        <f t="shared" si="21"/>
        <v>12.62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12.62</v>
      </c>
      <c r="T32" s="2">
        <f t="shared" si="26"/>
        <v>0</v>
      </c>
      <c r="U32" s="2">
        <f t="shared" si="27"/>
        <v>0.99883799999999978</v>
      </c>
      <c r="V32" s="2">
        <f t="shared" si="28"/>
        <v>0</v>
      </c>
      <c r="W32" s="2">
        <f t="shared" si="29"/>
        <v>0</v>
      </c>
      <c r="X32" s="2">
        <f t="shared" si="30"/>
        <v>11.36</v>
      </c>
      <c r="Y32" s="2">
        <f t="shared" si="31"/>
        <v>5.81</v>
      </c>
      <c r="Z32" s="2"/>
      <c r="AA32" s="2">
        <v>57034452</v>
      </c>
      <c r="AB32" s="2">
        <f t="shared" si="32"/>
        <v>12.049200000000001</v>
      </c>
      <c r="AC32" s="2">
        <f t="shared" si="33"/>
        <v>0</v>
      </c>
      <c r="AD32" s="2">
        <f t="shared" si="34"/>
        <v>0</v>
      </c>
      <c r="AE32" s="2">
        <f t="shared" si="35"/>
        <v>0</v>
      </c>
      <c r="AF32" s="2">
        <f t="shared" si="36"/>
        <v>12.049200000000001</v>
      </c>
      <c r="AG32" s="2">
        <f t="shared" si="37"/>
        <v>0</v>
      </c>
      <c r="AH32" s="2">
        <f t="shared" si="38"/>
        <v>0.95399999999999985</v>
      </c>
      <c r="AI32" s="2">
        <f t="shared" si="39"/>
        <v>0</v>
      </c>
      <c r="AJ32" s="2">
        <f t="shared" si="40"/>
        <v>0</v>
      </c>
      <c r="AK32" s="2">
        <v>35.81</v>
      </c>
      <c r="AL32" s="2">
        <v>2.34</v>
      </c>
      <c r="AM32" s="2">
        <v>0</v>
      </c>
      <c r="AN32" s="2">
        <v>0</v>
      </c>
      <c r="AO32" s="2">
        <v>33.47</v>
      </c>
      <c r="AP32" s="2">
        <v>0</v>
      </c>
      <c r="AQ32" s="2">
        <v>2.65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43</v>
      </c>
      <c r="BK32" s="2"/>
      <c r="BL32" s="2"/>
      <c r="BM32" s="2">
        <v>68</v>
      </c>
      <c r="BN32" s="2">
        <v>0</v>
      </c>
      <c r="BO32" s="2" t="s">
        <v>41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613</v>
      </c>
      <c r="CO32" s="2">
        <v>0</v>
      </c>
      <c r="CP32" s="2">
        <f t="shared" si="41"/>
        <v>12.62</v>
      </c>
      <c r="CQ32" s="2">
        <f t="shared" si="42"/>
        <v>0</v>
      </c>
      <c r="CR32" s="2">
        <f t="shared" si="43"/>
        <v>0</v>
      </c>
      <c r="CS32" s="2">
        <f t="shared" si="44"/>
        <v>0</v>
      </c>
      <c r="CT32" s="2">
        <f t="shared" si="45"/>
        <v>12.62</v>
      </c>
      <c r="CU32" s="2">
        <f t="shared" si="46"/>
        <v>0</v>
      </c>
      <c r="CV32" s="2">
        <f t="shared" si="47"/>
        <v>0.99883799999999978</v>
      </c>
      <c r="CW32" s="2">
        <f t="shared" si="48"/>
        <v>0</v>
      </c>
      <c r="CX32" s="2">
        <f t="shared" si="49"/>
        <v>0</v>
      </c>
      <c r="CY32" s="2">
        <f t="shared" si="50"/>
        <v>11.36</v>
      </c>
      <c r="CZ32" s="2">
        <f t="shared" si="51"/>
        <v>5.81</v>
      </c>
      <c r="DA32" s="2"/>
      <c r="DB32" s="2">
        <v>9</v>
      </c>
      <c r="DC32" s="2" t="s">
        <v>3</v>
      </c>
      <c r="DD32" s="2" t="s">
        <v>28</v>
      </c>
      <c r="DE32" s="2" t="s">
        <v>29</v>
      </c>
      <c r="DF32" s="2" t="s">
        <v>29</v>
      </c>
      <c r="DG32" s="2" t="s">
        <v>29</v>
      </c>
      <c r="DH32" s="2" t="s">
        <v>3</v>
      </c>
      <c r="DI32" s="2" t="s">
        <v>29</v>
      </c>
      <c r="DJ32" s="2" t="s">
        <v>29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26</v>
      </c>
      <c r="DW32" s="2" t="s">
        <v>26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57042958</v>
      </c>
      <c r="EF32" s="2">
        <v>40</v>
      </c>
      <c r="EG32" s="2" t="s">
        <v>30</v>
      </c>
      <c r="EH32" s="2">
        <v>0</v>
      </c>
      <c r="EI32" s="2" t="s">
        <v>3</v>
      </c>
      <c r="EJ32" s="2">
        <v>2</v>
      </c>
      <c r="EK32" s="2">
        <v>68</v>
      </c>
      <c r="EL32" s="2" t="s">
        <v>38</v>
      </c>
      <c r="EM32" s="2" t="s">
        <v>39</v>
      </c>
      <c r="EN32" s="2"/>
      <c r="EO32" s="2" t="s">
        <v>33</v>
      </c>
      <c r="EP32" s="2"/>
      <c r="EQ32" s="2">
        <v>0</v>
      </c>
      <c r="ER32" s="2">
        <v>35.81</v>
      </c>
      <c r="ES32" s="2">
        <v>2.34</v>
      </c>
      <c r="ET32" s="2">
        <v>0</v>
      </c>
      <c r="EU32" s="2">
        <v>0</v>
      </c>
      <c r="EV32" s="2">
        <v>33.47</v>
      </c>
      <c r="EW32" s="2">
        <v>2.65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2145468006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29.79</v>
      </c>
      <c r="GN32" s="2">
        <f t="shared" si="54"/>
        <v>0</v>
      </c>
      <c r="GO32" s="2">
        <f t="shared" si="55"/>
        <v>29.79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ROW(SmtRes!A14)</f>
        <v>14</v>
      </c>
      <c r="D33" s="3">
        <f>ROW(EtalonRes!A18)</f>
        <v>18</v>
      </c>
      <c r="E33" s="3" t="s">
        <v>40</v>
      </c>
      <c r="F33" s="3" t="s">
        <v>41</v>
      </c>
      <c r="G33" s="3" t="s">
        <v>42</v>
      </c>
      <c r="H33" s="3" t="s">
        <v>26</v>
      </c>
      <c r="I33" s="3">
        <f>ROUND(1,9)</f>
        <v>1</v>
      </c>
      <c r="J33" s="3">
        <v>0</v>
      </c>
      <c r="K33" s="3">
        <f>ROUND(1,9)</f>
        <v>1</v>
      </c>
      <c r="O33" s="3">
        <f t="shared" si="21"/>
        <v>711.14</v>
      </c>
      <c r="P33" s="3">
        <f t="shared" si="22"/>
        <v>0</v>
      </c>
      <c r="Q33" s="3">
        <f t="shared" si="23"/>
        <v>0</v>
      </c>
      <c r="R33" s="3">
        <f t="shared" si="24"/>
        <v>0</v>
      </c>
      <c r="S33" s="3">
        <f t="shared" si="25"/>
        <v>711.14</v>
      </c>
      <c r="T33" s="3">
        <f t="shared" si="26"/>
        <v>0</v>
      </c>
      <c r="U33" s="3">
        <f t="shared" si="27"/>
        <v>0.99883799999999978</v>
      </c>
      <c r="V33" s="3">
        <f t="shared" si="28"/>
        <v>0</v>
      </c>
      <c r="W33" s="3">
        <f t="shared" si="29"/>
        <v>0</v>
      </c>
      <c r="X33" s="3">
        <f t="shared" si="30"/>
        <v>640.03</v>
      </c>
      <c r="Y33" s="3">
        <f t="shared" si="31"/>
        <v>327.12</v>
      </c>
      <c r="AA33" s="3">
        <v>57034454</v>
      </c>
      <c r="AB33" s="3">
        <f t="shared" si="32"/>
        <v>12.049200000000001</v>
      </c>
      <c r="AC33" s="3">
        <f t="shared" si="33"/>
        <v>0</v>
      </c>
      <c r="AD33" s="3">
        <f t="shared" si="34"/>
        <v>0</v>
      </c>
      <c r="AE33" s="3">
        <f t="shared" si="35"/>
        <v>0</v>
      </c>
      <c r="AF33" s="3">
        <f t="shared" si="36"/>
        <v>12.049200000000001</v>
      </c>
      <c r="AG33" s="3">
        <f t="shared" si="37"/>
        <v>0</v>
      </c>
      <c r="AH33" s="3">
        <f t="shared" si="38"/>
        <v>0.95399999999999985</v>
      </c>
      <c r="AI33" s="3">
        <f t="shared" si="39"/>
        <v>0</v>
      </c>
      <c r="AJ33" s="3">
        <f t="shared" si="40"/>
        <v>0</v>
      </c>
      <c r="AK33" s="3">
        <v>35.81</v>
      </c>
      <c r="AL33" s="3">
        <v>2.34</v>
      </c>
      <c r="AM33" s="3">
        <v>0</v>
      </c>
      <c r="AN33" s="3">
        <v>0</v>
      </c>
      <c r="AO33" s="3">
        <v>33.47</v>
      </c>
      <c r="AP33" s="3">
        <v>0</v>
      </c>
      <c r="AQ33" s="3">
        <v>2.65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1</v>
      </c>
      <c r="BC33" s="3">
        <v>10.24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43</v>
      </c>
      <c r="BM33" s="3">
        <v>68</v>
      </c>
      <c r="BN33" s="3">
        <v>0</v>
      </c>
      <c r="BO33" s="3" t="s">
        <v>41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613</v>
      </c>
      <c r="CO33" s="3">
        <v>0</v>
      </c>
      <c r="CP33" s="3">
        <f t="shared" si="41"/>
        <v>711.14</v>
      </c>
      <c r="CQ33" s="3">
        <f t="shared" si="42"/>
        <v>0</v>
      </c>
      <c r="CR33" s="3">
        <f t="shared" si="43"/>
        <v>0</v>
      </c>
      <c r="CS33" s="3">
        <f t="shared" si="44"/>
        <v>0</v>
      </c>
      <c r="CT33" s="3">
        <f t="shared" si="45"/>
        <v>711.14</v>
      </c>
      <c r="CU33" s="3">
        <f t="shared" si="46"/>
        <v>0</v>
      </c>
      <c r="CV33" s="3">
        <f t="shared" si="47"/>
        <v>0.99883799999999978</v>
      </c>
      <c r="CW33" s="3">
        <f t="shared" si="48"/>
        <v>0</v>
      </c>
      <c r="CX33" s="3">
        <f t="shared" si="49"/>
        <v>0</v>
      </c>
      <c r="CY33" s="3">
        <f t="shared" si="50"/>
        <v>640.03</v>
      </c>
      <c r="CZ33" s="3">
        <f t="shared" si="51"/>
        <v>327.12</v>
      </c>
      <c r="DB33" s="3">
        <v>11</v>
      </c>
      <c r="DC33" s="3" t="s">
        <v>3</v>
      </c>
      <c r="DD33" s="3" t="s">
        <v>28</v>
      </c>
      <c r="DE33" s="3" t="s">
        <v>29</v>
      </c>
      <c r="DF33" s="3" t="s">
        <v>29</v>
      </c>
      <c r="DG33" s="3" t="s">
        <v>29</v>
      </c>
      <c r="DH33" s="3" t="s">
        <v>3</v>
      </c>
      <c r="DI33" s="3" t="s">
        <v>29</v>
      </c>
      <c r="DJ33" s="3" t="s">
        <v>29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26</v>
      </c>
      <c r="DW33" s="3" t="s">
        <v>26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57042958</v>
      </c>
      <c r="EF33" s="3">
        <v>40</v>
      </c>
      <c r="EG33" s="3" t="s">
        <v>30</v>
      </c>
      <c r="EH33" s="3">
        <v>0</v>
      </c>
      <c r="EI33" s="3" t="s">
        <v>3</v>
      </c>
      <c r="EJ33" s="3">
        <v>2</v>
      </c>
      <c r="EK33" s="3">
        <v>68</v>
      </c>
      <c r="EL33" s="3" t="s">
        <v>38</v>
      </c>
      <c r="EM33" s="3" t="s">
        <v>39</v>
      </c>
      <c r="EO33" s="3" t="s">
        <v>33</v>
      </c>
      <c r="EQ33" s="3">
        <v>0</v>
      </c>
      <c r="ER33" s="3">
        <v>35.81</v>
      </c>
      <c r="ES33" s="3">
        <v>2.34</v>
      </c>
      <c r="ET33" s="3">
        <v>0</v>
      </c>
      <c r="EU33" s="3">
        <v>0</v>
      </c>
      <c r="EV33" s="3">
        <v>33.47</v>
      </c>
      <c r="EW33" s="3">
        <v>2.65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2145468006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1678.29</v>
      </c>
      <c r="GN33" s="3">
        <f t="shared" si="54"/>
        <v>0</v>
      </c>
      <c r="GO33" s="3">
        <f t="shared" si="55"/>
        <v>1678.29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ROW(SmtRes!A20)</f>
        <v>20</v>
      </c>
      <c r="D34" s="2">
        <f>ROW(EtalonRes!A25)</f>
        <v>25</v>
      </c>
      <c r="E34" s="2" t="s">
        <v>44</v>
      </c>
      <c r="F34" s="2" t="s">
        <v>45</v>
      </c>
      <c r="G34" s="2" t="s">
        <v>46</v>
      </c>
      <c r="H34" s="2" t="s">
        <v>26</v>
      </c>
      <c r="I34" s="2">
        <f>ROUND(1+2+1,9)</f>
        <v>4</v>
      </c>
      <c r="J34" s="2">
        <v>0</v>
      </c>
      <c r="K34" s="2">
        <f>ROUND(1+2+1,9)</f>
        <v>4</v>
      </c>
      <c r="L34" s="2"/>
      <c r="M34" s="2"/>
      <c r="N34" s="2"/>
      <c r="O34" s="2">
        <f t="shared" si="21"/>
        <v>28.59</v>
      </c>
      <c r="P34" s="2">
        <f t="shared" si="22"/>
        <v>0</v>
      </c>
      <c r="Q34" s="2">
        <f t="shared" si="23"/>
        <v>0.03</v>
      </c>
      <c r="R34" s="2">
        <f t="shared" si="24"/>
        <v>0</v>
      </c>
      <c r="S34" s="2">
        <f t="shared" si="25"/>
        <v>28.56</v>
      </c>
      <c r="T34" s="2">
        <f t="shared" si="26"/>
        <v>0</v>
      </c>
      <c r="U34" s="2">
        <f t="shared" si="27"/>
        <v>2.0504448000000002</v>
      </c>
      <c r="V34" s="2">
        <f t="shared" si="28"/>
        <v>0</v>
      </c>
      <c r="W34" s="2">
        <f t="shared" si="29"/>
        <v>0</v>
      </c>
      <c r="X34" s="2">
        <f t="shared" si="30"/>
        <v>25.7</v>
      </c>
      <c r="Y34" s="2">
        <f t="shared" si="31"/>
        <v>13.14</v>
      </c>
      <c r="Z34" s="2"/>
      <c r="AA34" s="2">
        <v>57034452</v>
      </c>
      <c r="AB34" s="2">
        <f t="shared" si="32"/>
        <v>6.8255999999999997</v>
      </c>
      <c r="AC34" s="2">
        <f t="shared" si="33"/>
        <v>0</v>
      </c>
      <c r="AD34" s="2">
        <f t="shared" si="34"/>
        <v>7.1999999999999998E-3</v>
      </c>
      <c r="AE34" s="2">
        <f t="shared" si="35"/>
        <v>0</v>
      </c>
      <c r="AF34" s="2">
        <f t="shared" si="36"/>
        <v>6.8183999999999996</v>
      </c>
      <c r="AG34" s="2">
        <f t="shared" si="37"/>
        <v>0</v>
      </c>
      <c r="AH34" s="2">
        <f t="shared" si="38"/>
        <v>0.48960000000000004</v>
      </c>
      <c r="AI34" s="2">
        <f t="shared" si="39"/>
        <v>0</v>
      </c>
      <c r="AJ34" s="2">
        <f t="shared" si="40"/>
        <v>0</v>
      </c>
      <c r="AK34" s="2">
        <v>21.3</v>
      </c>
      <c r="AL34" s="2">
        <v>2.34</v>
      </c>
      <c r="AM34" s="2">
        <v>0.02</v>
      </c>
      <c r="AN34" s="2">
        <v>0</v>
      </c>
      <c r="AO34" s="2">
        <v>18.940000000000001</v>
      </c>
      <c r="AP34" s="2">
        <v>0</v>
      </c>
      <c r="AQ34" s="2">
        <v>1.36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47</v>
      </c>
      <c r="BK34" s="2"/>
      <c r="BL34" s="2"/>
      <c r="BM34" s="2">
        <v>68</v>
      </c>
      <c r="BN34" s="2">
        <v>0</v>
      </c>
      <c r="BO34" s="2" t="s">
        <v>45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613</v>
      </c>
      <c r="CO34" s="2">
        <v>0</v>
      </c>
      <c r="CP34" s="2">
        <f t="shared" si="41"/>
        <v>28.59</v>
      </c>
      <c r="CQ34" s="2">
        <f t="shared" si="42"/>
        <v>0</v>
      </c>
      <c r="CR34" s="2">
        <f t="shared" si="43"/>
        <v>0.01</v>
      </c>
      <c r="CS34" s="2">
        <f t="shared" si="44"/>
        <v>0</v>
      </c>
      <c r="CT34" s="2">
        <f t="shared" si="45"/>
        <v>7.14</v>
      </c>
      <c r="CU34" s="2">
        <f t="shared" si="46"/>
        <v>0</v>
      </c>
      <c r="CV34" s="2">
        <f t="shared" si="47"/>
        <v>0.51261120000000004</v>
      </c>
      <c r="CW34" s="2">
        <f t="shared" si="48"/>
        <v>0</v>
      </c>
      <c r="CX34" s="2">
        <f t="shared" si="49"/>
        <v>0</v>
      </c>
      <c r="CY34" s="2">
        <f t="shared" si="50"/>
        <v>25.7</v>
      </c>
      <c r="CZ34" s="2">
        <f t="shared" si="51"/>
        <v>13.14</v>
      </c>
      <c r="DA34" s="2"/>
      <c r="DB34" s="2">
        <v>13</v>
      </c>
      <c r="DC34" s="2" t="s">
        <v>3</v>
      </c>
      <c r="DD34" s="2" t="s">
        <v>28</v>
      </c>
      <c r="DE34" s="2" t="s">
        <v>29</v>
      </c>
      <c r="DF34" s="2" t="s">
        <v>29</v>
      </c>
      <c r="DG34" s="2" t="s">
        <v>29</v>
      </c>
      <c r="DH34" s="2" t="s">
        <v>3</v>
      </c>
      <c r="DI34" s="2" t="s">
        <v>29</v>
      </c>
      <c r="DJ34" s="2" t="s">
        <v>29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26</v>
      </c>
      <c r="DW34" s="2" t="s">
        <v>26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57042958</v>
      </c>
      <c r="EF34" s="2">
        <v>40</v>
      </c>
      <c r="EG34" s="2" t="s">
        <v>30</v>
      </c>
      <c r="EH34" s="2">
        <v>0</v>
      </c>
      <c r="EI34" s="2" t="s">
        <v>3</v>
      </c>
      <c r="EJ34" s="2">
        <v>2</v>
      </c>
      <c r="EK34" s="2">
        <v>68</v>
      </c>
      <c r="EL34" s="2" t="s">
        <v>38</v>
      </c>
      <c r="EM34" s="2" t="s">
        <v>39</v>
      </c>
      <c r="EN34" s="2"/>
      <c r="EO34" s="2" t="s">
        <v>33</v>
      </c>
      <c r="EP34" s="2"/>
      <c r="EQ34" s="2">
        <v>0</v>
      </c>
      <c r="ER34" s="2">
        <v>21.3</v>
      </c>
      <c r="ES34" s="2">
        <v>2.34</v>
      </c>
      <c r="ET34" s="2">
        <v>0.02</v>
      </c>
      <c r="EU34" s="2">
        <v>0</v>
      </c>
      <c r="EV34" s="2">
        <v>18.940000000000001</v>
      </c>
      <c r="EW34" s="2">
        <v>1.36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-1313330589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67.430000000000007</v>
      </c>
      <c r="GN34" s="2">
        <f t="shared" si="54"/>
        <v>0</v>
      </c>
      <c r="GO34" s="2">
        <f t="shared" si="55"/>
        <v>67.430000000000007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ROW(SmtRes!A26)</f>
        <v>26</v>
      </c>
      <c r="D35" s="3">
        <f>ROW(EtalonRes!A32)</f>
        <v>32</v>
      </c>
      <c r="E35" s="3" t="s">
        <v>44</v>
      </c>
      <c r="F35" s="3" t="s">
        <v>45</v>
      </c>
      <c r="G35" s="3" t="s">
        <v>46</v>
      </c>
      <c r="H35" s="3" t="s">
        <v>26</v>
      </c>
      <c r="I35" s="3">
        <f>ROUND(1+2+1,9)</f>
        <v>4</v>
      </c>
      <c r="J35" s="3">
        <v>0</v>
      </c>
      <c r="K35" s="3">
        <f>ROUND(1+2+1,9)</f>
        <v>4</v>
      </c>
      <c r="O35" s="3">
        <f t="shared" si="21"/>
        <v>1609.69</v>
      </c>
      <c r="P35" s="3">
        <f t="shared" si="22"/>
        <v>0</v>
      </c>
      <c r="Q35" s="3">
        <f t="shared" si="23"/>
        <v>0.33</v>
      </c>
      <c r="R35" s="3">
        <f t="shared" si="24"/>
        <v>0</v>
      </c>
      <c r="S35" s="3">
        <f t="shared" si="25"/>
        <v>1609.36</v>
      </c>
      <c r="T35" s="3">
        <f t="shared" si="26"/>
        <v>0</v>
      </c>
      <c r="U35" s="3">
        <f t="shared" si="27"/>
        <v>2.0504448000000002</v>
      </c>
      <c r="V35" s="3">
        <f t="shared" si="28"/>
        <v>0</v>
      </c>
      <c r="W35" s="3">
        <f t="shared" si="29"/>
        <v>0</v>
      </c>
      <c r="X35" s="3">
        <f t="shared" si="30"/>
        <v>1448.42</v>
      </c>
      <c r="Y35" s="3">
        <f t="shared" si="31"/>
        <v>740.31</v>
      </c>
      <c r="AA35" s="3">
        <v>57034454</v>
      </c>
      <c r="AB35" s="3">
        <f t="shared" si="32"/>
        <v>6.8255999999999997</v>
      </c>
      <c r="AC35" s="3">
        <f t="shared" si="33"/>
        <v>0</v>
      </c>
      <c r="AD35" s="3">
        <f t="shared" si="34"/>
        <v>7.1999999999999998E-3</v>
      </c>
      <c r="AE35" s="3">
        <f t="shared" si="35"/>
        <v>0</v>
      </c>
      <c r="AF35" s="3">
        <f t="shared" si="36"/>
        <v>6.8183999999999996</v>
      </c>
      <c r="AG35" s="3">
        <f t="shared" si="37"/>
        <v>0</v>
      </c>
      <c r="AH35" s="3">
        <f t="shared" si="38"/>
        <v>0.48960000000000004</v>
      </c>
      <c r="AI35" s="3">
        <f t="shared" si="39"/>
        <v>0</v>
      </c>
      <c r="AJ35" s="3">
        <f t="shared" si="40"/>
        <v>0</v>
      </c>
      <c r="AK35" s="3">
        <v>21.3</v>
      </c>
      <c r="AL35" s="3">
        <v>2.34</v>
      </c>
      <c r="AM35" s="3">
        <v>0.02</v>
      </c>
      <c r="AN35" s="3">
        <v>0</v>
      </c>
      <c r="AO35" s="3">
        <v>18.940000000000001</v>
      </c>
      <c r="AP35" s="3">
        <v>0</v>
      </c>
      <c r="AQ35" s="3">
        <v>1.36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11</v>
      </c>
      <c r="BC35" s="3">
        <v>10.24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47</v>
      </c>
      <c r="BM35" s="3">
        <v>68</v>
      </c>
      <c r="BN35" s="3">
        <v>0</v>
      </c>
      <c r="BO35" s="3" t="s">
        <v>45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613</v>
      </c>
      <c r="CO35" s="3">
        <v>0</v>
      </c>
      <c r="CP35" s="3">
        <f t="shared" si="41"/>
        <v>1609.6899999999998</v>
      </c>
      <c r="CQ35" s="3">
        <f t="shared" si="42"/>
        <v>0</v>
      </c>
      <c r="CR35" s="3">
        <f t="shared" si="43"/>
        <v>0.11</v>
      </c>
      <c r="CS35" s="3">
        <f t="shared" si="44"/>
        <v>0</v>
      </c>
      <c r="CT35" s="3">
        <f t="shared" si="45"/>
        <v>402.34</v>
      </c>
      <c r="CU35" s="3">
        <f t="shared" si="46"/>
        <v>0</v>
      </c>
      <c r="CV35" s="3">
        <f t="shared" si="47"/>
        <v>0.51261120000000004</v>
      </c>
      <c r="CW35" s="3">
        <f t="shared" si="48"/>
        <v>0</v>
      </c>
      <c r="CX35" s="3">
        <f t="shared" si="49"/>
        <v>0</v>
      </c>
      <c r="CY35" s="3">
        <f t="shared" si="50"/>
        <v>1448.42</v>
      </c>
      <c r="CZ35" s="3">
        <f t="shared" si="51"/>
        <v>740.31</v>
      </c>
      <c r="DB35" s="3">
        <v>15</v>
      </c>
      <c r="DC35" s="3" t="s">
        <v>3</v>
      </c>
      <c r="DD35" s="3" t="s">
        <v>28</v>
      </c>
      <c r="DE35" s="3" t="s">
        <v>29</v>
      </c>
      <c r="DF35" s="3" t="s">
        <v>29</v>
      </c>
      <c r="DG35" s="3" t="s">
        <v>29</v>
      </c>
      <c r="DH35" s="3" t="s">
        <v>3</v>
      </c>
      <c r="DI35" s="3" t="s">
        <v>29</v>
      </c>
      <c r="DJ35" s="3" t="s">
        <v>29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26</v>
      </c>
      <c r="DW35" s="3" t="s">
        <v>26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57042958</v>
      </c>
      <c r="EF35" s="3">
        <v>40</v>
      </c>
      <c r="EG35" s="3" t="s">
        <v>30</v>
      </c>
      <c r="EH35" s="3">
        <v>0</v>
      </c>
      <c r="EI35" s="3" t="s">
        <v>3</v>
      </c>
      <c r="EJ35" s="3">
        <v>2</v>
      </c>
      <c r="EK35" s="3">
        <v>68</v>
      </c>
      <c r="EL35" s="3" t="s">
        <v>38</v>
      </c>
      <c r="EM35" s="3" t="s">
        <v>39</v>
      </c>
      <c r="EO35" s="3" t="s">
        <v>33</v>
      </c>
      <c r="EQ35" s="3">
        <v>0</v>
      </c>
      <c r="ER35" s="3">
        <v>21.3</v>
      </c>
      <c r="ES35" s="3">
        <v>2.34</v>
      </c>
      <c r="ET35" s="3">
        <v>0.02</v>
      </c>
      <c r="EU35" s="3">
        <v>0</v>
      </c>
      <c r="EV35" s="3">
        <v>18.940000000000001</v>
      </c>
      <c r="EW35" s="3">
        <v>1.36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-1313330589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3798.42</v>
      </c>
      <c r="GN35" s="3">
        <f t="shared" si="54"/>
        <v>0</v>
      </c>
      <c r="GO35" s="3">
        <f t="shared" si="55"/>
        <v>3798.42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>
        <f>ROW(SmtRes!A27)</f>
        <v>27</v>
      </c>
      <c r="D36" s="2">
        <f>ROW(EtalonRes!A33)</f>
        <v>33</v>
      </c>
      <c r="E36" s="2" t="s">
        <v>48</v>
      </c>
      <c r="F36" s="2" t="s">
        <v>49</v>
      </c>
      <c r="G36" s="2" t="s">
        <v>50</v>
      </c>
      <c r="H36" s="2" t="s">
        <v>26</v>
      </c>
      <c r="I36" s="2">
        <f>ROUND(356+6+162,9)</f>
        <v>524</v>
      </c>
      <c r="J36" s="2">
        <v>0</v>
      </c>
      <c r="K36" s="2">
        <f>ROUND(356+6+162,9)</f>
        <v>524</v>
      </c>
      <c r="L36" s="2"/>
      <c r="M36" s="2"/>
      <c r="N36" s="2"/>
      <c r="O36" s="2">
        <f t="shared" si="21"/>
        <v>4198.9799999999996</v>
      </c>
      <c r="P36" s="2">
        <f t="shared" si="22"/>
        <v>0</v>
      </c>
      <c r="Q36" s="2">
        <f t="shared" si="23"/>
        <v>11.85</v>
      </c>
      <c r="R36" s="2">
        <f t="shared" si="24"/>
        <v>1.98</v>
      </c>
      <c r="S36" s="2">
        <f t="shared" si="25"/>
        <v>4187.13</v>
      </c>
      <c r="T36" s="2">
        <f t="shared" si="26"/>
        <v>0</v>
      </c>
      <c r="U36" s="2">
        <f t="shared" si="27"/>
        <v>331.81021439999995</v>
      </c>
      <c r="V36" s="2">
        <f t="shared" si="28"/>
        <v>0</v>
      </c>
      <c r="W36" s="2">
        <f t="shared" si="29"/>
        <v>0</v>
      </c>
      <c r="X36" s="2">
        <f t="shared" si="30"/>
        <v>3770.2</v>
      </c>
      <c r="Y36" s="2">
        <f t="shared" si="31"/>
        <v>1926.99</v>
      </c>
      <c r="Z36" s="2"/>
      <c r="AA36" s="2">
        <v>57034452</v>
      </c>
      <c r="AB36" s="2">
        <f t="shared" si="32"/>
        <v>7.6536</v>
      </c>
      <c r="AC36" s="2">
        <f t="shared" si="33"/>
        <v>0</v>
      </c>
      <c r="AD36" s="2">
        <f t="shared" si="34"/>
        <v>2.1600000000000001E-2</v>
      </c>
      <c r="AE36" s="2">
        <f t="shared" si="35"/>
        <v>3.5999999999999999E-3</v>
      </c>
      <c r="AF36" s="2">
        <f t="shared" si="36"/>
        <v>7.6319999999999997</v>
      </c>
      <c r="AG36" s="2">
        <f t="shared" si="37"/>
        <v>0</v>
      </c>
      <c r="AH36" s="2">
        <f t="shared" si="38"/>
        <v>0.6048</v>
      </c>
      <c r="AI36" s="2">
        <f t="shared" si="39"/>
        <v>0</v>
      </c>
      <c r="AJ36" s="2">
        <f t="shared" si="40"/>
        <v>0</v>
      </c>
      <c r="AK36" s="2">
        <v>22.52</v>
      </c>
      <c r="AL36" s="2">
        <v>1.26</v>
      </c>
      <c r="AM36" s="2">
        <v>0.06</v>
      </c>
      <c r="AN36" s="2">
        <v>0.01</v>
      </c>
      <c r="AO36" s="2">
        <v>21.2</v>
      </c>
      <c r="AP36" s="2">
        <v>0</v>
      </c>
      <c r="AQ36" s="2">
        <v>1.68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51</v>
      </c>
      <c r="BK36" s="2"/>
      <c r="BL36" s="2"/>
      <c r="BM36" s="2">
        <v>68</v>
      </c>
      <c r="BN36" s="2">
        <v>0</v>
      </c>
      <c r="BO36" s="2" t="s">
        <v>49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613</v>
      </c>
      <c r="CO36" s="2">
        <v>0</v>
      </c>
      <c r="CP36" s="2">
        <f t="shared" si="41"/>
        <v>4198.9800000000005</v>
      </c>
      <c r="CQ36" s="2">
        <f t="shared" si="42"/>
        <v>0</v>
      </c>
      <c r="CR36" s="2">
        <f t="shared" si="43"/>
        <v>0.02</v>
      </c>
      <c r="CS36" s="2">
        <f t="shared" si="44"/>
        <v>0</v>
      </c>
      <c r="CT36" s="2">
        <f t="shared" si="45"/>
        <v>7.99</v>
      </c>
      <c r="CU36" s="2">
        <f t="shared" si="46"/>
        <v>0</v>
      </c>
      <c r="CV36" s="2">
        <f t="shared" si="47"/>
        <v>0.63322559999999994</v>
      </c>
      <c r="CW36" s="2">
        <f t="shared" si="48"/>
        <v>0</v>
      </c>
      <c r="CX36" s="2">
        <f t="shared" si="49"/>
        <v>0</v>
      </c>
      <c r="CY36" s="2">
        <f t="shared" si="50"/>
        <v>3768.42</v>
      </c>
      <c r="CZ36" s="2">
        <f t="shared" si="51"/>
        <v>1926.08</v>
      </c>
      <c r="DA36" s="2"/>
      <c r="DB36" s="2">
        <v>17</v>
      </c>
      <c r="DC36" s="2" t="s">
        <v>3</v>
      </c>
      <c r="DD36" s="2" t="s">
        <v>28</v>
      </c>
      <c r="DE36" s="2" t="s">
        <v>29</v>
      </c>
      <c r="DF36" s="2" t="s">
        <v>29</v>
      </c>
      <c r="DG36" s="2" t="s">
        <v>29</v>
      </c>
      <c r="DH36" s="2" t="s">
        <v>3</v>
      </c>
      <c r="DI36" s="2" t="s">
        <v>29</v>
      </c>
      <c r="DJ36" s="2" t="s">
        <v>29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26</v>
      </c>
      <c r="DW36" s="2" t="s">
        <v>26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57042958</v>
      </c>
      <c r="EF36" s="2">
        <v>40</v>
      </c>
      <c r="EG36" s="2" t="s">
        <v>30</v>
      </c>
      <c r="EH36" s="2">
        <v>0</v>
      </c>
      <c r="EI36" s="2" t="s">
        <v>3</v>
      </c>
      <c r="EJ36" s="2">
        <v>2</v>
      </c>
      <c r="EK36" s="2">
        <v>68</v>
      </c>
      <c r="EL36" s="2" t="s">
        <v>38</v>
      </c>
      <c r="EM36" s="2" t="s">
        <v>39</v>
      </c>
      <c r="EN36" s="2"/>
      <c r="EO36" s="2" t="s">
        <v>33</v>
      </c>
      <c r="EP36" s="2"/>
      <c r="EQ36" s="2">
        <v>0</v>
      </c>
      <c r="ER36" s="2">
        <v>22.52</v>
      </c>
      <c r="ES36" s="2">
        <v>1.26</v>
      </c>
      <c r="ET36" s="2">
        <v>0.06</v>
      </c>
      <c r="EU36" s="2">
        <v>0.01</v>
      </c>
      <c r="EV36" s="2">
        <v>21.2</v>
      </c>
      <c r="EW36" s="2">
        <v>1.68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-1660079002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9896.17</v>
      </c>
      <c r="GN36" s="2">
        <f t="shared" si="54"/>
        <v>0</v>
      </c>
      <c r="GO36" s="2">
        <f t="shared" si="55"/>
        <v>9896.17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C37" s="3">
        <f>ROW(SmtRes!A28)</f>
        <v>28</v>
      </c>
      <c r="D37" s="3">
        <f>ROW(EtalonRes!A34)</f>
        <v>34</v>
      </c>
      <c r="E37" s="3" t="s">
        <v>48</v>
      </c>
      <c r="F37" s="3" t="s">
        <v>49</v>
      </c>
      <c r="G37" s="3" t="s">
        <v>50</v>
      </c>
      <c r="H37" s="3" t="s">
        <v>26</v>
      </c>
      <c r="I37" s="3">
        <f>ROUND(356+6+162,9)</f>
        <v>524</v>
      </c>
      <c r="J37" s="3">
        <v>0</v>
      </c>
      <c r="K37" s="3">
        <f>ROUND(356+6+162,9)</f>
        <v>524</v>
      </c>
      <c r="O37" s="3">
        <f t="shared" si="21"/>
        <v>236164.01</v>
      </c>
      <c r="P37" s="3">
        <f t="shared" si="22"/>
        <v>0</v>
      </c>
      <c r="Q37" s="3">
        <f t="shared" si="23"/>
        <v>219.23</v>
      </c>
      <c r="R37" s="3">
        <f t="shared" si="24"/>
        <v>111.57</v>
      </c>
      <c r="S37" s="3">
        <f t="shared" si="25"/>
        <v>235944.78</v>
      </c>
      <c r="T37" s="3">
        <f t="shared" si="26"/>
        <v>0</v>
      </c>
      <c r="U37" s="3">
        <f t="shared" si="27"/>
        <v>331.81021439999995</v>
      </c>
      <c r="V37" s="3">
        <f t="shared" si="28"/>
        <v>0</v>
      </c>
      <c r="W37" s="3">
        <f t="shared" si="29"/>
        <v>0</v>
      </c>
      <c r="X37" s="3">
        <f t="shared" si="30"/>
        <v>212450.72</v>
      </c>
      <c r="Y37" s="3">
        <f t="shared" si="31"/>
        <v>108585.92</v>
      </c>
      <c r="AA37" s="3">
        <v>57034454</v>
      </c>
      <c r="AB37" s="3">
        <f t="shared" si="32"/>
        <v>7.6536</v>
      </c>
      <c r="AC37" s="3">
        <f t="shared" si="33"/>
        <v>0</v>
      </c>
      <c r="AD37" s="3">
        <f t="shared" si="34"/>
        <v>2.1600000000000001E-2</v>
      </c>
      <c r="AE37" s="3">
        <f t="shared" si="35"/>
        <v>3.5999999999999999E-3</v>
      </c>
      <c r="AF37" s="3">
        <f t="shared" si="36"/>
        <v>7.6319999999999997</v>
      </c>
      <c r="AG37" s="3">
        <f t="shared" si="37"/>
        <v>0</v>
      </c>
      <c r="AH37" s="3">
        <f t="shared" si="38"/>
        <v>0.6048</v>
      </c>
      <c r="AI37" s="3">
        <f t="shared" si="39"/>
        <v>0</v>
      </c>
      <c r="AJ37" s="3">
        <f t="shared" si="40"/>
        <v>0</v>
      </c>
      <c r="AK37" s="3">
        <v>22.52</v>
      </c>
      <c r="AL37" s="3">
        <v>1.26</v>
      </c>
      <c r="AM37" s="3">
        <v>0.06</v>
      </c>
      <c r="AN37" s="3">
        <v>0.01</v>
      </c>
      <c r="AO37" s="3">
        <v>21.2</v>
      </c>
      <c r="AP37" s="3">
        <v>0</v>
      </c>
      <c r="AQ37" s="3">
        <v>1.68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18.5</v>
      </c>
      <c r="BC37" s="3">
        <v>9.84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51</v>
      </c>
      <c r="BM37" s="3">
        <v>68</v>
      </c>
      <c r="BN37" s="3">
        <v>0</v>
      </c>
      <c r="BO37" s="3" t="s">
        <v>49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613</v>
      </c>
      <c r="CO37" s="3">
        <v>0</v>
      </c>
      <c r="CP37" s="3">
        <f t="shared" si="41"/>
        <v>236164.01</v>
      </c>
      <c r="CQ37" s="3">
        <f t="shared" si="42"/>
        <v>0</v>
      </c>
      <c r="CR37" s="3">
        <f t="shared" si="43"/>
        <v>0.37</v>
      </c>
      <c r="CS37" s="3">
        <f t="shared" si="44"/>
        <v>0</v>
      </c>
      <c r="CT37" s="3">
        <f t="shared" si="45"/>
        <v>450.24</v>
      </c>
      <c r="CU37" s="3">
        <f t="shared" si="46"/>
        <v>0</v>
      </c>
      <c r="CV37" s="3">
        <f t="shared" si="47"/>
        <v>0.63322559999999994</v>
      </c>
      <c r="CW37" s="3">
        <f t="shared" si="48"/>
        <v>0</v>
      </c>
      <c r="CX37" s="3">
        <f t="shared" si="49"/>
        <v>0</v>
      </c>
      <c r="CY37" s="3">
        <f t="shared" si="50"/>
        <v>212350.3</v>
      </c>
      <c r="CZ37" s="3">
        <f t="shared" si="51"/>
        <v>108534.6</v>
      </c>
      <c r="DB37" s="3">
        <v>19</v>
      </c>
      <c r="DC37" s="3" t="s">
        <v>3</v>
      </c>
      <c r="DD37" s="3" t="s">
        <v>28</v>
      </c>
      <c r="DE37" s="3" t="s">
        <v>29</v>
      </c>
      <c r="DF37" s="3" t="s">
        <v>29</v>
      </c>
      <c r="DG37" s="3" t="s">
        <v>29</v>
      </c>
      <c r="DH37" s="3" t="s">
        <v>3</v>
      </c>
      <c r="DI37" s="3" t="s">
        <v>29</v>
      </c>
      <c r="DJ37" s="3" t="s">
        <v>29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26</v>
      </c>
      <c r="DW37" s="3" t="s">
        <v>26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57042958</v>
      </c>
      <c r="EF37" s="3">
        <v>40</v>
      </c>
      <c r="EG37" s="3" t="s">
        <v>30</v>
      </c>
      <c r="EH37" s="3">
        <v>0</v>
      </c>
      <c r="EI37" s="3" t="s">
        <v>3</v>
      </c>
      <c r="EJ37" s="3">
        <v>2</v>
      </c>
      <c r="EK37" s="3">
        <v>68</v>
      </c>
      <c r="EL37" s="3" t="s">
        <v>38</v>
      </c>
      <c r="EM37" s="3" t="s">
        <v>39</v>
      </c>
      <c r="EO37" s="3" t="s">
        <v>33</v>
      </c>
      <c r="EQ37" s="3">
        <v>0</v>
      </c>
      <c r="ER37" s="3">
        <v>22.52</v>
      </c>
      <c r="ES37" s="3">
        <v>1.26</v>
      </c>
      <c r="ET37" s="3">
        <v>0.06</v>
      </c>
      <c r="EU37" s="3">
        <v>0.01</v>
      </c>
      <c r="EV37" s="3">
        <v>21.2</v>
      </c>
      <c r="EW37" s="3">
        <v>1.68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-1660079002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557200.65</v>
      </c>
      <c r="GN37" s="3">
        <f t="shared" si="54"/>
        <v>0</v>
      </c>
      <c r="GO37" s="3">
        <f t="shared" si="55"/>
        <v>557200.65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>
        <f>ROW(SmtRes!A29)</f>
        <v>29</v>
      </c>
      <c r="D38" s="2">
        <f>ROW(EtalonRes!A35)</f>
        <v>35</v>
      </c>
      <c r="E38" s="2" t="s">
        <v>52</v>
      </c>
      <c r="F38" s="2" t="s">
        <v>53</v>
      </c>
      <c r="G38" s="2" t="s">
        <v>54</v>
      </c>
      <c r="H38" s="2" t="s">
        <v>26</v>
      </c>
      <c r="I38" s="2">
        <f>ROUND(10,9)</f>
        <v>10</v>
      </c>
      <c r="J38" s="2">
        <v>0</v>
      </c>
      <c r="K38" s="2">
        <f>ROUND(10,9)</f>
        <v>10</v>
      </c>
      <c r="L38" s="2"/>
      <c r="M38" s="2"/>
      <c r="N38" s="2"/>
      <c r="O38" s="2">
        <f t="shared" si="21"/>
        <v>40.06</v>
      </c>
      <c r="P38" s="2">
        <f t="shared" si="22"/>
        <v>0</v>
      </c>
      <c r="Q38" s="2">
        <f t="shared" si="23"/>
        <v>0.11</v>
      </c>
      <c r="R38" s="2">
        <f t="shared" si="24"/>
        <v>0</v>
      </c>
      <c r="S38" s="2">
        <f t="shared" si="25"/>
        <v>39.950000000000003</v>
      </c>
      <c r="T38" s="2">
        <f t="shared" si="26"/>
        <v>0</v>
      </c>
      <c r="U38" s="2">
        <f t="shared" si="27"/>
        <v>3.1661279999999996</v>
      </c>
      <c r="V38" s="2">
        <f t="shared" si="28"/>
        <v>0</v>
      </c>
      <c r="W38" s="2">
        <f t="shared" si="29"/>
        <v>0</v>
      </c>
      <c r="X38" s="2">
        <f t="shared" si="30"/>
        <v>35.96</v>
      </c>
      <c r="Y38" s="2">
        <f t="shared" si="31"/>
        <v>18.38</v>
      </c>
      <c r="Z38" s="2"/>
      <c r="AA38" s="2">
        <v>57034452</v>
      </c>
      <c r="AB38" s="2">
        <f t="shared" si="32"/>
        <v>3.8268</v>
      </c>
      <c r="AC38" s="2">
        <f t="shared" si="33"/>
        <v>0</v>
      </c>
      <c r="AD38" s="2">
        <f t="shared" si="34"/>
        <v>1.0800000000000001E-2</v>
      </c>
      <c r="AE38" s="2">
        <f t="shared" si="35"/>
        <v>0</v>
      </c>
      <c r="AF38" s="2">
        <f t="shared" si="36"/>
        <v>3.8159999999999998</v>
      </c>
      <c r="AG38" s="2">
        <f t="shared" si="37"/>
        <v>0</v>
      </c>
      <c r="AH38" s="2">
        <f t="shared" si="38"/>
        <v>0.3024</v>
      </c>
      <c r="AI38" s="2">
        <f t="shared" si="39"/>
        <v>0</v>
      </c>
      <c r="AJ38" s="2">
        <f t="shared" si="40"/>
        <v>0</v>
      </c>
      <c r="AK38" s="2">
        <v>11.19</v>
      </c>
      <c r="AL38" s="2">
        <v>0.56000000000000005</v>
      </c>
      <c r="AM38" s="2">
        <v>0.03</v>
      </c>
      <c r="AN38" s="2">
        <v>0</v>
      </c>
      <c r="AO38" s="2">
        <v>10.6</v>
      </c>
      <c r="AP38" s="2">
        <v>0</v>
      </c>
      <c r="AQ38" s="2">
        <v>0.84</v>
      </c>
      <c r="AR38" s="2">
        <v>0</v>
      </c>
      <c r="AS38" s="2">
        <v>0</v>
      </c>
      <c r="AT38" s="2">
        <v>90</v>
      </c>
      <c r="AU38" s="2">
        <v>46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55</v>
      </c>
      <c r="BK38" s="2"/>
      <c r="BL38" s="2"/>
      <c r="BM38" s="2">
        <v>68</v>
      </c>
      <c r="BN38" s="2">
        <v>0</v>
      </c>
      <c r="BO38" s="2" t="s">
        <v>53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613</v>
      </c>
      <c r="CO38" s="2">
        <v>0</v>
      </c>
      <c r="CP38" s="2">
        <f t="shared" si="41"/>
        <v>40.06</v>
      </c>
      <c r="CQ38" s="2">
        <f t="shared" si="42"/>
        <v>0</v>
      </c>
      <c r="CR38" s="2">
        <f t="shared" si="43"/>
        <v>0.01</v>
      </c>
      <c r="CS38" s="2">
        <f t="shared" si="44"/>
        <v>0</v>
      </c>
      <c r="CT38" s="2">
        <f t="shared" si="45"/>
        <v>4</v>
      </c>
      <c r="CU38" s="2">
        <f t="shared" si="46"/>
        <v>0</v>
      </c>
      <c r="CV38" s="2">
        <f t="shared" si="47"/>
        <v>0.31661279999999997</v>
      </c>
      <c r="CW38" s="2">
        <f t="shared" si="48"/>
        <v>0</v>
      </c>
      <c r="CX38" s="2">
        <f t="shared" si="49"/>
        <v>0</v>
      </c>
      <c r="CY38" s="2">
        <f t="shared" si="50"/>
        <v>35.96</v>
      </c>
      <c r="CZ38" s="2">
        <f t="shared" si="51"/>
        <v>18.38</v>
      </c>
      <c r="DA38" s="2"/>
      <c r="DB38" s="2">
        <v>21</v>
      </c>
      <c r="DC38" s="2" t="s">
        <v>3</v>
      </c>
      <c r="DD38" s="2" t="s">
        <v>28</v>
      </c>
      <c r="DE38" s="2" t="s">
        <v>29</v>
      </c>
      <c r="DF38" s="2" t="s">
        <v>29</v>
      </c>
      <c r="DG38" s="2" t="s">
        <v>29</v>
      </c>
      <c r="DH38" s="2" t="s">
        <v>3</v>
      </c>
      <c r="DI38" s="2" t="s">
        <v>29</v>
      </c>
      <c r="DJ38" s="2" t="s">
        <v>29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26</v>
      </c>
      <c r="DW38" s="2" t="s">
        <v>26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57042958</v>
      </c>
      <c r="EF38" s="2">
        <v>40</v>
      </c>
      <c r="EG38" s="2" t="s">
        <v>30</v>
      </c>
      <c r="EH38" s="2">
        <v>0</v>
      </c>
      <c r="EI38" s="2" t="s">
        <v>3</v>
      </c>
      <c r="EJ38" s="2">
        <v>2</v>
      </c>
      <c r="EK38" s="2">
        <v>68</v>
      </c>
      <c r="EL38" s="2" t="s">
        <v>38</v>
      </c>
      <c r="EM38" s="2" t="s">
        <v>39</v>
      </c>
      <c r="EN38" s="2"/>
      <c r="EO38" s="2" t="s">
        <v>33</v>
      </c>
      <c r="EP38" s="2"/>
      <c r="EQ38" s="2">
        <v>0</v>
      </c>
      <c r="ER38" s="2">
        <v>11.19</v>
      </c>
      <c r="ES38" s="2">
        <v>0.56000000000000005</v>
      </c>
      <c r="ET38" s="2">
        <v>0.03</v>
      </c>
      <c r="EU38" s="2">
        <v>0</v>
      </c>
      <c r="EV38" s="2">
        <v>10.6</v>
      </c>
      <c r="EW38" s="2">
        <v>0.84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-86609913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94.4</v>
      </c>
      <c r="GN38" s="2">
        <f t="shared" si="54"/>
        <v>0</v>
      </c>
      <c r="GO38" s="2">
        <f t="shared" si="55"/>
        <v>94.4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C39" s="3">
        <f>ROW(SmtRes!A30)</f>
        <v>30</v>
      </c>
      <c r="D39" s="3">
        <f>ROW(EtalonRes!A36)</f>
        <v>36</v>
      </c>
      <c r="E39" s="3" t="s">
        <v>52</v>
      </c>
      <c r="F39" s="3" t="s">
        <v>53</v>
      </c>
      <c r="G39" s="3" t="s">
        <v>54</v>
      </c>
      <c r="H39" s="3" t="s">
        <v>26</v>
      </c>
      <c r="I39" s="3">
        <f>ROUND(10,9)</f>
        <v>10</v>
      </c>
      <c r="J39" s="3">
        <v>0</v>
      </c>
      <c r="K39" s="3">
        <f>ROUND(10,9)</f>
        <v>10</v>
      </c>
      <c r="O39" s="3">
        <f t="shared" si="21"/>
        <v>2252.39</v>
      </c>
      <c r="P39" s="3">
        <f t="shared" si="22"/>
        <v>0</v>
      </c>
      <c r="Q39" s="3">
        <f t="shared" si="23"/>
        <v>1.21</v>
      </c>
      <c r="R39" s="3">
        <f t="shared" si="24"/>
        <v>0</v>
      </c>
      <c r="S39" s="3">
        <f t="shared" si="25"/>
        <v>2251.1799999999998</v>
      </c>
      <c r="T39" s="3">
        <f t="shared" si="26"/>
        <v>0</v>
      </c>
      <c r="U39" s="3">
        <f t="shared" si="27"/>
        <v>3.1661279999999996</v>
      </c>
      <c r="V39" s="3">
        <f t="shared" si="28"/>
        <v>0</v>
      </c>
      <c r="W39" s="3">
        <f t="shared" si="29"/>
        <v>0</v>
      </c>
      <c r="X39" s="3">
        <f t="shared" si="30"/>
        <v>2026.06</v>
      </c>
      <c r="Y39" s="3">
        <f t="shared" si="31"/>
        <v>1035.54</v>
      </c>
      <c r="AA39" s="3">
        <v>57034454</v>
      </c>
      <c r="AB39" s="3">
        <f t="shared" si="32"/>
        <v>3.8268</v>
      </c>
      <c r="AC39" s="3">
        <f t="shared" si="33"/>
        <v>0</v>
      </c>
      <c r="AD39" s="3">
        <f t="shared" si="34"/>
        <v>1.0800000000000001E-2</v>
      </c>
      <c r="AE39" s="3">
        <f t="shared" si="35"/>
        <v>0</v>
      </c>
      <c r="AF39" s="3">
        <f t="shared" si="36"/>
        <v>3.8159999999999998</v>
      </c>
      <c r="AG39" s="3">
        <f t="shared" si="37"/>
        <v>0</v>
      </c>
      <c r="AH39" s="3">
        <f t="shared" si="38"/>
        <v>0.3024</v>
      </c>
      <c r="AI39" s="3">
        <f t="shared" si="39"/>
        <v>0</v>
      </c>
      <c r="AJ39" s="3">
        <f t="shared" si="40"/>
        <v>0</v>
      </c>
      <c r="AK39" s="3">
        <v>11.19</v>
      </c>
      <c r="AL39" s="3">
        <v>0.56000000000000005</v>
      </c>
      <c r="AM39" s="3">
        <v>0.03</v>
      </c>
      <c r="AN39" s="3">
        <v>0</v>
      </c>
      <c r="AO39" s="3">
        <v>10.6</v>
      </c>
      <c r="AP39" s="3">
        <v>0</v>
      </c>
      <c r="AQ39" s="3">
        <v>0.84</v>
      </c>
      <c r="AR39" s="3">
        <v>0</v>
      </c>
      <c r="AS39" s="3">
        <v>0</v>
      </c>
      <c r="AT39" s="3">
        <v>90</v>
      </c>
      <c r="AU39" s="3">
        <v>46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11</v>
      </c>
      <c r="BC39" s="3">
        <v>9.84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55</v>
      </c>
      <c r="BM39" s="3">
        <v>68</v>
      </c>
      <c r="BN39" s="3">
        <v>0</v>
      </c>
      <c r="BO39" s="3" t="s">
        <v>53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613</v>
      </c>
      <c r="CO39" s="3">
        <v>0</v>
      </c>
      <c r="CP39" s="3">
        <f t="shared" si="41"/>
        <v>2252.39</v>
      </c>
      <c r="CQ39" s="3">
        <f t="shared" si="42"/>
        <v>0</v>
      </c>
      <c r="CR39" s="3">
        <f t="shared" si="43"/>
        <v>0.11</v>
      </c>
      <c r="CS39" s="3">
        <f t="shared" si="44"/>
        <v>0</v>
      </c>
      <c r="CT39" s="3">
        <f t="shared" si="45"/>
        <v>225.4</v>
      </c>
      <c r="CU39" s="3">
        <f t="shared" si="46"/>
        <v>0</v>
      </c>
      <c r="CV39" s="3">
        <f t="shared" si="47"/>
        <v>0.31661279999999997</v>
      </c>
      <c r="CW39" s="3">
        <f t="shared" si="48"/>
        <v>0</v>
      </c>
      <c r="CX39" s="3">
        <f t="shared" si="49"/>
        <v>0</v>
      </c>
      <c r="CY39" s="3">
        <f t="shared" si="50"/>
        <v>2026.06</v>
      </c>
      <c r="CZ39" s="3">
        <f t="shared" si="51"/>
        <v>1035.54</v>
      </c>
      <c r="DB39" s="3">
        <v>23</v>
      </c>
      <c r="DC39" s="3" t="s">
        <v>3</v>
      </c>
      <c r="DD39" s="3" t="s">
        <v>28</v>
      </c>
      <c r="DE39" s="3" t="s">
        <v>29</v>
      </c>
      <c r="DF39" s="3" t="s">
        <v>29</v>
      </c>
      <c r="DG39" s="3" t="s">
        <v>29</v>
      </c>
      <c r="DH39" s="3" t="s">
        <v>3</v>
      </c>
      <c r="DI39" s="3" t="s">
        <v>29</v>
      </c>
      <c r="DJ39" s="3" t="s">
        <v>29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26</v>
      </c>
      <c r="DW39" s="3" t="s">
        <v>26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57042958</v>
      </c>
      <c r="EF39" s="3">
        <v>40</v>
      </c>
      <c r="EG39" s="3" t="s">
        <v>30</v>
      </c>
      <c r="EH39" s="3">
        <v>0</v>
      </c>
      <c r="EI39" s="3" t="s">
        <v>3</v>
      </c>
      <c r="EJ39" s="3">
        <v>2</v>
      </c>
      <c r="EK39" s="3">
        <v>68</v>
      </c>
      <c r="EL39" s="3" t="s">
        <v>38</v>
      </c>
      <c r="EM39" s="3" t="s">
        <v>39</v>
      </c>
      <c r="EO39" s="3" t="s">
        <v>33</v>
      </c>
      <c r="EQ39" s="3">
        <v>0</v>
      </c>
      <c r="ER39" s="3">
        <v>11.19</v>
      </c>
      <c r="ES39" s="3">
        <v>0.56000000000000005</v>
      </c>
      <c r="ET39" s="3">
        <v>0.03</v>
      </c>
      <c r="EU39" s="3">
        <v>0</v>
      </c>
      <c r="EV39" s="3">
        <v>10.6</v>
      </c>
      <c r="EW39" s="3">
        <v>0.84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90</v>
      </c>
      <c r="FY39" s="3">
        <v>46</v>
      </c>
      <c r="GA39" s="3" t="s">
        <v>3</v>
      </c>
      <c r="GD39" s="3">
        <v>1</v>
      </c>
      <c r="GF39" s="3">
        <v>-86609913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5313.99</v>
      </c>
      <c r="GN39" s="3">
        <f t="shared" si="54"/>
        <v>0</v>
      </c>
      <c r="GO39" s="3">
        <f t="shared" si="55"/>
        <v>5313.99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>
        <f>ROW(SmtRes!A33)</f>
        <v>33</v>
      </c>
      <c r="D40" s="2">
        <f>ROW(EtalonRes!A40)</f>
        <v>40</v>
      </c>
      <c r="E40" s="2" t="s">
        <v>56</v>
      </c>
      <c r="F40" s="2" t="s">
        <v>57</v>
      </c>
      <c r="G40" s="2" t="s">
        <v>58</v>
      </c>
      <c r="H40" s="2" t="s">
        <v>26</v>
      </c>
      <c r="I40" s="2">
        <f>ROUND(61,9)</f>
        <v>61</v>
      </c>
      <c r="J40" s="2">
        <v>0</v>
      </c>
      <c r="K40" s="2">
        <f>ROUND(61,9)</f>
        <v>61</v>
      </c>
      <c r="L40" s="2"/>
      <c r="M40" s="2"/>
      <c r="N40" s="2"/>
      <c r="O40" s="2">
        <f t="shared" si="21"/>
        <v>273.38</v>
      </c>
      <c r="P40" s="2">
        <f t="shared" si="22"/>
        <v>0</v>
      </c>
      <c r="Q40" s="2">
        <f t="shared" si="23"/>
        <v>0</v>
      </c>
      <c r="R40" s="2">
        <f t="shared" si="24"/>
        <v>0</v>
      </c>
      <c r="S40" s="2">
        <f t="shared" si="25"/>
        <v>273.38</v>
      </c>
      <c r="T40" s="2">
        <f t="shared" si="26"/>
        <v>0</v>
      </c>
      <c r="U40" s="2">
        <f t="shared" si="27"/>
        <v>22.99212</v>
      </c>
      <c r="V40" s="2">
        <f t="shared" si="28"/>
        <v>0</v>
      </c>
      <c r="W40" s="2">
        <f t="shared" si="29"/>
        <v>0</v>
      </c>
      <c r="X40" s="2">
        <f t="shared" si="30"/>
        <v>259.70999999999998</v>
      </c>
      <c r="Y40" s="2">
        <f t="shared" si="31"/>
        <v>144.88999999999999</v>
      </c>
      <c r="Z40" s="2"/>
      <c r="AA40" s="2">
        <v>57034452</v>
      </c>
      <c r="AB40" s="2">
        <f t="shared" si="32"/>
        <v>4.2804000000000002</v>
      </c>
      <c r="AC40" s="2">
        <f t="shared" si="33"/>
        <v>0</v>
      </c>
      <c r="AD40" s="2">
        <f t="shared" si="34"/>
        <v>0</v>
      </c>
      <c r="AE40" s="2">
        <f t="shared" si="35"/>
        <v>0</v>
      </c>
      <c r="AF40" s="2">
        <f t="shared" si="36"/>
        <v>4.2804000000000002</v>
      </c>
      <c r="AG40" s="2">
        <f t="shared" si="37"/>
        <v>0</v>
      </c>
      <c r="AH40" s="2">
        <f t="shared" si="38"/>
        <v>0.36</v>
      </c>
      <c r="AI40" s="2">
        <f t="shared" si="39"/>
        <v>0</v>
      </c>
      <c r="AJ40" s="2">
        <f t="shared" si="40"/>
        <v>0</v>
      </c>
      <c r="AK40" s="2">
        <v>13.56</v>
      </c>
      <c r="AL40" s="2">
        <v>1.67</v>
      </c>
      <c r="AM40" s="2">
        <v>0</v>
      </c>
      <c r="AN40" s="2">
        <v>0</v>
      </c>
      <c r="AO40" s="2">
        <v>11.89</v>
      </c>
      <c r="AP40" s="2">
        <v>0</v>
      </c>
      <c r="AQ40" s="2">
        <v>1</v>
      </c>
      <c r="AR40" s="2">
        <v>0</v>
      </c>
      <c r="AS40" s="2">
        <v>0</v>
      </c>
      <c r="AT40" s="2">
        <v>95</v>
      </c>
      <c r="AU40" s="2">
        <v>53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59</v>
      </c>
      <c r="BK40" s="2"/>
      <c r="BL40" s="2"/>
      <c r="BM40" s="2">
        <v>69</v>
      </c>
      <c r="BN40" s="2">
        <v>0</v>
      </c>
      <c r="BO40" s="2" t="s">
        <v>57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95</v>
      </c>
      <c r="CA40" s="2">
        <v>53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613</v>
      </c>
      <c r="CO40" s="2">
        <v>0</v>
      </c>
      <c r="CP40" s="2">
        <f t="shared" si="41"/>
        <v>273.38</v>
      </c>
      <c r="CQ40" s="2">
        <f t="shared" si="42"/>
        <v>0</v>
      </c>
      <c r="CR40" s="2">
        <f t="shared" si="43"/>
        <v>0</v>
      </c>
      <c r="CS40" s="2">
        <f t="shared" si="44"/>
        <v>0</v>
      </c>
      <c r="CT40" s="2">
        <f t="shared" si="45"/>
        <v>4.4800000000000004</v>
      </c>
      <c r="CU40" s="2">
        <f t="shared" si="46"/>
        <v>0</v>
      </c>
      <c r="CV40" s="2">
        <f t="shared" si="47"/>
        <v>0.37691999999999998</v>
      </c>
      <c r="CW40" s="2">
        <f t="shared" si="48"/>
        <v>0</v>
      </c>
      <c r="CX40" s="2">
        <f t="shared" si="49"/>
        <v>0</v>
      </c>
      <c r="CY40" s="2">
        <f t="shared" si="50"/>
        <v>259.70999999999998</v>
      </c>
      <c r="CZ40" s="2">
        <f t="shared" si="51"/>
        <v>144.88999999999999</v>
      </c>
      <c r="DA40" s="2"/>
      <c r="DB40" s="2">
        <v>25</v>
      </c>
      <c r="DC40" s="2" t="s">
        <v>3</v>
      </c>
      <c r="DD40" s="2" t="s">
        <v>28</v>
      </c>
      <c r="DE40" s="2" t="s">
        <v>29</v>
      </c>
      <c r="DF40" s="2" t="s">
        <v>29</v>
      </c>
      <c r="DG40" s="2" t="s">
        <v>29</v>
      </c>
      <c r="DH40" s="2" t="s">
        <v>3</v>
      </c>
      <c r="DI40" s="2" t="s">
        <v>29</v>
      </c>
      <c r="DJ40" s="2" t="s">
        <v>29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26</v>
      </c>
      <c r="DW40" s="2" t="s">
        <v>26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57042959</v>
      </c>
      <c r="EF40" s="2">
        <v>40</v>
      </c>
      <c r="EG40" s="2" t="s">
        <v>30</v>
      </c>
      <c r="EH40" s="2">
        <v>0</v>
      </c>
      <c r="EI40" s="2" t="s">
        <v>3</v>
      </c>
      <c r="EJ40" s="2">
        <v>2</v>
      </c>
      <c r="EK40" s="2">
        <v>69</v>
      </c>
      <c r="EL40" s="2" t="s">
        <v>60</v>
      </c>
      <c r="EM40" s="2" t="s">
        <v>61</v>
      </c>
      <c r="EN40" s="2"/>
      <c r="EO40" s="2" t="s">
        <v>33</v>
      </c>
      <c r="EP40" s="2"/>
      <c r="EQ40" s="2">
        <v>0</v>
      </c>
      <c r="ER40" s="2">
        <v>13.56</v>
      </c>
      <c r="ES40" s="2">
        <v>1.67</v>
      </c>
      <c r="ET40" s="2">
        <v>0</v>
      </c>
      <c r="EU40" s="2">
        <v>0</v>
      </c>
      <c r="EV40" s="2">
        <v>11.89</v>
      </c>
      <c r="EW40" s="2">
        <v>1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95</v>
      </c>
      <c r="FY40" s="2">
        <v>53</v>
      </c>
      <c r="FZ40" s="2"/>
      <c r="GA40" s="2" t="s">
        <v>3</v>
      </c>
      <c r="GB40" s="2"/>
      <c r="GC40" s="2"/>
      <c r="GD40" s="2">
        <v>1</v>
      </c>
      <c r="GE40" s="2"/>
      <c r="GF40" s="2">
        <v>-1767315916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677.98</v>
      </c>
      <c r="GN40" s="2">
        <f t="shared" si="54"/>
        <v>0</v>
      </c>
      <c r="GO40" s="2">
        <f t="shared" si="55"/>
        <v>677.98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C41" s="3">
        <f>ROW(SmtRes!A36)</f>
        <v>36</v>
      </c>
      <c r="D41" s="3">
        <f>ROW(EtalonRes!A44)</f>
        <v>44</v>
      </c>
      <c r="E41" s="3" t="s">
        <v>56</v>
      </c>
      <c r="F41" s="3" t="s">
        <v>57</v>
      </c>
      <c r="G41" s="3" t="s">
        <v>58</v>
      </c>
      <c r="H41" s="3" t="s">
        <v>26</v>
      </c>
      <c r="I41" s="3">
        <f>ROUND(61,9)</f>
        <v>61</v>
      </c>
      <c r="J41" s="3">
        <v>0</v>
      </c>
      <c r="K41" s="3">
        <f>ROUND(61,9)</f>
        <v>61</v>
      </c>
      <c r="O41" s="3">
        <f t="shared" si="21"/>
        <v>15404.96</v>
      </c>
      <c r="P41" s="3">
        <f t="shared" si="22"/>
        <v>0</v>
      </c>
      <c r="Q41" s="3">
        <f t="shared" si="23"/>
        <v>0</v>
      </c>
      <c r="R41" s="3">
        <f t="shared" si="24"/>
        <v>0</v>
      </c>
      <c r="S41" s="3">
        <f t="shared" si="25"/>
        <v>15404.96</v>
      </c>
      <c r="T41" s="3">
        <f t="shared" si="26"/>
        <v>0</v>
      </c>
      <c r="U41" s="3">
        <f t="shared" si="27"/>
        <v>22.99212</v>
      </c>
      <c r="V41" s="3">
        <f t="shared" si="28"/>
        <v>0</v>
      </c>
      <c r="W41" s="3">
        <f t="shared" si="29"/>
        <v>0</v>
      </c>
      <c r="X41" s="3">
        <f t="shared" si="30"/>
        <v>14634.71</v>
      </c>
      <c r="Y41" s="3">
        <f t="shared" si="31"/>
        <v>8164.63</v>
      </c>
      <c r="AA41" s="3">
        <v>57034454</v>
      </c>
      <c r="AB41" s="3">
        <f t="shared" si="32"/>
        <v>4.2804000000000002</v>
      </c>
      <c r="AC41" s="3">
        <f t="shared" si="33"/>
        <v>0</v>
      </c>
      <c r="AD41" s="3">
        <f t="shared" si="34"/>
        <v>0</v>
      </c>
      <c r="AE41" s="3">
        <f t="shared" si="35"/>
        <v>0</v>
      </c>
      <c r="AF41" s="3">
        <f t="shared" si="36"/>
        <v>4.2804000000000002</v>
      </c>
      <c r="AG41" s="3">
        <f t="shared" si="37"/>
        <v>0</v>
      </c>
      <c r="AH41" s="3">
        <f t="shared" si="38"/>
        <v>0.36</v>
      </c>
      <c r="AI41" s="3">
        <f t="shared" si="39"/>
        <v>0</v>
      </c>
      <c r="AJ41" s="3">
        <f t="shared" si="40"/>
        <v>0</v>
      </c>
      <c r="AK41" s="3">
        <v>13.56</v>
      </c>
      <c r="AL41" s="3">
        <v>1.67</v>
      </c>
      <c r="AM41" s="3">
        <v>0</v>
      </c>
      <c r="AN41" s="3">
        <v>0</v>
      </c>
      <c r="AO41" s="3">
        <v>11.89</v>
      </c>
      <c r="AP41" s="3">
        <v>0</v>
      </c>
      <c r="AQ41" s="3">
        <v>1</v>
      </c>
      <c r="AR41" s="3">
        <v>0</v>
      </c>
      <c r="AS41" s="3">
        <v>0</v>
      </c>
      <c r="AT41" s="3">
        <v>95</v>
      </c>
      <c r="AU41" s="3">
        <v>53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</v>
      </c>
      <c r="BC41" s="3">
        <v>17.87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59</v>
      </c>
      <c r="BM41" s="3">
        <v>69</v>
      </c>
      <c r="BN41" s="3">
        <v>0</v>
      </c>
      <c r="BO41" s="3" t="s">
        <v>57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95</v>
      </c>
      <c r="CA41" s="3">
        <v>53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613</v>
      </c>
      <c r="CO41" s="3">
        <v>0</v>
      </c>
      <c r="CP41" s="3">
        <f t="shared" si="41"/>
        <v>15404.96</v>
      </c>
      <c r="CQ41" s="3">
        <f t="shared" si="42"/>
        <v>0</v>
      </c>
      <c r="CR41" s="3">
        <f t="shared" si="43"/>
        <v>0</v>
      </c>
      <c r="CS41" s="3">
        <f t="shared" si="44"/>
        <v>0</v>
      </c>
      <c r="CT41" s="3">
        <f t="shared" si="45"/>
        <v>252.45</v>
      </c>
      <c r="CU41" s="3">
        <f t="shared" si="46"/>
        <v>0</v>
      </c>
      <c r="CV41" s="3">
        <f t="shared" si="47"/>
        <v>0.37691999999999998</v>
      </c>
      <c r="CW41" s="3">
        <f t="shared" si="48"/>
        <v>0</v>
      </c>
      <c r="CX41" s="3">
        <f t="shared" si="49"/>
        <v>0</v>
      </c>
      <c r="CY41" s="3">
        <f t="shared" si="50"/>
        <v>14634.71</v>
      </c>
      <c r="CZ41" s="3">
        <f t="shared" si="51"/>
        <v>8164.63</v>
      </c>
      <c r="DB41" s="3">
        <v>27</v>
      </c>
      <c r="DC41" s="3" t="s">
        <v>3</v>
      </c>
      <c r="DD41" s="3" t="s">
        <v>28</v>
      </c>
      <c r="DE41" s="3" t="s">
        <v>29</v>
      </c>
      <c r="DF41" s="3" t="s">
        <v>29</v>
      </c>
      <c r="DG41" s="3" t="s">
        <v>29</v>
      </c>
      <c r="DH41" s="3" t="s">
        <v>3</v>
      </c>
      <c r="DI41" s="3" t="s">
        <v>29</v>
      </c>
      <c r="DJ41" s="3" t="s">
        <v>29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26</v>
      </c>
      <c r="DW41" s="3" t="s">
        <v>26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57042959</v>
      </c>
      <c r="EF41" s="3">
        <v>40</v>
      </c>
      <c r="EG41" s="3" t="s">
        <v>30</v>
      </c>
      <c r="EH41" s="3">
        <v>0</v>
      </c>
      <c r="EI41" s="3" t="s">
        <v>3</v>
      </c>
      <c r="EJ41" s="3">
        <v>2</v>
      </c>
      <c r="EK41" s="3">
        <v>69</v>
      </c>
      <c r="EL41" s="3" t="s">
        <v>60</v>
      </c>
      <c r="EM41" s="3" t="s">
        <v>61</v>
      </c>
      <c r="EO41" s="3" t="s">
        <v>33</v>
      </c>
      <c r="EQ41" s="3">
        <v>0</v>
      </c>
      <c r="ER41" s="3">
        <v>13.56</v>
      </c>
      <c r="ES41" s="3">
        <v>1.67</v>
      </c>
      <c r="ET41" s="3">
        <v>0</v>
      </c>
      <c r="EU41" s="3">
        <v>0</v>
      </c>
      <c r="EV41" s="3">
        <v>11.89</v>
      </c>
      <c r="EW41" s="3">
        <v>1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95</v>
      </c>
      <c r="FY41" s="3">
        <v>53</v>
      </c>
      <c r="GA41" s="3" t="s">
        <v>3</v>
      </c>
      <c r="GD41" s="3">
        <v>1</v>
      </c>
      <c r="GF41" s="3">
        <v>-1767315916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38204.300000000003</v>
      </c>
      <c r="GN41" s="3">
        <f t="shared" si="54"/>
        <v>0</v>
      </c>
      <c r="GO41" s="3">
        <f t="shared" si="55"/>
        <v>38204.300000000003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>
        <f>ROW(SmtRes!A37)</f>
        <v>37</v>
      </c>
      <c r="D42" s="2">
        <f>ROW(EtalonRes!A45)</f>
        <v>45</v>
      </c>
      <c r="E42" s="2" t="s">
        <v>62</v>
      </c>
      <c r="F42" s="2" t="s">
        <v>63</v>
      </c>
      <c r="G42" s="2" t="s">
        <v>64</v>
      </c>
      <c r="H42" s="2" t="s">
        <v>26</v>
      </c>
      <c r="I42" s="2">
        <f>ROUND(20+84,9)</f>
        <v>104</v>
      </c>
      <c r="J42" s="2">
        <v>0</v>
      </c>
      <c r="K42" s="2">
        <f>ROUND(20+84,9)</f>
        <v>104</v>
      </c>
      <c r="L42" s="2"/>
      <c r="M42" s="2"/>
      <c r="N42" s="2"/>
      <c r="O42" s="2">
        <f t="shared" si="21"/>
        <v>631.9</v>
      </c>
      <c r="P42" s="2">
        <f t="shared" si="22"/>
        <v>0</v>
      </c>
      <c r="Q42" s="2">
        <f t="shared" si="23"/>
        <v>1.96</v>
      </c>
      <c r="R42" s="2">
        <f t="shared" si="24"/>
        <v>0.39</v>
      </c>
      <c r="S42" s="2">
        <f t="shared" si="25"/>
        <v>629.94000000000005</v>
      </c>
      <c r="T42" s="2">
        <f t="shared" si="26"/>
        <v>0</v>
      </c>
      <c r="U42" s="2">
        <f t="shared" si="27"/>
        <v>47.039615999999995</v>
      </c>
      <c r="V42" s="2">
        <f t="shared" si="28"/>
        <v>0</v>
      </c>
      <c r="W42" s="2">
        <f t="shared" si="29"/>
        <v>0</v>
      </c>
      <c r="X42" s="2">
        <f t="shared" si="30"/>
        <v>567.29999999999995</v>
      </c>
      <c r="Y42" s="2">
        <f t="shared" si="31"/>
        <v>289.95</v>
      </c>
      <c r="Z42" s="2"/>
      <c r="AA42" s="2">
        <v>57034452</v>
      </c>
      <c r="AB42" s="2">
        <f t="shared" si="32"/>
        <v>5.8032000000000004</v>
      </c>
      <c r="AC42" s="2">
        <f t="shared" si="33"/>
        <v>0</v>
      </c>
      <c r="AD42" s="2">
        <f t="shared" si="34"/>
        <v>1.7999999999999999E-2</v>
      </c>
      <c r="AE42" s="2">
        <f t="shared" si="35"/>
        <v>3.5999999999999999E-3</v>
      </c>
      <c r="AF42" s="2">
        <f t="shared" si="36"/>
        <v>5.7851999999999997</v>
      </c>
      <c r="AG42" s="2">
        <f t="shared" si="37"/>
        <v>0</v>
      </c>
      <c r="AH42" s="2">
        <f t="shared" si="38"/>
        <v>0.432</v>
      </c>
      <c r="AI42" s="2">
        <f t="shared" si="39"/>
        <v>0</v>
      </c>
      <c r="AJ42" s="2">
        <f t="shared" si="40"/>
        <v>0</v>
      </c>
      <c r="AK42" s="2">
        <v>18.079999999999998</v>
      </c>
      <c r="AL42" s="2">
        <v>1.96</v>
      </c>
      <c r="AM42" s="2">
        <v>0.05</v>
      </c>
      <c r="AN42" s="2">
        <v>0.01</v>
      </c>
      <c r="AO42" s="2">
        <v>16.07</v>
      </c>
      <c r="AP42" s="2">
        <v>0</v>
      </c>
      <c r="AQ42" s="2">
        <v>1.2</v>
      </c>
      <c r="AR42" s="2">
        <v>0</v>
      </c>
      <c r="AS42" s="2">
        <v>0</v>
      </c>
      <c r="AT42" s="2">
        <v>90</v>
      </c>
      <c r="AU42" s="2">
        <v>46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65</v>
      </c>
      <c r="BK42" s="2"/>
      <c r="BL42" s="2"/>
      <c r="BM42" s="2">
        <v>68</v>
      </c>
      <c r="BN42" s="2">
        <v>0</v>
      </c>
      <c r="BO42" s="2" t="s">
        <v>63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613</v>
      </c>
      <c r="CO42" s="2">
        <v>0</v>
      </c>
      <c r="CP42" s="2">
        <f t="shared" si="41"/>
        <v>631.90000000000009</v>
      </c>
      <c r="CQ42" s="2">
        <f t="shared" si="42"/>
        <v>0</v>
      </c>
      <c r="CR42" s="2">
        <f t="shared" si="43"/>
        <v>0.02</v>
      </c>
      <c r="CS42" s="2">
        <f t="shared" si="44"/>
        <v>0</v>
      </c>
      <c r="CT42" s="2">
        <f t="shared" si="45"/>
        <v>6.06</v>
      </c>
      <c r="CU42" s="2">
        <f t="shared" si="46"/>
        <v>0</v>
      </c>
      <c r="CV42" s="2">
        <f t="shared" si="47"/>
        <v>0.45230399999999998</v>
      </c>
      <c r="CW42" s="2">
        <f t="shared" si="48"/>
        <v>0</v>
      </c>
      <c r="CX42" s="2">
        <f t="shared" si="49"/>
        <v>0</v>
      </c>
      <c r="CY42" s="2">
        <f t="shared" si="50"/>
        <v>566.95000000000005</v>
      </c>
      <c r="CZ42" s="2">
        <f t="shared" si="51"/>
        <v>289.77</v>
      </c>
      <c r="DA42" s="2"/>
      <c r="DB42" s="2">
        <v>29</v>
      </c>
      <c r="DC42" s="2" t="s">
        <v>3</v>
      </c>
      <c r="DD42" s="2" t="s">
        <v>28</v>
      </c>
      <c r="DE42" s="2" t="s">
        <v>29</v>
      </c>
      <c r="DF42" s="2" t="s">
        <v>29</v>
      </c>
      <c r="DG42" s="2" t="s">
        <v>29</v>
      </c>
      <c r="DH42" s="2" t="s">
        <v>3</v>
      </c>
      <c r="DI42" s="2" t="s">
        <v>29</v>
      </c>
      <c r="DJ42" s="2" t="s">
        <v>29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26</v>
      </c>
      <c r="DW42" s="2" t="s">
        <v>26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57042958</v>
      </c>
      <c r="EF42" s="2">
        <v>40</v>
      </c>
      <c r="EG42" s="2" t="s">
        <v>30</v>
      </c>
      <c r="EH42" s="2">
        <v>0</v>
      </c>
      <c r="EI42" s="2" t="s">
        <v>3</v>
      </c>
      <c r="EJ42" s="2">
        <v>2</v>
      </c>
      <c r="EK42" s="2">
        <v>68</v>
      </c>
      <c r="EL42" s="2" t="s">
        <v>38</v>
      </c>
      <c r="EM42" s="2" t="s">
        <v>39</v>
      </c>
      <c r="EN42" s="2"/>
      <c r="EO42" s="2" t="s">
        <v>33</v>
      </c>
      <c r="EP42" s="2"/>
      <c r="EQ42" s="2">
        <v>0</v>
      </c>
      <c r="ER42" s="2">
        <v>18.079999999999998</v>
      </c>
      <c r="ES42" s="2">
        <v>1.96</v>
      </c>
      <c r="ET42" s="2">
        <v>0.05</v>
      </c>
      <c r="EU42" s="2">
        <v>0.01</v>
      </c>
      <c r="EV42" s="2">
        <v>16.07</v>
      </c>
      <c r="EW42" s="2">
        <v>1.2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3</v>
      </c>
      <c r="GB42" s="2"/>
      <c r="GC42" s="2"/>
      <c r="GD42" s="2">
        <v>1</v>
      </c>
      <c r="GE42" s="2"/>
      <c r="GF42" s="2">
        <v>-1156286095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1489.15</v>
      </c>
      <c r="GN42" s="2">
        <f t="shared" si="54"/>
        <v>0</v>
      </c>
      <c r="GO42" s="2">
        <f t="shared" si="55"/>
        <v>1489.15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C43" s="3">
        <f>ROW(SmtRes!A38)</f>
        <v>38</v>
      </c>
      <c r="D43" s="3">
        <f>ROW(EtalonRes!A46)</f>
        <v>46</v>
      </c>
      <c r="E43" s="3" t="s">
        <v>62</v>
      </c>
      <c r="F43" s="3" t="s">
        <v>63</v>
      </c>
      <c r="G43" s="3" t="s">
        <v>64</v>
      </c>
      <c r="H43" s="3" t="s">
        <v>26</v>
      </c>
      <c r="I43" s="3">
        <f>ROUND(20+84,9)</f>
        <v>104</v>
      </c>
      <c r="J43" s="3">
        <v>0</v>
      </c>
      <c r="K43" s="3">
        <f>ROUND(20+84,9)</f>
        <v>104</v>
      </c>
      <c r="O43" s="3">
        <f t="shared" si="21"/>
        <v>35536.32</v>
      </c>
      <c r="P43" s="3">
        <f t="shared" si="22"/>
        <v>0</v>
      </c>
      <c r="Q43" s="3">
        <f t="shared" si="23"/>
        <v>39.200000000000003</v>
      </c>
      <c r="R43" s="3">
        <f t="shared" si="24"/>
        <v>21.98</v>
      </c>
      <c r="S43" s="3">
        <f t="shared" si="25"/>
        <v>35497.120000000003</v>
      </c>
      <c r="T43" s="3">
        <f t="shared" si="26"/>
        <v>0</v>
      </c>
      <c r="U43" s="3">
        <f t="shared" si="27"/>
        <v>47.039615999999995</v>
      </c>
      <c r="V43" s="3">
        <f t="shared" si="28"/>
        <v>0</v>
      </c>
      <c r="W43" s="3">
        <f t="shared" si="29"/>
        <v>0</v>
      </c>
      <c r="X43" s="3">
        <f t="shared" si="30"/>
        <v>31967.19</v>
      </c>
      <c r="Y43" s="3">
        <f t="shared" si="31"/>
        <v>16338.79</v>
      </c>
      <c r="AA43" s="3">
        <v>57034454</v>
      </c>
      <c r="AB43" s="3">
        <f t="shared" si="32"/>
        <v>5.8032000000000004</v>
      </c>
      <c r="AC43" s="3">
        <f t="shared" si="33"/>
        <v>0</v>
      </c>
      <c r="AD43" s="3">
        <f t="shared" si="34"/>
        <v>1.7999999999999999E-2</v>
      </c>
      <c r="AE43" s="3">
        <f t="shared" si="35"/>
        <v>3.5999999999999999E-3</v>
      </c>
      <c r="AF43" s="3">
        <f t="shared" si="36"/>
        <v>5.7851999999999997</v>
      </c>
      <c r="AG43" s="3">
        <f t="shared" si="37"/>
        <v>0</v>
      </c>
      <c r="AH43" s="3">
        <f t="shared" si="38"/>
        <v>0.432</v>
      </c>
      <c r="AI43" s="3">
        <f t="shared" si="39"/>
        <v>0</v>
      </c>
      <c r="AJ43" s="3">
        <f t="shared" si="40"/>
        <v>0</v>
      </c>
      <c r="AK43" s="3">
        <v>18.079999999999998</v>
      </c>
      <c r="AL43" s="3">
        <v>1.96</v>
      </c>
      <c r="AM43" s="3">
        <v>0.05</v>
      </c>
      <c r="AN43" s="3">
        <v>0.01</v>
      </c>
      <c r="AO43" s="3">
        <v>16.07</v>
      </c>
      <c r="AP43" s="3">
        <v>0</v>
      </c>
      <c r="AQ43" s="3">
        <v>1.2</v>
      </c>
      <c r="AR43" s="3">
        <v>0</v>
      </c>
      <c r="AS43" s="3">
        <v>0</v>
      </c>
      <c r="AT43" s="3">
        <v>90</v>
      </c>
      <c r="AU43" s="3">
        <v>46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20</v>
      </c>
      <c r="BC43" s="3">
        <v>9.84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65</v>
      </c>
      <c r="BM43" s="3">
        <v>68</v>
      </c>
      <c r="BN43" s="3">
        <v>0</v>
      </c>
      <c r="BO43" s="3" t="s">
        <v>63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90</v>
      </c>
      <c r="CA43" s="3">
        <v>46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613</v>
      </c>
      <c r="CO43" s="3">
        <v>0</v>
      </c>
      <c r="CP43" s="3">
        <f t="shared" si="41"/>
        <v>35536.32</v>
      </c>
      <c r="CQ43" s="3">
        <f t="shared" si="42"/>
        <v>0</v>
      </c>
      <c r="CR43" s="3">
        <f t="shared" si="43"/>
        <v>0.4</v>
      </c>
      <c r="CS43" s="3">
        <f t="shared" si="44"/>
        <v>0</v>
      </c>
      <c r="CT43" s="3">
        <f t="shared" si="45"/>
        <v>341.48</v>
      </c>
      <c r="CU43" s="3">
        <f t="shared" si="46"/>
        <v>0</v>
      </c>
      <c r="CV43" s="3">
        <f t="shared" si="47"/>
        <v>0.45230399999999998</v>
      </c>
      <c r="CW43" s="3">
        <f t="shared" si="48"/>
        <v>0</v>
      </c>
      <c r="CX43" s="3">
        <f t="shared" si="49"/>
        <v>0</v>
      </c>
      <c r="CY43" s="3">
        <f t="shared" si="50"/>
        <v>31947.41</v>
      </c>
      <c r="CZ43" s="3">
        <f t="shared" si="51"/>
        <v>16328.68</v>
      </c>
      <c r="DB43" s="3">
        <v>31</v>
      </c>
      <c r="DC43" s="3" t="s">
        <v>3</v>
      </c>
      <c r="DD43" s="3" t="s">
        <v>28</v>
      </c>
      <c r="DE43" s="3" t="s">
        <v>29</v>
      </c>
      <c r="DF43" s="3" t="s">
        <v>29</v>
      </c>
      <c r="DG43" s="3" t="s">
        <v>29</v>
      </c>
      <c r="DH43" s="3" t="s">
        <v>3</v>
      </c>
      <c r="DI43" s="3" t="s">
        <v>29</v>
      </c>
      <c r="DJ43" s="3" t="s">
        <v>29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26</v>
      </c>
      <c r="DW43" s="3" t="s">
        <v>26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57042958</v>
      </c>
      <c r="EF43" s="3">
        <v>40</v>
      </c>
      <c r="EG43" s="3" t="s">
        <v>30</v>
      </c>
      <c r="EH43" s="3">
        <v>0</v>
      </c>
      <c r="EI43" s="3" t="s">
        <v>3</v>
      </c>
      <c r="EJ43" s="3">
        <v>2</v>
      </c>
      <c r="EK43" s="3">
        <v>68</v>
      </c>
      <c r="EL43" s="3" t="s">
        <v>38</v>
      </c>
      <c r="EM43" s="3" t="s">
        <v>39</v>
      </c>
      <c r="EO43" s="3" t="s">
        <v>33</v>
      </c>
      <c r="EQ43" s="3">
        <v>0</v>
      </c>
      <c r="ER43" s="3">
        <v>18.079999999999998</v>
      </c>
      <c r="ES43" s="3">
        <v>1.96</v>
      </c>
      <c r="ET43" s="3">
        <v>0.05</v>
      </c>
      <c r="EU43" s="3">
        <v>0.01</v>
      </c>
      <c r="EV43" s="3">
        <v>16.07</v>
      </c>
      <c r="EW43" s="3">
        <v>1.2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90</v>
      </c>
      <c r="FY43" s="3">
        <v>46</v>
      </c>
      <c r="GA43" s="3" t="s">
        <v>3</v>
      </c>
      <c r="GD43" s="3">
        <v>1</v>
      </c>
      <c r="GF43" s="3">
        <v>-1156286095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83842.3</v>
      </c>
      <c r="GN43" s="3">
        <f t="shared" si="54"/>
        <v>0</v>
      </c>
      <c r="GO43" s="3">
        <f t="shared" si="55"/>
        <v>83842.3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ROW(SmtRes!A39)</f>
        <v>39</v>
      </c>
      <c r="D44" s="2">
        <f>ROW(EtalonRes!A47)</f>
        <v>47</v>
      </c>
      <c r="E44" s="2" t="s">
        <v>66</v>
      </c>
      <c r="F44" s="2" t="s">
        <v>67</v>
      </c>
      <c r="G44" s="2" t="s">
        <v>68</v>
      </c>
      <c r="H44" s="2" t="s">
        <v>26</v>
      </c>
      <c r="I44" s="2">
        <f>ROUND(58,9)</f>
        <v>58</v>
      </c>
      <c r="J44" s="2">
        <v>0</v>
      </c>
      <c r="K44" s="2">
        <f>ROUND(58,9)</f>
        <v>58</v>
      </c>
      <c r="L44" s="2"/>
      <c r="M44" s="2"/>
      <c r="N44" s="2"/>
      <c r="O44" s="2">
        <f t="shared" si="21"/>
        <v>196.32</v>
      </c>
      <c r="P44" s="2">
        <f t="shared" si="22"/>
        <v>0</v>
      </c>
      <c r="Q44" s="2">
        <f t="shared" si="23"/>
        <v>99.69</v>
      </c>
      <c r="R44" s="2">
        <f t="shared" si="24"/>
        <v>6.12</v>
      </c>
      <c r="S44" s="2">
        <f t="shared" si="25"/>
        <v>96.63</v>
      </c>
      <c r="T44" s="2">
        <f t="shared" si="26"/>
        <v>0</v>
      </c>
      <c r="U44" s="2">
        <f t="shared" si="27"/>
        <v>7.6514759999999988</v>
      </c>
      <c r="V44" s="2">
        <f t="shared" si="28"/>
        <v>0</v>
      </c>
      <c r="W44" s="2">
        <f t="shared" si="29"/>
        <v>0</v>
      </c>
      <c r="X44" s="2">
        <f t="shared" si="30"/>
        <v>92.48</v>
      </c>
      <c r="Y44" s="2">
        <f t="shared" si="31"/>
        <v>47.27</v>
      </c>
      <c r="Z44" s="2"/>
      <c r="AA44" s="2">
        <v>57034452</v>
      </c>
      <c r="AB44" s="2">
        <f t="shared" si="32"/>
        <v>3.2328000000000001</v>
      </c>
      <c r="AC44" s="2">
        <f t="shared" si="33"/>
        <v>0</v>
      </c>
      <c r="AD44" s="2">
        <f t="shared" si="34"/>
        <v>1.6415999999999999</v>
      </c>
      <c r="AE44" s="2">
        <f t="shared" si="35"/>
        <v>0.1008</v>
      </c>
      <c r="AF44" s="2">
        <f t="shared" si="36"/>
        <v>1.5911999999999999</v>
      </c>
      <c r="AG44" s="2">
        <f t="shared" si="37"/>
        <v>0</v>
      </c>
      <c r="AH44" s="2">
        <f t="shared" si="38"/>
        <v>0.126</v>
      </c>
      <c r="AI44" s="2">
        <f t="shared" si="39"/>
        <v>0</v>
      </c>
      <c r="AJ44" s="2">
        <f t="shared" si="40"/>
        <v>0</v>
      </c>
      <c r="AK44" s="2">
        <v>10.029999999999999</v>
      </c>
      <c r="AL44" s="2">
        <v>1.05</v>
      </c>
      <c r="AM44" s="2">
        <v>4.5599999999999996</v>
      </c>
      <c r="AN44" s="2">
        <v>0.28000000000000003</v>
      </c>
      <c r="AO44" s="2">
        <v>4.42</v>
      </c>
      <c r="AP44" s="2">
        <v>0</v>
      </c>
      <c r="AQ44" s="2">
        <v>0.35</v>
      </c>
      <c r="AR44" s="2">
        <v>0</v>
      </c>
      <c r="AS44" s="2">
        <v>0</v>
      </c>
      <c r="AT44" s="2">
        <v>90</v>
      </c>
      <c r="AU44" s="2">
        <v>46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69</v>
      </c>
      <c r="BK44" s="2"/>
      <c r="BL44" s="2"/>
      <c r="BM44" s="2">
        <v>68</v>
      </c>
      <c r="BN44" s="2">
        <v>0</v>
      </c>
      <c r="BO44" s="2" t="s">
        <v>67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613</v>
      </c>
      <c r="CO44" s="2">
        <v>0</v>
      </c>
      <c r="CP44" s="2">
        <f t="shared" si="41"/>
        <v>196.32</v>
      </c>
      <c r="CQ44" s="2">
        <f t="shared" si="42"/>
        <v>0</v>
      </c>
      <c r="CR44" s="2">
        <f t="shared" si="43"/>
        <v>1.72</v>
      </c>
      <c r="CS44" s="2">
        <f t="shared" si="44"/>
        <v>0.11</v>
      </c>
      <c r="CT44" s="2">
        <f t="shared" si="45"/>
        <v>1.67</v>
      </c>
      <c r="CU44" s="2">
        <f t="shared" si="46"/>
        <v>0</v>
      </c>
      <c r="CV44" s="2">
        <f t="shared" si="47"/>
        <v>0.13192199999999998</v>
      </c>
      <c r="CW44" s="2">
        <f t="shared" si="48"/>
        <v>0</v>
      </c>
      <c r="CX44" s="2">
        <f t="shared" si="49"/>
        <v>0</v>
      </c>
      <c r="CY44" s="2">
        <f t="shared" si="50"/>
        <v>87.07</v>
      </c>
      <c r="CZ44" s="2">
        <f t="shared" si="51"/>
        <v>44.5</v>
      </c>
      <c r="DA44" s="2"/>
      <c r="DB44" s="2">
        <v>33</v>
      </c>
      <c r="DC44" s="2" t="s">
        <v>3</v>
      </c>
      <c r="DD44" s="2" t="s">
        <v>28</v>
      </c>
      <c r="DE44" s="2" t="s">
        <v>29</v>
      </c>
      <c r="DF44" s="2" t="s">
        <v>29</v>
      </c>
      <c r="DG44" s="2" t="s">
        <v>29</v>
      </c>
      <c r="DH44" s="2" t="s">
        <v>3</v>
      </c>
      <c r="DI44" s="2" t="s">
        <v>29</v>
      </c>
      <c r="DJ44" s="2" t="s">
        <v>29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26</v>
      </c>
      <c r="DW44" s="2" t="s">
        <v>26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57042958</v>
      </c>
      <c r="EF44" s="2">
        <v>40</v>
      </c>
      <c r="EG44" s="2" t="s">
        <v>30</v>
      </c>
      <c r="EH44" s="2">
        <v>0</v>
      </c>
      <c r="EI44" s="2" t="s">
        <v>3</v>
      </c>
      <c r="EJ44" s="2">
        <v>2</v>
      </c>
      <c r="EK44" s="2">
        <v>68</v>
      </c>
      <c r="EL44" s="2" t="s">
        <v>38</v>
      </c>
      <c r="EM44" s="2" t="s">
        <v>39</v>
      </c>
      <c r="EN44" s="2"/>
      <c r="EO44" s="2" t="s">
        <v>33</v>
      </c>
      <c r="EP44" s="2"/>
      <c r="EQ44" s="2">
        <v>0</v>
      </c>
      <c r="ER44" s="2">
        <v>10.029999999999999</v>
      </c>
      <c r="ES44" s="2">
        <v>1.05</v>
      </c>
      <c r="ET44" s="2">
        <v>4.5599999999999996</v>
      </c>
      <c r="EU44" s="2">
        <v>0.28000000000000003</v>
      </c>
      <c r="EV44" s="2">
        <v>4.42</v>
      </c>
      <c r="EW44" s="2">
        <v>0.35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2074575999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336.07</v>
      </c>
      <c r="GN44" s="2">
        <f t="shared" si="54"/>
        <v>0</v>
      </c>
      <c r="GO44" s="2">
        <f t="shared" si="55"/>
        <v>336.07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ROW(SmtRes!A40)</f>
        <v>40</v>
      </c>
      <c r="D45" s="3">
        <f>ROW(EtalonRes!A48)</f>
        <v>48</v>
      </c>
      <c r="E45" s="3" t="s">
        <v>66</v>
      </c>
      <c r="F45" s="3" t="s">
        <v>67</v>
      </c>
      <c r="G45" s="3" t="s">
        <v>68</v>
      </c>
      <c r="H45" s="3" t="s">
        <v>26</v>
      </c>
      <c r="I45" s="3">
        <f>ROUND(58,9)</f>
        <v>58</v>
      </c>
      <c r="J45" s="3">
        <v>0</v>
      </c>
      <c r="K45" s="3">
        <f>ROUND(58,9)</f>
        <v>58</v>
      </c>
      <c r="O45" s="3">
        <f t="shared" si="21"/>
        <v>6815.84</v>
      </c>
      <c r="P45" s="3">
        <f t="shared" si="22"/>
        <v>0</v>
      </c>
      <c r="Q45" s="3">
        <f t="shared" si="23"/>
        <v>1370.74</v>
      </c>
      <c r="R45" s="3">
        <f t="shared" si="24"/>
        <v>344.86</v>
      </c>
      <c r="S45" s="3">
        <f t="shared" si="25"/>
        <v>5445.1</v>
      </c>
      <c r="T45" s="3">
        <f t="shared" si="26"/>
        <v>0</v>
      </c>
      <c r="U45" s="3">
        <f t="shared" si="27"/>
        <v>7.6514759999999988</v>
      </c>
      <c r="V45" s="3">
        <f t="shared" si="28"/>
        <v>0</v>
      </c>
      <c r="W45" s="3">
        <f t="shared" si="29"/>
        <v>0</v>
      </c>
      <c r="X45" s="3">
        <f t="shared" si="30"/>
        <v>5210.96</v>
      </c>
      <c r="Y45" s="3">
        <f t="shared" si="31"/>
        <v>2663.38</v>
      </c>
      <c r="AA45" s="3">
        <v>57034454</v>
      </c>
      <c r="AB45" s="3">
        <f t="shared" si="32"/>
        <v>3.2328000000000001</v>
      </c>
      <c r="AC45" s="3">
        <f t="shared" si="33"/>
        <v>0</v>
      </c>
      <c r="AD45" s="3">
        <f t="shared" si="34"/>
        <v>1.6415999999999999</v>
      </c>
      <c r="AE45" s="3">
        <f t="shared" si="35"/>
        <v>0.1008</v>
      </c>
      <c r="AF45" s="3">
        <f t="shared" si="36"/>
        <v>1.5911999999999999</v>
      </c>
      <c r="AG45" s="3">
        <f t="shared" si="37"/>
        <v>0</v>
      </c>
      <c r="AH45" s="3">
        <f t="shared" si="38"/>
        <v>0.126</v>
      </c>
      <c r="AI45" s="3">
        <f t="shared" si="39"/>
        <v>0</v>
      </c>
      <c r="AJ45" s="3">
        <f t="shared" si="40"/>
        <v>0</v>
      </c>
      <c r="AK45" s="3">
        <v>10.029999999999999</v>
      </c>
      <c r="AL45" s="3">
        <v>1.05</v>
      </c>
      <c r="AM45" s="3">
        <v>4.5599999999999996</v>
      </c>
      <c r="AN45" s="3">
        <v>0.28000000000000003</v>
      </c>
      <c r="AO45" s="3">
        <v>4.42</v>
      </c>
      <c r="AP45" s="3">
        <v>0</v>
      </c>
      <c r="AQ45" s="3">
        <v>0.35</v>
      </c>
      <c r="AR45" s="3">
        <v>0</v>
      </c>
      <c r="AS45" s="3">
        <v>0</v>
      </c>
      <c r="AT45" s="3">
        <v>90</v>
      </c>
      <c r="AU45" s="3">
        <v>46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13.75</v>
      </c>
      <c r="BC45" s="3">
        <v>9.84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69</v>
      </c>
      <c r="BM45" s="3">
        <v>68</v>
      </c>
      <c r="BN45" s="3">
        <v>0</v>
      </c>
      <c r="BO45" s="3" t="s">
        <v>67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90</v>
      </c>
      <c r="CA45" s="3">
        <v>46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613</v>
      </c>
      <c r="CO45" s="3">
        <v>0</v>
      </c>
      <c r="CP45" s="3">
        <f t="shared" si="41"/>
        <v>6815.84</v>
      </c>
      <c r="CQ45" s="3">
        <f t="shared" si="42"/>
        <v>0</v>
      </c>
      <c r="CR45" s="3">
        <f t="shared" si="43"/>
        <v>23.65</v>
      </c>
      <c r="CS45" s="3">
        <f t="shared" si="44"/>
        <v>6.2</v>
      </c>
      <c r="CT45" s="3">
        <f t="shared" si="45"/>
        <v>94.1</v>
      </c>
      <c r="CU45" s="3">
        <f t="shared" si="46"/>
        <v>0</v>
      </c>
      <c r="CV45" s="3">
        <f t="shared" si="47"/>
        <v>0.13192199999999998</v>
      </c>
      <c r="CW45" s="3">
        <f t="shared" si="48"/>
        <v>0</v>
      </c>
      <c r="CX45" s="3">
        <f t="shared" si="49"/>
        <v>0</v>
      </c>
      <c r="CY45" s="3">
        <f t="shared" si="50"/>
        <v>4906.17</v>
      </c>
      <c r="CZ45" s="3">
        <f t="shared" si="51"/>
        <v>2507.6</v>
      </c>
      <c r="DB45" s="3">
        <v>35</v>
      </c>
      <c r="DC45" s="3" t="s">
        <v>3</v>
      </c>
      <c r="DD45" s="3" t="s">
        <v>28</v>
      </c>
      <c r="DE45" s="3" t="s">
        <v>29</v>
      </c>
      <c r="DF45" s="3" t="s">
        <v>29</v>
      </c>
      <c r="DG45" s="3" t="s">
        <v>29</v>
      </c>
      <c r="DH45" s="3" t="s">
        <v>3</v>
      </c>
      <c r="DI45" s="3" t="s">
        <v>29</v>
      </c>
      <c r="DJ45" s="3" t="s">
        <v>29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26</v>
      </c>
      <c r="DW45" s="3" t="s">
        <v>26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57042958</v>
      </c>
      <c r="EF45" s="3">
        <v>40</v>
      </c>
      <c r="EG45" s="3" t="s">
        <v>30</v>
      </c>
      <c r="EH45" s="3">
        <v>0</v>
      </c>
      <c r="EI45" s="3" t="s">
        <v>3</v>
      </c>
      <c r="EJ45" s="3">
        <v>2</v>
      </c>
      <c r="EK45" s="3">
        <v>68</v>
      </c>
      <c r="EL45" s="3" t="s">
        <v>38</v>
      </c>
      <c r="EM45" s="3" t="s">
        <v>39</v>
      </c>
      <c r="EO45" s="3" t="s">
        <v>33</v>
      </c>
      <c r="EQ45" s="3">
        <v>0</v>
      </c>
      <c r="ER45" s="3">
        <v>10.029999999999999</v>
      </c>
      <c r="ES45" s="3">
        <v>1.05</v>
      </c>
      <c r="ET45" s="3">
        <v>4.5599999999999996</v>
      </c>
      <c r="EU45" s="3">
        <v>0.28000000000000003</v>
      </c>
      <c r="EV45" s="3">
        <v>4.42</v>
      </c>
      <c r="EW45" s="3">
        <v>0.35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90</v>
      </c>
      <c r="FY45" s="3">
        <v>46</v>
      </c>
      <c r="GA45" s="3" t="s">
        <v>3</v>
      </c>
      <c r="GD45" s="3">
        <v>1</v>
      </c>
      <c r="GF45" s="3">
        <v>2074575999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14690.18</v>
      </c>
      <c r="GN45" s="3">
        <f t="shared" si="54"/>
        <v>0</v>
      </c>
      <c r="GO45" s="3">
        <f t="shared" si="55"/>
        <v>14690.18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ROW(SmtRes!A41)</f>
        <v>41</v>
      </c>
      <c r="D46" s="2">
        <f>ROW(EtalonRes!A49)</f>
        <v>49</v>
      </c>
      <c r="E46" s="2" t="s">
        <v>70</v>
      </c>
      <c r="F46" s="2" t="s">
        <v>35</v>
      </c>
      <c r="G46" s="2" t="s">
        <v>71</v>
      </c>
      <c r="H46" s="2" t="s">
        <v>26</v>
      </c>
      <c r="I46" s="2">
        <v>2</v>
      </c>
      <c r="J46" s="2">
        <v>0</v>
      </c>
      <c r="K46" s="2">
        <v>2</v>
      </c>
      <c r="L46" s="2"/>
      <c r="M46" s="2"/>
      <c r="N46" s="2"/>
      <c r="O46" s="2">
        <f t="shared" si="21"/>
        <v>116.47</v>
      </c>
      <c r="P46" s="2">
        <f t="shared" si="22"/>
        <v>0</v>
      </c>
      <c r="Q46" s="2">
        <f t="shared" si="23"/>
        <v>0.05</v>
      </c>
      <c r="R46" s="2">
        <f t="shared" si="24"/>
        <v>0.01</v>
      </c>
      <c r="S46" s="2">
        <f t="shared" si="25"/>
        <v>116.42</v>
      </c>
      <c r="T46" s="2">
        <f t="shared" si="26"/>
        <v>0</v>
      </c>
      <c r="U46" s="2">
        <f t="shared" si="27"/>
        <v>8.8199279999999991</v>
      </c>
      <c r="V46" s="2">
        <f t="shared" si="28"/>
        <v>0</v>
      </c>
      <c r="W46" s="2">
        <f t="shared" si="29"/>
        <v>0</v>
      </c>
      <c r="X46" s="2">
        <f t="shared" si="30"/>
        <v>104.79</v>
      </c>
      <c r="Y46" s="2">
        <f t="shared" si="31"/>
        <v>53.56</v>
      </c>
      <c r="Z46" s="2"/>
      <c r="AA46" s="2">
        <v>57034452</v>
      </c>
      <c r="AB46" s="2">
        <f t="shared" si="32"/>
        <v>55.62</v>
      </c>
      <c r="AC46" s="2">
        <f t="shared" si="33"/>
        <v>0</v>
      </c>
      <c r="AD46" s="2">
        <f t="shared" si="34"/>
        <v>2.1600000000000001E-2</v>
      </c>
      <c r="AE46" s="2">
        <f t="shared" si="35"/>
        <v>3.5999999999999999E-3</v>
      </c>
      <c r="AF46" s="2">
        <f t="shared" si="36"/>
        <v>55.598399999999998</v>
      </c>
      <c r="AG46" s="2">
        <f t="shared" si="37"/>
        <v>0</v>
      </c>
      <c r="AH46" s="2">
        <f t="shared" si="38"/>
        <v>4.2119999999999997</v>
      </c>
      <c r="AI46" s="2">
        <f t="shared" si="39"/>
        <v>0</v>
      </c>
      <c r="AJ46" s="2">
        <f t="shared" si="40"/>
        <v>0</v>
      </c>
      <c r="AK46" s="2">
        <v>175.43</v>
      </c>
      <c r="AL46" s="2">
        <v>20.93</v>
      </c>
      <c r="AM46" s="2">
        <v>0.06</v>
      </c>
      <c r="AN46" s="2">
        <v>0.01</v>
      </c>
      <c r="AO46" s="2">
        <v>154.44</v>
      </c>
      <c r="AP46" s="2">
        <v>0</v>
      </c>
      <c r="AQ46" s="2">
        <v>11.7</v>
      </c>
      <c r="AR46" s="2">
        <v>0</v>
      </c>
      <c r="AS46" s="2">
        <v>0</v>
      </c>
      <c r="AT46" s="2">
        <v>90</v>
      </c>
      <c r="AU46" s="2">
        <v>46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37</v>
      </c>
      <c r="BK46" s="2"/>
      <c r="BL46" s="2"/>
      <c r="BM46" s="2">
        <v>68</v>
      </c>
      <c r="BN46" s="2">
        <v>0</v>
      </c>
      <c r="BO46" s="2" t="s">
        <v>35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613</v>
      </c>
      <c r="CO46" s="2">
        <v>0</v>
      </c>
      <c r="CP46" s="2">
        <f t="shared" si="41"/>
        <v>116.47</v>
      </c>
      <c r="CQ46" s="2">
        <f t="shared" si="42"/>
        <v>0</v>
      </c>
      <c r="CR46" s="2">
        <f t="shared" si="43"/>
        <v>0.02</v>
      </c>
      <c r="CS46" s="2">
        <f t="shared" si="44"/>
        <v>0</v>
      </c>
      <c r="CT46" s="2">
        <f t="shared" si="45"/>
        <v>58.21</v>
      </c>
      <c r="CU46" s="2">
        <f t="shared" si="46"/>
        <v>0</v>
      </c>
      <c r="CV46" s="2">
        <f t="shared" si="47"/>
        <v>4.4099639999999996</v>
      </c>
      <c r="CW46" s="2">
        <f t="shared" si="48"/>
        <v>0</v>
      </c>
      <c r="CX46" s="2">
        <f t="shared" si="49"/>
        <v>0</v>
      </c>
      <c r="CY46" s="2">
        <f t="shared" si="50"/>
        <v>104.78</v>
      </c>
      <c r="CZ46" s="2">
        <f t="shared" si="51"/>
        <v>53.55</v>
      </c>
      <c r="DA46" s="2"/>
      <c r="DB46" s="2">
        <v>37</v>
      </c>
      <c r="DC46" s="2" t="s">
        <v>3</v>
      </c>
      <c r="DD46" s="2" t="s">
        <v>28</v>
      </c>
      <c r="DE46" s="2" t="s">
        <v>29</v>
      </c>
      <c r="DF46" s="2" t="s">
        <v>29</v>
      </c>
      <c r="DG46" s="2" t="s">
        <v>29</v>
      </c>
      <c r="DH46" s="2" t="s">
        <v>3</v>
      </c>
      <c r="DI46" s="2" t="s">
        <v>29</v>
      </c>
      <c r="DJ46" s="2" t="s">
        <v>29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26</v>
      </c>
      <c r="DW46" s="2" t="s">
        <v>26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57042958</v>
      </c>
      <c r="EF46" s="2">
        <v>40</v>
      </c>
      <c r="EG46" s="2" t="s">
        <v>30</v>
      </c>
      <c r="EH46" s="2">
        <v>0</v>
      </c>
      <c r="EI46" s="2" t="s">
        <v>3</v>
      </c>
      <c r="EJ46" s="2">
        <v>2</v>
      </c>
      <c r="EK46" s="2">
        <v>68</v>
      </c>
      <c r="EL46" s="2" t="s">
        <v>38</v>
      </c>
      <c r="EM46" s="2" t="s">
        <v>39</v>
      </c>
      <c r="EN46" s="2"/>
      <c r="EO46" s="2" t="s">
        <v>33</v>
      </c>
      <c r="EP46" s="2"/>
      <c r="EQ46" s="2">
        <v>0</v>
      </c>
      <c r="ER46" s="2">
        <v>175.43</v>
      </c>
      <c r="ES46" s="2">
        <v>20.93</v>
      </c>
      <c r="ET46" s="2">
        <v>0.06</v>
      </c>
      <c r="EU46" s="2">
        <v>0.01</v>
      </c>
      <c r="EV46" s="2">
        <v>154.44</v>
      </c>
      <c r="EW46" s="2">
        <v>11.7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-134183422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274.82</v>
      </c>
      <c r="GN46" s="2">
        <f t="shared" si="54"/>
        <v>0</v>
      </c>
      <c r="GO46" s="2">
        <f t="shared" si="55"/>
        <v>274.82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ROW(SmtRes!A42)</f>
        <v>42</v>
      </c>
      <c r="D47" s="3">
        <f>ROW(EtalonRes!A50)</f>
        <v>50</v>
      </c>
      <c r="E47" s="3" t="s">
        <v>70</v>
      </c>
      <c r="F47" s="3" t="s">
        <v>35</v>
      </c>
      <c r="G47" s="3" t="s">
        <v>71</v>
      </c>
      <c r="H47" s="3" t="s">
        <v>26</v>
      </c>
      <c r="I47" s="3">
        <v>2</v>
      </c>
      <c r="J47" s="3">
        <v>0</v>
      </c>
      <c r="K47" s="3">
        <v>2</v>
      </c>
      <c r="O47" s="3">
        <f t="shared" si="21"/>
        <v>6561.2</v>
      </c>
      <c r="P47" s="3">
        <f t="shared" si="22"/>
        <v>0</v>
      </c>
      <c r="Q47" s="3">
        <f t="shared" si="23"/>
        <v>0.93</v>
      </c>
      <c r="R47" s="3">
        <f t="shared" si="24"/>
        <v>0.56000000000000005</v>
      </c>
      <c r="S47" s="3">
        <f t="shared" si="25"/>
        <v>6560.27</v>
      </c>
      <c r="T47" s="3">
        <f t="shared" si="26"/>
        <v>0</v>
      </c>
      <c r="U47" s="3">
        <f t="shared" si="27"/>
        <v>8.8199279999999991</v>
      </c>
      <c r="V47" s="3">
        <f t="shared" si="28"/>
        <v>0</v>
      </c>
      <c r="W47" s="3">
        <f t="shared" si="29"/>
        <v>0</v>
      </c>
      <c r="X47" s="3">
        <f t="shared" si="30"/>
        <v>5904.75</v>
      </c>
      <c r="Y47" s="3">
        <f t="shared" si="31"/>
        <v>3017.98</v>
      </c>
      <c r="AA47" s="3">
        <v>57034454</v>
      </c>
      <c r="AB47" s="3">
        <f t="shared" si="32"/>
        <v>55.62</v>
      </c>
      <c r="AC47" s="3">
        <f t="shared" si="33"/>
        <v>0</v>
      </c>
      <c r="AD47" s="3">
        <f t="shared" si="34"/>
        <v>2.1600000000000001E-2</v>
      </c>
      <c r="AE47" s="3">
        <f t="shared" si="35"/>
        <v>3.5999999999999999E-3</v>
      </c>
      <c r="AF47" s="3">
        <f t="shared" si="36"/>
        <v>55.598399999999998</v>
      </c>
      <c r="AG47" s="3">
        <f t="shared" si="37"/>
        <v>0</v>
      </c>
      <c r="AH47" s="3">
        <f t="shared" si="38"/>
        <v>4.2119999999999997</v>
      </c>
      <c r="AI47" s="3">
        <f t="shared" si="39"/>
        <v>0</v>
      </c>
      <c r="AJ47" s="3">
        <f t="shared" si="40"/>
        <v>0</v>
      </c>
      <c r="AK47" s="3">
        <v>175.43</v>
      </c>
      <c r="AL47" s="3">
        <v>20.93</v>
      </c>
      <c r="AM47" s="3">
        <v>0.06</v>
      </c>
      <c r="AN47" s="3">
        <v>0.01</v>
      </c>
      <c r="AO47" s="3">
        <v>154.44</v>
      </c>
      <c r="AP47" s="3">
        <v>0</v>
      </c>
      <c r="AQ47" s="3">
        <v>11.7</v>
      </c>
      <c r="AR47" s="3">
        <v>0</v>
      </c>
      <c r="AS47" s="3">
        <v>0</v>
      </c>
      <c r="AT47" s="3">
        <v>90</v>
      </c>
      <c r="AU47" s="3">
        <v>46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18.5</v>
      </c>
      <c r="BC47" s="3">
        <v>9.84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37</v>
      </c>
      <c r="BM47" s="3">
        <v>68</v>
      </c>
      <c r="BN47" s="3">
        <v>0</v>
      </c>
      <c r="BO47" s="3" t="s">
        <v>35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90</v>
      </c>
      <c r="CA47" s="3">
        <v>46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613</v>
      </c>
      <c r="CO47" s="3">
        <v>0</v>
      </c>
      <c r="CP47" s="3">
        <f t="shared" si="41"/>
        <v>6561.2000000000007</v>
      </c>
      <c r="CQ47" s="3">
        <f t="shared" si="42"/>
        <v>0</v>
      </c>
      <c r="CR47" s="3">
        <f t="shared" si="43"/>
        <v>0.37</v>
      </c>
      <c r="CS47" s="3">
        <f t="shared" si="44"/>
        <v>0</v>
      </c>
      <c r="CT47" s="3">
        <f t="shared" si="45"/>
        <v>3280.13</v>
      </c>
      <c r="CU47" s="3">
        <f t="shared" si="46"/>
        <v>0</v>
      </c>
      <c r="CV47" s="3">
        <f t="shared" si="47"/>
        <v>4.4099639999999996</v>
      </c>
      <c r="CW47" s="3">
        <f t="shared" si="48"/>
        <v>0</v>
      </c>
      <c r="CX47" s="3">
        <f t="shared" si="49"/>
        <v>0</v>
      </c>
      <c r="CY47" s="3">
        <f t="shared" si="50"/>
        <v>5904.24</v>
      </c>
      <c r="CZ47" s="3">
        <f t="shared" si="51"/>
        <v>3017.72</v>
      </c>
      <c r="DB47" s="3">
        <v>39</v>
      </c>
      <c r="DC47" s="3" t="s">
        <v>3</v>
      </c>
      <c r="DD47" s="3" t="s">
        <v>28</v>
      </c>
      <c r="DE47" s="3" t="s">
        <v>29</v>
      </c>
      <c r="DF47" s="3" t="s">
        <v>29</v>
      </c>
      <c r="DG47" s="3" t="s">
        <v>29</v>
      </c>
      <c r="DH47" s="3" t="s">
        <v>3</v>
      </c>
      <c r="DI47" s="3" t="s">
        <v>29</v>
      </c>
      <c r="DJ47" s="3" t="s">
        <v>29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26</v>
      </c>
      <c r="DW47" s="3" t="s">
        <v>26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57042958</v>
      </c>
      <c r="EF47" s="3">
        <v>40</v>
      </c>
      <c r="EG47" s="3" t="s">
        <v>30</v>
      </c>
      <c r="EH47" s="3">
        <v>0</v>
      </c>
      <c r="EI47" s="3" t="s">
        <v>3</v>
      </c>
      <c r="EJ47" s="3">
        <v>2</v>
      </c>
      <c r="EK47" s="3">
        <v>68</v>
      </c>
      <c r="EL47" s="3" t="s">
        <v>38</v>
      </c>
      <c r="EM47" s="3" t="s">
        <v>39</v>
      </c>
      <c r="EO47" s="3" t="s">
        <v>33</v>
      </c>
      <c r="EQ47" s="3">
        <v>0</v>
      </c>
      <c r="ER47" s="3">
        <v>175.43</v>
      </c>
      <c r="ES47" s="3">
        <v>20.93</v>
      </c>
      <c r="ET47" s="3">
        <v>0.06</v>
      </c>
      <c r="EU47" s="3">
        <v>0.01</v>
      </c>
      <c r="EV47" s="3">
        <v>154.44</v>
      </c>
      <c r="EW47" s="3">
        <v>11.7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90</v>
      </c>
      <c r="FY47" s="3">
        <v>46</v>
      </c>
      <c r="GA47" s="3" t="s">
        <v>3</v>
      </c>
      <c r="GD47" s="3">
        <v>1</v>
      </c>
      <c r="GF47" s="3">
        <v>-134183422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15483.93</v>
      </c>
      <c r="GN47" s="3">
        <f t="shared" si="54"/>
        <v>0</v>
      </c>
      <c r="GO47" s="3">
        <f t="shared" si="55"/>
        <v>15483.93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5">
      <c r="A48" s="2">
        <v>17</v>
      </c>
      <c r="B48" s="2">
        <v>1</v>
      </c>
      <c r="C48" s="2">
        <f>ROW(SmtRes!A43)</f>
        <v>43</v>
      </c>
      <c r="D48" s="2">
        <f>ROW(EtalonRes!A51)</f>
        <v>51</v>
      </c>
      <c r="E48" s="2" t="s">
        <v>72</v>
      </c>
      <c r="F48" s="2" t="s">
        <v>63</v>
      </c>
      <c r="G48" s="2" t="s">
        <v>73</v>
      </c>
      <c r="H48" s="2" t="s">
        <v>26</v>
      </c>
      <c r="I48" s="2">
        <f>ROUND(1+1,9)</f>
        <v>2</v>
      </c>
      <c r="J48" s="2">
        <v>0</v>
      </c>
      <c r="K48" s="2">
        <f>ROUND(1+1,9)</f>
        <v>2</v>
      </c>
      <c r="L48" s="2"/>
      <c r="M48" s="2"/>
      <c r="N48" s="2"/>
      <c r="O48" s="2">
        <f t="shared" si="21"/>
        <v>12.15</v>
      </c>
      <c r="P48" s="2">
        <f t="shared" si="22"/>
        <v>0</v>
      </c>
      <c r="Q48" s="2">
        <f t="shared" si="23"/>
        <v>0.04</v>
      </c>
      <c r="R48" s="2">
        <f t="shared" si="24"/>
        <v>0.01</v>
      </c>
      <c r="S48" s="2">
        <f t="shared" si="25"/>
        <v>12.11</v>
      </c>
      <c r="T48" s="2">
        <f t="shared" si="26"/>
        <v>0</v>
      </c>
      <c r="U48" s="2">
        <f t="shared" si="27"/>
        <v>0.90460799999999997</v>
      </c>
      <c r="V48" s="2">
        <f t="shared" si="28"/>
        <v>0</v>
      </c>
      <c r="W48" s="2">
        <f t="shared" si="29"/>
        <v>0</v>
      </c>
      <c r="X48" s="2">
        <f t="shared" si="30"/>
        <v>10.91</v>
      </c>
      <c r="Y48" s="2">
        <f t="shared" si="31"/>
        <v>5.58</v>
      </c>
      <c r="Z48" s="2"/>
      <c r="AA48" s="2">
        <v>57034452</v>
      </c>
      <c r="AB48" s="2">
        <f t="shared" si="32"/>
        <v>5.8032000000000004</v>
      </c>
      <c r="AC48" s="2">
        <f t="shared" si="33"/>
        <v>0</v>
      </c>
      <c r="AD48" s="2">
        <f t="shared" si="34"/>
        <v>1.7999999999999999E-2</v>
      </c>
      <c r="AE48" s="2">
        <f t="shared" si="35"/>
        <v>3.5999999999999999E-3</v>
      </c>
      <c r="AF48" s="2">
        <f t="shared" si="36"/>
        <v>5.7851999999999997</v>
      </c>
      <c r="AG48" s="2">
        <f t="shared" si="37"/>
        <v>0</v>
      </c>
      <c r="AH48" s="2">
        <f t="shared" si="38"/>
        <v>0.432</v>
      </c>
      <c r="AI48" s="2">
        <f t="shared" si="39"/>
        <v>0</v>
      </c>
      <c r="AJ48" s="2">
        <f t="shared" si="40"/>
        <v>0</v>
      </c>
      <c r="AK48" s="2">
        <v>18.079999999999998</v>
      </c>
      <c r="AL48" s="2">
        <v>1.96</v>
      </c>
      <c r="AM48" s="2">
        <v>0.05</v>
      </c>
      <c r="AN48" s="2">
        <v>0.01</v>
      </c>
      <c r="AO48" s="2">
        <v>16.07</v>
      </c>
      <c r="AP48" s="2">
        <v>0</v>
      </c>
      <c r="AQ48" s="2">
        <v>1.2</v>
      </c>
      <c r="AR48" s="2">
        <v>0</v>
      </c>
      <c r="AS48" s="2">
        <v>0</v>
      </c>
      <c r="AT48" s="2">
        <v>90</v>
      </c>
      <c r="AU48" s="2">
        <v>46</v>
      </c>
      <c r="AV48" s="2">
        <v>1.0469999999999999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2</v>
      </c>
      <c r="BJ48" s="2" t="s">
        <v>65</v>
      </c>
      <c r="BK48" s="2"/>
      <c r="BL48" s="2"/>
      <c r="BM48" s="2">
        <v>68</v>
      </c>
      <c r="BN48" s="2">
        <v>0</v>
      </c>
      <c r="BO48" s="2" t="s">
        <v>63</v>
      </c>
      <c r="BP48" s="2">
        <v>1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613</v>
      </c>
      <c r="CO48" s="2">
        <v>0</v>
      </c>
      <c r="CP48" s="2">
        <f t="shared" si="41"/>
        <v>12.149999999999999</v>
      </c>
      <c r="CQ48" s="2">
        <f t="shared" si="42"/>
        <v>0</v>
      </c>
      <c r="CR48" s="2">
        <f t="shared" si="43"/>
        <v>0.02</v>
      </c>
      <c r="CS48" s="2">
        <f t="shared" si="44"/>
        <v>0</v>
      </c>
      <c r="CT48" s="2">
        <f t="shared" si="45"/>
        <v>6.06</v>
      </c>
      <c r="CU48" s="2">
        <f t="shared" si="46"/>
        <v>0</v>
      </c>
      <c r="CV48" s="2">
        <f t="shared" si="47"/>
        <v>0.45230399999999998</v>
      </c>
      <c r="CW48" s="2">
        <f t="shared" si="48"/>
        <v>0</v>
      </c>
      <c r="CX48" s="2">
        <f t="shared" si="49"/>
        <v>0</v>
      </c>
      <c r="CY48" s="2">
        <f t="shared" si="50"/>
        <v>10.9</v>
      </c>
      <c r="CZ48" s="2">
        <f t="shared" si="51"/>
        <v>5.57</v>
      </c>
      <c r="DA48" s="2"/>
      <c r="DB48" s="2">
        <v>41</v>
      </c>
      <c r="DC48" s="2" t="s">
        <v>3</v>
      </c>
      <c r="DD48" s="2" t="s">
        <v>28</v>
      </c>
      <c r="DE48" s="2" t="s">
        <v>29</v>
      </c>
      <c r="DF48" s="2" t="s">
        <v>29</v>
      </c>
      <c r="DG48" s="2" t="s">
        <v>29</v>
      </c>
      <c r="DH48" s="2" t="s">
        <v>3</v>
      </c>
      <c r="DI48" s="2" t="s">
        <v>29</v>
      </c>
      <c r="DJ48" s="2" t="s">
        <v>29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26</v>
      </c>
      <c r="DW48" s="2" t="s">
        <v>26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57042958</v>
      </c>
      <c r="EF48" s="2">
        <v>40</v>
      </c>
      <c r="EG48" s="2" t="s">
        <v>30</v>
      </c>
      <c r="EH48" s="2">
        <v>0</v>
      </c>
      <c r="EI48" s="2" t="s">
        <v>3</v>
      </c>
      <c r="EJ48" s="2">
        <v>2</v>
      </c>
      <c r="EK48" s="2">
        <v>68</v>
      </c>
      <c r="EL48" s="2" t="s">
        <v>38</v>
      </c>
      <c r="EM48" s="2" t="s">
        <v>39</v>
      </c>
      <c r="EN48" s="2"/>
      <c r="EO48" s="2" t="s">
        <v>33</v>
      </c>
      <c r="EP48" s="2"/>
      <c r="EQ48" s="2">
        <v>0</v>
      </c>
      <c r="ER48" s="2">
        <v>18.079999999999998</v>
      </c>
      <c r="ES48" s="2">
        <v>1.96</v>
      </c>
      <c r="ET48" s="2">
        <v>0.05</v>
      </c>
      <c r="EU48" s="2">
        <v>0.01</v>
      </c>
      <c r="EV48" s="2">
        <v>16.07</v>
      </c>
      <c r="EW48" s="2">
        <v>1.2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3</v>
      </c>
      <c r="GB48" s="2"/>
      <c r="GC48" s="2"/>
      <c r="GD48" s="2">
        <v>1</v>
      </c>
      <c r="GE48" s="2"/>
      <c r="GF48" s="2">
        <v>737847558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28.64</v>
      </c>
      <c r="GN48" s="2">
        <f t="shared" si="54"/>
        <v>0</v>
      </c>
      <c r="GO48" s="2">
        <f t="shared" si="55"/>
        <v>28.64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 s="3">
        <v>17</v>
      </c>
      <c r="B49" s="3">
        <v>1</v>
      </c>
      <c r="C49" s="3">
        <f>ROW(SmtRes!A44)</f>
        <v>44</v>
      </c>
      <c r="D49" s="3">
        <f>ROW(EtalonRes!A52)</f>
        <v>52</v>
      </c>
      <c r="E49" s="3" t="s">
        <v>72</v>
      </c>
      <c r="F49" s="3" t="s">
        <v>63</v>
      </c>
      <c r="G49" s="3" t="s">
        <v>73</v>
      </c>
      <c r="H49" s="3" t="s">
        <v>26</v>
      </c>
      <c r="I49" s="3">
        <f>ROUND(1+1,9)</f>
        <v>2</v>
      </c>
      <c r="J49" s="3">
        <v>0</v>
      </c>
      <c r="K49" s="3">
        <f>ROUND(1+1,9)</f>
        <v>2</v>
      </c>
      <c r="O49" s="3">
        <f t="shared" si="21"/>
        <v>683.2</v>
      </c>
      <c r="P49" s="3">
        <f t="shared" si="22"/>
        <v>0</v>
      </c>
      <c r="Q49" s="3">
        <f t="shared" si="23"/>
        <v>0.8</v>
      </c>
      <c r="R49" s="3">
        <f t="shared" si="24"/>
        <v>0.56000000000000005</v>
      </c>
      <c r="S49" s="3">
        <f t="shared" si="25"/>
        <v>682.4</v>
      </c>
      <c r="T49" s="3">
        <f t="shared" si="26"/>
        <v>0</v>
      </c>
      <c r="U49" s="3">
        <f t="shared" si="27"/>
        <v>0.90460799999999997</v>
      </c>
      <c r="V49" s="3">
        <f t="shared" si="28"/>
        <v>0</v>
      </c>
      <c r="W49" s="3">
        <f t="shared" si="29"/>
        <v>0</v>
      </c>
      <c r="X49" s="3">
        <f t="shared" si="30"/>
        <v>614.66</v>
      </c>
      <c r="Y49" s="3">
        <f t="shared" si="31"/>
        <v>314.16000000000003</v>
      </c>
      <c r="AA49" s="3">
        <v>57034454</v>
      </c>
      <c r="AB49" s="3">
        <f t="shared" si="32"/>
        <v>5.8032000000000004</v>
      </c>
      <c r="AC49" s="3">
        <f t="shared" si="33"/>
        <v>0</v>
      </c>
      <c r="AD49" s="3">
        <f t="shared" si="34"/>
        <v>1.7999999999999999E-2</v>
      </c>
      <c r="AE49" s="3">
        <f t="shared" si="35"/>
        <v>3.5999999999999999E-3</v>
      </c>
      <c r="AF49" s="3">
        <f t="shared" si="36"/>
        <v>5.7851999999999997</v>
      </c>
      <c r="AG49" s="3">
        <f t="shared" si="37"/>
        <v>0</v>
      </c>
      <c r="AH49" s="3">
        <f t="shared" si="38"/>
        <v>0.432</v>
      </c>
      <c r="AI49" s="3">
        <f t="shared" si="39"/>
        <v>0</v>
      </c>
      <c r="AJ49" s="3">
        <f t="shared" si="40"/>
        <v>0</v>
      </c>
      <c r="AK49" s="3">
        <v>18.079999999999998</v>
      </c>
      <c r="AL49" s="3">
        <v>1.96</v>
      </c>
      <c r="AM49" s="3">
        <v>0.05</v>
      </c>
      <c r="AN49" s="3">
        <v>0.01</v>
      </c>
      <c r="AO49" s="3">
        <v>16.07</v>
      </c>
      <c r="AP49" s="3">
        <v>0</v>
      </c>
      <c r="AQ49" s="3">
        <v>1.2</v>
      </c>
      <c r="AR49" s="3">
        <v>0</v>
      </c>
      <c r="AS49" s="3">
        <v>0</v>
      </c>
      <c r="AT49" s="3">
        <v>90</v>
      </c>
      <c r="AU49" s="3">
        <v>46</v>
      </c>
      <c r="AV49" s="3">
        <v>1.0469999999999999</v>
      </c>
      <c r="AW49" s="3">
        <v>1</v>
      </c>
      <c r="AZ49" s="3">
        <v>1</v>
      </c>
      <c r="BA49" s="3">
        <v>56.35</v>
      </c>
      <c r="BB49" s="3">
        <v>20</v>
      </c>
      <c r="BC49" s="3">
        <v>9.84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2</v>
      </c>
      <c r="BJ49" s="3" t="s">
        <v>65</v>
      </c>
      <c r="BM49" s="3">
        <v>68</v>
      </c>
      <c r="BN49" s="3">
        <v>0</v>
      </c>
      <c r="BO49" s="3" t="s">
        <v>63</v>
      </c>
      <c r="BP49" s="3">
        <v>1</v>
      </c>
      <c r="BQ49" s="3">
        <v>40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90</v>
      </c>
      <c r="CA49" s="3">
        <v>46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613</v>
      </c>
      <c r="CO49" s="3">
        <v>0</v>
      </c>
      <c r="CP49" s="3">
        <f t="shared" si="41"/>
        <v>683.19999999999993</v>
      </c>
      <c r="CQ49" s="3">
        <f t="shared" si="42"/>
        <v>0</v>
      </c>
      <c r="CR49" s="3">
        <f t="shared" si="43"/>
        <v>0.4</v>
      </c>
      <c r="CS49" s="3">
        <f t="shared" si="44"/>
        <v>0</v>
      </c>
      <c r="CT49" s="3">
        <f t="shared" si="45"/>
        <v>341.48</v>
      </c>
      <c r="CU49" s="3">
        <f t="shared" si="46"/>
        <v>0</v>
      </c>
      <c r="CV49" s="3">
        <f t="shared" si="47"/>
        <v>0.45230399999999998</v>
      </c>
      <c r="CW49" s="3">
        <f t="shared" si="48"/>
        <v>0</v>
      </c>
      <c r="CX49" s="3">
        <f t="shared" si="49"/>
        <v>0</v>
      </c>
      <c r="CY49" s="3">
        <f t="shared" si="50"/>
        <v>614.16</v>
      </c>
      <c r="CZ49" s="3">
        <f t="shared" si="51"/>
        <v>313.89999999999998</v>
      </c>
      <c r="DB49" s="3">
        <v>43</v>
      </c>
      <c r="DC49" s="3" t="s">
        <v>3</v>
      </c>
      <c r="DD49" s="3" t="s">
        <v>28</v>
      </c>
      <c r="DE49" s="3" t="s">
        <v>29</v>
      </c>
      <c r="DF49" s="3" t="s">
        <v>29</v>
      </c>
      <c r="DG49" s="3" t="s">
        <v>29</v>
      </c>
      <c r="DH49" s="3" t="s">
        <v>3</v>
      </c>
      <c r="DI49" s="3" t="s">
        <v>29</v>
      </c>
      <c r="DJ49" s="3" t="s">
        <v>29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1013</v>
      </c>
      <c r="DV49" s="3" t="s">
        <v>26</v>
      </c>
      <c r="DW49" s="3" t="s">
        <v>26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57042958</v>
      </c>
      <c r="EF49" s="3">
        <v>40</v>
      </c>
      <c r="EG49" s="3" t="s">
        <v>30</v>
      </c>
      <c r="EH49" s="3">
        <v>0</v>
      </c>
      <c r="EI49" s="3" t="s">
        <v>3</v>
      </c>
      <c r="EJ49" s="3">
        <v>2</v>
      </c>
      <c r="EK49" s="3">
        <v>68</v>
      </c>
      <c r="EL49" s="3" t="s">
        <v>38</v>
      </c>
      <c r="EM49" s="3" t="s">
        <v>39</v>
      </c>
      <c r="EO49" s="3" t="s">
        <v>33</v>
      </c>
      <c r="EQ49" s="3">
        <v>0</v>
      </c>
      <c r="ER49" s="3">
        <v>18.079999999999998</v>
      </c>
      <c r="ES49" s="3">
        <v>1.96</v>
      </c>
      <c r="ET49" s="3">
        <v>0.05</v>
      </c>
      <c r="EU49" s="3">
        <v>0.01</v>
      </c>
      <c r="EV49" s="3">
        <v>16.07</v>
      </c>
      <c r="EW49" s="3">
        <v>1.2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90</v>
      </c>
      <c r="FY49" s="3">
        <v>46</v>
      </c>
      <c r="GA49" s="3" t="s">
        <v>3</v>
      </c>
      <c r="GD49" s="3">
        <v>1</v>
      </c>
      <c r="GF49" s="3">
        <v>737847558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1612.02</v>
      </c>
      <c r="GN49" s="3">
        <f t="shared" si="54"/>
        <v>0</v>
      </c>
      <c r="GO49" s="3">
        <f t="shared" si="55"/>
        <v>1612.02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5">
      <c r="A50" s="2">
        <v>17</v>
      </c>
      <c r="B50" s="2">
        <v>1</v>
      </c>
      <c r="C50" s="2">
        <f>ROW(SmtRes!A50)</f>
        <v>50</v>
      </c>
      <c r="D50" s="2">
        <f>ROW(EtalonRes!A59)</f>
        <v>59</v>
      </c>
      <c r="E50" s="2" t="s">
        <v>74</v>
      </c>
      <c r="F50" s="2" t="s">
        <v>45</v>
      </c>
      <c r="G50" s="2" t="s">
        <v>75</v>
      </c>
      <c r="H50" s="2" t="s">
        <v>26</v>
      </c>
      <c r="I50" s="2">
        <v>2</v>
      </c>
      <c r="J50" s="2">
        <v>0</v>
      </c>
      <c r="K50" s="2">
        <v>2</v>
      </c>
      <c r="L50" s="2"/>
      <c r="M50" s="2"/>
      <c r="N50" s="2"/>
      <c r="O50" s="2">
        <f t="shared" si="21"/>
        <v>14.3</v>
      </c>
      <c r="P50" s="2">
        <f t="shared" si="22"/>
        <v>0</v>
      </c>
      <c r="Q50" s="2">
        <f t="shared" si="23"/>
        <v>0.02</v>
      </c>
      <c r="R50" s="2">
        <f t="shared" si="24"/>
        <v>0</v>
      </c>
      <c r="S50" s="2">
        <f t="shared" si="25"/>
        <v>14.28</v>
      </c>
      <c r="T50" s="2">
        <f t="shared" si="26"/>
        <v>0</v>
      </c>
      <c r="U50" s="2">
        <f t="shared" si="27"/>
        <v>1.0252224000000001</v>
      </c>
      <c r="V50" s="2">
        <f t="shared" si="28"/>
        <v>0</v>
      </c>
      <c r="W50" s="2">
        <f t="shared" si="29"/>
        <v>0</v>
      </c>
      <c r="X50" s="2">
        <f t="shared" si="30"/>
        <v>12.85</v>
      </c>
      <c r="Y50" s="2">
        <f t="shared" si="31"/>
        <v>6.57</v>
      </c>
      <c r="Z50" s="2"/>
      <c r="AA50" s="2">
        <v>57034452</v>
      </c>
      <c r="AB50" s="2">
        <f t="shared" si="32"/>
        <v>6.8255999999999997</v>
      </c>
      <c r="AC50" s="2">
        <f t="shared" si="33"/>
        <v>0</v>
      </c>
      <c r="AD50" s="2">
        <f t="shared" si="34"/>
        <v>7.1999999999999998E-3</v>
      </c>
      <c r="AE50" s="2">
        <f t="shared" si="35"/>
        <v>0</v>
      </c>
      <c r="AF50" s="2">
        <f t="shared" si="36"/>
        <v>6.8183999999999996</v>
      </c>
      <c r="AG50" s="2">
        <f t="shared" si="37"/>
        <v>0</v>
      </c>
      <c r="AH50" s="2">
        <f t="shared" si="38"/>
        <v>0.48960000000000004</v>
      </c>
      <c r="AI50" s="2">
        <f t="shared" si="39"/>
        <v>0</v>
      </c>
      <c r="AJ50" s="2">
        <f t="shared" si="40"/>
        <v>0</v>
      </c>
      <c r="AK50" s="2">
        <v>21.3</v>
      </c>
      <c r="AL50" s="2">
        <v>2.34</v>
      </c>
      <c r="AM50" s="2">
        <v>0.02</v>
      </c>
      <c r="AN50" s="2">
        <v>0</v>
      </c>
      <c r="AO50" s="2">
        <v>18.940000000000001</v>
      </c>
      <c r="AP50" s="2">
        <v>0</v>
      </c>
      <c r="AQ50" s="2">
        <v>1.36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47</v>
      </c>
      <c r="BK50" s="2"/>
      <c r="BL50" s="2"/>
      <c r="BM50" s="2">
        <v>68</v>
      </c>
      <c r="BN50" s="2">
        <v>0</v>
      </c>
      <c r="BO50" s="2" t="s">
        <v>45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613</v>
      </c>
      <c r="CO50" s="2">
        <v>0</v>
      </c>
      <c r="CP50" s="2">
        <f t="shared" si="41"/>
        <v>14.299999999999999</v>
      </c>
      <c r="CQ50" s="2">
        <f t="shared" si="42"/>
        <v>0</v>
      </c>
      <c r="CR50" s="2">
        <f t="shared" si="43"/>
        <v>0.01</v>
      </c>
      <c r="CS50" s="2">
        <f t="shared" si="44"/>
        <v>0</v>
      </c>
      <c r="CT50" s="2">
        <f t="shared" si="45"/>
        <v>7.14</v>
      </c>
      <c r="CU50" s="2">
        <f t="shared" si="46"/>
        <v>0</v>
      </c>
      <c r="CV50" s="2">
        <f t="shared" si="47"/>
        <v>0.51261120000000004</v>
      </c>
      <c r="CW50" s="2">
        <f t="shared" si="48"/>
        <v>0</v>
      </c>
      <c r="CX50" s="2">
        <f t="shared" si="49"/>
        <v>0</v>
      </c>
      <c r="CY50" s="2">
        <f t="shared" si="50"/>
        <v>12.85</v>
      </c>
      <c r="CZ50" s="2">
        <f t="shared" si="51"/>
        <v>6.57</v>
      </c>
      <c r="DA50" s="2"/>
      <c r="DB50" s="2">
        <v>45</v>
      </c>
      <c r="DC50" s="2" t="s">
        <v>3</v>
      </c>
      <c r="DD50" s="2" t="s">
        <v>28</v>
      </c>
      <c r="DE50" s="2" t="s">
        <v>29</v>
      </c>
      <c r="DF50" s="2" t="s">
        <v>29</v>
      </c>
      <c r="DG50" s="2" t="s">
        <v>29</v>
      </c>
      <c r="DH50" s="2" t="s">
        <v>3</v>
      </c>
      <c r="DI50" s="2" t="s">
        <v>29</v>
      </c>
      <c r="DJ50" s="2" t="s">
        <v>29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26</v>
      </c>
      <c r="DW50" s="2" t="s">
        <v>26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57042958</v>
      </c>
      <c r="EF50" s="2">
        <v>40</v>
      </c>
      <c r="EG50" s="2" t="s">
        <v>30</v>
      </c>
      <c r="EH50" s="2">
        <v>0</v>
      </c>
      <c r="EI50" s="2" t="s">
        <v>3</v>
      </c>
      <c r="EJ50" s="2">
        <v>2</v>
      </c>
      <c r="EK50" s="2">
        <v>68</v>
      </c>
      <c r="EL50" s="2" t="s">
        <v>38</v>
      </c>
      <c r="EM50" s="2" t="s">
        <v>39</v>
      </c>
      <c r="EN50" s="2"/>
      <c r="EO50" s="2" t="s">
        <v>33</v>
      </c>
      <c r="EP50" s="2"/>
      <c r="EQ50" s="2">
        <v>0</v>
      </c>
      <c r="ER50" s="2">
        <v>21.3</v>
      </c>
      <c r="ES50" s="2">
        <v>2.34</v>
      </c>
      <c r="ET50" s="2">
        <v>0.02</v>
      </c>
      <c r="EU50" s="2">
        <v>0</v>
      </c>
      <c r="EV50" s="2">
        <v>18.940000000000001</v>
      </c>
      <c r="EW50" s="2">
        <v>1.36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1792790517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33.72</v>
      </c>
      <c r="GN50" s="2">
        <f t="shared" si="54"/>
        <v>0</v>
      </c>
      <c r="GO50" s="2">
        <f t="shared" si="55"/>
        <v>33.72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 s="3">
        <v>17</v>
      </c>
      <c r="B51" s="3">
        <v>1</v>
      </c>
      <c r="C51" s="3">
        <f>ROW(SmtRes!A56)</f>
        <v>56</v>
      </c>
      <c r="D51" s="3">
        <f>ROW(EtalonRes!A66)</f>
        <v>66</v>
      </c>
      <c r="E51" s="3" t="s">
        <v>74</v>
      </c>
      <c r="F51" s="3" t="s">
        <v>45</v>
      </c>
      <c r="G51" s="3" t="s">
        <v>75</v>
      </c>
      <c r="H51" s="3" t="s">
        <v>26</v>
      </c>
      <c r="I51" s="3">
        <v>2</v>
      </c>
      <c r="J51" s="3">
        <v>0</v>
      </c>
      <c r="K51" s="3">
        <v>2</v>
      </c>
      <c r="O51" s="3">
        <f t="shared" si="21"/>
        <v>804.9</v>
      </c>
      <c r="P51" s="3">
        <f t="shared" si="22"/>
        <v>0</v>
      </c>
      <c r="Q51" s="3">
        <f t="shared" si="23"/>
        <v>0.22</v>
      </c>
      <c r="R51" s="3">
        <f t="shared" si="24"/>
        <v>0</v>
      </c>
      <c r="S51" s="3">
        <f t="shared" si="25"/>
        <v>804.68</v>
      </c>
      <c r="T51" s="3">
        <f t="shared" si="26"/>
        <v>0</v>
      </c>
      <c r="U51" s="3">
        <f t="shared" si="27"/>
        <v>1.0252224000000001</v>
      </c>
      <c r="V51" s="3">
        <f t="shared" si="28"/>
        <v>0</v>
      </c>
      <c r="W51" s="3">
        <f t="shared" si="29"/>
        <v>0</v>
      </c>
      <c r="X51" s="3">
        <f t="shared" si="30"/>
        <v>724.21</v>
      </c>
      <c r="Y51" s="3">
        <f t="shared" si="31"/>
        <v>370.15</v>
      </c>
      <c r="AA51" s="3">
        <v>57034454</v>
      </c>
      <c r="AB51" s="3">
        <f t="shared" si="32"/>
        <v>6.8255999999999997</v>
      </c>
      <c r="AC51" s="3">
        <f t="shared" si="33"/>
        <v>0</v>
      </c>
      <c r="AD51" s="3">
        <f t="shared" si="34"/>
        <v>7.1999999999999998E-3</v>
      </c>
      <c r="AE51" s="3">
        <f t="shared" si="35"/>
        <v>0</v>
      </c>
      <c r="AF51" s="3">
        <f t="shared" si="36"/>
        <v>6.8183999999999996</v>
      </c>
      <c r="AG51" s="3">
        <f t="shared" si="37"/>
        <v>0</v>
      </c>
      <c r="AH51" s="3">
        <f t="shared" si="38"/>
        <v>0.48960000000000004</v>
      </c>
      <c r="AI51" s="3">
        <f t="shared" si="39"/>
        <v>0</v>
      </c>
      <c r="AJ51" s="3">
        <f t="shared" si="40"/>
        <v>0</v>
      </c>
      <c r="AK51" s="3">
        <v>21.3</v>
      </c>
      <c r="AL51" s="3">
        <v>2.34</v>
      </c>
      <c r="AM51" s="3">
        <v>0.02</v>
      </c>
      <c r="AN51" s="3">
        <v>0</v>
      </c>
      <c r="AO51" s="3">
        <v>18.940000000000001</v>
      </c>
      <c r="AP51" s="3">
        <v>0</v>
      </c>
      <c r="AQ51" s="3">
        <v>1.36</v>
      </c>
      <c r="AR51" s="3">
        <v>0</v>
      </c>
      <c r="AS51" s="3">
        <v>0</v>
      </c>
      <c r="AT51" s="3">
        <v>90</v>
      </c>
      <c r="AU51" s="3">
        <v>46</v>
      </c>
      <c r="AV51" s="3">
        <v>1.0469999999999999</v>
      </c>
      <c r="AW51" s="3">
        <v>1</v>
      </c>
      <c r="AZ51" s="3">
        <v>1</v>
      </c>
      <c r="BA51" s="3">
        <v>56.35</v>
      </c>
      <c r="BB51" s="3">
        <v>11</v>
      </c>
      <c r="BC51" s="3">
        <v>10.24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47</v>
      </c>
      <c r="BM51" s="3">
        <v>68</v>
      </c>
      <c r="BN51" s="3">
        <v>0</v>
      </c>
      <c r="BO51" s="3" t="s">
        <v>45</v>
      </c>
      <c r="BP51" s="3">
        <v>1</v>
      </c>
      <c r="BQ51" s="3">
        <v>40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90</v>
      </c>
      <c r="CA51" s="3">
        <v>46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613</v>
      </c>
      <c r="CO51" s="3">
        <v>0</v>
      </c>
      <c r="CP51" s="3">
        <f t="shared" si="41"/>
        <v>804.9</v>
      </c>
      <c r="CQ51" s="3">
        <f t="shared" si="42"/>
        <v>0</v>
      </c>
      <c r="CR51" s="3">
        <f t="shared" si="43"/>
        <v>0.11</v>
      </c>
      <c r="CS51" s="3">
        <f t="shared" si="44"/>
        <v>0</v>
      </c>
      <c r="CT51" s="3">
        <f t="shared" si="45"/>
        <v>402.34</v>
      </c>
      <c r="CU51" s="3">
        <f t="shared" si="46"/>
        <v>0</v>
      </c>
      <c r="CV51" s="3">
        <f t="shared" si="47"/>
        <v>0.51261120000000004</v>
      </c>
      <c r="CW51" s="3">
        <f t="shared" si="48"/>
        <v>0</v>
      </c>
      <c r="CX51" s="3">
        <f t="shared" si="49"/>
        <v>0</v>
      </c>
      <c r="CY51" s="3">
        <f t="shared" si="50"/>
        <v>724.21</v>
      </c>
      <c r="CZ51" s="3">
        <f t="shared" si="51"/>
        <v>370.15</v>
      </c>
      <c r="DB51" s="3">
        <v>47</v>
      </c>
      <c r="DC51" s="3" t="s">
        <v>3</v>
      </c>
      <c r="DD51" s="3" t="s">
        <v>28</v>
      </c>
      <c r="DE51" s="3" t="s">
        <v>29</v>
      </c>
      <c r="DF51" s="3" t="s">
        <v>29</v>
      </c>
      <c r="DG51" s="3" t="s">
        <v>29</v>
      </c>
      <c r="DH51" s="3" t="s">
        <v>3</v>
      </c>
      <c r="DI51" s="3" t="s">
        <v>29</v>
      </c>
      <c r="DJ51" s="3" t="s">
        <v>29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26</v>
      </c>
      <c r="DW51" s="3" t="s">
        <v>26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57042958</v>
      </c>
      <c r="EF51" s="3">
        <v>40</v>
      </c>
      <c r="EG51" s="3" t="s">
        <v>30</v>
      </c>
      <c r="EH51" s="3">
        <v>0</v>
      </c>
      <c r="EI51" s="3" t="s">
        <v>3</v>
      </c>
      <c r="EJ51" s="3">
        <v>2</v>
      </c>
      <c r="EK51" s="3">
        <v>68</v>
      </c>
      <c r="EL51" s="3" t="s">
        <v>38</v>
      </c>
      <c r="EM51" s="3" t="s">
        <v>39</v>
      </c>
      <c r="EO51" s="3" t="s">
        <v>33</v>
      </c>
      <c r="EQ51" s="3">
        <v>0</v>
      </c>
      <c r="ER51" s="3">
        <v>21.3</v>
      </c>
      <c r="ES51" s="3">
        <v>2.34</v>
      </c>
      <c r="ET51" s="3">
        <v>0.02</v>
      </c>
      <c r="EU51" s="3">
        <v>0</v>
      </c>
      <c r="EV51" s="3">
        <v>18.940000000000001</v>
      </c>
      <c r="EW51" s="3">
        <v>1.36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90</v>
      </c>
      <c r="FY51" s="3">
        <v>46</v>
      </c>
      <c r="GA51" s="3" t="s">
        <v>3</v>
      </c>
      <c r="GD51" s="3">
        <v>1</v>
      </c>
      <c r="GF51" s="3">
        <v>1792790517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1899.26</v>
      </c>
      <c r="GN51" s="3">
        <f t="shared" si="54"/>
        <v>0</v>
      </c>
      <c r="GO51" s="3">
        <f t="shared" si="55"/>
        <v>1899.26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5">
      <c r="A52" s="2">
        <v>17</v>
      </c>
      <c r="B52" s="2">
        <v>1</v>
      </c>
      <c r="C52" s="2">
        <f>ROW(SmtRes!A58)</f>
        <v>58</v>
      </c>
      <c r="D52" s="2">
        <f>ROW(EtalonRes!A70)</f>
        <v>70</v>
      </c>
      <c r="E52" s="2" t="s">
        <v>76</v>
      </c>
      <c r="F52" s="2" t="s">
        <v>77</v>
      </c>
      <c r="G52" s="2" t="s">
        <v>78</v>
      </c>
      <c r="H52" s="2" t="s">
        <v>26</v>
      </c>
      <c r="I52" s="2">
        <f>ROUND(223,9)</f>
        <v>223</v>
      </c>
      <c r="J52" s="2">
        <v>0</v>
      </c>
      <c r="K52" s="2">
        <f>ROUND(223,9)</f>
        <v>223</v>
      </c>
      <c r="L52" s="2"/>
      <c r="M52" s="2"/>
      <c r="N52" s="2"/>
      <c r="O52" s="2">
        <f t="shared" si="21"/>
        <v>1301.98</v>
      </c>
      <c r="P52" s="2">
        <f t="shared" si="22"/>
        <v>0</v>
      </c>
      <c r="Q52" s="2">
        <f t="shared" si="23"/>
        <v>209.29</v>
      </c>
      <c r="R52" s="2">
        <f t="shared" si="24"/>
        <v>31.94</v>
      </c>
      <c r="S52" s="2">
        <f t="shared" si="25"/>
        <v>1092.69</v>
      </c>
      <c r="T52" s="2">
        <f t="shared" si="26"/>
        <v>0</v>
      </c>
      <c r="U52" s="2">
        <f t="shared" si="27"/>
        <v>86.574754799999994</v>
      </c>
      <c r="V52" s="2">
        <f t="shared" si="28"/>
        <v>0</v>
      </c>
      <c r="W52" s="2">
        <f t="shared" si="29"/>
        <v>0</v>
      </c>
      <c r="X52" s="2">
        <f t="shared" si="30"/>
        <v>1090.8900000000001</v>
      </c>
      <c r="Y52" s="2">
        <f t="shared" si="31"/>
        <v>573.55999999999995</v>
      </c>
      <c r="Z52" s="2"/>
      <c r="AA52" s="2">
        <v>57034452</v>
      </c>
      <c r="AB52" s="2">
        <f t="shared" si="32"/>
        <v>5.5763999999999996</v>
      </c>
      <c r="AC52" s="2">
        <f t="shared" si="33"/>
        <v>0</v>
      </c>
      <c r="AD52" s="2">
        <f t="shared" si="34"/>
        <v>0.89639999999999997</v>
      </c>
      <c r="AE52" s="2">
        <f t="shared" si="35"/>
        <v>0.1368</v>
      </c>
      <c r="AF52" s="2">
        <f t="shared" si="36"/>
        <v>4.68</v>
      </c>
      <c r="AG52" s="2">
        <f t="shared" si="37"/>
        <v>0</v>
      </c>
      <c r="AH52" s="2">
        <f t="shared" si="38"/>
        <v>0.37079999999999996</v>
      </c>
      <c r="AI52" s="2">
        <f t="shared" si="39"/>
        <v>0</v>
      </c>
      <c r="AJ52" s="2">
        <f t="shared" si="40"/>
        <v>0</v>
      </c>
      <c r="AK52" s="2">
        <v>15.49</v>
      </c>
      <c r="AL52" s="2">
        <v>0</v>
      </c>
      <c r="AM52" s="2">
        <v>2.4900000000000002</v>
      </c>
      <c r="AN52" s="2">
        <v>0.38</v>
      </c>
      <c r="AO52" s="2">
        <v>13</v>
      </c>
      <c r="AP52" s="2">
        <v>0</v>
      </c>
      <c r="AQ52" s="2">
        <v>1.03</v>
      </c>
      <c r="AR52" s="2">
        <v>0</v>
      </c>
      <c r="AS52" s="2">
        <v>0</v>
      </c>
      <c r="AT52" s="2">
        <v>97</v>
      </c>
      <c r="AU52" s="2">
        <v>51</v>
      </c>
      <c r="AV52" s="2">
        <v>1.0469999999999999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2</v>
      </c>
      <c r="BJ52" s="2" t="s">
        <v>79</v>
      </c>
      <c r="BK52" s="2"/>
      <c r="BL52" s="2"/>
      <c r="BM52" s="2">
        <v>67</v>
      </c>
      <c r="BN52" s="2">
        <v>0</v>
      </c>
      <c r="BO52" s="2" t="s">
        <v>77</v>
      </c>
      <c r="BP52" s="2">
        <v>1</v>
      </c>
      <c r="BQ52" s="2">
        <v>40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97</v>
      </c>
      <c r="CA52" s="2">
        <v>51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613</v>
      </c>
      <c r="CO52" s="2">
        <v>0</v>
      </c>
      <c r="CP52" s="2">
        <f t="shared" si="41"/>
        <v>1301.98</v>
      </c>
      <c r="CQ52" s="2">
        <f t="shared" si="42"/>
        <v>0</v>
      </c>
      <c r="CR52" s="2">
        <f t="shared" si="43"/>
        <v>0.94</v>
      </c>
      <c r="CS52" s="2">
        <f t="shared" si="44"/>
        <v>0.14000000000000001</v>
      </c>
      <c r="CT52" s="2">
        <f t="shared" si="45"/>
        <v>4.9000000000000004</v>
      </c>
      <c r="CU52" s="2">
        <f t="shared" si="46"/>
        <v>0</v>
      </c>
      <c r="CV52" s="2">
        <f t="shared" si="47"/>
        <v>0.38822759999999995</v>
      </c>
      <c r="CW52" s="2">
        <f t="shared" si="48"/>
        <v>0</v>
      </c>
      <c r="CX52" s="2">
        <f t="shared" si="49"/>
        <v>0</v>
      </c>
      <c r="CY52" s="2">
        <f t="shared" si="50"/>
        <v>1060.05</v>
      </c>
      <c r="CZ52" s="2">
        <f t="shared" si="51"/>
        <v>557.34</v>
      </c>
      <c r="DA52" s="2"/>
      <c r="DB52" s="2">
        <v>49</v>
      </c>
      <c r="DC52" s="2" t="s">
        <v>3</v>
      </c>
      <c r="DD52" s="2" t="s">
        <v>28</v>
      </c>
      <c r="DE52" s="2" t="s">
        <v>29</v>
      </c>
      <c r="DF52" s="2" t="s">
        <v>29</v>
      </c>
      <c r="DG52" s="2" t="s">
        <v>29</v>
      </c>
      <c r="DH52" s="2" t="s">
        <v>3</v>
      </c>
      <c r="DI52" s="2" t="s">
        <v>29</v>
      </c>
      <c r="DJ52" s="2" t="s">
        <v>29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26</v>
      </c>
      <c r="DW52" s="2" t="s">
        <v>26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57042957</v>
      </c>
      <c r="EF52" s="2">
        <v>40</v>
      </c>
      <c r="EG52" s="2" t="s">
        <v>30</v>
      </c>
      <c r="EH52" s="2">
        <v>0</v>
      </c>
      <c r="EI52" s="2" t="s">
        <v>3</v>
      </c>
      <c r="EJ52" s="2">
        <v>2</v>
      </c>
      <c r="EK52" s="2">
        <v>67</v>
      </c>
      <c r="EL52" s="2" t="s">
        <v>80</v>
      </c>
      <c r="EM52" s="2" t="s">
        <v>81</v>
      </c>
      <c r="EN52" s="2"/>
      <c r="EO52" s="2" t="s">
        <v>33</v>
      </c>
      <c r="EP52" s="2"/>
      <c r="EQ52" s="2">
        <v>0</v>
      </c>
      <c r="ER52" s="2">
        <v>15.49</v>
      </c>
      <c r="ES52" s="2">
        <v>0</v>
      </c>
      <c r="ET52" s="2">
        <v>2.4900000000000002</v>
      </c>
      <c r="EU52" s="2">
        <v>0.38</v>
      </c>
      <c r="EV52" s="2">
        <v>13</v>
      </c>
      <c r="EW52" s="2">
        <v>1.03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97</v>
      </c>
      <c r="FY52" s="2">
        <v>51</v>
      </c>
      <c r="FZ52" s="2"/>
      <c r="GA52" s="2" t="s">
        <v>3</v>
      </c>
      <c r="GB52" s="2"/>
      <c r="GC52" s="2"/>
      <c r="GD52" s="2">
        <v>1</v>
      </c>
      <c r="GE52" s="2"/>
      <c r="GF52" s="2">
        <v>-1472567707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2966.43</v>
      </c>
      <c r="GN52" s="2">
        <f t="shared" si="54"/>
        <v>0</v>
      </c>
      <c r="GO52" s="2">
        <f t="shared" si="55"/>
        <v>2966.43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5">
      <c r="A53" s="3">
        <v>17</v>
      </c>
      <c r="B53" s="3">
        <v>1</v>
      </c>
      <c r="C53" s="3">
        <f>ROW(SmtRes!A60)</f>
        <v>60</v>
      </c>
      <c r="D53" s="3">
        <f>ROW(EtalonRes!A74)</f>
        <v>74</v>
      </c>
      <c r="E53" s="3" t="s">
        <v>76</v>
      </c>
      <c r="F53" s="3" t="s">
        <v>77</v>
      </c>
      <c r="G53" s="3" t="s">
        <v>78</v>
      </c>
      <c r="H53" s="3" t="s">
        <v>26</v>
      </c>
      <c r="I53" s="3">
        <f>ROUND(223,9)</f>
        <v>223</v>
      </c>
      <c r="J53" s="3">
        <v>0</v>
      </c>
      <c r="K53" s="3">
        <f>ROUND(223,9)</f>
        <v>223</v>
      </c>
      <c r="O53" s="3">
        <f t="shared" si="21"/>
        <v>65149.85</v>
      </c>
      <c r="P53" s="3">
        <f t="shared" si="22"/>
        <v>0</v>
      </c>
      <c r="Q53" s="3">
        <f t="shared" si="23"/>
        <v>3576.77</v>
      </c>
      <c r="R53" s="3">
        <f t="shared" si="24"/>
        <v>1799.82</v>
      </c>
      <c r="S53" s="3">
        <f t="shared" si="25"/>
        <v>61573.08</v>
      </c>
      <c r="T53" s="3">
        <f t="shared" si="26"/>
        <v>0</v>
      </c>
      <c r="U53" s="3">
        <f t="shared" si="27"/>
        <v>86.574754799999994</v>
      </c>
      <c r="V53" s="3">
        <f t="shared" si="28"/>
        <v>0</v>
      </c>
      <c r="W53" s="3">
        <f t="shared" si="29"/>
        <v>0</v>
      </c>
      <c r="X53" s="3">
        <f t="shared" si="30"/>
        <v>61471.71</v>
      </c>
      <c r="Y53" s="3">
        <f t="shared" si="31"/>
        <v>32320.18</v>
      </c>
      <c r="AA53" s="3">
        <v>57034454</v>
      </c>
      <c r="AB53" s="3">
        <f t="shared" si="32"/>
        <v>5.5763999999999996</v>
      </c>
      <c r="AC53" s="3">
        <f t="shared" si="33"/>
        <v>0</v>
      </c>
      <c r="AD53" s="3">
        <f t="shared" si="34"/>
        <v>0.89639999999999997</v>
      </c>
      <c r="AE53" s="3">
        <f t="shared" si="35"/>
        <v>0.1368</v>
      </c>
      <c r="AF53" s="3">
        <f t="shared" si="36"/>
        <v>4.68</v>
      </c>
      <c r="AG53" s="3">
        <f t="shared" si="37"/>
        <v>0</v>
      </c>
      <c r="AH53" s="3">
        <f t="shared" si="38"/>
        <v>0.37079999999999996</v>
      </c>
      <c r="AI53" s="3">
        <f t="shared" si="39"/>
        <v>0</v>
      </c>
      <c r="AJ53" s="3">
        <f t="shared" si="40"/>
        <v>0</v>
      </c>
      <c r="AK53" s="3">
        <v>15.49</v>
      </c>
      <c r="AL53" s="3">
        <v>0</v>
      </c>
      <c r="AM53" s="3">
        <v>2.4900000000000002</v>
      </c>
      <c r="AN53" s="3">
        <v>0.38</v>
      </c>
      <c r="AO53" s="3">
        <v>13</v>
      </c>
      <c r="AP53" s="3">
        <v>0</v>
      </c>
      <c r="AQ53" s="3">
        <v>1.03</v>
      </c>
      <c r="AR53" s="3">
        <v>0</v>
      </c>
      <c r="AS53" s="3">
        <v>0</v>
      </c>
      <c r="AT53" s="3">
        <v>97</v>
      </c>
      <c r="AU53" s="3">
        <v>51</v>
      </c>
      <c r="AV53" s="3">
        <v>1.0469999999999999</v>
      </c>
      <c r="AW53" s="3">
        <v>1</v>
      </c>
      <c r="AZ53" s="3">
        <v>1</v>
      </c>
      <c r="BA53" s="3">
        <v>56.35</v>
      </c>
      <c r="BB53" s="3">
        <v>17.09</v>
      </c>
      <c r="BC53" s="3">
        <v>1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2</v>
      </c>
      <c r="BJ53" s="3" t="s">
        <v>79</v>
      </c>
      <c r="BM53" s="3">
        <v>67</v>
      </c>
      <c r="BN53" s="3">
        <v>0</v>
      </c>
      <c r="BO53" s="3" t="s">
        <v>77</v>
      </c>
      <c r="BP53" s="3">
        <v>1</v>
      </c>
      <c r="BQ53" s="3">
        <v>40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97</v>
      </c>
      <c r="CA53" s="3">
        <v>51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613</v>
      </c>
      <c r="CO53" s="3">
        <v>0</v>
      </c>
      <c r="CP53" s="3">
        <f t="shared" si="41"/>
        <v>65149.85</v>
      </c>
      <c r="CQ53" s="3">
        <f t="shared" si="42"/>
        <v>0</v>
      </c>
      <c r="CR53" s="3">
        <f t="shared" si="43"/>
        <v>16.059999999999999</v>
      </c>
      <c r="CS53" s="3">
        <f t="shared" si="44"/>
        <v>7.89</v>
      </c>
      <c r="CT53" s="3">
        <f t="shared" si="45"/>
        <v>276.12</v>
      </c>
      <c r="CU53" s="3">
        <f t="shared" si="46"/>
        <v>0</v>
      </c>
      <c r="CV53" s="3">
        <f t="shared" si="47"/>
        <v>0.38822759999999995</v>
      </c>
      <c r="CW53" s="3">
        <f t="shared" si="48"/>
        <v>0</v>
      </c>
      <c r="CX53" s="3">
        <f t="shared" si="49"/>
        <v>0</v>
      </c>
      <c r="CY53" s="3">
        <f t="shared" si="50"/>
        <v>59733.54</v>
      </c>
      <c r="CZ53" s="3">
        <f t="shared" si="51"/>
        <v>31406.29</v>
      </c>
      <c r="DB53" s="3">
        <v>51</v>
      </c>
      <c r="DC53" s="3" t="s">
        <v>3</v>
      </c>
      <c r="DD53" s="3" t="s">
        <v>28</v>
      </c>
      <c r="DE53" s="3" t="s">
        <v>29</v>
      </c>
      <c r="DF53" s="3" t="s">
        <v>29</v>
      </c>
      <c r="DG53" s="3" t="s">
        <v>29</v>
      </c>
      <c r="DH53" s="3" t="s">
        <v>3</v>
      </c>
      <c r="DI53" s="3" t="s">
        <v>29</v>
      </c>
      <c r="DJ53" s="3" t="s">
        <v>29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1013</v>
      </c>
      <c r="DV53" s="3" t="s">
        <v>26</v>
      </c>
      <c r="DW53" s="3" t="s">
        <v>26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57042957</v>
      </c>
      <c r="EF53" s="3">
        <v>40</v>
      </c>
      <c r="EG53" s="3" t="s">
        <v>30</v>
      </c>
      <c r="EH53" s="3">
        <v>0</v>
      </c>
      <c r="EI53" s="3" t="s">
        <v>3</v>
      </c>
      <c r="EJ53" s="3">
        <v>2</v>
      </c>
      <c r="EK53" s="3">
        <v>67</v>
      </c>
      <c r="EL53" s="3" t="s">
        <v>80</v>
      </c>
      <c r="EM53" s="3" t="s">
        <v>81</v>
      </c>
      <c r="EO53" s="3" t="s">
        <v>33</v>
      </c>
      <c r="EQ53" s="3">
        <v>0</v>
      </c>
      <c r="ER53" s="3">
        <v>15.49</v>
      </c>
      <c r="ES53" s="3">
        <v>0</v>
      </c>
      <c r="ET53" s="3">
        <v>2.4900000000000002</v>
      </c>
      <c r="EU53" s="3">
        <v>0.38</v>
      </c>
      <c r="EV53" s="3">
        <v>13</v>
      </c>
      <c r="EW53" s="3">
        <v>1.03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97</v>
      </c>
      <c r="FY53" s="3">
        <v>51</v>
      </c>
      <c r="GA53" s="3" t="s">
        <v>3</v>
      </c>
      <c r="GD53" s="3">
        <v>1</v>
      </c>
      <c r="GF53" s="3">
        <v>-1472567707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158941.74</v>
      </c>
      <c r="GN53" s="3">
        <f t="shared" si="54"/>
        <v>0</v>
      </c>
      <c r="GO53" s="3">
        <f t="shared" si="55"/>
        <v>158941.74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5">
      <c r="A54" s="2">
        <v>17</v>
      </c>
      <c r="B54" s="2">
        <v>1</v>
      </c>
      <c r="C54" s="2">
        <f>ROW(SmtRes!A63)</f>
        <v>63</v>
      </c>
      <c r="D54" s="2">
        <f>ROW(EtalonRes!A78)</f>
        <v>78</v>
      </c>
      <c r="E54" s="2" t="s">
        <v>82</v>
      </c>
      <c r="F54" s="2" t="s">
        <v>57</v>
      </c>
      <c r="G54" s="2" t="s">
        <v>83</v>
      </c>
      <c r="H54" s="2" t="s">
        <v>26</v>
      </c>
      <c r="I54" s="2">
        <v>20</v>
      </c>
      <c r="J54" s="2">
        <v>0</v>
      </c>
      <c r="K54" s="2">
        <v>20</v>
      </c>
      <c r="L54" s="2"/>
      <c r="M54" s="2"/>
      <c r="N54" s="2"/>
      <c r="O54" s="2">
        <f t="shared" si="21"/>
        <v>89.63</v>
      </c>
      <c r="P54" s="2">
        <f t="shared" si="22"/>
        <v>0</v>
      </c>
      <c r="Q54" s="2">
        <f t="shared" si="23"/>
        <v>0</v>
      </c>
      <c r="R54" s="2">
        <f t="shared" si="24"/>
        <v>0</v>
      </c>
      <c r="S54" s="2">
        <f t="shared" si="25"/>
        <v>89.63</v>
      </c>
      <c r="T54" s="2">
        <f t="shared" si="26"/>
        <v>0</v>
      </c>
      <c r="U54" s="2">
        <f t="shared" si="27"/>
        <v>7.5383999999999993</v>
      </c>
      <c r="V54" s="2">
        <f t="shared" si="28"/>
        <v>0</v>
      </c>
      <c r="W54" s="2">
        <f t="shared" si="29"/>
        <v>0</v>
      </c>
      <c r="X54" s="2">
        <f t="shared" si="30"/>
        <v>85.15</v>
      </c>
      <c r="Y54" s="2">
        <f t="shared" si="31"/>
        <v>47.5</v>
      </c>
      <c r="Z54" s="2"/>
      <c r="AA54" s="2">
        <v>57034452</v>
      </c>
      <c r="AB54" s="2">
        <f t="shared" si="32"/>
        <v>4.2804000000000002</v>
      </c>
      <c r="AC54" s="2">
        <f t="shared" si="33"/>
        <v>0</v>
      </c>
      <c r="AD54" s="2">
        <f t="shared" si="34"/>
        <v>0</v>
      </c>
      <c r="AE54" s="2">
        <f t="shared" si="35"/>
        <v>0</v>
      </c>
      <c r="AF54" s="2">
        <f t="shared" si="36"/>
        <v>4.2804000000000002</v>
      </c>
      <c r="AG54" s="2">
        <f t="shared" si="37"/>
        <v>0</v>
      </c>
      <c r="AH54" s="2">
        <f t="shared" si="38"/>
        <v>0.36</v>
      </c>
      <c r="AI54" s="2">
        <f t="shared" si="39"/>
        <v>0</v>
      </c>
      <c r="AJ54" s="2">
        <f t="shared" si="40"/>
        <v>0</v>
      </c>
      <c r="AK54" s="2">
        <v>13.56</v>
      </c>
      <c r="AL54" s="2">
        <v>1.67</v>
      </c>
      <c r="AM54" s="2">
        <v>0</v>
      </c>
      <c r="AN54" s="2">
        <v>0</v>
      </c>
      <c r="AO54" s="2">
        <v>11.89</v>
      </c>
      <c r="AP54" s="2">
        <v>0</v>
      </c>
      <c r="AQ54" s="2">
        <v>1</v>
      </c>
      <c r="AR54" s="2">
        <v>0</v>
      </c>
      <c r="AS54" s="2">
        <v>0</v>
      </c>
      <c r="AT54" s="2">
        <v>95</v>
      </c>
      <c r="AU54" s="2">
        <v>53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59</v>
      </c>
      <c r="BK54" s="2"/>
      <c r="BL54" s="2"/>
      <c r="BM54" s="2">
        <v>69</v>
      </c>
      <c r="BN54" s="2">
        <v>0</v>
      </c>
      <c r="BO54" s="2" t="s">
        <v>57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95</v>
      </c>
      <c r="CA54" s="2">
        <v>53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613</v>
      </c>
      <c r="CO54" s="2">
        <v>0</v>
      </c>
      <c r="CP54" s="2">
        <f t="shared" si="41"/>
        <v>89.63</v>
      </c>
      <c r="CQ54" s="2">
        <f t="shared" si="42"/>
        <v>0</v>
      </c>
      <c r="CR54" s="2">
        <f t="shared" si="43"/>
        <v>0</v>
      </c>
      <c r="CS54" s="2">
        <f t="shared" si="44"/>
        <v>0</v>
      </c>
      <c r="CT54" s="2">
        <f t="shared" si="45"/>
        <v>4.4800000000000004</v>
      </c>
      <c r="CU54" s="2">
        <f t="shared" si="46"/>
        <v>0</v>
      </c>
      <c r="CV54" s="2">
        <f t="shared" si="47"/>
        <v>0.37691999999999998</v>
      </c>
      <c r="CW54" s="2">
        <f t="shared" si="48"/>
        <v>0</v>
      </c>
      <c r="CX54" s="2">
        <f t="shared" si="49"/>
        <v>0</v>
      </c>
      <c r="CY54" s="2">
        <f t="shared" si="50"/>
        <v>85.15</v>
      </c>
      <c r="CZ54" s="2">
        <f t="shared" si="51"/>
        <v>47.5</v>
      </c>
      <c r="DA54" s="2"/>
      <c r="DB54" s="2">
        <v>53</v>
      </c>
      <c r="DC54" s="2" t="s">
        <v>3</v>
      </c>
      <c r="DD54" s="2" t="s">
        <v>28</v>
      </c>
      <c r="DE54" s="2" t="s">
        <v>29</v>
      </c>
      <c r="DF54" s="2" t="s">
        <v>29</v>
      </c>
      <c r="DG54" s="2" t="s">
        <v>29</v>
      </c>
      <c r="DH54" s="2" t="s">
        <v>3</v>
      </c>
      <c r="DI54" s="2" t="s">
        <v>29</v>
      </c>
      <c r="DJ54" s="2" t="s">
        <v>29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26</v>
      </c>
      <c r="DW54" s="2" t="s">
        <v>26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57042959</v>
      </c>
      <c r="EF54" s="2">
        <v>40</v>
      </c>
      <c r="EG54" s="2" t="s">
        <v>30</v>
      </c>
      <c r="EH54" s="2">
        <v>0</v>
      </c>
      <c r="EI54" s="2" t="s">
        <v>3</v>
      </c>
      <c r="EJ54" s="2">
        <v>2</v>
      </c>
      <c r="EK54" s="2">
        <v>69</v>
      </c>
      <c r="EL54" s="2" t="s">
        <v>60</v>
      </c>
      <c r="EM54" s="2" t="s">
        <v>61</v>
      </c>
      <c r="EN54" s="2"/>
      <c r="EO54" s="2" t="s">
        <v>33</v>
      </c>
      <c r="EP54" s="2"/>
      <c r="EQ54" s="2">
        <v>0</v>
      </c>
      <c r="ER54" s="2">
        <v>13.56</v>
      </c>
      <c r="ES54" s="2">
        <v>1.67</v>
      </c>
      <c r="ET54" s="2">
        <v>0</v>
      </c>
      <c r="EU54" s="2">
        <v>0</v>
      </c>
      <c r="EV54" s="2">
        <v>11.89</v>
      </c>
      <c r="EW54" s="2">
        <v>1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95</v>
      </c>
      <c r="FY54" s="2">
        <v>53</v>
      </c>
      <c r="FZ54" s="2"/>
      <c r="GA54" s="2" t="s">
        <v>3</v>
      </c>
      <c r="GB54" s="2"/>
      <c r="GC54" s="2"/>
      <c r="GD54" s="2">
        <v>1</v>
      </c>
      <c r="GE54" s="2"/>
      <c r="GF54" s="2">
        <v>-1270529744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52"/>
        <v>0</v>
      </c>
      <c r="GM54" s="2">
        <f t="shared" si="53"/>
        <v>222.28</v>
      </c>
      <c r="GN54" s="2">
        <f t="shared" si="54"/>
        <v>0</v>
      </c>
      <c r="GO54" s="2">
        <f t="shared" si="55"/>
        <v>222.28</v>
      </c>
      <c r="GP54" s="2">
        <f t="shared" si="5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5">
      <c r="A55" s="3">
        <v>17</v>
      </c>
      <c r="B55" s="3">
        <v>1</v>
      </c>
      <c r="C55" s="3">
        <f>ROW(SmtRes!A66)</f>
        <v>66</v>
      </c>
      <c r="D55" s="3">
        <f>ROW(EtalonRes!A82)</f>
        <v>82</v>
      </c>
      <c r="E55" s="3" t="s">
        <v>82</v>
      </c>
      <c r="F55" s="3" t="s">
        <v>57</v>
      </c>
      <c r="G55" s="3" t="s">
        <v>83</v>
      </c>
      <c r="H55" s="3" t="s">
        <v>26</v>
      </c>
      <c r="I55" s="3">
        <v>20</v>
      </c>
      <c r="J55" s="3">
        <v>0</v>
      </c>
      <c r="K55" s="3">
        <v>20</v>
      </c>
      <c r="O55" s="3">
        <f t="shared" si="21"/>
        <v>5050.6499999999996</v>
      </c>
      <c r="P55" s="3">
        <f t="shared" si="22"/>
        <v>0</v>
      </c>
      <c r="Q55" s="3">
        <f t="shared" si="23"/>
        <v>0</v>
      </c>
      <c r="R55" s="3">
        <f t="shared" si="24"/>
        <v>0</v>
      </c>
      <c r="S55" s="3">
        <f t="shared" si="25"/>
        <v>5050.6499999999996</v>
      </c>
      <c r="T55" s="3">
        <f t="shared" si="26"/>
        <v>0</v>
      </c>
      <c r="U55" s="3">
        <f t="shared" si="27"/>
        <v>7.5383999999999993</v>
      </c>
      <c r="V55" s="3">
        <f t="shared" si="28"/>
        <v>0</v>
      </c>
      <c r="W55" s="3">
        <f t="shared" si="29"/>
        <v>0</v>
      </c>
      <c r="X55" s="3">
        <f t="shared" si="30"/>
        <v>4798.12</v>
      </c>
      <c r="Y55" s="3">
        <f t="shared" si="31"/>
        <v>2676.84</v>
      </c>
      <c r="AA55" s="3">
        <v>57034454</v>
      </c>
      <c r="AB55" s="3">
        <f t="shared" si="32"/>
        <v>4.2804000000000002</v>
      </c>
      <c r="AC55" s="3">
        <f t="shared" si="33"/>
        <v>0</v>
      </c>
      <c r="AD55" s="3">
        <f t="shared" si="34"/>
        <v>0</v>
      </c>
      <c r="AE55" s="3">
        <f t="shared" si="35"/>
        <v>0</v>
      </c>
      <c r="AF55" s="3">
        <f t="shared" si="36"/>
        <v>4.2804000000000002</v>
      </c>
      <c r="AG55" s="3">
        <f t="shared" si="37"/>
        <v>0</v>
      </c>
      <c r="AH55" s="3">
        <f t="shared" si="38"/>
        <v>0.36</v>
      </c>
      <c r="AI55" s="3">
        <f t="shared" si="39"/>
        <v>0</v>
      </c>
      <c r="AJ55" s="3">
        <f t="shared" si="40"/>
        <v>0</v>
      </c>
      <c r="AK55" s="3">
        <v>13.56</v>
      </c>
      <c r="AL55" s="3">
        <v>1.67</v>
      </c>
      <c r="AM55" s="3">
        <v>0</v>
      </c>
      <c r="AN55" s="3">
        <v>0</v>
      </c>
      <c r="AO55" s="3">
        <v>11.89</v>
      </c>
      <c r="AP55" s="3">
        <v>0</v>
      </c>
      <c r="AQ55" s="3">
        <v>1</v>
      </c>
      <c r="AR55" s="3">
        <v>0</v>
      </c>
      <c r="AS55" s="3">
        <v>0</v>
      </c>
      <c r="AT55" s="3">
        <v>95</v>
      </c>
      <c r="AU55" s="3">
        <v>53</v>
      </c>
      <c r="AV55" s="3">
        <v>1.0469999999999999</v>
      </c>
      <c r="AW55" s="3">
        <v>1</v>
      </c>
      <c r="AZ55" s="3">
        <v>1</v>
      </c>
      <c r="BA55" s="3">
        <v>56.35</v>
      </c>
      <c r="BB55" s="3">
        <v>1</v>
      </c>
      <c r="BC55" s="3">
        <v>17.87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2</v>
      </c>
      <c r="BJ55" s="3" t="s">
        <v>59</v>
      </c>
      <c r="BM55" s="3">
        <v>69</v>
      </c>
      <c r="BN55" s="3">
        <v>0</v>
      </c>
      <c r="BO55" s="3" t="s">
        <v>57</v>
      </c>
      <c r="BP55" s="3">
        <v>1</v>
      </c>
      <c r="BQ55" s="3">
        <v>40</v>
      </c>
      <c r="BR55" s="3">
        <v>0</v>
      </c>
      <c r="BS55" s="3">
        <v>56.35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95</v>
      </c>
      <c r="CA55" s="3">
        <v>53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613</v>
      </c>
      <c r="CO55" s="3">
        <v>0</v>
      </c>
      <c r="CP55" s="3">
        <f t="shared" si="41"/>
        <v>5050.6499999999996</v>
      </c>
      <c r="CQ55" s="3">
        <f t="shared" si="42"/>
        <v>0</v>
      </c>
      <c r="CR55" s="3">
        <f t="shared" si="43"/>
        <v>0</v>
      </c>
      <c r="CS55" s="3">
        <f t="shared" si="44"/>
        <v>0</v>
      </c>
      <c r="CT55" s="3">
        <f t="shared" si="45"/>
        <v>252.45</v>
      </c>
      <c r="CU55" s="3">
        <f t="shared" si="46"/>
        <v>0</v>
      </c>
      <c r="CV55" s="3">
        <f t="shared" si="47"/>
        <v>0.37691999999999998</v>
      </c>
      <c r="CW55" s="3">
        <f t="shared" si="48"/>
        <v>0</v>
      </c>
      <c r="CX55" s="3">
        <f t="shared" si="49"/>
        <v>0</v>
      </c>
      <c r="CY55" s="3">
        <f t="shared" si="50"/>
        <v>4798.12</v>
      </c>
      <c r="CZ55" s="3">
        <f t="shared" si="51"/>
        <v>2676.84</v>
      </c>
      <c r="DB55" s="3">
        <v>55</v>
      </c>
      <c r="DC55" s="3" t="s">
        <v>3</v>
      </c>
      <c r="DD55" s="3" t="s">
        <v>28</v>
      </c>
      <c r="DE55" s="3" t="s">
        <v>29</v>
      </c>
      <c r="DF55" s="3" t="s">
        <v>29</v>
      </c>
      <c r="DG55" s="3" t="s">
        <v>29</v>
      </c>
      <c r="DH55" s="3" t="s">
        <v>3</v>
      </c>
      <c r="DI55" s="3" t="s">
        <v>29</v>
      </c>
      <c r="DJ55" s="3" t="s">
        <v>29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26</v>
      </c>
      <c r="DW55" s="3" t="s">
        <v>26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57042959</v>
      </c>
      <c r="EF55" s="3">
        <v>40</v>
      </c>
      <c r="EG55" s="3" t="s">
        <v>30</v>
      </c>
      <c r="EH55" s="3">
        <v>0</v>
      </c>
      <c r="EI55" s="3" t="s">
        <v>3</v>
      </c>
      <c r="EJ55" s="3">
        <v>2</v>
      </c>
      <c r="EK55" s="3">
        <v>69</v>
      </c>
      <c r="EL55" s="3" t="s">
        <v>60</v>
      </c>
      <c r="EM55" s="3" t="s">
        <v>61</v>
      </c>
      <c r="EO55" s="3" t="s">
        <v>33</v>
      </c>
      <c r="EQ55" s="3">
        <v>0</v>
      </c>
      <c r="ER55" s="3">
        <v>13.56</v>
      </c>
      <c r="ES55" s="3">
        <v>1.67</v>
      </c>
      <c r="ET55" s="3">
        <v>0</v>
      </c>
      <c r="EU55" s="3">
        <v>0</v>
      </c>
      <c r="EV55" s="3">
        <v>11.89</v>
      </c>
      <c r="EW55" s="3">
        <v>1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95</v>
      </c>
      <c r="FY55" s="3">
        <v>53</v>
      </c>
      <c r="GA55" s="3" t="s">
        <v>3</v>
      </c>
      <c r="GD55" s="3">
        <v>1</v>
      </c>
      <c r="GF55" s="3">
        <v>-1270529744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52"/>
        <v>0</v>
      </c>
      <c r="GM55" s="3">
        <f t="shared" si="53"/>
        <v>12525.61</v>
      </c>
      <c r="GN55" s="3">
        <f t="shared" si="54"/>
        <v>0</v>
      </c>
      <c r="GO55" s="3">
        <f t="shared" si="55"/>
        <v>12525.61</v>
      </c>
      <c r="GP55" s="3">
        <f t="shared" si="56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57"/>
        <v>0</v>
      </c>
      <c r="GW55" s="3">
        <v>1</v>
      </c>
      <c r="GX55" s="3">
        <f t="shared" si="58"/>
        <v>0</v>
      </c>
      <c r="HA55" s="3">
        <v>0</v>
      </c>
      <c r="HB55" s="3">
        <v>0</v>
      </c>
      <c r="HC55" s="3">
        <f t="shared" si="59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5">
      <c r="A56" s="2">
        <v>17</v>
      </c>
      <c r="B56" s="2">
        <v>1</v>
      </c>
      <c r="C56" s="2">
        <f>ROW(SmtRes!A67)</f>
        <v>67</v>
      </c>
      <c r="D56" s="2">
        <f>ROW(EtalonRes!A83)</f>
        <v>83</v>
      </c>
      <c r="E56" s="2" t="s">
        <v>84</v>
      </c>
      <c r="F56" s="2" t="s">
        <v>63</v>
      </c>
      <c r="G56" s="2" t="s">
        <v>64</v>
      </c>
      <c r="H56" s="2" t="s">
        <v>26</v>
      </c>
      <c r="I56" s="2">
        <v>84</v>
      </c>
      <c r="J56" s="2">
        <v>0</v>
      </c>
      <c r="K56" s="2">
        <v>84</v>
      </c>
      <c r="L56" s="2"/>
      <c r="M56" s="2"/>
      <c r="N56" s="2"/>
      <c r="O56" s="2">
        <f t="shared" si="21"/>
        <v>510.38</v>
      </c>
      <c r="P56" s="2">
        <f t="shared" si="22"/>
        <v>0</v>
      </c>
      <c r="Q56" s="2">
        <f t="shared" si="23"/>
        <v>1.58</v>
      </c>
      <c r="R56" s="2">
        <f t="shared" si="24"/>
        <v>0.32</v>
      </c>
      <c r="S56" s="2">
        <f t="shared" si="25"/>
        <v>508.8</v>
      </c>
      <c r="T56" s="2">
        <f t="shared" si="26"/>
        <v>0</v>
      </c>
      <c r="U56" s="2">
        <f t="shared" si="27"/>
        <v>37.993535999999999</v>
      </c>
      <c r="V56" s="2">
        <f t="shared" si="28"/>
        <v>0</v>
      </c>
      <c r="W56" s="2">
        <f t="shared" si="29"/>
        <v>0</v>
      </c>
      <c r="X56" s="2">
        <f t="shared" si="30"/>
        <v>458.21</v>
      </c>
      <c r="Y56" s="2">
        <f t="shared" si="31"/>
        <v>234.2</v>
      </c>
      <c r="Z56" s="2"/>
      <c r="AA56" s="2">
        <v>57034452</v>
      </c>
      <c r="AB56" s="2">
        <f t="shared" si="32"/>
        <v>5.8032000000000004</v>
      </c>
      <c r="AC56" s="2">
        <f t="shared" si="33"/>
        <v>0</v>
      </c>
      <c r="AD56" s="2">
        <f t="shared" si="34"/>
        <v>1.7999999999999999E-2</v>
      </c>
      <c r="AE56" s="2">
        <f t="shared" si="35"/>
        <v>3.5999999999999999E-3</v>
      </c>
      <c r="AF56" s="2">
        <f t="shared" si="36"/>
        <v>5.7851999999999997</v>
      </c>
      <c r="AG56" s="2">
        <f t="shared" si="37"/>
        <v>0</v>
      </c>
      <c r="AH56" s="2">
        <f t="shared" si="38"/>
        <v>0.432</v>
      </c>
      <c r="AI56" s="2">
        <f t="shared" si="39"/>
        <v>0</v>
      </c>
      <c r="AJ56" s="2">
        <f t="shared" si="40"/>
        <v>0</v>
      </c>
      <c r="AK56" s="2">
        <v>18.079999999999998</v>
      </c>
      <c r="AL56" s="2">
        <v>1.96</v>
      </c>
      <c r="AM56" s="2">
        <v>0.05</v>
      </c>
      <c r="AN56" s="2">
        <v>0.01</v>
      </c>
      <c r="AO56" s="2">
        <v>16.07</v>
      </c>
      <c r="AP56" s="2">
        <v>0</v>
      </c>
      <c r="AQ56" s="2">
        <v>1.2</v>
      </c>
      <c r="AR56" s="2">
        <v>0</v>
      </c>
      <c r="AS56" s="2">
        <v>0</v>
      </c>
      <c r="AT56" s="2">
        <v>90</v>
      </c>
      <c r="AU56" s="2">
        <v>46</v>
      </c>
      <c r="AV56" s="2">
        <v>1.0469999999999999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2</v>
      </c>
      <c r="BJ56" s="2" t="s">
        <v>65</v>
      </c>
      <c r="BK56" s="2"/>
      <c r="BL56" s="2"/>
      <c r="BM56" s="2">
        <v>68</v>
      </c>
      <c r="BN56" s="2">
        <v>0</v>
      </c>
      <c r="BO56" s="2" t="s">
        <v>63</v>
      </c>
      <c r="BP56" s="2">
        <v>1</v>
      </c>
      <c r="BQ56" s="2">
        <v>40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90</v>
      </c>
      <c r="CA56" s="2">
        <v>46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613</v>
      </c>
      <c r="CO56" s="2">
        <v>0</v>
      </c>
      <c r="CP56" s="2">
        <f t="shared" si="41"/>
        <v>510.38</v>
      </c>
      <c r="CQ56" s="2">
        <f t="shared" si="42"/>
        <v>0</v>
      </c>
      <c r="CR56" s="2">
        <f t="shared" si="43"/>
        <v>0.02</v>
      </c>
      <c r="CS56" s="2">
        <f t="shared" si="44"/>
        <v>0</v>
      </c>
      <c r="CT56" s="2">
        <f t="shared" si="45"/>
        <v>6.06</v>
      </c>
      <c r="CU56" s="2">
        <f t="shared" si="46"/>
        <v>0</v>
      </c>
      <c r="CV56" s="2">
        <f t="shared" si="47"/>
        <v>0.45230399999999998</v>
      </c>
      <c r="CW56" s="2">
        <f t="shared" si="48"/>
        <v>0</v>
      </c>
      <c r="CX56" s="2">
        <f t="shared" si="49"/>
        <v>0</v>
      </c>
      <c r="CY56" s="2">
        <f t="shared" si="50"/>
        <v>457.92</v>
      </c>
      <c r="CZ56" s="2">
        <f t="shared" si="51"/>
        <v>234.05</v>
      </c>
      <c r="DA56" s="2"/>
      <c r="DB56" s="2">
        <v>57</v>
      </c>
      <c r="DC56" s="2" t="s">
        <v>3</v>
      </c>
      <c r="DD56" s="2" t="s">
        <v>28</v>
      </c>
      <c r="DE56" s="2" t="s">
        <v>29</v>
      </c>
      <c r="DF56" s="2" t="s">
        <v>29</v>
      </c>
      <c r="DG56" s="2" t="s">
        <v>29</v>
      </c>
      <c r="DH56" s="2" t="s">
        <v>3</v>
      </c>
      <c r="DI56" s="2" t="s">
        <v>29</v>
      </c>
      <c r="DJ56" s="2" t="s">
        <v>29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26</v>
      </c>
      <c r="DW56" s="2" t="s">
        <v>26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57042958</v>
      </c>
      <c r="EF56" s="2">
        <v>40</v>
      </c>
      <c r="EG56" s="2" t="s">
        <v>30</v>
      </c>
      <c r="EH56" s="2">
        <v>0</v>
      </c>
      <c r="EI56" s="2" t="s">
        <v>3</v>
      </c>
      <c r="EJ56" s="2">
        <v>2</v>
      </c>
      <c r="EK56" s="2">
        <v>68</v>
      </c>
      <c r="EL56" s="2" t="s">
        <v>38</v>
      </c>
      <c r="EM56" s="2" t="s">
        <v>39</v>
      </c>
      <c r="EN56" s="2"/>
      <c r="EO56" s="2" t="s">
        <v>33</v>
      </c>
      <c r="EP56" s="2"/>
      <c r="EQ56" s="2">
        <v>0</v>
      </c>
      <c r="ER56" s="2">
        <v>18.079999999999998</v>
      </c>
      <c r="ES56" s="2">
        <v>1.96</v>
      </c>
      <c r="ET56" s="2">
        <v>0.05</v>
      </c>
      <c r="EU56" s="2">
        <v>0.01</v>
      </c>
      <c r="EV56" s="2">
        <v>16.07</v>
      </c>
      <c r="EW56" s="2">
        <v>1.2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90</v>
      </c>
      <c r="FY56" s="2">
        <v>46</v>
      </c>
      <c r="FZ56" s="2"/>
      <c r="GA56" s="2" t="s">
        <v>3</v>
      </c>
      <c r="GB56" s="2"/>
      <c r="GC56" s="2"/>
      <c r="GD56" s="2">
        <v>1</v>
      </c>
      <c r="GE56" s="2"/>
      <c r="GF56" s="2">
        <v>-1156286095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52"/>
        <v>0</v>
      </c>
      <c r="GM56" s="2">
        <f t="shared" si="53"/>
        <v>1202.79</v>
      </c>
      <c r="GN56" s="2">
        <f t="shared" si="54"/>
        <v>0</v>
      </c>
      <c r="GO56" s="2">
        <f t="shared" si="55"/>
        <v>1202.79</v>
      </c>
      <c r="GP56" s="2">
        <f t="shared" si="56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5">
      <c r="A57" s="3">
        <v>17</v>
      </c>
      <c r="B57" s="3">
        <v>1</v>
      </c>
      <c r="C57" s="3">
        <f>ROW(SmtRes!A68)</f>
        <v>68</v>
      </c>
      <c r="D57" s="3">
        <f>ROW(EtalonRes!A84)</f>
        <v>84</v>
      </c>
      <c r="E57" s="3" t="s">
        <v>84</v>
      </c>
      <c r="F57" s="3" t="s">
        <v>63</v>
      </c>
      <c r="G57" s="3" t="s">
        <v>64</v>
      </c>
      <c r="H57" s="3" t="s">
        <v>26</v>
      </c>
      <c r="I57" s="3">
        <v>84</v>
      </c>
      <c r="J57" s="3">
        <v>0</v>
      </c>
      <c r="K57" s="3">
        <v>84</v>
      </c>
      <c r="O57" s="3">
        <f t="shared" si="21"/>
        <v>28702.48</v>
      </c>
      <c r="P57" s="3">
        <f t="shared" si="22"/>
        <v>0</v>
      </c>
      <c r="Q57" s="3">
        <f t="shared" si="23"/>
        <v>31.6</v>
      </c>
      <c r="R57" s="3">
        <f t="shared" si="24"/>
        <v>18.03</v>
      </c>
      <c r="S57" s="3">
        <f t="shared" si="25"/>
        <v>28670.880000000001</v>
      </c>
      <c r="T57" s="3">
        <f t="shared" si="26"/>
        <v>0</v>
      </c>
      <c r="U57" s="3">
        <f t="shared" si="27"/>
        <v>37.993535999999999</v>
      </c>
      <c r="V57" s="3">
        <f t="shared" si="28"/>
        <v>0</v>
      </c>
      <c r="W57" s="3">
        <f t="shared" si="29"/>
        <v>0</v>
      </c>
      <c r="X57" s="3">
        <f t="shared" si="30"/>
        <v>25820.02</v>
      </c>
      <c r="Y57" s="3">
        <f t="shared" si="31"/>
        <v>13196.9</v>
      </c>
      <c r="AA57" s="3">
        <v>57034454</v>
      </c>
      <c r="AB57" s="3">
        <f t="shared" si="32"/>
        <v>5.8032000000000004</v>
      </c>
      <c r="AC57" s="3">
        <f t="shared" si="33"/>
        <v>0</v>
      </c>
      <c r="AD57" s="3">
        <f t="shared" si="34"/>
        <v>1.7999999999999999E-2</v>
      </c>
      <c r="AE57" s="3">
        <f t="shared" si="35"/>
        <v>3.5999999999999999E-3</v>
      </c>
      <c r="AF57" s="3">
        <f t="shared" si="36"/>
        <v>5.7851999999999997</v>
      </c>
      <c r="AG57" s="3">
        <f t="shared" si="37"/>
        <v>0</v>
      </c>
      <c r="AH57" s="3">
        <f t="shared" si="38"/>
        <v>0.432</v>
      </c>
      <c r="AI57" s="3">
        <f t="shared" si="39"/>
        <v>0</v>
      </c>
      <c r="AJ57" s="3">
        <f t="shared" si="40"/>
        <v>0</v>
      </c>
      <c r="AK57" s="3">
        <v>18.079999999999998</v>
      </c>
      <c r="AL57" s="3">
        <v>1.96</v>
      </c>
      <c r="AM57" s="3">
        <v>0.05</v>
      </c>
      <c r="AN57" s="3">
        <v>0.01</v>
      </c>
      <c r="AO57" s="3">
        <v>16.07</v>
      </c>
      <c r="AP57" s="3">
        <v>0</v>
      </c>
      <c r="AQ57" s="3">
        <v>1.2</v>
      </c>
      <c r="AR57" s="3">
        <v>0</v>
      </c>
      <c r="AS57" s="3">
        <v>0</v>
      </c>
      <c r="AT57" s="3">
        <v>90</v>
      </c>
      <c r="AU57" s="3">
        <v>46</v>
      </c>
      <c r="AV57" s="3">
        <v>1.0469999999999999</v>
      </c>
      <c r="AW57" s="3">
        <v>1</v>
      </c>
      <c r="AZ57" s="3">
        <v>1</v>
      </c>
      <c r="BA57" s="3">
        <v>56.35</v>
      </c>
      <c r="BB57" s="3">
        <v>20</v>
      </c>
      <c r="BC57" s="3">
        <v>9.84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2</v>
      </c>
      <c r="BJ57" s="3" t="s">
        <v>65</v>
      </c>
      <c r="BM57" s="3">
        <v>68</v>
      </c>
      <c r="BN57" s="3">
        <v>0</v>
      </c>
      <c r="BO57" s="3" t="s">
        <v>63</v>
      </c>
      <c r="BP57" s="3">
        <v>1</v>
      </c>
      <c r="BQ57" s="3">
        <v>40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90</v>
      </c>
      <c r="CA57" s="3">
        <v>46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613</v>
      </c>
      <c r="CO57" s="3">
        <v>0</v>
      </c>
      <c r="CP57" s="3">
        <f t="shared" si="41"/>
        <v>28702.48</v>
      </c>
      <c r="CQ57" s="3">
        <f t="shared" si="42"/>
        <v>0</v>
      </c>
      <c r="CR57" s="3">
        <f t="shared" si="43"/>
        <v>0.4</v>
      </c>
      <c r="CS57" s="3">
        <f t="shared" si="44"/>
        <v>0</v>
      </c>
      <c r="CT57" s="3">
        <f t="shared" si="45"/>
        <v>341.48</v>
      </c>
      <c r="CU57" s="3">
        <f t="shared" si="46"/>
        <v>0</v>
      </c>
      <c r="CV57" s="3">
        <f t="shared" si="47"/>
        <v>0.45230399999999998</v>
      </c>
      <c r="CW57" s="3">
        <f t="shared" si="48"/>
        <v>0</v>
      </c>
      <c r="CX57" s="3">
        <f t="shared" si="49"/>
        <v>0</v>
      </c>
      <c r="CY57" s="3">
        <f t="shared" si="50"/>
        <v>25803.79</v>
      </c>
      <c r="CZ57" s="3">
        <f t="shared" si="51"/>
        <v>13188.6</v>
      </c>
      <c r="DB57" s="3">
        <v>59</v>
      </c>
      <c r="DC57" s="3" t="s">
        <v>3</v>
      </c>
      <c r="DD57" s="3" t="s">
        <v>28</v>
      </c>
      <c r="DE57" s="3" t="s">
        <v>29</v>
      </c>
      <c r="DF57" s="3" t="s">
        <v>29</v>
      </c>
      <c r="DG57" s="3" t="s">
        <v>29</v>
      </c>
      <c r="DH57" s="3" t="s">
        <v>3</v>
      </c>
      <c r="DI57" s="3" t="s">
        <v>29</v>
      </c>
      <c r="DJ57" s="3" t="s">
        <v>29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1013</v>
      </c>
      <c r="DV57" s="3" t="s">
        <v>26</v>
      </c>
      <c r="DW57" s="3" t="s">
        <v>26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57042958</v>
      </c>
      <c r="EF57" s="3">
        <v>40</v>
      </c>
      <c r="EG57" s="3" t="s">
        <v>30</v>
      </c>
      <c r="EH57" s="3">
        <v>0</v>
      </c>
      <c r="EI57" s="3" t="s">
        <v>3</v>
      </c>
      <c r="EJ57" s="3">
        <v>2</v>
      </c>
      <c r="EK57" s="3">
        <v>68</v>
      </c>
      <c r="EL57" s="3" t="s">
        <v>38</v>
      </c>
      <c r="EM57" s="3" t="s">
        <v>39</v>
      </c>
      <c r="EO57" s="3" t="s">
        <v>33</v>
      </c>
      <c r="EQ57" s="3">
        <v>0</v>
      </c>
      <c r="ER57" s="3">
        <v>18.079999999999998</v>
      </c>
      <c r="ES57" s="3">
        <v>1.96</v>
      </c>
      <c r="ET57" s="3">
        <v>0.05</v>
      </c>
      <c r="EU57" s="3">
        <v>0.01</v>
      </c>
      <c r="EV57" s="3">
        <v>16.07</v>
      </c>
      <c r="EW57" s="3">
        <v>1.2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90</v>
      </c>
      <c r="FY57" s="3">
        <v>46</v>
      </c>
      <c r="GA57" s="3" t="s">
        <v>3</v>
      </c>
      <c r="GD57" s="3">
        <v>1</v>
      </c>
      <c r="GF57" s="3">
        <v>-1156286095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52"/>
        <v>0</v>
      </c>
      <c r="GM57" s="3">
        <f t="shared" si="53"/>
        <v>67719.399999999994</v>
      </c>
      <c r="GN57" s="3">
        <f t="shared" si="54"/>
        <v>0</v>
      </c>
      <c r="GO57" s="3">
        <f t="shared" si="55"/>
        <v>67719.399999999994</v>
      </c>
      <c r="GP57" s="3">
        <f t="shared" si="56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57"/>
        <v>0</v>
      </c>
      <c r="GW57" s="3">
        <v>1</v>
      </c>
      <c r="GX57" s="3">
        <f t="shared" si="58"/>
        <v>0</v>
      </c>
      <c r="HA57" s="3">
        <v>0</v>
      </c>
      <c r="HB57" s="3">
        <v>0</v>
      </c>
      <c r="HC57" s="3">
        <f t="shared" si="59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5">
      <c r="A58" s="2">
        <v>17</v>
      </c>
      <c r="B58" s="2">
        <v>1</v>
      </c>
      <c r="C58" s="2">
        <f>ROW(SmtRes!A75)</f>
        <v>75</v>
      </c>
      <c r="D58" s="2">
        <f>ROW(EtalonRes!A95)</f>
        <v>95</v>
      </c>
      <c r="E58" s="2" t="s">
        <v>85</v>
      </c>
      <c r="F58" s="2" t="s">
        <v>86</v>
      </c>
      <c r="G58" s="2" t="s">
        <v>87</v>
      </c>
      <c r="H58" s="2" t="s">
        <v>88</v>
      </c>
      <c r="I58" s="2">
        <f>ROUND(1+8+3+2+1,9)</f>
        <v>15</v>
      </c>
      <c r="J58" s="2">
        <v>0</v>
      </c>
      <c r="K58" s="2">
        <f>ROUND(1+8+3+2+1,9)</f>
        <v>15</v>
      </c>
      <c r="L58" s="2"/>
      <c r="M58" s="2"/>
      <c r="N58" s="2"/>
      <c r="O58" s="2">
        <f t="shared" si="21"/>
        <v>1299.07</v>
      </c>
      <c r="P58" s="2">
        <f t="shared" si="22"/>
        <v>0</v>
      </c>
      <c r="Q58" s="2">
        <f t="shared" si="23"/>
        <v>342.96</v>
      </c>
      <c r="R58" s="2">
        <f t="shared" si="24"/>
        <v>52.07</v>
      </c>
      <c r="S58" s="2">
        <f t="shared" si="25"/>
        <v>956.11</v>
      </c>
      <c r="T58" s="2">
        <f t="shared" si="26"/>
        <v>0</v>
      </c>
      <c r="U58" s="2">
        <f t="shared" si="27"/>
        <v>75.760919999999984</v>
      </c>
      <c r="V58" s="2">
        <f t="shared" si="28"/>
        <v>0</v>
      </c>
      <c r="W58" s="2">
        <f t="shared" si="29"/>
        <v>0</v>
      </c>
      <c r="X58" s="2">
        <f t="shared" si="30"/>
        <v>977.93</v>
      </c>
      <c r="Y58" s="2">
        <f t="shared" si="31"/>
        <v>514.16999999999996</v>
      </c>
      <c r="Z58" s="2"/>
      <c r="AA58" s="2">
        <v>57034452</v>
      </c>
      <c r="AB58" s="2">
        <f t="shared" si="32"/>
        <v>82.717200000000005</v>
      </c>
      <c r="AC58" s="2">
        <f t="shared" si="33"/>
        <v>0</v>
      </c>
      <c r="AD58" s="2">
        <f t="shared" si="34"/>
        <v>21.837599999999998</v>
      </c>
      <c r="AE58" s="2">
        <f t="shared" si="35"/>
        <v>3.3155999999999999</v>
      </c>
      <c r="AF58" s="2">
        <f t="shared" si="36"/>
        <v>60.879600000000003</v>
      </c>
      <c r="AG58" s="2">
        <f t="shared" si="37"/>
        <v>0</v>
      </c>
      <c r="AH58" s="2">
        <f t="shared" si="38"/>
        <v>4.823999999999999</v>
      </c>
      <c r="AI58" s="2">
        <f t="shared" si="39"/>
        <v>0</v>
      </c>
      <c r="AJ58" s="2">
        <f t="shared" si="40"/>
        <v>0</v>
      </c>
      <c r="AK58" s="2">
        <v>246.39</v>
      </c>
      <c r="AL58" s="2">
        <v>16.62</v>
      </c>
      <c r="AM58" s="2">
        <v>60.66</v>
      </c>
      <c r="AN58" s="2">
        <v>9.2100000000000009</v>
      </c>
      <c r="AO58" s="2">
        <v>169.11</v>
      </c>
      <c r="AP58" s="2">
        <v>0</v>
      </c>
      <c r="AQ58" s="2">
        <v>13.4</v>
      </c>
      <c r="AR58" s="2">
        <v>0</v>
      </c>
      <c r="AS58" s="2">
        <v>0</v>
      </c>
      <c r="AT58" s="2">
        <v>97</v>
      </c>
      <c r="AU58" s="2">
        <v>51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2</v>
      </c>
      <c r="BJ58" s="2" t="s">
        <v>89</v>
      </c>
      <c r="BK58" s="2"/>
      <c r="BL58" s="2"/>
      <c r="BM58" s="2">
        <v>67</v>
      </c>
      <c r="BN58" s="2">
        <v>0</v>
      </c>
      <c r="BO58" s="2" t="s">
        <v>86</v>
      </c>
      <c r="BP58" s="2">
        <v>1</v>
      </c>
      <c r="BQ58" s="2">
        <v>40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97</v>
      </c>
      <c r="CA58" s="2">
        <v>51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613</v>
      </c>
      <c r="CO58" s="2">
        <v>0</v>
      </c>
      <c r="CP58" s="2">
        <f t="shared" si="41"/>
        <v>1299.07</v>
      </c>
      <c r="CQ58" s="2">
        <f t="shared" si="42"/>
        <v>0</v>
      </c>
      <c r="CR58" s="2">
        <f t="shared" si="43"/>
        <v>22.86</v>
      </c>
      <c r="CS58" s="2">
        <f t="shared" si="44"/>
        <v>3.47</v>
      </c>
      <c r="CT58" s="2">
        <f t="shared" si="45"/>
        <v>63.74</v>
      </c>
      <c r="CU58" s="2">
        <f t="shared" si="46"/>
        <v>0</v>
      </c>
      <c r="CV58" s="2">
        <f t="shared" si="47"/>
        <v>5.0507279999999986</v>
      </c>
      <c r="CW58" s="2">
        <f t="shared" si="48"/>
        <v>0</v>
      </c>
      <c r="CX58" s="2">
        <f t="shared" si="49"/>
        <v>0</v>
      </c>
      <c r="CY58" s="2">
        <f t="shared" si="50"/>
        <v>930.79</v>
      </c>
      <c r="CZ58" s="2">
        <f t="shared" si="51"/>
        <v>489.39</v>
      </c>
      <c r="DA58" s="2"/>
      <c r="DB58" s="2">
        <v>61</v>
      </c>
      <c r="DC58" s="2" t="s">
        <v>3</v>
      </c>
      <c r="DD58" s="2" t="s">
        <v>28</v>
      </c>
      <c r="DE58" s="2" t="s">
        <v>29</v>
      </c>
      <c r="DF58" s="2" t="s">
        <v>29</v>
      </c>
      <c r="DG58" s="2" t="s">
        <v>29</v>
      </c>
      <c r="DH58" s="2" t="s">
        <v>3</v>
      </c>
      <c r="DI58" s="2" t="s">
        <v>29</v>
      </c>
      <c r="DJ58" s="2" t="s">
        <v>29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88</v>
      </c>
      <c r="DW58" s="2" t="s">
        <v>88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57042957</v>
      </c>
      <c r="EF58" s="2">
        <v>40</v>
      </c>
      <c r="EG58" s="2" t="s">
        <v>30</v>
      </c>
      <c r="EH58" s="2">
        <v>0</v>
      </c>
      <c r="EI58" s="2" t="s">
        <v>3</v>
      </c>
      <c r="EJ58" s="2">
        <v>2</v>
      </c>
      <c r="EK58" s="2">
        <v>67</v>
      </c>
      <c r="EL58" s="2" t="s">
        <v>80</v>
      </c>
      <c r="EM58" s="2" t="s">
        <v>81</v>
      </c>
      <c r="EN58" s="2"/>
      <c r="EO58" s="2" t="s">
        <v>33</v>
      </c>
      <c r="EP58" s="2"/>
      <c r="EQ58" s="2">
        <v>0</v>
      </c>
      <c r="ER58" s="2">
        <v>246.39</v>
      </c>
      <c r="ES58" s="2">
        <v>16.62</v>
      </c>
      <c r="ET58" s="2">
        <v>60.66</v>
      </c>
      <c r="EU58" s="2">
        <v>9.2100000000000009</v>
      </c>
      <c r="EV58" s="2">
        <v>169.11</v>
      </c>
      <c r="EW58" s="2">
        <v>13.4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97</v>
      </c>
      <c r="FY58" s="2">
        <v>51</v>
      </c>
      <c r="FZ58" s="2"/>
      <c r="GA58" s="2" t="s">
        <v>3</v>
      </c>
      <c r="GB58" s="2"/>
      <c r="GC58" s="2"/>
      <c r="GD58" s="2">
        <v>1</v>
      </c>
      <c r="GE58" s="2"/>
      <c r="GF58" s="2">
        <v>-1897895730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52"/>
        <v>0</v>
      </c>
      <c r="GM58" s="2">
        <f t="shared" si="53"/>
        <v>2791.17</v>
      </c>
      <c r="GN58" s="2">
        <f t="shared" si="54"/>
        <v>0</v>
      </c>
      <c r="GO58" s="2">
        <f t="shared" si="55"/>
        <v>2791.17</v>
      </c>
      <c r="GP58" s="2">
        <f t="shared" si="56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57"/>
        <v>0</v>
      </c>
      <c r="GW58" s="2">
        <v>1</v>
      </c>
      <c r="GX58" s="2">
        <f t="shared" si="58"/>
        <v>0</v>
      </c>
      <c r="GY58" s="2"/>
      <c r="GZ58" s="2"/>
      <c r="HA58" s="2">
        <v>0</v>
      </c>
      <c r="HB58" s="2">
        <v>0</v>
      </c>
      <c r="HC58" s="2">
        <f t="shared" si="59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5">
      <c r="A59" s="3">
        <v>17</v>
      </c>
      <c r="B59" s="3">
        <v>1</v>
      </c>
      <c r="C59" s="3">
        <f>ROW(SmtRes!A82)</f>
        <v>82</v>
      </c>
      <c r="D59" s="3">
        <f>ROW(EtalonRes!A106)</f>
        <v>106</v>
      </c>
      <c r="E59" s="3" t="s">
        <v>85</v>
      </c>
      <c r="F59" s="3" t="s">
        <v>86</v>
      </c>
      <c r="G59" s="3" t="s">
        <v>87</v>
      </c>
      <c r="H59" s="3" t="s">
        <v>88</v>
      </c>
      <c r="I59" s="3">
        <f>ROUND(1+8+3+2+1,9)</f>
        <v>15</v>
      </c>
      <c r="J59" s="3">
        <v>0</v>
      </c>
      <c r="K59" s="3">
        <f>ROUND(1+8+3+2+1,9)</f>
        <v>15</v>
      </c>
      <c r="O59" s="3">
        <f t="shared" si="21"/>
        <v>59731.13</v>
      </c>
      <c r="P59" s="3">
        <f t="shared" si="22"/>
        <v>0</v>
      </c>
      <c r="Q59" s="3">
        <f t="shared" si="23"/>
        <v>5854.33</v>
      </c>
      <c r="R59" s="3">
        <f t="shared" si="24"/>
        <v>2934.14</v>
      </c>
      <c r="S59" s="3">
        <f t="shared" si="25"/>
        <v>53876.800000000003</v>
      </c>
      <c r="T59" s="3">
        <f t="shared" si="26"/>
        <v>0</v>
      </c>
      <c r="U59" s="3">
        <f t="shared" si="27"/>
        <v>75.760919999999984</v>
      </c>
      <c r="V59" s="3">
        <f t="shared" si="28"/>
        <v>0</v>
      </c>
      <c r="W59" s="3">
        <f t="shared" si="29"/>
        <v>0</v>
      </c>
      <c r="X59" s="3">
        <f t="shared" si="30"/>
        <v>55106.61</v>
      </c>
      <c r="Y59" s="3">
        <f t="shared" si="31"/>
        <v>28973.58</v>
      </c>
      <c r="AA59" s="3">
        <v>57034454</v>
      </c>
      <c r="AB59" s="3">
        <f t="shared" si="32"/>
        <v>82.717200000000005</v>
      </c>
      <c r="AC59" s="3">
        <f t="shared" si="33"/>
        <v>0</v>
      </c>
      <c r="AD59" s="3">
        <f t="shared" si="34"/>
        <v>21.837599999999998</v>
      </c>
      <c r="AE59" s="3">
        <f t="shared" si="35"/>
        <v>3.3155999999999999</v>
      </c>
      <c r="AF59" s="3">
        <f t="shared" si="36"/>
        <v>60.879600000000003</v>
      </c>
      <c r="AG59" s="3">
        <f t="shared" si="37"/>
        <v>0</v>
      </c>
      <c r="AH59" s="3">
        <f t="shared" si="38"/>
        <v>4.823999999999999</v>
      </c>
      <c r="AI59" s="3">
        <f t="shared" si="39"/>
        <v>0</v>
      </c>
      <c r="AJ59" s="3">
        <f t="shared" si="40"/>
        <v>0</v>
      </c>
      <c r="AK59" s="3">
        <v>246.39</v>
      </c>
      <c r="AL59" s="3">
        <v>16.62</v>
      </c>
      <c r="AM59" s="3">
        <v>60.66</v>
      </c>
      <c r="AN59" s="3">
        <v>9.2100000000000009</v>
      </c>
      <c r="AO59" s="3">
        <v>169.11</v>
      </c>
      <c r="AP59" s="3">
        <v>0</v>
      </c>
      <c r="AQ59" s="3">
        <v>13.4</v>
      </c>
      <c r="AR59" s="3">
        <v>0</v>
      </c>
      <c r="AS59" s="3">
        <v>0</v>
      </c>
      <c r="AT59" s="3">
        <v>97</v>
      </c>
      <c r="AU59" s="3">
        <v>51</v>
      </c>
      <c r="AV59" s="3">
        <v>1.0469999999999999</v>
      </c>
      <c r="AW59" s="3">
        <v>1</v>
      </c>
      <c r="AZ59" s="3">
        <v>1</v>
      </c>
      <c r="BA59" s="3">
        <v>56.35</v>
      </c>
      <c r="BB59" s="3">
        <v>17.07</v>
      </c>
      <c r="BC59" s="3">
        <v>8.18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0</v>
      </c>
      <c r="BI59" s="3">
        <v>2</v>
      </c>
      <c r="BJ59" s="3" t="s">
        <v>89</v>
      </c>
      <c r="BM59" s="3">
        <v>67</v>
      </c>
      <c r="BN59" s="3">
        <v>0</v>
      </c>
      <c r="BO59" s="3" t="s">
        <v>86</v>
      </c>
      <c r="BP59" s="3">
        <v>1</v>
      </c>
      <c r="BQ59" s="3">
        <v>40</v>
      </c>
      <c r="BR59" s="3">
        <v>0</v>
      </c>
      <c r="BS59" s="3">
        <v>56.35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97</v>
      </c>
      <c r="CA59" s="3">
        <v>51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613</v>
      </c>
      <c r="CO59" s="3">
        <v>0</v>
      </c>
      <c r="CP59" s="3">
        <f t="shared" si="41"/>
        <v>59731.130000000005</v>
      </c>
      <c r="CQ59" s="3">
        <f t="shared" si="42"/>
        <v>0</v>
      </c>
      <c r="CR59" s="3">
        <f t="shared" si="43"/>
        <v>390.22</v>
      </c>
      <c r="CS59" s="3">
        <f t="shared" si="44"/>
        <v>195.53</v>
      </c>
      <c r="CT59" s="3">
        <f t="shared" si="45"/>
        <v>3591.75</v>
      </c>
      <c r="CU59" s="3">
        <f t="shared" si="46"/>
        <v>0</v>
      </c>
      <c r="CV59" s="3">
        <f t="shared" si="47"/>
        <v>5.0507279999999986</v>
      </c>
      <c r="CW59" s="3">
        <f t="shared" si="48"/>
        <v>0</v>
      </c>
      <c r="CX59" s="3">
        <f t="shared" si="49"/>
        <v>0</v>
      </c>
      <c r="CY59" s="3">
        <f t="shared" si="50"/>
        <v>52450.16</v>
      </c>
      <c r="CZ59" s="3">
        <f t="shared" si="51"/>
        <v>27576.89</v>
      </c>
      <c r="DB59" s="3">
        <v>63</v>
      </c>
      <c r="DC59" s="3" t="s">
        <v>3</v>
      </c>
      <c r="DD59" s="3" t="s">
        <v>28</v>
      </c>
      <c r="DE59" s="3" t="s">
        <v>29</v>
      </c>
      <c r="DF59" s="3" t="s">
        <v>29</v>
      </c>
      <c r="DG59" s="3" t="s">
        <v>29</v>
      </c>
      <c r="DH59" s="3" t="s">
        <v>3</v>
      </c>
      <c r="DI59" s="3" t="s">
        <v>29</v>
      </c>
      <c r="DJ59" s="3" t="s">
        <v>29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1013</v>
      </c>
      <c r="DV59" s="3" t="s">
        <v>88</v>
      </c>
      <c r="DW59" s="3" t="s">
        <v>88</v>
      </c>
      <c r="DX59" s="3">
        <v>1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57042957</v>
      </c>
      <c r="EF59" s="3">
        <v>40</v>
      </c>
      <c r="EG59" s="3" t="s">
        <v>30</v>
      </c>
      <c r="EH59" s="3">
        <v>0</v>
      </c>
      <c r="EI59" s="3" t="s">
        <v>3</v>
      </c>
      <c r="EJ59" s="3">
        <v>2</v>
      </c>
      <c r="EK59" s="3">
        <v>67</v>
      </c>
      <c r="EL59" s="3" t="s">
        <v>80</v>
      </c>
      <c r="EM59" s="3" t="s">
        <v>81</v>
      </c>
      <c r="EO59" s="3" t="s">
        <v>33</v>
      </c>
      <c r="EQ59" s="3">
        <v>0</v>
      </c>
      <c r="ER59" s="3">
        <v>246.39</v>
      </c>
      <c r="ES59" s="3">
        <v>16.62</v>
      </c>
      <c r="ET59" s="3">
        <v>60.66</v>
      </c>
      <c r="EU59" s="3">
        <v>9.2100000000000009</v>
      </c>
      <c r="EV59" s="3">
        <v>169.11</v>
      </c>
      <c r="EW59" s="3">
        <v>13.4</v>
      </c>
      <c r="EX59" s="3">
        <v>0</v>
      </c>
      <c r="EY59" s="3">
        <v>0</v>
      </c>
      <c r="FQ59" s="3">
        <v>0</v>
      </c>
      <c r="FR59" s="3">
        <v>0</v>
      </c>
      <c r="FS59" s="3">
        <v>0</v>
      </c>
      <c r="FX59" s="3">
        <v>97</v>
      </c>
      <c r="FY59" s="3">
        <v>51</v>
      </c>
      <c r="GA59" s="3" t="s">
        <v>3</v>
      </c>
      <c r="GD59" s="3">
        <v>1</v>
      </c>
      <c r="GF59" s="3">
        <v>-1897895730</v>
      </c>
      <c r="GG59" s="3">
        <v>2</v>
      </c>
      <c r="GH59" s="3">
        <v>1</v>
      </c>
      <c r="GI59" s="3">
        <v>2</v>
      </c>
      <c r="GJ59" s="3">
        <v>0</v>
      </c>
      <c r="GK59" s="3">
        <v>0</v>
      </c>
      <c r="GL59" s="3">
        <f t="shared" si="52"/>
        <v>0</v>
      </c>
      <c r="GM59" s="3">
        <f t="shared" si="53"/>
        <v>143811.32</v>
      </c>
      <c r="GN59" s="3">
        <f t="shared" si="54"/>
        <v>0</v>
      </c>
      <c r="GO59" s="3">
        <f t="shared" si="55"/>
        <v>143811.32</v>
      </c>
      <c r="GP59" s="3">
        <f t="shared" si="56"/>
        <v>0</v>
      </c>
      <c r="GR59" s="3">
        <v>0</v>
      </c>
      <c r="GS59" s="3">
        <v>3</v>
      </c>
      <c r="GT59" s="3">
        <v>0</v>
      </c>
      <c r="GU59" s="3" t="s">
        <v>3</v>
      </c>
      <c r="GV59" s="3">
        <f t="shared" si="57"/>
        <v>0</v>
      </c>
      <c r="GW59" s="3">
        <v>1</v>
      </c>
      <c r="GX59" s="3">
        <f t="shared" si="58"/>
        <v>0</v>
      </c>
      <c r="HA59" s="3">
        <v>0</v>
      </c>
      <c r="HB59" s="3">
        <v>0</v>
      </c>
      <c r="HC59" s="3">
        <f t="shared" si="59"/>
        <v>0</v>
      </c>
      <c r="HE59" s="3" t="s">
        <v>3</v>
      </c>
      <c r="HF59" s="3" t="s">
        <v>3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5">
      <c r="A60" s="2">
        <v>17</v>
      </c>
      <c r="B60" s="2">
        <v>1</v>
      </c>
      <c r="C60" s="2">
        <f>ROW(SmtRes!A83)</f>
        <v>83</v>
      </c>
      <c r="D60" s="2">
        <f>ROW(EtalonRes!A107)</f>
        <v>107</v>
      </c>
      <c r="E60" s="2" t="s">
        <v>90</v>
      </c>
      <c r="F60" s="2" t="s">
        <v>91</v>
      </c>
      <c r="G60" s="2" t="s">
        <v>92</v>
      </c>
      <c r="H60" s="2" t="s">
        <v>26</v>
      </c>
      <c r="I60" s="2">
        <f>ROUND(24+1,9)</f>
        <v>25</v>
      </c>
      <c r="J60" s="2">
        <v>0</v>
      </c>
      <c r="K60" s="2">
        <f>ROUND(24+1,9)</f>
        <v>25</v>
      </c>
      <c r="L60" s="2"/>
      <c r="M60" s="2"/>
      <c r="N60" s="2"/>
      <c r="O60" s="2">
        <f t="shared" si="21"/>
        <v>307.38</v>
      </c>
      <c r="P60" s="2">
        <f t="shared" si="22"/>
        <v>0</v>
      </c>
      <c r="Q60" s="2">
        <f t="shared" si="23"/>
        <v>0.47</v>
      </c>
      <c r="R60" s="2">
        <f t="shared" si="24"/>
        <v>0.09</v>
      </c>
      <c r="S60" s="2">
        <f t="shared" si="25"/>
        <v>306.91000000000003</v>
      </c>
      <c r="T60" s="2">
        <f t="shared" si="26"/>
        <v>0</v>
      </c>
      <c r="U60" s="2">
        <f t="shared" si="27"/>
        <v>22.615199999999998</v>
      </c>
      <c r="V60" s="2">
        <f t="shared" si="28"/>
        <v>0</v>
      </c>
      <c r="W60" s="2">
        <f t="shared" si="29"/>
        <v>0</v>
      </c>
      <c r="X60" s="2">
        <f t="shared" si="30"/>
        <v>276.3</v>
      </c>
      <c r="Y60" s="2">
        <f t="shared" si="31"/>
        <v>141.22</v>
      </c>
      <c r="Z60" s="2"/>
      <c r="AA60" s="2">
        <v>57034452</v>
      </c>
      <c r="AB60" s="2">
        <f t="shared" si="32"/>
        <v>11.7432</v>
      </c>
      <c r="AC60" s="2">
        <f t="shared" si="33"/>
        <v>0</v>
      </c>
      <c r="AD60" s="2">
        <f t="shared" si="34"/>
        <v>1.7999999999999999E-2</v>
      </c>
      <c r="AE60" s="2">
        <f t="shared" si="35"/>
        <v>3.5999999999999999E-3</v>
      </c>
      <c r="AF60" s="2">
        <f t="shared" si="36"/>
        <v>11.725199999999999</v>
      </c>
      <c r="AG60" s="2">
        <f t="shared" si="37"/>
        <v>0</v>
      </c>
      <c r="AH60" s="2">
        <f t="shared" si="38"/>
        <v>0.86399999999999999</v>
      </c>
      <c r="AI60" s="2">
        <f t="shared" si="39"/>
        <v>0</v>
      </c>
      <c r="AJ60" s="2">
        <f t="shared" si="40"/>
        <v>0</v>
      </c>
      <c r="AK60" s="2">
        <v>36.33</v>
      </c>
      <c r="AL60" s="2">
        <v>3.71</v>
      </c>
      <c r="AM60" s="2">
        <v>0.05</v>
      </c>
      <c r="AN60" s="2">
        <v>0.01</v>
      </c>
      <c r="AO60" s="2">
        <v>32.57</v>
      </c>
      <c r="AP60" s="2">
        <v>0</v>
      </c>
      <c r="AQ60" s="2">
        <v>2.4</v>
      </c>
      <c r="AR60" s="2">
        <v>0</v>
      </c>
      <c r="AS60" s="2">
        <v>0</v>
      </c>
      <c r="AT60" s="2">
        <v>90</v>
      </c>
      <c r="AU60" s="2">
        <v>46</v>
      </c>
      <c r="AV60" s="2">
        <v>1.0469999999999999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2</v>
      </c>
      <c r="BJ60" s="2" t="s">
        <v>93</v>
      </c>
      <c r="BK60" s="2"/>
      <c r="BL60" s="2"/>
      <c r="BM60" s="2">
        <v>68</v>
      </c>
      <c r="BN60" s="2">
        <v>0</v>
      </c>
      <c r="BO60" s="2" t="s">
        <v>91</v>
      </c>
      <c r="BP60" s="2">
        <v>1</v>
      </c>
      <c r="BQ60" s="2">
        <v>40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90</v>
      </c>
      <c r="CA60" s="2">
        <v>46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613</v>
      </c>
      <c r="CO60" s="2">
        <v>0</v>
      </c>
      <c r="CP60" s="2">
        <f t="shared" si="41"/>
        <v>307.38000000000005</v>
      </c>
      <c r="CQ60" s="2">
        <f t="shared" si="42"/>
        <v>0</v>
      </c>
      <c r="CR60" s="2">
        <f t="shared" si="43"/>
        <v>0.02</v>
      </c>
      <c r="CS60" s="2">
        <f t="shared" si="44"/>
        <v>0</v>
      </c>
      <c r="CT60" s="2">
        <f t="shared" si="45"/>
        <v>12.28</v>
      </c>
      <c r="CU60" s="2">
        <f t="shared" si="46"/>
        <v>0</v>
      </c>
      <c r="CV60" s="2">
        <f t="shared" si="47"/>
        <v>0.90460799999999997</v>
      </c>
      <c r="CW60" s="2">
        <f t="shared" si="48"/>
        <v>0</v>
      </c>
      <c r="CX60" s="2">
        <f t="shared" si="49"/>
        <v>0</v>
      </c>
      <c r="CY60" s="2">
        <f t="shared" si="50"/>
        <v>276.22000000000003</v>
      </c>
      <c r="CZ60" s="2">
        <f t="shared" si="51"/>
        <v>141.18</v>
      </c>
      <c r="DA60" s="2"/>
      <c r="DB60" s="2">
        <v>65</v>
      </c>
      <c r="DC60" s="2" t="s">
        <v>3</v>
      </c>
      <c r="DD60" s="2" t="s">
        <v>28</v>
      </c>
      <c r="DE60" s="2" t="s">
        <v>29</v>
      </c>
      <c r="DF60" s="2" t="s">
        <v>29</v>
      </c>
      <c r="DG60" s="2" t="s">
        <v>29</v>
      </c>
      <c r="DH60" s="2" t="s">
        <v>3</v>
      </c>
      <c r="DI60" s="2" t="s">
        <v>29</v>
      </c>
      <c r="DJ60" s="2" t="s">
        <v>29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1013</v>
      </c>
      <c r="DV60" s="2" t="s">
        <v>26</v>
      </c>
      <c r="DW60" s="2" t="s">
        <v>26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57042958</v>
      </c>
      <c r="EF60" s="2">
        <v>40</v>
      </c>
      <c r="EG60" s="2" t="s">
        <v>30</v>
      </c>
      <c r="EH60" s="2">
        <v>0</v>
      </c>
      <c r="EI60" s="2" t="s">
        <v>3</v>
      </c>
      <c r="EJ60" s="2">
        <v>2</v>
      </c>
      <c r="EK60" s="2">
        <v>68</v>
      </c>
      <c r="EL60" s="2" t="s">
        <v>38</v>
      </c>
      <c r="EM60" s="2" t="s">
        <v>39</v>
      </c>
      <c r="EN60" s="2"/>
      <c r="EO60" s="2" t="s">
        <v>33</v>
      </c>
      <c r="EP60" s="2"/>
      <c r="EQ60" s="2">
        <v>0</v>
      </c>
      <c r="ER60" s="2">
        <v>36.33</v>
      </c>
      <c r="ES60" s="2">
        <v>3.71</v>
      </c>
      <c r="ET60" s="2">
        <v>0.05</v>
      </c>
      <c r="EU60" s="2">
        <v>0.01</v>
      </c>
      <c r="EV60" s="2">
        <v>32.57</v>
      </c>
      <c r="EW60" s="2">
        <v>2.4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90</v>
      </c>
      <c r="FY60" s="2">
        <v>46</v>
      </c>
      <c r="FZ60" s="2"/>
      <c r="GA60" s="2" t="s">
        <v>3</v>
      </c>
      <c r="GB60" s="2"/>
      <c r="GC60" s="2"/>
      <c r="GD60" s="2">
        <v>1</v>
      </c>
      <c r="GE60" s="2"/>
      <c r="GF60" s="2">
        <v>1254569731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si="52"/>
        <v>0</v>
      </c>
      <c r="GM60" s="2">
        <f t="shared" si="53"/>
        <v>724.9</v>
      </c>
      <c r="GN60" s="2">
        <f t="shared" si="54"/>
        <v>0</v>
      </c>
      <c r="GO60" s="2">
        <f t="shared" si="55"/>
        <v>724.9</v>
      </c>
      <c r="GP60" s="2">
        <f t="shared" si="56"/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si="57"/>
        <v>0</v>
      </c>
      <c r="GW60" s="2">
        <v>1</v>
      </c>
      <c r="GX60" s="2">
        <f t="shared" si="58"/>
        <v>0</v>
      </c>
      <c r="GY60" s="2"/>
      <c r="GZ60" s="2"/>
      <c r="HA60" s="2">
        <v>0</v>
      </c>
      <c r="HB60" s="2">
        <v>0</v>
      </c>
      <c r="HC60" s="2">
        <f t="shared" si="59"/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5">
      <c r="A61" s="3">
        <v>17</v>
      </c>
      <c r="B61" s="3">
        <v>1</v>
      </c>
      <c r="C61" s="3">
        <f>ROW(SmtRes!A84)</f>
        <v>84</v>
      </c>
      <c r="D61" s="3">
        <f>ROW(EtalonRes!A108)</f>
        <v>108</v>
      </c>
      <c r="E61" s="3" t="s">
        <v>90</v>
      </c>
      <c r="F61" s="3" t="s">
        <v>91</v>
      </c>
      <c r="G61" s="3" t="s">
        <v>92</v>
      </c>
      <c r="H61" s="3" t="s">
        <v>26</v>
      </c>
      <c r="I61" s="3">
        <f>ROUND(24+1,9)</f>
        <v>25</v>
      </c>
      <c r="J61" s="3">
        <v>0</v>
      </c>
      <c r="K61" s="3">
        <f>ROUND(24+1,9)</f>
        <v>25</v>
      </c>
      <c r="O61" s="3">
        <f t="shared" si="21"/>
        <v>17303.78</v>
      </c>
      <c r="P61" s="3">
        <f t="shared" si="22"/>
        <v>0</v>
      </c>
      <c r="Q61" s="3">
        <f t="shared" si="23"/>
        <v>9.4</v>
      </c>
      <c r="R61" s="3">
        <f t="shared" si="24"/>
        <v>5.07</v>
      </c>
      <c r="S61" s="3">
        <f t="shared" si="25"/>
        <v>17294.38</v>
      </c>
      <c r="T61" s="3">
        <f t="shared" si="26"/>
        <v>0</v>
      </c>
      <c r="U61" s="3">
        <f t="shared" si="27"/>
        <v>22.615199999999998</v>
      </c>
      <c r="V61" s="3">
        <f t="shared" si="28"/>
        <v>0</v>
      </c>
      <c r="W61" s="3">
        <f t="shared" si="29"/>
        <v>0</v>
      </c>
      <c r="X61" s="3">
        <f t="shared" si="30"/>
        <v>15569.51</v>
      </c>
      <c r="Y61" s="3">
        <f t="shared" si="31"/>
        <v>7957.75</v>
      </c>
      <c r="AA61" s="3">
        <v>57034454</v>
      </c>
      <c r="AB61" s="3">
        <f t="shared" si="32"/>
        <v>11.7432</v>
      </c>
      <c r="AC61" s="3">
        <f t="shared" si="33"/>
        <v>0</v>
      </c>
      <c r="AD61" s="3">
        <f t="shared" si="34"/>
        <v>1.7999999999999999E-2</v>
      </c>
      <c r="AE61" s="3">
        <f t="shared" si="35"/>
        <v>3.5999999999999999E-3</v>
      </c>
      <c r="AF61" s="3">
        <f t="shared" si="36"/>
        <v>11.725199999999999</v>
      </c>
      <c r="AG61" s="3">
        <f t="shared" si="37"/>
        <v>0</v>
      </c>
      <c r="AH61" s="3">
        <f t="shared" si="38"/>
        <v>0.86399999999999999</v>
      </c>
      <c r="AI61" s="3">
        <f t="shared" si="39"/>
        <v>0</v>
      </c>
      <c r="AJ61" s="3">
        <f t="shared" si="40"/>
        <v>0</v>
      </c>
      <c r="AK61" s="3">
        <v>36.33</v>
      </c>
      <c r="AL61" s="3">
        <v>3.71</v>
      </c>
      <c r="AM61" s="3">
        <v>0.05</v>
      </c>
      <c r="AN61" s="3">
        <v>0.01</v>
      </c>
      <c r="AO61" s="3">
        <v>32.57</v>
      </c>
      <c r="AP61" s="3">
        <v>0</v>
      </c>
      <c r="AQ61" s="3">
        <v>2.4</v>
      </c>
      <c r="AR61" s="3">
        <v>0</v>
      </c>
      <c r="AS61" s="3">
        <v>0</v>
      </c>
      <c r="AT61" s="3">
        <v>90</v>
      </c>
      <c r="AU61" s="3">
        <v>46</v>
      </c>
      <c r="AV61" s="3">
        <v>1.0469999999999999</v>
      </c>
      <c r="AW61" s="3">
        <v>1</v>
      </c>
      <c r="AZ61" s="3">
        <v>1</v>
      </c>
      <c r="BA61" s="3">
        <v>56.35</v>
      </c>
      <c r="BB61" s="3">
        <v>20</v>
      </c>
      <c r="BC61" s="3">
        <v>9.84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0</v>
      </c>
      <c r="BI61" s="3">
        <v>2</v>
      </c>
      <c r="BJ61" s="3" t="s">
        <v>93</v>
      </c>
      <c r="BM61" s="3">
        <v>68</v>
      </c>
      <c r="BN61" s="3">
        <v>0</v>
      </c>
      <c r="BO61" s="3" t="s">
        <v>91</v>
      </c>
      <c r="BP61" s="3">
        <v>1</v>
      </c>
      <c r="BQ61" s="3">
        <v>40</v>
      </c>
      <c r="BR61" s="3">
        <v>0</v>
      </c>
      <c r="BS61" s="3">
        <v>56.35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90</v>
      </c>
      <c r="CA61" s="3">
        <v>46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613</v>
      </c>
      <c r="CO61" s="3">
        <v>0</v>
      </c>
      <c r="CP61" s="3">
        <f t="shared" si="41"/>
        <v>17303.780000000002</v>
      </c>
      <c r="CQ61" s="3">
        <f t="shared" si="42"/>
        <v>0</v>
      </c>
      <c r="CR61" s="3">
        <f t="shared" si="43"/>
        <v>0.4</v>
      </c>
      <c r="CS61" s="3">
        <f t="shared" si="44"/>
        <v>0</v>
      </c>
      <c r="CT61" s="3">
        <f t="shared" si="45"/>
        <v>691.98</v>
      </c>
      <c r="CU61" s="3">
        <f t="shared" si="46"/>
        <v>0</v>
      </c>
      <c r="CV61" s="3">
        <f t="shared" si="47"/>
        <v>0.90460799999999997</v>
      </c>
      <c r="CW61" s="3">
        <f t="shared" si="48"/>
        <v>0</v>
      </c>
      <c r="CX61" s="3">
        <f t="shared" si="49"/>
        <v>0</v>
      </c>
      <c r="CY61" s="3">
        <f t="shared" si="50"/>
        <v>15564.94</v>
      </c>
      <c r="CZ61" s="3">
        <f t="shared" si="51"/>
        <v>7955.41</v>
      </c>
      <c r="DB61" s="3">
        <v>67</v>
      </c>
      <c r="DC61" s="3" t="s">
        <v>3</v>
      </c>
      <c r="DD61" s="3" t="s">
        <v>28</v>
      </c>
      <c r="DE61" s="3" t="s">
        <v>29</v>
      </c>
      <c r="DF61" s="3" t="s">
        <v>29</v>
      </c>
      <c r="DG61" s="3" t="s">
        <v>29</v>
      </c>
      <c r="DH61" s="3" t="s">
        <v>3</v>
      </c>
      <c r="DI61" s="3" t="s">
        <v>29</v>
      </c>
      <c r="DJ61" s="3" t="s">
        <v>29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1013</v>
      </c>
      <c r="DV61" s="3" t="s">
        <v>26</v>
      </c>
      <c r="DW61" s="3" t="s">
        <v>26</v>
      </c>
      <c r="DX61" s="3">
        <v>1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57042958</v>
      </c>
      <c r="EF61" s="3">
        <v>40</v>
      </c>
      <c r="EG61" s="3" t="s">
        <v>30</v>
      </c>
      <c r="EH61" s="3">
        <v>0</v>
      </c>
      <c r="EI61" s="3" t="s">
        <v>3</v>
      </c>
      <c r="EJ61" s="3">
        <v>2</v>
      </c>
      <c r="EK61" s="3">
        <v>68</v>
      </c>
      <c r="EL61" s="3" t="s">
        <v>38</v>
      </c>
      <c r="EM61" s="3" t="s">
        <v>39</v>
      </c>
      <c r="EO61" s="3" t="s">
        <v>33</v>
      </c>
      <c r="EQ61" s="3">
        <v>0</v>
      </c>
      <c r="ER61" s="3">
        <v>36.33</v>
      </c>
      <c r="ES61" s="3">
        <v>3.71</v>
      </c>
      <c r="ET61" s="3">
        <v>0.05</v>
      </c>
      <c r="EU61" s="3">
        <v>0.01</v>
      </c>
      <c r="EV61" s="3">
        <v>32.57</v>
      </c>
      <c r="EW61" s="3">
        <v>2.4</v>
      </c>
      <c r="EX61" s="3">
        <v>0</v>
      </c>
      <c r="EY61" s="3">
        <v>0</v>
      </c>
      <c r="FQ61" s="3">
        <v>0</v>
      </c>
      <c r="FR61" s="3">
        <v>0</v>
      </c>
      <c r="FS61" s="3">
        <v>0</v>
      </c>
      <c r="FX61" s="3">
        <v>90</v>
      </c>
      <c r="FY61" s="3">
        <v>46</v>
      </c>
      <c r="GA61" s="3" t="s">
        <v>3</v>
      </c>
      <c r="GD61" s="3">
        <v>1</v>
      </c>
      <c r="GF61" s="3">
        <v>1254569731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52"/>
        <v>0</v>
      </c>
      <c r="GM61" s="3">
        <f t="shared" si="53"/>
        <v>40831.040000000001</v>
      </c>
      <c r="GN61" s="3">
        <f t="shared" si="54"/>
        <v>0</v>
      </c>
      <c r="GO61" s="3">
        <f t="shared" si="55"/>
        <v>40831.040000000001</v>
      </c>
      <c r="GP61" s="3">
        <f t="shared" si="56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57"/>
        <v>0</v>
      </c>
      <c r="GW61" s="3">
        <v>1</v>
      </c>
      <c r="GX61" s="3">
        <f t="shared" si="58"/>
        <v>0</v>
      </c>
      <c r="HA61" s="3">
        <v>0</v>
      </c>
      <c r="HB61" s="3">
        <v>0</v>
      </c>
      <c r="HC61" s="3">
        <f t="shared" si="59"/>
        <v>0</v>
      </c>
      <c r="HE61" s="3" t="s">
        <v>3</v>
      </c>
      <c r="HF61" s="3" t="s">
        <v>3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5">
      <c r="A62" s="2">
        <v>17</v>
      </c>
      <c r="B62" s="2">
        <v>1</v>
      </c>
      <c r="C62" s="2">
        <f>ROW(SmtRes!A85)</f>
        <v>85</v>
      </c>
      <c r="D62" s="2">
        <f>ROW(EtalonRes!A109)</f>
        <v>109</v>
      </c>
      <c r="E62" s="2" t="s">
        <v>94</v>
      </c>
      <c r="F62" s="2" t="s">
        <v>63</v>
      </c>
      <c r="G62" s="2" t="s">
        <v>95</v>
      </c>
      <c r="H62" s="2" t="s">
        <v>26</v>
      </c>
      <c r="I62" s="2">
        <f>ROUND(7+20,9)</f>
        <v>27</v>
      </c>
      <c r="J62" s="2">
        <v>0</v>
      </c>
      <c r="K62" s="2">
        <f>ROUND(7+20,9)</f>
        <v>27</v>
      </c>
      <c r="L62" s="2"/>
      <c r="M62" s="2"/>
      <c r="N62" s="2"/>
      <c r="O62" s="2">
        <f t="shared" si="21"/>
        <v>164.05</v>
      </c>
      <c r="P62" s="2">
        <f t="shared" si="22"/>
        <v>0</v>
      </c>
      <c r="Q62" s="2">
        <f t="shared" si="23"/>
        <v>0.51</v>
      </c>
      <c r="R62" s="2">
        <f t="shared" si="24"/>
        <v>0.1</v>
      </c>
      <c r="S62" s="2">
        <f t="shared" si="25"/>
        <v>163.54</v>
      </c>
      <c r="T62" s="2">
        <f t="shared" si="26"/>
        <v>0</v>
      </c>
      <c r="U62" s="2">
        <f t="shared" si="27"/>
        <v>12.212208</v>
      </c>
      <c r="V62" s="2">
        <f t="shared" si="28"/>
        <v>0</v>
      </c>
      <c r="W62" s="2">
        <f t="shared" si="29"/>
        <v>0</v>
      </c>
      <c r="X62" s="2">
        <f t="shared" si="30"/>
        <v>147.28</v>
      </c>
      <c r="Y62" s="2">
        <f t="shared" si="31"/>
        <v>75.27</v>
      </c>
      <c r="Z62" s="2"/>
      <c r="AA62" s="2">
        <v>57034452</v>
      </c>
      <c r="AB62" s="2">
        <f t="shared" si="32"/>
        <v>5.8032000000000004</v>
      </c>
      <c r="AC62" s="2">
        <f t="shared" si="33"/>
        <v>0</v>
      </c>
      <c r="AD62" s="2">
        <f t="shared" si="34"/>
        <v>1.7999999999999999E-2</v>
      </c>
      <c r="AE62" s="2">
        <f t="shared" si="35"/>
        <v>3.5999999999999999E-3</v>
      </c>
      <c r="AF62" s="2">
        <f t="shared" si="36"/>
        <v>5.7851999999999997</v>
      </c>
      <c r="AG62" s="2">
        <f t="shared" si="37"/>
        <v>0</v>
      </c>
      <c r="AH62" s="2">
        <f t="shared" si="38"/>
        <v>0.432</v>
      </c>
      <c r="AI62" s="2">
        <f t="shared" si="39"/>
        <v>0</v>
      </c>
      <c r="AJ62" s="2">
        <f t="shared" si="40"/>
        <v>0</v>
      </c>
      <c r="AK62" s="2">
        <v>18.079999999999998</v>
      </c>
      <c r="AL62" s="2">
        <v>1.96</v>
      </c>
      <c r="AM62" s="2">
        <v>0.05</v>
      </c>
      <c r="AN62" s="2">
        <v>0.01</v>
      </c>
      <c r="AO62" s="2">
        <v>16.07</v>
      </c>
      <c r="AP62" s="2">
        <v>0</v>
      </c>
      <c r="AQ62" s="2">
        <v>1.2</v>
      </c>
      <c r="AR62" s="2">
        <v>0</v>
      </c>
      <c r="AS62" s="2">
        <v>0</v>
      </c>
      <c r="AT62" s="2">
        <v>90</v>
      </c>
      <c r="AU62" s="2">
        <v>46</v>
      </c>
      <c r="AV62" s="2">
        <v>1.0469999999999999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0</v>
      </c>
      <c r="BI62" s="2">
        <v>2</v>
      </c>
      <c r="BJ62" s="2" t="s">
        <v>65</v>
      </c>
      <c r="BK62" s="2"/>
      <c r="BL62" s="2"/>
      <c r="BM62" s="2">
        <v>68</v>
      </c>
      <c r="BN62" s="2">
        <v>0</v>
      </c>
      <c r="BO62" s="2" t="s">
        <v>63</v>
      </c>
      <c r="BP62" s="2">
        <v>1</v>
      </c>
      <c r="BQ62" s="2">
        <v>40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90</v>
      </c>
      <c r="CA62" s="2">
        <v>46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613</v>
      </c>
      <c r="CO62" s="2">
        <v>0</v>
      </c>
      <c r="CP62" s="2">
        <f t="shared" si="41"/>
        <v>164.04999999999998</v>
      </c>
      <c r="CQ62" s="2">
        <f t="shared" si="42"/>
        <v>0</v>
      </c>
      <c r="CR62" s="2">
        <f t="shared" si="43"/>
        <v>0.02</v>
      </c>
      <c r="CS62" s="2">
        <f t="shared" si="44"/>
        <v>0</v>
      </c>
      <c r="CT62" s="2">
        <f t="shared" si="45"/>
        <v>6.06</v>
      </c>
      <c r="CU62" s="2">
        <f t="shared" si="46"/>
        <v>0</v>
      </c>
      <c r="CV62" s="2">
        <f t="shared" si="47"/>
        <v>0.45230399999999998</v>
      </c>
      <c r="CW62" s="2">
        <f t="shared" si="48"/>
        <v>0</v>
      </c>
      <c r="CX62" s="2">
        <f t="shared" si="49"/>
        <v>0</v>
      </c>
      <c r="CY62" s="2">
        <f t="shared" si="50"/>
        <v>147.19</v>
      </c>
      <c r="CZ62" s="2">
        <f t="shared" si="51"/>
        <v>75.23</v>
      </c>
      <c r="DA62" s="2"/>
      <c r="DB62" s="2">
        <v>69</v>
      </c>
      <c r="DC62" s="2" t="s">
        <v>3</v>
      </c>
      <c r="DD62" s="2" t="s">
        <v>28</v>
      </c>
      <c r="DE62" s="2" t="s">
        <v>29</v>
      </c>
      <c r="DF62" s="2" t="s">
        <v>29</v>
      </c>
      <c r="DG62" s="2" t="s">
        <v>29</v>
      </c>
      <c r="DH62" s="2" t="s">
        <v>3</v>
      </c>
      <c r="DI62" s="2" t="s">
        <v>29</v>
      </c>
      <c r="DJ62" s="2" t="s">
        <v>29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1013</v>
      </c>
      <c r="DV62" s="2" t="s">
        <v>26</v>
      </c>
      <c r="DW62" s="2" t="s">
        <v>26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57042958</v>
      </c>
      <c r="EF62" s="2">
        <v>40</v>
      </c>
      <c r="EG62" s="2" t="s">
        <v>30</v>
      </c>
      <c r="EH62" s="2">
        <v>0</v>
      </c>
      <c r="EI62" s="2" t="s">
        <v>3</v>
      </c>
      <c r="EJ62" s="2">
        <v>2</v>
      </c>
      <c r="EK62" s="2">
        <v>68</v>
      </c>
      <c r="EL62" s="2" t="s">
        <v>38</v>
      </c>
      <c r="EM62" s="2" t="s">
        <v>39</v>
      </c>
      <c r="EN62" s="2"/>
      <c r="EO62" s="2" t="s">
        <v>33</v>
      </c>
      <c r="EP62" s="2"/>
      <c r="EQ62" s="2">
        <v>0</v>
      </c>
      <c r="ER62" s="2">
        <v>18.079999999999998</v>
      </c>
      <c r="ES62" s="2">
        <v>1.96</v>
      </c>
      <c r="ET62" s="2">
        <v>0.05</v>
      </c>
      <c r="EU62" s="2">
        <v>0.01</v>
      </c>
      <c r="EV62" s="2">
        <v>16.07</v>
      </c>
      <c r="EW62" s="2">
        <v>1.2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90</v>
      </c>
      <c r="FY62" s="2">
        <v>46</v>
      </c>
      <c r="FZ62" s="2"/>
      <c r="GA62" s="2" t="s">
        <v>3</v>
      </c>
      <c r="GB62" s="2"/>
      <c r="GC62" s="2"/>
      <c r="GD62" s="2">
        <v>1</v>
      </c>
      <c r="GE62" s="2"/>
      <c r="GF62" s="2">
        <v>-1341631668</v>
      </c>
      <c r="GG62" s="2">
        <v>2</v>
      </c>
      <c r="GH62" s="2">
        <v>1</v>
      </c>
      <c r="GI62" s="2">
        <v>2</v>
      </c>
      <c r="GJ62" s="2">
        <v>0</v>
      </c>
      <c r="GK62" s="2">
        <v>0</v>
      </c>
      <c r="GL62" s="2">
        <f t="shared" si="52"/>
        <v>0</v>
      </c>
      <c r="GM62" s="2">
        <f t="shared" si="53"/>
        <v>386.6</v>
      </c>
      <c r="GN62" s="2">
        <f t="shared" si="54"/>
        <v>0</v>
      </c>
      <c r="GO62" s="2">
        <f t="shared" si="55"/>
        <v>386.6</v>
      </c>
      <c r="GP62" s="2">
        <f t="shared" si="56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57"/>
        <v>0</v>
      </c>
      <c r="GW62" s="2">
        <v>1</v>
      </c>
      <c r="GX62" s="2">
        <f t="shared" si="58"/>
        <v>0</v>
      </c>
      <c r="GY62" s="2"/>
      <c r="GZ62" s="2"/>
      <c r="HA62" s="2">
        <v>0</v>
      </c>
      <c r="HB62" s="2">
        <v>0</v>
      </c>
      <c r="HC62" s="2">
        <f t="shared" si="59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5">
      <c r="A63" s="3">
        <v>17</v>
      </c>
      <c r="B63" s="3">
        <v>1</v>
      </c>
      <c r="C63" s="3">
        <f>ROW(SmtRes!A86)</f>
        <v>86</v>
      </c>
      <c r="D63" s="3">
        <f>ROW(EtalonRes!A110)</f>
        <v>110</v>
      </c>
      <c r="E63" s="3" t="s">
        <v>94</v>
      </c>
      <c r="F63" s="3" t="s">
        <v>63</v>
      </c>
      <c r="G63" s="3" t="s">
        <v>95</v>
      </c>
      <c r="H63" s="3" t="s">
        <v>26</v>
      </c>
      <c r="I63" s="3">
        <f>ROUND(7+20,9)</f>
        <v>27</v>
      </c>
      <c r="J63" s="3">
        <v>0</v>
      </c>
      <c r="K63" s="3">
        <f>ROUND(7+20,9)</f>
        <v>27</v>
      </c>
      <c r="O63" s="3">
        <f t="shared" si="21"/>
        <v>9225.68</v>
      </c>
      <c r="P63" s="3">
        <f t="shared" si="22"/>
        <v>0</v>
      </c>
      <c r="Q63" s="3">
        <f t="shared" si="23"/>
        <v>10.199999999999999</v>
      </c>
      <c r="R63" s="3">
        <f t="shared" si="24"/>
        <v>5.64</v>
      </c>
      <c r="S63" s="3">
        <f t="shared" si="25"/>
        <v>9215.48</v>
      </c>
      <c r="T63" s="3">
        <f t="shared" si="26"/>
        <v>0</v>
      </c>
      <c r="U63" s="3">
        <f t="shared" si="27"/>
        <v>12.212208</v>
      </c>
      <c r="V63" s="3">
        <f t="shared" si="28"/>
        <v>0</v>
      </c>
      <c r="W63" s="3">
        <f t="shared" si="29"/>
        <v>0</v>
      </c>
      <c r="X63" s="3">
        <f t="shared" si="30"/>
        <v>8299.01</v>
      </c>
      <c r="Y63" s="3">
        <f t="shared" si="31"/>
        <v>4241.72</v>
      </c>
      <c r="AA63" s="3">
        <v>57034454</v>
      </c>
      <c r="AB63" s="3">
        <f t="shared" si="32"/>
        <v>5.8032000000000004</v>
      </c>
      <c r="AC63" s="3">
        <f t="shared" si="33"/>
        <v>0</v>
      </c>
      <c r="AD63" s="3">
        <f t="shared" si="34"/>
        <v>1.7999999999999999E-2</v>
      </c>
      <c r="AE63" s="3">
        <f t="shared" si="35"/>
        <v>3.5999999999999999E-3</v>
      </c>
      <c r="AF63" s="3">
        <f t="shared" si="36"/>
        <v>5.7851999999999997</v>
      </c>
      <c r="AG63" s="3">
        <f t="shared" si="37"/>
        <v>0</v>
      </c>
      <c r="AH63" s="3">
        <f t="shared" si="38"/>
        <v>0.432</v>
      </c>
      <c r="AI63" s="3">
        <f t="shared" si="39"/>
        <v>0</v>
      </c>
      <c r="AJ63" s="3">
        <f t="shared" si="40"/>
        <v>0</v>
      </c>
      <c r="AK63" s="3">
        <v>18.079999999999998</v>
      </c>
      <c r="AL63" s="3">
        <v>1.96</v>
      </c>
      <c r="AM63" s="3">
        <v>0.05</v>
      </c>
      <c r="AN63" s="3">
        <v>0.01</v>
      </c>
      <c r="AO63" s="3">
        <v>16.07</v>
      </c>
      <c r="AP63" s="3">
        <v>0</v>
      </c>
      <c r="AQ63" s="3">
        <v>1.2</v>
      </c>
      <c r="AR63" s="3">
        <v>0</v>
      </c>
      <c r="AS63" s="3">
        <v>0</v>
      </c>
      <c r="AT63" s="3">
        <v>90</v>
      </c>
      <c r="AU63" s="3">
        <v>46</v>
      </c>
      <c r="AV63" s="3">
        <v>1.0469999999999999</v>
      </c>
      <c r="AW63" s="3">
        <v>1</v>
      </c>
      <c r="AZ63" s="3">
        <v>1</v>
      </c>
      <c r="BA63" s="3">
        <v>56.35</v>
      </c>
      <c r="BB63" s="3">
        <v>20</v>
      </c>
      <c r="BC63" s="3">
        <v>9.84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0</v>
      </c>
      <c r="BI63" s="3">
        <v>2</v>
      </c>
      <c r="BJ63" s="3" t="s">
        <v>65</v>
      </c>
      <c r="BM63" s="3">
        <v>68</v>
      </c>
      <c r="BN63" s="3">
        <v>0</v>
      </c>
      <c r="BO63" s="3" t="s">
        <v>63</v>
      </c>
      <c r="BP63" s="3">
        <v>1</v>
      </c>
      <c r="BQ63" s="3">
        <v>40</v>
      </c>
      <c r="BR63" s="3">
        <v>0</v>
      </c>
      <c r="BS63" s="3">
        <v>56.35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90</v>
      </c>
      <c r="CA63" s="3">
        <v>46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613</v>
      </c>
      <c r="CO63" s="3">
        <v>0</v>
      </c>
      <c r="CP63" s="3">
        <f t="shared" si="41"/>
        <v>9225.68</v>
      </c>
      <c r="CQ63" s="3">
        <f t="shared" si="42"/>
        <v>0</v>
      </c>
      <c r="CR63" s="3">
        <f t="shared" si="43"/>
        <v>0.4</v>
      </c>
      <c r="CS63" s="3">
        <f t="shared" si="44"/>
        <v>0</v>
      </c>
      <c r="CT63" s="3">
        <f t="shared" si="45"/>
        <v>341.48</v>
      </c>
      <c r="CU63" s="3">
        <f t="shared" si="46"/>
        <v>0</v>
      </c>
      <c r="CV63" s="3">
        <f t="shared" si="47"/>
        <v>0.45230399999999998</v>
      </c>
      <c r="CW63" s="3">
        <f t="shared" si="48"/>
        <v>0</v>
      </c>
      <c r="CX63" s="3">
        <f t="shared" si="49"/>
        <v>0</v>
      </c>
      <c r="CY63" s="3">
        <f t="shared" si="50"/>
        <v>8293.93</v>
      </c>
      <c r="CZ63" s="3">
        <f t="shared" si="51"/>
        <v>4239.12</v>
      </c>
      <c r="DB63" s="3">
        <v>71</v>
      </c>
      <c r="DC63" s="3" t="s">
        <v>3</v>
      </c>
      <c r="DD63" s="3" t="s">
        <v>28</v>
      </c>
      <c r="DE63" s="3" t="s">
        <v>29</v>
      </c>
      <c r="DF63" s="3" t="s">
        <v>29</v>
      </c>
      <c r="DG63" s="3" t="s">
        <v>29</v>
      </c>
      <c r="DH63" s="3" t="s">
        <v>3</v>
      </c>
      <c r="DI63" s="3" t="s">
        <v>29</v>
      </c>
      <c r="DJ63" s="3" t="s">
        <v>29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1013</v>
      </c>
      <c r="DV63" s="3" t="s">
        <v>26</v>
      </c>
      <c r="DW63" s="3" t="s">
        <v>26</v>
      </c>
      <c r="DX63" s="3">
        <v>1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57042958</v>
      </c>
      <c r="EF63" s="3">
        <v>40</v>
      </c>
      <c r="EG63" s="3" t="s">
        <v>30</v>
      </c>
      <c r="EH63" s="3">
        <v>0</v>
      </c>
      <c r="EI63" s="3" t="s">
        <v>3</v>
      </c>
      <c r="EJ63" s="3">
        <v>2</v>
      </c>
      <c r="EK63" s="3">
        <v>68</v>
      </c>
      <c r="EL63" s="3" t="s">
        <v>38</v>
      </c>
      <c r="EM63" s="3" t="s">
        <v>39</v>
      </c>
      <c r="EO63" s="3" t="s">
        <v>33</v>
      </c>
      <c r="EQ63" s="3">
        <v>0</v>
      </c>
      <c r="ER63" s="3">
        <v>18.079999999999998</v>
      </c>
      <c r="ES63" s="3">
        <v>1.96</v>
      </c>
      <c r="ET63" s="3">
        <v>0.05</v>
      </c>
      <c r="EU63" s="3">
        <v>0.01</v>
      </c>
      <c r="EV63" s="3">
        <v>16.07</v>
      </c>
      <c r="EW63" s="3">
        <v>1.2</v>
      </c>
      <c r="EX63" s="3">
        <v>0</v>
      </c>
      <c r="EY63" s="3">
        <v>0</v>
      </c>
      <c r="FQ63" s="3">
        <v>0</v>
      </c>
      <c r="FR63" s="3">
        <v>0</v>
      </c>
      <c r="FS63" s="3">
        <v>0</v>
      </c>
      <c r="FX63" s="3">
        <v>90</v>
      </c>
      <c r="FY63" s="3">
        <v>46</v>
      </c>
      <c r="GA63" s="3" t="s">
        <v>3</v>
      </c>
      <c r="GD63" s="3">
        <v>1</v>
      </c>
      <c r="GF63" s="3">
        <v>-1341631668</v>
      </c>
      <c r="GG63" s="3">
        <v>2</v>
      </c>
      <c r="GH63" s="3">
        <v>1</v>
      </c>
      <c r="GI63" s="3">
        <v>2</v>
      </c>
      <c r="GJ63" s="3">
        <v>0</v>
      </c>
      <c r="GK63" s="3">
        <v>0</v>
      </c>
      <c r="GL63" s="3">
        <f t="shared" si="52"/>
        <v>0</v>
      </c>
      <c r="GM63" s="3">
        <f t="shared" si="53"/>
        <v>21766.41</v>
      </c>
      <c r="GN63" s="3">
        <f t="shared" si="54"/>
        <v>0</v>
      </c>
      <c r="GO63" s="3">
        <f t="shared" si="55"/>
        <v>21766.41</v>
      </c>
      <c r="GP63" s="3">
        <f t="shared" si="56"/>
        <v>0</v>
      </c>
      <c r="GR63" s="3">
        <v>0</v>
      </c>
      <c r="GS63" s="3">
        <v>3</v>
      </c>
      <c r="GT63" s="3">
        <v>0</v>
      </c>
      <c r="GU63" s="3" t="s">
        <v>3</v>
      </c>
      <c r="GV63" s="3">
        <f t="shared" si="57"/>
        <v>0</v>
      </c>
      <c r="GW63" s="3">
        <v>1</v>
      </c>
      <c r="GX63" s="3">
        <f t="shared" si="58"/>
        <v>0</v>
      </c>
      <c r="HA63" s="3">
        <v>0</v>
      </c>
      <c r="HB63" s="3">
        <v>0</v>
      </c>
      <c r="HC63" s="3">
        <f t="shared" si="59"/>
        <v>0</v>
      </c>
      <c r="HE63" s="3" t="s">
        <v>3</v>
      </c>
      <c r="HF63" s="3" t="s">
        <v>3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5">
      <c r="A64" s="2">
        <v>17</v>
      </c>
      <c r="B64" s="2">
        <v>1</v>
      </c>
      <c r="C64" s="2">
        <f>ROW(SmtRes!A92)</f>
        <v>92</v>
      </c>
      <c r="D64" s="2">
        <f>ROW(EtalonRes!A120)</f>
        <v>120</v>
      </c>
      <c r="E64" s="2" t="s">
        <v>96</v>
      </c>
      <c r="F64" s="2" t="s">
        <v>97</v>
      </c>
      <c r="G64" s="2" t="s">
        <v>98</v>
      </c>
      <c r="H64" s="2" t="s">
        <v>99</v>
      </c>
      <c r="I64" s="2">
        <f>ROUND(5150/100,9)</f>
        <v>51.5</v>
      </c>
      <c r="J64" s="2">
        <v>0</v>
      </c>
      <c r="K64" s="2">
        <f>ROUND(5150/100,9)</f>
        <v>51.5</v>
      </c>
      <c r="L64" s="2"/>
      <c r="M64" s="2"/>
      <c r="N64" s="2"/>
      <c r="O64" s="2">
        <f t="shared" si="21"/>
        <v>8121.53</v>
      </c>
      <c r="P64" s="2">
        <f t="shared" si="22"/>
        <v>0</v>
      </c>
      <c r="Q64" s="2">
        <f t="shared" si="23"/>
        <v>135.69</v>
      </c>
      <c r="R64" s="2">
        <f t="shared" si="24"/>
        <v>0</v>
      </c>
      <c r="S64" s="2">
        <f t="shared" si="25"/>
        <v>7985.84</v>
      </c>
      <c r="T64" s="2">
        <f t="shared" si="26"/>
        <v>0</v>
      </c>
      <c r="U64" s="2">
        <f t="shared" si="27"/>
        <v>671.82786179999982</v>
      </c>
      <c r="V64" s="2">
        <f t="shared" si="28"/>
        <v>0</v>
      </c>
      <c r="W64" s="2">
        <f t="shared" si="29"/>
        <v>0</v>
      </c>
      <c r="X64" s="2">
        <f t="shared" si="30"/>
        <v>7187.26</v>
      </c>
      <c r="Y64" s="2">
        <f t="shared" si="31"/>
        <v>3673.49</v>
      </c>
      <c r="Z64" s="2"/>
      <c r="AA64" s="2">
        <v>57034452</v>
      </c>
      <c r="AB64" s="2">
        <f t="shared" si="32"/>
        <v>150.62039999999999</v>
      </c>
      <c r="AC64" s="2">
        <f t="shared" si="33"/>
        <v>0</v>
      </c>
      <c r="AD64" s="2">
        <f t="shared" si="34"/>
        <v>2.5164</v>
      </c>
      <c r="AE64" s="2">
        <f t="shared" si="35"/>
        <v>0</v>
      </c>
      <c r="AF64" s="2">
        <f t="shared" si="36"/>
        <v>148.10400000000001</v>
      </c>
      <c r="AG64" s="2">
        <f t="shared" si="37"/>
        <v>0</v>
      </c>
      <c r="AH64" s="2">
        <f t="shared" si="38"/>
        <v>12.459599999999998</v>
      </c>
      <c r="AI64" s="2">
        <f t="shared" si="39"/>
        <v>0</v>
      </c>
      <c r="AJ64" s="2">
        <f t="shared" si="40"/>
        <v>0</v>
      </c>
      <c r="AK64" s="2">
        <v>441.78</v>
      </c>
      <c r="AL64" s="2">
        <v>23.39</v>
      </c>
      <c r="AM64" s="2">
        <v>6.99</v>
      </c>
      <c r="AN64" s="2">
        <v>0</v>
      </c>
      <c r="AO64" s="2">
        <v>411.4</v>
      </c>
      <c r="AP64" s="2">
        <v>0</v>
      </c>
      <c r="AQ64" s="2">
        <v>34.61</v>
      </c>
      <c r="AR64" s="2">
        <v>0</v>
      </c>
      <c r="AS64" s="2">
        <v>0</v>
      </c>
      <c r="AT64" s="2">
        <v>90</v>
      </c>
      <c r="AU64" s="2">
        <v>46</v>
      </c>
      <c r="AV64" s="2">
        <v>1.0469999999999999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0</v>
      </c>
      <c r="BI64" s="2">
        <v>2</v>
      </c>
      <c r="BJ64" s="2" t="s">
        <v>100</v>
      </c>
      <c r="BK64" s="2"/>
      <c r="BL64" s="2"/>
      <c r="BM64" s="2">
        <v>68</v>
      </c>
      <c r="BN64" s="2">
        <v>0</v>
      </c>
      <c r="BO64" s="2" t="s">
        <v>97</v>
      </c>
      <c r="BP64" s="2">
        <v>1</v>
      </c>
      <c r="BQ64" s="2">
        <v>40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90</v>
      </c>
      <c r="CA64" s="2">
        <v>46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613</v>
      </c>
      <c r="CO64" s="2">
        <v>0</v>
      </c>
      <c r="CP64" s="2">
        <f t="shared" si="41"/>
        <v>8121.53</v>
      </c>
      <c r="CQ64" s="2">
        <f t="shared" si="42"/>
        <v>0</v>
      </c>
      <c r="CR64" s="2">
        <f t="shared" si="43"/>
        <v>2.63</v>
      </c>
      <c r="CS64" s="2">
        <f t="shared" si="44"/>
        <v>0</v>
      </c>
      <c r="CT64" s="2">
        <f t="shared" si="45"/>
        <v>155.06</v>
      </c>
      <c r="CU64" s="2">
        <f t="shared" si="46"/>
        <v>0</v>
      </c>
      <c r="CV64" s="2">
        <f t="shared" si="47"/>
        <v>13.045201199999997</v>
      </c>
      <c r="CW64" s="2">
        <f t="shared" si="48"/>
        <v>0</v>
      </c>
      <c r="CX64" s="2">
        <f t="shared" si="49"/>
        <v>0</v>
      </c>
      <c r="CY64" s="2">
        <f t="shared" si="50"/>
        <v>7187.26</v>
      </c>
      <c r="CZ64" s="2">
        <f t="shared" si="51"/>
        <v>3673.49</v>
      </c>
      <c r="DA64" s="2"/>
      <c r="DB64" s="2">
        <v>73</v>
      </c>
      <c r="DC64" s="2" t="s">
        <v>3</v>
      </c>
      <c r="DD64" s="2" t="s">
        <v>28</v>
      </c>
      <c r="DE64" s="2" t="s">
        <v>29</v>
      </c>
      <c r="DF64" s="2" t="s">
        <v>29</v>
      </c>
      <c r="DG64" s="2" t="s">
        <v>29</v>
      </c>
      <c r="DH64" s="2" t="s">
        <v>3</v>
      </c>
      <c r="DI64" s="2" t="s">
        <v>29</v>
      </c>
      <c r="DJ64" s="2" t="s">
        <v>29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1003</v>
      </c>
      <c r="DV64" s="2" t="s">
        <v>99</v>
      </c>
      <c r="DW64" s="2" t="s">
        <v>99</v>
      </c>
      <c r="DX64" s="2">
        <v>100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57042958</v>
      </c>
      <c r="EF64" s="2">
        <v>40</v>
      </c>
      <c r="EG64" s="2" t="s">
        <v>30</v>
      </c>
      <c r="EH64" s="2">
        <v>0</v>
      </c>
      <c r="EI64" s="2" t="s">
        <v>3</v>
      </c>
      <c r="EJ64" s="2">
        <v>2</v>
      </c>
      <c r="EK64" s="2">
        <v>68</v>
      </c>
      <c r="EL64" s="2" t="s">
        <v>38</v>
      </c>
      <c r="EM64" s="2" t="s">
        <v>39</v>
      </c>
      <c r="EN64" s="2"/>
      <c r="EO64" s="2" t="s">
        <v>33</v>
      </c>
      <c r="EP64" s="2"/>
      <c r="EQ64" s="2">
        <v>0</v>
      </c>
      <c r="ER64" s="2">
        <v>441.78</v>
      </c>
      <c r="ES64" s="2">
        <v>23.39</v>
      </c>
      <c r="ET64" s="2">
        <v>6.99</v>
      </c>
      <c r="EU64" s="2">
        <v>0</v>
      </c>
      <c r="EV64" s="2">
        <v>411.4</v>
      </c>
      <c r="EW64" s="2">
        <v>34.61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90</v>
      </c>
      <c r="FY64" s="2">
        <v>46</v>
      </c>
      <c r="FZ64" s="2"/>
      <c r="GA64" s="2" t="s">
        <v>3</v>
      </c>
      <c r="GB64" s="2"/>
      <c r="GC64" s="2"/>
      <c r="GD64" s="2">
        <v>1</v>
      </c>
      <c r="GE64" s="2"/>
      <c r="GF64" s="2">
        <v>-63843540</v>
      </c>
      <c r="GG64" s="2">
        <v>2</v>
      </c>
      <c r="GH64" s="2">
        <v>1</v>
      </c>
      <c r="GI64" s="2">
        <v>2</v>
      </c>
      <c r="GJ64" s="2">
        <v>0</v>
      </c>
      <c r="GK64" s="2">
        <v>0</v>
      </c>
      <c r="GL64" s="2">
        <f t="shared" si="52"/>
        <v>0</v>
      </c>
      <c r="GM64" s="2">
        <f t="shared" si="53"/>
        <v>18982.28</v>
      </c>
      <c r="GN64" s="2">
        <f t="shared" si="54"/>
        <v>0</v>
      </c>
      <c r="GO64" s="2">
        <f t="shared" si="55"/>
        <v>18982.28</v>
      </c>
      <c r="GP64" s="2">
        <f t="shared" si="56"/>
        <v>0</v>
      </c>
      <c r="GQ64" s="2"/>
      <c r="GR64" s="2">
        <v>0</v>
      </c>
      <c r="GS64" s="2">
        <v>3</v>
      </c>
      <c r="GT64" s="2">
        <v>0</v>
      </c>
      <c r="GU64" s="2" t="s">
        <v>3</v>
      </c>
      <c r="GV64" s="2">
        <f t="shared" si="57"/>
        <v>0</v>
      </c>
      <c r="GW64" s="2">
        <v>1</v>
      </c>
      <c r="GX64" s="2">
        <f t="shared" si="58"/>
        <v>0</v>
      </c>
      <c r="GY64" s="2"/>
      <c r="GZ64" s="2"/>
      <c r="HA64" s="2">
        <v>0</v>
      </c>
      <c r="HB64" s="2">
        <v>0</v>
      </c>
      <c r="HC64" s="2">
        <f t="shared" si="59"/>
        <v>0</v>
      </c>
      <c r="HD64" s="2"/>
      <c r="HE64" s="2" t="s">
        <v>3</v>
      </c>
      <c r="HF64" s="2" t="s">
        <v>3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5">
      <c r="A65" s="3">
        <v>17</v>
      </c>
      <c r="B65" s="3">
        <v>1</v>
      </c>
      <c r="C65" s="3">
        <f>ROW(SmtRes!A98)</f>
        <v>98</v>
      </c>
      <c r="D65" s="3">
        <f>ROW(EtalonRes!A130)</f>
        <v>130</v>
      </c>
      <c r="E65" s="3" t="s">
        <v>96</v>
      </c>
      <c r="F65" s="3" t="s">
        <v>97</v>
      </c>
      <c r="G65" s="3" t="s">
        <v>98</v>
      </c>
      <c r="H65" s="3" t="s">
        <v>99</v>
      </c>
      <c r="I65" s="3">
        <f>ROUND(5150/100,9)</f>
        <v>51.5</v>
      </c>
      <c r="J65" s="3">
        <v>0</v>
      </c>
      <c r="K65" s="3">
        <f>ROUND(5150/100,9)</f>
        <v>51.5</v>
      </c>
      <c r="O65" s="3">
        <f t="shared" si="21"/>
        <v>451304.7</v>
      </c>
      <c r="P65" s="3">
        <f t="shared" si="22"/>
        <v>0</v>
      </c>
      <c r="Q65" s="3">
        <f t="shared" si="23"/>
        <v>1302.6199999999999</v>
      </c>
      <c r="R65" s="3">
        <f t="shared" si="24"/>
        <v>0</v>
      </c>
      <c r="S65" s="3">
        <f t="shared" si="25"/>
        <v>450002.08</v>
      </c>
      <c r="T65" s="3">
        <f t="shared" si="26"/>
        <v>0</v>
      </c>
      <c r="U65" s="3">
        <f t="shared" si="27"/>
        <v>671.82786179999982</v>
      </c>
      <c r="V65" s="3">
        <f t="shared" si="28"/>
        <v>0</v>
      </c>
      <c r="W65" s="3">
        <f t="shared" si="29"/>
        <v>0</v>
      </c>
      <c r="X65" s="3">
        <f t="shared" si="30"/>
        <v>405001.87</v>
      </c>
      <c r="Y65" s="3">
        <f t="shared" si="31"/>
        <v>207000.95999999999</v>
      </c>
      <c r="AA65" s="3">
        <v>57034454</v>
      </c>
      <c r="AB65" s="3">
        <f t="shared" si="32"/>
        <v>150.62039999999999</v>
      </c>
      <c r="AC65" s="3">
        <f t="shared" si="33"/>
        <v>0</v>
      </c>
      <c r="AD65" s="3">
        <f t="shared" si="34"/>
        <v>2.5164</v>
      </c>
      <c r="AE65" s="3">
        <f t="shared" si="35"/>
        <v>0</v>
      </c>
      <c r="AF65" s="3">
        <f t="shared" si="36"/>
        <v>148.10400000000001</v>
      </c>
      <c r="AG65" s="3">
        <f t="shared" si="37"/>
        <v>0</v>
      </c>
      <c r="AH65" s="3">
        <f t="shared" si="38"/>
        <v>12.459599999999998</v>
      </c>
      <c r="AI65" s="3">
        <f t="shared" si="39"/>
        <v>0</v>
      </c>
      <c r="AJ65" s="3">
        <f t="shared" si="40"/>
        <v>0</v>
      </c>
      <c r="AK65" s="3">
        <v>441.78</v>
      </c>
      <c r="AL65" s="3">
        <v>23.39</v>
      </c>
      <c r="AM65" s="3">
        <v>6.99</v>
      </c>
      <c r="AN65" s="3">
        <v>0</v>
      </c>
      <c r="AO65" s="3">
        <v>411.4</v>
      </c>
      <c r="AP65" s="3">
        <v>0</v>
      </c>
      <c r="AQ65" s="3">
        <v>34.61</v>
      </c>
      <c r="AR65" s="3">
        <v>0</v>
      </c>
      <c r="AS65" s="3">
        <v>0</v>
      </c>
      <c r="AT65" s="3">
        <v>90</v>
      </c>
      <c r="AU65" s="3">
        <v>46</v>
      </c>
      <c r="AV65" s="3">
        <v>1.0469999999999999</v>
      </c>
      <c r="AW65" s="3">
        <v>1</v>
      </c>
      <c r="AZ65" s="3">
        <v>1</v>
      </c>
      <c r="BA65" s="3">
        <v>56.35</v>
      </c>
      <c r="BB65" s="3">
        <v>9.6</v>
      </c>
      <c r="BC65" s="3">
        <v>7.41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0</v>
      </c>
      <c r="BI65" s="3">
        <v>2</v>
      </c>
      <c r="BJ65" s="3" t="s">
        <v>100</v>
      </c>
      <c r="BM65" s="3">
        <v>68</v>
      </c>
      <c r="BN65" s="3">
        <v>0</v>
      </c>
      <c r="BO65" s="3" t="s">
        <v>97</v>
      </c>
      <c r="BP65" s="3">
        <v>1</v>
      </c>
      <c r="BQ65" s="3">
        <v>40</v>
      </c>
      <c r="BR65" s="3">
        <v>0</v>
      </c>
      <c r="BS65" s="3">
        <v>56.35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90</v>
      </c>
      <c r="CA65" s="3">
        <v>46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613</v>
      </c>
      <c r="CO65" s="3">
        <v>0</v>
      </c>
      <c r="CP65" s="3">
        <f t="shared" si="41"/>
        <v>451304.7</v>
      </c>
      <c r="CQ65" s="3">
        <f t="shared" si="42"/>
        <v>0</v>
      </c>
      <c r="CR65" s="3">
        <f t="shared" si="43"/>
        <v>25.25</v>
      </c>
      <c r="CS65" s="3">
        <f t="shared" si="44"/>
        <v>0</v>
      </c>
      <c r="CT65" s="3">
        <f t="shared" si="45"/>
        <v>8737.6299999999992</v>
      </c>
      <c r="CU65" s="3">
        <f t="shared" si="46"/>
        <v>0</v>
      </c>
      <c r="CV65" s="3">
        <f t="shared" si="47"/>
        <v>13.045201199999997</v>
      </c>
      <c r="CW65" s="3">
        <f t="shared" si="48"/>
        <v>0</v>
      </c>
      <c r="CX65" s="3">
        <f t="shared" si="49"/>
        <v>0</v>
      </c>
      <c r="CY65" s="3">
        <f t="shared" si="50"/>
        <v>405001.87</v>
      </c>
      <c r="CZ65" s="3">
        <f t="shared" si="51"/>
        <v>207000.95999999999</v>
      </c>
      <c r="DB65" s="3">
        <v>75</v>
      </c>
      <c r="DC65" s="3" t="s">
        <v>3</v>
      </c>
      <c r="DD65" s="3" t="s">
        <v>28</v>
      </c>
      <c r="DE65" s="3" t="s">
        <v>29</v>
      </c>
      <c r="DF65" s="3" t="s">
        <v>29</v>
      </c>
      <c r="DG65" s="3" t="s">
        <v>29</v>
      </c>
      <c r="DH65" s="3" t="s">
        <v>3</v>
      </c>
      <c r="DI65" s="3" t="s">
        <v>29</v>
      </c>
      <c r="DJ65" s="3" t="s">
        <v>29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U65" s="3">
        <v>1003</v>
      </c>
      <c r="DV65" s="3" t="s">
        <v>99</v>
      </c>
      <c r="DW65" s="3" t="s">
        <v>99</v>
      </c>
      <c r="DX65" s="3">
        <v>100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57042958</v>
      </c>
      <c r="EF65" s="3">
        <v>40</v>
      </c>
      <c r="EG65" s="3" t="s">
        <v>30</v>
      </c>
      <c r="EH65" s="3">
        <v>0</v>
      </c>
      <c r="EI65" s="3" t="s">
        <v>3</v>
      </c>
      <c r="EJ65" s="3">
        <v>2</v>
      </c>
      <c r="EK65" s="3">
        <v>68</v>
      </c>
      <c r="EL65" s="3" t="s">
        <v>38</v>
      </c>
      <c r="EM65" s="3" t="s">
        <v>39</v>
      </c>
      <c r="EO65" s="3" t="s">
        <v>33</v>
      </c>
      <c r="EQ65" s="3">
        <v>0</v>
      </c>
      <c r="ER65" s="3">
        <v>441.78</v>
      </c>
      <c r="ES65" s="3">
        <v>23.39</v>
      </c>
      <c r="ET65" s="3">
        <v>6.99</v>
      </c>
      <c r="EU65" s="3">
        <v>0</v>
      </c>
      <c r="EV65" s="3">
        <v>411.4</v>
      </c>
      <c r="EW65" s="3">
        <v>34.61</v>
      </c>
      <c r="EX65" s="3">
        <v>0</v>
      </c>
      <c r="EY65" s="3">
        <v>0</v>
      </c>
      <c r="FQ65" s="3">
        <v>0</v>
      </c>
      <c r="FR65" s="3">
        <v>0</v>
      </c>
      <c r="FS65" s="3">
        <v>0</v>
      </c>
      <c r="FX65" s="3">
        <v>90</v>
      </c>
      <c r="FY65" s="3">
        <v>46</v>
      </c>
      <c r="GA65" s="3" t="s">
        <v>3</v>
      </c>
      <c r="GD65" s="3">
        <v>1</v>
      </c>
      <c r="GF65" s="3">
        <v>-63843540</v>
      </c>
      <c r="GG65" s="3">
        <v>2</v>
      </c>
      <c r="GH65" s="3">
        <v>1</v>
      </c>
      <c r="GI65" s="3">
        <v>2</v>
      </c>
      <c r="GJ65" s="3">
        <v>0</v>
      </c>
      <c r="GK65" s="3">
        <v>0</v>
      </c>
      <c r="GL65" s="3">
        <f t="shared" si="52"/>
        <v>0</v>
      </c>
      <c r="GM65" s="3">
        <f t="shared" si="53"/>
        <v>1063307.53</v>
      </c>
      <c r="GN65" s="3">
        <f t="shared" si="54"/>
        <v>0</v>
      </c>
      <c r="GO65" s="3">
        <f t="shared" si="55"/>
        <v>1063307.53</v>
      </c>
      <c r="GP65" s="3">
        <f t="shared" si="56"/>
        <v>0</v>
      </c>
      <c r="GR65" s="3">
        <v>0</v>
      </c>
      <c r="GS65" s="3">
        <v>3</v>
      </c>
      <c r="GT65" s="3">
        <v>0</v>
      </c>
      <c r="GU65" s="3" t="s">
        <v>3</v>
      </c>
      <c r="GV65" s="3">
        <f t="shared" si="57"/>
        <v>0</v>
      </c>
      <c r="GW65" s="3">
        <v>1</v>
      </c>
      <c r="GX65" s="3">
        <f t="shared" si="58"/>
        <v>0</v>
      </c>
      <c r="HA65" s="3">
        <v>0</v>
      </c>
      <c r="HB65" s="3">
        <v>0</v>
      </c>
      <c r="HC65" s="3">
        <f t="shared" si="59"/>
        <v>0</v>
      </c>
      <c r="HE65" s="3" t="s">
        <v>3</v>
      </c>
      <c r="HF65" s="3" t="s">
        <v>3</v>
      </c>
      <c r="HM65" s="3" t="s">
        <v>3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5">
      <c r="A66" s="2">
        <v>17</v>
      </c>
      <c r="B66" s="2">
        <v>1</v>
      </c>
      <c r="C66" s="2">
        <f>ROW(SmtRes!A100)</f>
        <v>100</v>
      </c>
      <c r="D66" s="2">
        <f>ROW(EtalonRes!A132)</f>
        <v>132</v>
      </c>
      <c r="E66" s="2" t="s">
        <v>3</v>
      </c>
      <c r="F66" s="2" t="s">
        <v>101</v>
      </c>
      <c r="G66" s="2" t="s">
        <v>102</v>
      </c>
      <c r="H66" s="2" t="s">
        <v>99</v>
      </c>
      <c r="I66" s="2">
        <f>ROUND(5150/100,9)</f>
        <v>51.5</v>
      </c>
      <c r="J66" s="2">
        <v>0</v>
      </c>
      <c r="K66" s="2">
        <f>ROUND(5150/100,9)</f>
        <v>51.5</v>
      </c>
      <c r="L66" s="2"/>
      <c r="M66" s="2"/>
      <c r="N66" s="2"/>
      <c r="O66" s="2">
        <f t="shared" si="21"/>
        <v>20720.349999999999</v>
      </c>
      <c r="P66" s="2">
        <f t="shared" si="22"/>
        <v>0</v>
      </c>
      <c r="Q66" s="2">
        <f t="shared" ref="Q66:Q71" si="60">(ROUND((ROUND((((ET66*1.2))*AV66*I66),2)*BB66),2)+ROUND((ROUND(((AE66-((EU66*1.2)))*AV66*I66),2)*BS66),2))</f>
        <v>0</v>
      </c>
      <c r="R66" s="2">
        <f t="shared" ref="R66:R71" si="61">(ROUND((ROUND((((EU66*1.2))*AV66*I66),2)*BS66),2)+ROUND((ROUND(((AE66-((EU66*1.2)))*AV66*I66),2)*BS66),2))</f>
        <v>0</v>
      </c>
      <c r="S66" s="2">
        <f t="shared" si="25"/>
        <v>20720.349999999999</v>
      </c>
      <c r="T66" s="2">
        <f t="shared" si="26"/>
        <v>0</v>
      </c>
      <c r="U66" s="2">
        <f t="shared" si="27"/>
        <v>1969.6080239999997</v>
      </c>
      <c r="V66" s="2">
        <f t="shared" si="28"/>
        <v>0</v>
      </c>
      <c r="W66" s="2">
        <f t="shared" si="29"/>
        <v>0</v>
      </c>
      <c r="X66" s="2">
        <f t="shared" ref="X66:X71" si="62">(ROUND((((S66+ROUND((ROUND((((EU66*1.2))*AV66*I66),2)*BS66),2))*AT66)/100),2)+ROUND(((ROUND((ROUND(((AE66-((EU66*1.2)))*AV66*I66),2)*BS66),2)*AT66)/100),2))</f>
        <v>18855.52</v>
      </c>
      <c r="Y66" s="2">
        <f t="shared" ref="Y66:Y71" si="63">(ROUND((((S66+ROUND((ROUND((((EU66*1.2))*AV66*I66),2)*BS66),2))*AU66)/100),2)+ROUND(((ROUND((ROUND(((AE66-((EU66*1.2)))*AV66*I66),2)*BS66),2)*AU66)/100),2))</f>
        <v>9945.77</v>
      </c>
      <c r="Z66" s="2"/>
      <c r="AA66" s="2">
        <v>-1</v>
      </c>
      <c r="AB66" s="2">
        <f t="shared" si="32"/>
        <v>384.27600000000001</v>
      </c>
      <c r="AC66" s="2">
        <f t="shared" ref="AC66:AC71" si="64">ROUND(((ES66*1)),6)</f>
        <v>0</v>
      </c>
      <c r="AD66" s="2">
        <f t="shared" ref="AD66:AD71" si="65">ROUND(((((ET66*1.2))-((EU66*1.2)))+AE66),6)</f>
        <v>0</v>
      </c>
      <c r="AE66" s="2">
        <f t="shared" ref="AE66:AF71" si="66">ROUND(((EU66*1.2)),6)</f>
        <v>0</v>
      </c>
      <c r="AF66" s="2">
        <f t="shared" si="66"/>
        <v>384.27600000000001</v>
      </c>
      <c r="AG66" s="2">
        <f t="shared" si="37"/>
        <v>0</v>
      </c>
      <c r="AH66" s="2">
        <f t="shared" ref="AH66:AI71" si="67">((EW66*1.2))</f>
        <v>36.527999999999999</v>
      </c>
      <c r="AI66" s="2">
        <f t="shared" si="67"/>
        <v>0</v>
      </c>
      <c r="AJ66" s="2">
        <f t="shared" si="40"/>
        <v>0</v>
      </c>
      <c r="AK66" s="2">
        <v>320.23</v>
      </c>
      <c r="AL66" s="2">
        <v>0</v>
      </c>
      <c r="AM66" s="2">
        <v>0</v>
      </c>
      <c r="AN66" s="2">
        <v>0</v>
      </c>
      <c r="AO66" s="2">
        <v>320.23</v>
      </c>
      <c r="AP66" s="2">
        <v>0</v>
      </c>
      <c r="AQ66" s="2">
        <v>30.44</v>
      </c>
      <c r="AR66" s="2">
        <v>0</v>
      </c>
      <c r="AS66" s="2">
        <v>0</v>
      </c>
      <c r="AT66" s="2">
        <v>91</v>
      </c>
      <c r="AU66" s="2">
        <v>48</v>
      </c>
      <c r="AV66" s="2">
        <v>1.0469999999999999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0</v>
      </c>
      <c r="BI66" s="2">
        <v>1</v>
      </c>
      <c r="BJ66" s="2" t="s">
        <v>103</v>
      </c>
      <c r="BK66" s="2"/>
      <c r="BL66" s="2"/>
      <c r="BM66" s="2">
        <v>106</v>
      </c>
      <c r="BN66" s="2">
        <v>0</v>
      </c>
      <c r="BO66" s="2" t="s">
        <v>101</v>
      </c>
      <c r="BP66" s="2">
        <v>1</v>
      </c>
      <c r="BQ66" s="2">
        <v>60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91</v>
      </c>
      <c r="CA66" s="2">
        <v>48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614</v>
      </c>
      <c r="CO66" s="2">
        <v>0</v>
      </c>
      <c r="CP66" s="2">
        <f t="shared" si="41"/>
        <v>20720.349999999999</v>
      </c>
      <c r="CQ66" s="2">
        <f t="shared" si="42"/>
        <v>0</v>
      </c>
      <c r="CR66" s="2">
        <f t="shared" ref="CR66:CR71" si="68">(ROUND((ROUND((((ET66*1.2))*AV66*1),2)*BB66),2)+ROUND((ROUND(((AE66-((EU66*1.2)))*AV66*1),2)*BS66),2))</f>
        <v>0</v>
      </c>
      <c r="CS66" s="2">
        <f t="shared" ref="CS66:CS71" si="69">(ROUND((ROUND((((EU66*1.2))*AV66*1),2)*BS66),2)+ROUND((ROUND(((AE66-((EU66*1.2)))*AV66*1),2)*BS66),2))</f>
        <v>0</v>
      </c>
      <c r="CT66" s="2">
        <f t="shared" si="45"/>
        <v>402.34</v>
      </c>
      <c r="CU66" s="2">
        <f t="shared" si="46"/>
        <v>0</v>
      </c>
      <c r="CV66" s="2">
        <f t="shared" si="47"/>
        <v>38.244815999999993</v>
      </c>
      <c r="CW66" s="2">
        <f t="shared" si="48"/>
        <v>0</v>
      </c>
      <c r="CX66" s="2">
        <f t="shared" si="49"/>
        <v>0</v>
      </c>
      <c r="CY66" s="2">
        <f t="shared" ref="CY66:CY71" si="70">(ROUND((((S66+ROUND((ROUND((((EU66*1.2))*AV66*1),2)*BS66),2))*AT66)/100),2)+ROUND(((ROUND((ROUND(((AE66-((EU66*1.2)))*AV66*1),2)*BS66),2)*AT66)/100),2))</f>
        <v>18855.52</v>
      </c>
      <c r="CZ66" s="2">
        <f t="shared" ref="CZ66:CZ71" si="71">(ROUND((((S66+ROUND((ROUND((((EU66*1.2))*AV66*1),2)*BS66),2))*AU66)/100),2)+ROUND(((ROUND((ROUND(((AE66-((EU66*1.2)))*AV66*1),2)*BS66),2)*AU66)/100),2))</f>
        <v>9945.77</v>
      </c>
      <c r="DA66" s="2"/>
      <c r="DB66" s="2">
        <v>77</v>
      </c>
      <c r="DC66" s="2" t="s">
        <v>3</v>
      </c>
      <c r="DD66" s="2" t="s">
        <v>104</v>
      </c>
      <c r="DE66" s="2" t="s">
        <v>105</v>
      </c>
      <c r="DF66" s="2" t="s">
        <v>105</v>
      </c>
      <c r="DG66" s="2" t="s">
        <v>105</v>
      </c>
      <c r="DH66" s="2" t="s">
        <v>3</v>
      </c>
      <c r="DI66" s="2" t="s">
        <v>105</v>
      </c>
      <c r="DJ66" s="2" t="s">
        <v>105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1003</v>
      </c>
      <c r="DV66" s="2" t="s">
        <v>99</v>
      </c>
      <c r="DW66" s="2" t="s">
        <v>99</v>
      </c>
      <c r="DX66" s="2">
        <v>100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57042996</v>
      </c>
      <c r="EF66" s="2">
        <v>60</v>
      </c>
      <c r="EG66" s="2" t="s">
        <v>106</v>
      </c>
      <c r="EH66" s="2">
        <v>0</v>
      </c>
      <c r="EI66" s="2" t="s">
        <v>3</v>
      </c>
      <c r="EJ66" s="2">
        <v>1</v>
      </c>
      <c r="EK66" s="2">
        <v>106</v>
      </c>
      <c r="EL66" s="2" t="s">
        <v>107</v>
      </c>
      <c r="EM66" s="2" t="s">
        <v>108</v>
      </c>
      <c r="EN66" s="2"/>
      <c r="EO66" s="2" t="s">
        <v>109</v>
      </c>
      <c r="EP66" s="2"/>
      <c r="EQ66" s="2">
        <v>1024</v>
      </c>
      <c r="ER66" s="2">
        <v>320.23</v>
      </c>
      <c r="ES66" s="2">
        <v>0</v>
      </c>
      <c r="ET66" s="2">
        <v>0</v>
      </c>
      <c r="EU66" s="2">
        <v>0</v>
      </c>
      <c r="EV66" s="2">
        <v>320.23</v>
      </c>
      <c r="EW66" s="2">
        <v>30.44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91</v>
      </c>
      <c r="FY66" s="2">
        <v>48</v>
      </c>
      <c r="FZ66" s="2"/>
      <c r="GA66" s="2" t="s">
        <v>3</v>
      </c>
      <c r="GB66" s="2"/>
      <c r="GC66" s="2"/>
      <c r="GD66" s="2">
        <v>1</v>
      </c>
      <c r="GE66" s="2"/>
      <c r="GF66" s="2">
        <v>-1403822920</v>
      </c>
      <c r="GG66" s="2">
        <v>2</v>
      </c>
      <c r="GH66" s="2">
        <v>1</v>
      </c>
      <c r="GI66" s="2">
        <v>2</v>
      </c>
      <c r="GJ66" s="2">
        <v>0</v>
      </c>
      <c r="GK66" s="2">
        <v>0</v>
      </c>
      <c r="GL66" s="2">
        <f t="shared" si="52"/>
        <v>0</v>
      </c>
      <c r="GM66" s="2">
        <f t="shared" si="53"/>
        <v>49521.64</v>
      </c>
      <c r="GN66" s="2">
        <f t="shared" si="54"/>
        <v>49521.64</v>
      </c>
      <c r="GO66" s="2">
        <f t="shared" si="55"/>
        <v>0</v>
      </c>
      <c r="GP66" s="2">
        <f t="shared" si="56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57"/>
        <v>0</v>
      </c>
      <c r="GW66" s="2">
        <v>1</v>
      </c>
      <c r="GX66" s="2">
        <f t="shared" si="58"/>
        <v>0</v>
      </c>
      <c r="GY66" s="2"/>
      <c r="GZ66" s="2"/>
      <c r="HA66" s="2">
        <v>0</v>
      </c>
      <c r="HB66" s="2">
        <v>0</v>
      </c>
      <c r="HC66" s="2">
        <f t="shared" si="59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5">
      <c r="A67" s="3">
        <v>17</v>
      </c>
      <c r="B67" s="3">
        <v>1</v>
      </c>
      <c r="C67" s="3">
        <f>ROW(SmtRes!A102)</f>
        <v>102</v>
      </c>
      <c r="D67" s="3">
        <f>ROW(EtalonRes!A134)</f>
        <v>134</v>
      </c>
      <c r="E67" s="3" t="s">
        <v>3</v>
      </c>
      <c r="F67" s="3" t="s">
        <v>101</v>
      </c>
      <c r="G67" s="3" t="s">
        <v>102</v>
      </c>
      <c r="H67" s="3" t="s">
        <v>99</v>
      </c>
      <c r="I67" s="3">
        <f>ROUND(5150/100,9)</f>
        <v>51.5</v>
      </c>
      <c r="J67" s="3">
        <v>0</v>
      </c>
      <c r="K67" s="3">
        <f>ROUND(5150/100,9)</f>
        <v>51.5</v>
      </c>
      <c r="O67" s="3">
        <f t="shared" si="21"/>
        <v>1167591.72</v>
      </c>
      <c r="P67" s="3">
        <f t="shared" si="22"/>
        <v>0</v>
      </c>
      <c r="Q67" s="3">
        <f t="shared" si="60"/>
        <v>0</v>
      </c>
      <c r="R67" s="3">
        <f t="shared" si="61"/>
        <v>0</v>
      </c>
      <c r="S67" s="3">
        <f t="shared" si="25"/>
        <v>1167591.72</v>
      </c>
      <c r="T67" s="3">
        <f t="shared" si="26"/>
        <v>0</v>
      </c>
      <c r="U67" s="3">
        <f t="shared" si="27"/>
        <v>1969.6080239999997</v>
      </c>
      <c r="V67" s="3">
        <f t="shared" si="28"/>
        <v>0</v>
      </c>
      <c r="W67" s="3">
        <f t="shared" si="29"/>
        <v>0</v>
      </c>
      <c r="X67" s="3">
        <f t="shared" si="62"/>
        <v>1062508.47</v>
      </c>
      <c r="Y67" s="3">
        <f t="shared" si="63"/>
        <v>560444.03</v>
      </c>
      <c r="AA67" s="3">
        <v>-1</v>
      </c>
      <c r="AB67" s="3">
        <f t="shared" si="32"/>
        <v>384.27600000000001</v>
      </c>
      <c r="AC67" s="3">
        <f t="shared" si="64"/>
        <v>0</v>
      </c>
      <c r="AD67" s="3">
        <f t="shared" si="65"/>
        <v>0</v>
      </c>
      <c r="AE67" s="3">
        <f t="shared" si="66"/>
        <v>0</v>
      </c>
      <c r="AF67" s="3">
        <f t="shared" si="66"/>
        <v>384.27600000000001</v>
      </c>
      <c r="AG67" s="3">
        <f t="shared" si="37"/>
        <v>0</v>
      </c>
      <c r="AH67" s="3">
        <f t="shared" si="67"/>
        <v>36.527999999999999</v>
      </c>
      <c r="AI67" s="3">
        <f t="shared" si="67"/>
        <v>0</v>
      </c>
      <c r="AJ67" s="3">
        <f t="shared" si="40"/>
        <v>0</v>
      </c>
      <c r="AK67" s="3">
        <v>320.23</v>
      </c>
      <c r="AL67" s="3">
        <v>0</v>
      </c>
      <c r="AM67" s="3">
        <v>0</v>
      </c>
      <c r="AN67" s="3">
        <v>0</v>
      </c>
      <c r="AO67" s="3">
        <v>320.23</v>
      </c>
      <c r="AP67" s="3">
        <v>0</v>
      </c>
      <c r="AQ67" s="3">
        <v>30.44</v>
      </c>
      <c r="AR67" s="3">
        <v>0</v>
      </c>
      <c r="AS67" s="3">
        <v>0</v>
      </c>
      <c r="AT67" s="3">
        <v>91</v>
      </c>
      <c r="AU67" s="3">
        <v>48</v>
      </c>
      <c r="AV67" s="3">
        <v>1.0469999999999999</v>
      </c>
      <c r="AW67" s="3">
        <v>1</v>
      </c>
      <c r="AZ67" s="3">
        <v>1</v>
      </c>
      <c r="BA67" s="3">
        <v>56.35</v>
      </c>
      <c r="BB67" s="3">
        <v>1</v>
      </c>
      <c r="BC67" s="3">
        <v>1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0</v>
      </c>
      <c r="BI67" s="3">
        <v>1</v>
      </c>
      <c r="BJ67" s="3" t="s">
        <v>103</v>
      </c>
      <c r="BM67" s="3">
        <v>106</v>
      </c>
      <c r="BN67" s="3">
        <v>0</v>
      </c>
      <c r="BO67" s="3" t="s">
        <v>101</v>
      </c>
      <c r="BP67" s="3">
        <v>1</v>
      </c>
      <c r="BQ67" s="3">
        <v>60</v>
      </c>
      <c r="BR67" s="3">
        <v>0</v>
      </c>
      <c r="BS67" s="3">
        <v>56.35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91</v>
      </c>
      <c r="CA67" s="3">
        <v>48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614</v>
      </c>
      <c r="CO67" s="3">
        <v>0</v>
      </c>
      <c r="CP67" s="3">
        <f t="shared" si="41"/>
        <v>1167591.72</v>
      </c>
      <c r="CQ67" s="3">
        <f t="shared" si="42"/>
        <v>0</v>
      </c>
      <c r="CR67" s="3">
        <f t="shared" si="68"/>
        <v>0</v>
      </c>
      <c r="CS67" s="3">
        <f t="shared" si="69"/>
        <v>0</v>
      </c>
      <c r="CT67" s="3">
        <f t="shared" si="45"/>
        <v>22671.86</v>
      </c>
      <c r="CU67" s="3">
        <f t="shared" si="46"/>
        <v>0</v>
      </c>
      <c r="CV67" s="3">
        <f t="shared" si="47"/>
        <v>38.244815999999993</v>
      </c>
      <c r="CW67" s="3">
        <f t="shared" si="48"/>
        <v>0</v>
      </c>
      <c r="CX67" s="3">
        <f t="shared" si="49"/>
        <v>0</v>
      </c>
      <c r="CY67" s="3">
        <f t="shared" si="70"/>
        <v>1062508.47</v>
      </c>
      <c r="CZ67" s="3">
        <f t="shared" si="71"/>
        <v>560444.03</v>
      </c>
      <c r="DB67" s="3">
        <v>78</v>
      </c>
      <c r="DC67" s="3" t="s">
        <v>3</v>
      </c>
      <c r="DD67" s="3" t="s">
        <v>104</v>
      </c>
      <c r="DE67" s="3" t="s">
        <v>105</v>
      </c>
      <c r="DF67" s="3" t="s">
        <v>105</v>
      </c>
      <c r="DG67" s="3" t="s">
        <v>105</v>
      </c>
      <c r="DH67" s="3" t="s">
        <v>3</v>
      </c>
      <c r="DI67" s="3" t="s">
        <v>105</v>
      </c>
      <c r="DJ67" s="3" t="s">
        <v>105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U67" s="3">
        <v>1003</v>
      </c>
      <c r="DV67" s="3" t="s">
        <v>99</v>
      </c>
      <c r="DW67" s="3" t="s">
        <v>99</v>
      </c>
      <c r="DX67" s="3">
        <v>100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57042996</v>
      </c>
      <c r="EF67" s="3">
        <v>60</v>
      </c>
      <c r="EG67" s="3" t="s">
        <v>106</v>
      </c>
      <c r="EH67" s="3">
        <v>0</v>
      </c>
      <c r="EI67" s="3" t="s">
        <v>3</v>
      </c>
      <c r="EJ67" s="3">
        <v>1</v>
      </c>
      <c r="EK67" s="3">
        <v>106</v>
      </c>
      <c r="EL67" s="3" t="s">
        <v>107</v>
      </c>
      <c r="EM67" s="3" t="s">
        <v>108</v>
      </c>
      <c r="EO67" s="3" t="s">
        <v>109</v>
      </c>
      <c r="EQ67" s="3">
        <v>1024</v>
      </c>
      <c r="ER67" s="3">
        <v>320.23</v>
      </c>
      <c r="ES67" s="3">
        <v>0</v>
      </c>
      <c r="ET67" s="3">
        <v>0</v>
      </c>
      <c r="EU67" s="3">
        <v>0</v>
      </c>
      <c r="EV67" s="3">
        <v>320.23</v>
      </c>
      <c r="EW67" s="3">
        <v>30.44</v>
      </c>
      <c r="EX67" s="3">
        <v>0</v>
      </c>
      <c r="EY67" s="3">
        <v>0</v>
      </c>
      <c r="FQ67" s="3">
        <v>0</v>
      </c>
      <c r="FR67" s="3">
        <v>0</v>
      </c>
      <c r="FS67" s="3">
        <v>0</v>
      </c>
      <c r="FX67" s="3">
        <v>91</v>
      </c>
      <c r="FY67" s="3">
        <v>48</v>
      </c>
      <c r="GA67" s="3" t="s">
        <v>3</v>
      </c>
      <c r="GD67" s="3">
        <v>1</v>
      </c>
      <c r="GF67" s="3">
        <v>-1403822920</v>
      </c>
      <c r="GG67" s="3">
        <v>2</v>
      </c>
      <c r="GH67" s="3">
        <v>1</v>
      </c>
      <c r="GI67" s="3">
        <v>2</v>
      </c>
      <c r="GJ67" s="3">
        <v>0</v>
      </c>
      <c r="GK67" s="3">
        <v>0</v>
      </c>
      <c r="GL67" s="3">
        <f t="shared" si="52"/>
        <v>0</v>
      </c>
      <c r="GM67" s="3">
        <f t="shared" si="53"/>
        <v>2790544.22</v>
      </c>
      <c r="GN67" s="3">
        <f t="shared" si="54"/>
        <v>2790544.22</v>
      </c>
      <c r="GO67" s="3">
        <f t="shared" si="55"/>
        <v>0</v>
      </c>
      <c r="GP67" s="3">
        <f t="shared" si="56"/>
        <v>0</v>
      </c>
      <c r="GR67" s="3">
        <v>0</v>
      </c>
      <c r="GS67" s="3">
        <v>3</v>
      </c>
      <c r="GT67" s="3">
        <v>0</v>
      </c>
      <c r="GU67" s="3" t="s">
        <v>3</v>
      </c>
      <c r="GV67" s="3">
        <f t="shared" si="57"/>
        <v>0</v>
      </c>
      <c r="GW67" s="3">
        <v>1</v>
      </c>
      <c r="GX67" s="3">
        <f t="shared" si="58"/>
        <v>0</v>
      </c>
      <c r="HA67" s="3">
        <v>0</v>
      </c>
      <c r="HB67" s="3">
        <v>0</v>
      </c>
      <c r="HC67" s="3">
        <f t="shared" si="59"/>
        <v>0</v>
      </c>
      <c r="HE67" s="3" t="s">
        <v>3</v>
      </c>
      <c r="HF67" s="3" t="s">
        <v>3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5">
      <c r="A68" s="2">
        <v>17</v>
      </c>
      <c r="B68" s="2">
        <v>1</v>
      </c>
      <c r="C68" s="2">
        <f>ROW(SmtRes!A103)</f>
        <v>103</v>
      </c>
      <c r="D68" s="2">
        <f>ROW(EtalonRes!A135)</f>
        <v>135</v>
      </c>
      <c r="E68" s="2" t="s">
        <v>3</v>
      </c>
      <c r="F68" s="2" t="s">
        <v>110</v>
      </c>
      <c r="G68" s="2" t="s">
        <v>111</v>
      </c>
      <c r="H68" s="2" t="s">
        <v>99</v>
      </c>
      <c r="I68" s="2">
        <f>ROUND((4750+100+300+4250)/100,9)</f>
        <v>94</v>
      </c>
      <c r="J68" s="2">
        <v>0</v>
      </c>
      <c r="K68" s="2">
        <f>ROUND((4750+100+300+4250)/100,9)</f>
        <v>94</v>
      </c>
      <c r="L68" s="2"/>
      <c r="M68" s="2"/>
      <c r="N68" s="2"/>
      <c r="O68" s="2">
        <f t="shared" si="21"/>
        <v>11635.37</v>
      </c>
      <c r="P68" s="2">
        <f t="shared" si="22"/>
        <v>0</v>
      </c>
      <c r="Q68" s="2">
        <f t="shared" si="60"/>
        <v>0</v>
      </c>
      <c r="R68" s="2">
        <f t="shared" si="61"/>
        <v>0</v>
      </c>
      <c r="S68" s="2">
        <f t="shared" si="25"/>
        <v>11635.37</v>
      </c>
      <c r="T68" s="2">
        <f t="shared" si="26"/>
        <v>0</v>
      </c>
      <c r="U68" s="2">
        <f t="shared" si="27"/>
        <v>1138.4994239999999</v>
      </c>
      <c r="V68" s="2">
        <f t="shared" si="28"/>
        <v>0</v>
      </c>
      <c r="W68" s="2">
        <f t="shared" si="29"/>
        <v>0</v>
      </c>
      <c r="X68" s="2">
        <f t="shared" si="62"/>
        <v>10588.19</v>
      </c>
      <c r="Y68" s="2">
        <f t="shared" si="63"/>
        <v>5584.98</v>
      </c>
      <c r="Z68" s="2"/>
      <c r="AA68" s="2">
        <v>-1</v>
      </c>
      <c r="AB68" s="2">
        <f t="shared" si="32"/>
        <v>118.224</v>
      </c>
      <c r="AC68" s="2">
        <f t="shared" si="64"/>
        <v>0</v>
      </c>
      <c r="AD68" s="2">
        <f t="shared" si="65"/>
        <v>0</v>
      </c>
      <c r="AE68" s="2">
        <f t="shared" si="66"/>
        <v>0</v>
      </c>
      <c r="AF68" s="2">
        <f t="shared" si="66"/>
        <v>118.224</v>
      </c>
      <c r="AG68" s="2">
        <f t="shared" si="37"/>
        <v>0</v>
      </c>
      <c r="AH68" s="2">
        <f t="shared" si="67"/>
        <v>11.568</v>
      </c>
      <c r="AI68" s="2">
        <f t="shared" si="67"/>
        <v>0</v>
      </c>
      <c r="AJ68" s="2">
        <f t="shared" si="40"/>
        <v>0</v>
      </c>
      <c r="AK68" s="2">
        <v>98.52</v>
      </c>
      <c r="AL68" s="2">
        <v>0</v>
      </c>
      <c r="AM68" s="2">
        <v>0</v>
      </c>
      <c r="AN68" s="2">
        <v>0</v>
      </c>
      <c r="AO68" s="2">
        <v>98.52</v>
      </c>
      <c r="AP68" s="2">
        <v>0</v>
      </c>
      <c r="AQ68" s="2">
        <v>9.64</v>
      </c>
      <c r="AR68" s="2">
        <v>0</v>
      </c>
      <c r="AS68" s="2">
        <v>0</v>
      </c>
      <c r="AT68" s="2">
        <v>91</v>
      </c>
      <c r="AU68" s="2">
        <v>48</v>
      </c>
      <c r="AV68" s="2">
        <v>1.0469999999999999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0</v>
      </c>
      <c r="BI68" s="2">
        <v>1</v>
      </c>
      <c r="BJ68" s="2" t="s">
        <v>112</v>
      </c>
      <c r="BK68" s="2"/>
      <c r="BL68" s="2"/>
      <c r="BM68" s="2">
        <v>106</v>
      </c>
      <c r="BN68" s="2">
        <v>0</v>
      </c>
      <c r="BO68" s="2" t="s">
        <v>110</v>
      </c>
      <c r="BP68" s="2">
        <v>1</v>
      </c>
      <c r="BQ68" s="2">
        <v>60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91</v>
      </c>
      <c r="CA68" s="2">
        <v>48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614</v>
      </c>
      <c r="CO68" s="2">
        <v>0</v>
      </c>
      <c r="CP68" s="2">
        <f t="shared" si="41"/>
        <v>11635.37</v>
      </c>
      <c r="CQ68" s="2">
        <f t="shared" si="42"/>
        <v>0</v>
      </c>
      <c r="CR68" s="2">
        <f t="shared" si="68"/>
        <v>0</v>
      </c>
      <c r="CS68" s="2">
        <f t="shared" si="69"/>
        <v>0</v>
      </c>
      <c r="CT68" s="2">
        <f t="shared" si="45"/>
        <v>123.78</v>
      </c>
      <c r="CU68" s="2">
        <f t="shared" si="46"/>
        <v>0</v>
      </c>
      <c r="CV68" s="2">
        <f t="shared" si="47"/>
        <v>12.111695999999998</v>
      </c>
      <c r="CW68" s="2">
        <f t="shared" si="48"/>
        <v>0</v>
      </c>
      <c r="CX68" s="2">
        <f t="shared" si="49"/>
        <v>0</v>
      </c>
      <c r="CY68" s="2">
        <f t="shared" si="70"/>
        <v>10588.19</v>
      </c>
      <c r="CZ68" s="2">
        <f t="shared" si="71"/>
        <v>5584.98</v>
      </c>
      <c r="DA68" s="2"/>
      <c r="DB68" s="2">
        <v>79</v>
      </c>
      <c r="DC68" s="2" t="s">
        <v>3</v>
      </c>
      <c r="DD68" s="2" t="s">
        <v>104</v>
      </c>
      <c r="DE68" s="2" t="s">
        <v>105</v>
      </c>
      <c r="DF68" s="2" t="s">
        <v>105</v>
      </c>
      <c r="DG68" s="2" t="s">
        <v>105</v>
      </c>
      <c r="DH68" s="2" t="s">
        <v>3</v>
      </c>
      <c r="DI68" s="2" t="s">
        <v>105</v>
      </c>
      <c r="DJ68" s="2" t="s">
        <v>105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1003</v>
      </c>
      <c r="DV68" s="2" t="s">
        <v>99</v>
      </c>
      <c r="DW68" s="2" t="s">
        <v>99</v>
      </c>
      <c r="DX68" s="2">
        <v>100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57042996</v>
      </c>
      <c r="EF68" s="2">
        <v>60</v>
      </c>
      <c r="EG68" s="2" t="s">
        <v>106</v>
      </c>
      <c r="EH68" s="2">
        <v>0</v>
      </c>
      <c r="EI68" s="2" t="s">
        <v>3</v>
      </c>
      <c r="EJ68" s="2">
        <v>1</v>
      </c>
      <c r="EK68" s="2">
        <v>106</v>
      </c>
      <c r="EL68" s="2" t="s">
        <v>107</v>
      </c>
      <c r="EM68" s="2" t="s">
        <v>108</v>
      </c>
      <c r="EN68" s="2"/>
      <c r="EO68" s="2" t="s">
        <v>109</v>
      </c>
      <c r="EP68" s="2"/>
      <c r="EQ68" s="2">
        <v>1024</v>
      </c>
      <c r="ER68" s="2">
        <v>98.52</v>
      </c>
      <c r="ES68" s="2">
        <v>0</v>
      </c>
      <c r="ET68" s="2">
        <v>0</v>
      </c>
      <c r="EU68" s="2">
        <v>0</v>
      </c>
      <c r="EV68" s="2">
        <v>98.52</v>
      </c>
      <c r="EW68" s="2">
        <v>9.64</v>
      </c>
      <c r="EX68" s="2">
        <v>0</v>
      </c>
      <c r="EY68" s="2">
        <v>0</v>
      </c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91</v>
      </c>
      <c r="FY68" s="2">
        <v>48</v>
      </c>
      <c r="FZ68" s="2"/>
      <c r="GA68" s="2" t="s">
        <v>3</v>
      </c>
      <c r="GB68" s="2"/>
      <c r="GC68" s="2"/>
      <c r="GD68" s="2">
        <v>1</v>
      </c>
      <c r="GE68" s="2"/>
      <c r="GF68" s="2">
        <v>1114236003</v>
      </c>
      <c r="GG68" s="2">
        <v>2</v>
      </c>
      <c r="GH68" s="2">
        <v>1</v>
      </c>
      <c r="GI68" s="2">
        <v>2</v>
      </c>
      <c r="GJ68" s="2">
        <v>0</v>
      </c>
      <c r="GK68" s="2">
        <v>0</v>
      </c>
      <c r="GL68" s="2">
        <f t="shared" si="52"/>
        <v>0</v>
      </c>
      <c r="GM68" s="2">
        <f t="shared" si="53"/>
        <v>27808.54</v>
      </c>
      <c r="GN68" s="2">
        <f t="shared" si="54"/>
        <v>27808.54</v>
      </c>
      <c r="GO68" s="2">
        <f t="shared" si="55"/>
        <v>0</v>
      </c>
      <c r="GP68" s="2">
        <f t="shared" si="56"/>
        <v>0</v>
      </c>
      <c r="GQ68" s="2"/>
      <c r="GR68" s="2">
        <v>0</v>
      </c>
      <c r="GS68" s="2">
        <v>3</v>
      </c>
      <c r="GT68" s="2">
        <v>0</v>
      </c>
      <c r="GU68" s="2" t="s">
        <v>3</v>
      </c>
      <c r="GV68" s="2">
        <f t="shared" si="57"/>
        <v>0</v>
      </c>
      <c r="GW68" s="2">
        <v>1</v>
      </c>
      <c r="GX68" s="2">
        <f t="shared" si="58"/>
        <v>0</v>
      </c>
      <c r="GY68" s="2"/>
      <c r="GZ68" s="2"/>
      <c r="HA68" s="2">
        <v>0</v>
      </c>
      <c r="HB68" s="2">
        <v>0</v>
      </c>
      <c r="HC68" s="2">
        <f t="shared" si="59"/>
        <v>0</v>
      </c>
      <c r="HD68" s="2"/>
      <c r="HE68" s="2" t="s">
        <v>3</v>
      </c>
      <c r="HF68" s="2" t="s">
        <v>3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5">
      <c r="A69" s="3">
        <v>17</v>
      </c>
      <c r="B69" s="3">
        <v>1</v>
      </c>
      <c r="C69" s="3">
        <f>ROW(SmtRes!A104)</f>
        <v>104</v>
      </c>
      <c r="D69" s="3">
        <f>ROW(EtalonRes!A136)</f>
        <v>136</v>
      </c>
      <c r="E69" s="3" t="s">
        <v>3</v>
      </c>
      <c r="F69" s="3" t="s">
        <v>110</v>
      </c>
      <c r="G69" s="3" t="s">
        <v>111</v>
      </c>
      <c r="H69" s="3" t="s">
        <v>99</v>
      </c>
      <c r="I69" s="3">
        <f>ROUND((4750+100+300+4250)/100,9)</f>
        <v>94</v>
      </c>
      <c r="J69" s="3">
        <v>0</v>
      </c>
      <c r="K69" s="3">
        <f>ROUND((4750+100+300+4250)/100,9)</f>
        <v>94</v>
      </c>
      <c r="O69" s="3">
        <f t="shared" si="21"/>
        <v>655653.1</v>
      </c>
      <c r="P69" s="3">
        <f t="shared" si="22"/>
        <v>0</v>
      </c>
      <c r="Q69" s="3">
        <f t="shared" si="60"/>
        <v>0</v>
      </c>
      <c r="R69" s="3">
        <f t="shared" si="61"/>
        <v>0</v>
      </c>
      <c r="S69" s="3">
        <f t="shared" si="25"/>
        <v>655653.1</v>
      </c>
      <c r="T69" s="3">
        <f t="shared" si="26"/>
        <v>0</v>
      </c>
      <c r="U69" s="3">
        <f t="shared" si="27"/>
        <v>1138.4994239999999</v>
      </c>
      <c r="V69" s="3">
        <f t="shared" si="28"/>
        <v>0</v>
      </c>
      <c r="W69" s="3">
        <f t="shared" si="29"/>
        <v>0</v>
      </c>
      <c r="X69" s="3">
        <f t="shared" si="62"/>
        <v>596644.31999999995</v>
      </c>
      <c r="Y69" s="3">
        <f t="shared" si="63"/>
        <v>314713.49</v>
      </c>
      <c r="AA69" s="3">
        <v>-1</v>
      </c>
      <c r="AB69" s="3">
        <f t="shared" si="32"/>
        <v>118.224</v>
      </c>
      <c r="AC69" s="3">
        <f t="shared" si="64"/>
        <v>0</v>
      </c>
      <c r="AD69" s="3">
        <f t="shared" si="65"/>
        <v>0</v>
      </c>
      <c r="AE69" s="3">
        <f t="shared" si="66"/>
        <v>0</v>
      </c>
      <c r="AF69" s="3">
        <f t="shared" si="66"/>
        <v>118.224</v>
      </c>
      <c r="AG69" s="3">
        <f t="shared" si="37"/>
        <v>0</v>
      </c>
      <c r="AH69" s="3">
        <f t="shared" si="67"/>
        <v>11.568</v>
      </c>
      <c r="AI69" s="3">
        <f t="shared" si="67"/>
        <v>0</v>
      </c>
      <c r="AJ69" s="3">
        <f t="shared" si="40"/>
        <v>0</v>
      </c>
      <c r="AK69" s="3">
        <v>98.52</v>
      </c>
      <c r="AL69" s="3">
        <v>0</v>
      </c>
      <c r="AM69" s="3">
        <v>0</v>
      </c>
      <c r="AN69" s="3">
        <v>0</v>
      </c>
      <c r="AO69" s="3">
        <v>98.52</v>
      </c>
      <c r="AP69" s="3">
        <v>0</v>
      </c>
      <c r="AQ69" s="3">
        <v>9.64</v>
      </c>
      <c r="AR69" s="3">
        <v>0</v>
      </c>
      <c r="AS69" s="3">
        <v>0</v>
      </c>
      <c r="AT69" s="3">
        <v>91</v>
      </c>
      <c r="AU69" s="3">
        <v>48</v>
      </c>
      <c r="AV69" s="3">
        <v>1.0469999999999999</v>
      </c>
      <c r="AW69" s="3">
        <v>1</v>
      </c>
      <c r="AZ69" s="3">
        <v>1</v>
      </c>
      <c r="BA69" s="3">
        <v>56.35</v>
      </c>
      <c r="BB69" s="3">
        <v>1</v>
      </c>
      <c r="BC69" s="3">
        <v>1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0</v>
      </c>
      <c r="BI69" s="3">
        <v>1</v>
      </c>
      <c r="BJ69" s="3" t="s">
        <v>112</v>
      </c>
      <c r="BM69" s="3">
        <v>106</v>
      </c>
      <c r="BN69" s="3">
        <v>0</v>
      </c>
      <c r="BO69" s="3" t="s">
        <v>110</v>
      </c>
      <c r="BP69" s="3">
        <v>1</v>
      </c>
      <c r="BQ69" s="3">
        <v>60</v>
      </c>
      <c r="BR69" s="3">
        <v>0</v>
      </c>
      <c r="BS69" s="3">
        <v>56.35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91</v>
      </c>
      <c r="CA69" s="3">
        <v>48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614</v>
      </c>
      <c r="CO69" s="3">
        <v>0</v>
      </c>
      <c r="CP69" s="3">
        <f t="shared" si="41"/>
        <v>655653.1</v>
      </c>
      <c r="CQ69" s="3">
        <f t="shared" si="42"/>
        <v>0</v>
      </c>
      <c r="CR69" s="3">
        <f t="shared" si="68"/>
        <v>0</v>
      </c>
      <c r="CS69" s="3">
        <f t="shared" si="69"/>
        <v>0</v>
      </c>
      <c r="CT69" s="3">
        <f t="shared" si="45"/>
        <v>6975</v>
      </c>
      <c r="CU69" s="3">
        <f t="shared" si="46"/>
        <v>0</v>
      </c>
      <c r="CV69" s="3">
        <f t="shared" si="47"/>
        <v>12.111695999999998</v>
      </c>
      <c r="CW69" s="3">
        <f t="shared" si="48"/>
        <v>0</v>
      </c>
      <c r="CX69" s="3">
        <f t="shared" si="49"/>
        <v>0</v>
      </c>
      <c r="CY69" s="3">
        <f t="shared" si="70"/>
        <v>596644.31999999995</v>
      </c>
      <c r="CZ69" s="3">
        <f t="shared" si="71"/>
        <v>314713.49</v>
      </c>
      <c r="DB69" s="3">
        <v>80</v>
      </c>
      <c r="DC69" s="3" t="s">
        <v>3</v>
      </c>
      <c r="DD69" s="3" t="s">
        <v>104</v>
      </c>
      <c r="DE69" s="3" t="s">
        <v>105</v>
      </c>
      <c r="DF69" s="3" t="s">
        <v>105</v>
      </c>
      <c r="DG69" s="3" t="s">
        <v>105</v>
      </c>
      <c r="DH69" s="3" t="s">
        <v>3</v>
      </c>
      <c r="DI69" s="3" t="s">
        <v>105</v>
      </c>
      <c r="DJ69" s="3" t="s">
        <v>105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U69" s="3">
        <v>1003</v>
      </c>
      <c r="DV69" s="3" t="s">
        <v>99</v>
      </c>
      <c r="DW69" s="3" t="s">
        <v>99</v>
      </c>
      <c r="DX69" s="3">
        <v>100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57042996</v>
      </c>
      <c r="EF69" s="3">
        <v>60</v>
      </c>
      <c r="EG69" s="3" t="s">
        <v>106</v>
      </c>
      <c r="EH69" s="3">
        <v>0</v>
      </c>
      <c r="EI69" s="3" t="s">
        <v>3</v>
      </c>
      <c r="EJ69" s="3">
        <v>1</v>
      </c>
      <c r="EK69" s="3">
        <v>106</v>
      </c>
      <c r="EL69" s="3" t="s">
        <v>107</v>
      </c>
      <c r="EM69" s="3" t="s">
        <v>108</v>
      </c>
      <c r="EO69" s="3" t="s">
        <v>109</v>
      </c>
      <c r="EQ69" s="3">
        <v>1024</v>
      </c>
      <c r="ER69" s="3">
        <v>98.52</v>
      </c>
      <c r="ES69" s="3">
        <v>0</v>
      </c>
      <c r="ET69" s="3">
        <v>0</v>
      </c>
      <c r="EU69" s="3">
        <v>0</v>
      </c>
      <c r="EV69" s="3">
        <v>98.52</v>
      </c>
      <c r="EW69" s="3">
        <v>9.64</v>
      </c>
      <c r="EX69" s="3">
        <v>0</v>
      </c>
      <c r="EY69" s="3">
        <v>0</v>
      </c>
      <c r="FQ69" s="3">
        <v>0</v>
      </c>
      <c r="FR69" s="3">
        <v>0</v>
      </c>
      <c r="FS69" s="3">
        <v>0</v>
      </c>
      <c r="FX69" s="3">
        <v>91</v>
      </c>
      <c r="FY69" s="3">
        <v>48</v>
      </c>
      <c r="GA69" s="3" t="s">
        <v>3</v>
      </c>
      <c r="GD69" s="3">
        <v>1</v>
      </c>
      <c r="GF69" s="3">
        <v>1114236003</v>
      </c>
      <c r="GG69" s="3">
        <v>2</v>
      </c>
      <c r="GH69" s="3">
        <v>1</v>
      </c>
      <c r="GI69" s="3">
        <v>2</v>
      </c>
      <c r="GJ69" s="3">
        <v>0</v>
      </c>
      <c r="GK69" s="3">
        <v>0</v>
      </c>
      <c r="GL69" s="3">
        <f t="shared" si="52"/>
        <v>0</v>
      </c>
      <c r="GM69" s="3">
        <f t="shared" si="53"/>
        <v>1567010.91</v>
      </c>
      <c r="GN69" s="3">
        <f t="shared" si="54"/>
        <v>1567010.91</v>
      </c>
      <c r="GO69" s="3">
        <f t="shared" si="55"/>
        <v>0</v>
      </c>
      <c r="GP69" s="3">
        <f t="shared" si="56"/>
        <v>0</v>
      </c>
      <c r="GR69" s="3">
        <v>0</v>
      </c>
      <c r="GS69" s="3">
        <v>3</v>
      </c>
      <c r="GT69" s="3">
        <v>0</v>
      </c>
      <c r="GU69" s="3" t="s">
        <v>3</v>
      </c>
      <c r="GV69" s="3">
        <f t="shared" si="57"/>
        <v>0</v>
      </c>
      <c r="GW69" s="3">
        <v>1</v>
      </c>
      <c r="GX69" s="3">
        <f t="shared" si="58"/>
        <v>0</v>
      </c>
      <c r="HA69" s="3">
        <v>0</v>
      </c>
      <c r="HB69" s="3">
        <v>0</v>
      </c>
      <c r="HC69" s="3">
        <f t="shared" si="59"/>
        <v>0</v>
      </c>
      <c r="HE69" s="3" t="s">
        <v>3</v>
      </c>
      <c r="HF69" s="3" t="s">
        <v>3</v>
      </c>
      <c r="HM69" s="3" t="s">
        <v>3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0" spans="1:255" x14ac:dyDescent="0.25">
      <c r="A70" s="2">
        <v>17</v>
      </c>
      <c r="B70" s="2">
        <v>1</v>
      </c>
      <c r="C70" s="2">
        <f>ROW(SmtRes!A106)</f>
        <v>106</v>
      </c>
      <c r="D70" s="2">
        <f>ROW(EtalonRes!A138)</f>
        <v>138</v>
      </c>
      <c r="E70" s="2" t="s">
        <v>113</v>
      </c>
      <c r="F70" s="2" t="s">
        <v>114</v>
      </c>
      <c r="G70" s="2" t="s">
        <v>115</v>
      </c>
      <c r="H70" s="2" t="s">
        <v>99</v>
      </c>
      <c r="I70" s="2">
        <f>ROUND((4750+100+300+4250-5150)/100,9)</f>
        <v>42.5</v>
      </c>
      <c r="J70" s="2">
        <v>0</v>
      </c>
      <c r="K70" s="2">
        <f>ROUND((4750+100+300+4250-5150)/100,9)</f>
        <v>42.5</v>
      </c>
      <c r="L70" s="2"/>
      <c r="M70" s="2"/>
      <c r="N70" s="2"/>
      <c r="O70" s="2">
        <f t="shared" si="21"/>
        <v>1285.27</v>
      </c>
      <c r="P70" s="2">
        <f t="shared" si="22"/>
        <v>0</v>
      </c>
      <c r="Q70" s="2">
        <f t="shared" si="60"/>
        <v>0</v>
      </c>
      <c r="R70" s="2">
        <f t="shared" si="61"/>
        <v>0</v>
      </c>
      <c r="S70" s="2">
        <f t="shared" si="25"/>
        <v>1285.27</v>
      </c>
      <c r="T70" s="2">
        <f t="shared" si="26"/>
        <v>0</v>
      </c>
      <c r="U70" s="2">
        <f t="shared" si="27"/>
        <v>120.14324999999999</v>
      </c>
      <c r="V70" s="2">
        <f t="shared" si="28"/>
        <v>0</v>
      </c>
      <c r="W70" s="2">
        <f t="shared" si="29"/>
        <v>0</v>
      </c>
      <c r="X70" s="2">
        <f t="shared" si="62"/>
        <v>1169.5999999999999</v>
      </c>
      <c r="Y70" s="2">
        <f t="shared" si="63"/>
        <v>616.92999999999995</v>
      </c>
      <c r="Z70" s="2"/>
      <c r="AA70" s="2">
        <v>57034452</v>
      </c>
      <c r="AB70" s="2">
        <f t="shared" si="32"/>
        <v>28.884</v>
      </c>
      <c r="AC70" s="2">
        <f t="shared" si="64"/>
        <v>0</v>
      </c>
      <c r="AD70" s="2">
        <f t="shared" si="65"/>
        <v>0</v>
      </c>
      <c r="AE70" s="2">
        <f t="shared" si="66"/>
        <v>0</v>
      </c>
      <c r="AF70" s="2">
        <f t="shared" si="66"/>
        <v>28.884</v>
      </c>
      <c r="AG70" s="2">
        <f t="shared" si="37"/>
        <v>0</v>
      </c>
      <c r="AH70" s="2">
        <f t="shared" si="67"/>
        <v>2.6999999999999997</v>
      </c>
      <c r="AI70" s="2">
        <f t="shared" si="67"/>
        <v>0</v>
      </c>
      <c r="AJ70" s="2">
        <f t="shared" si="40"/>
        <v>0</v>
      </c>
      <c r="AK70" s="2">
        <v>24.07</v>
      </c>
      <c r="AL70" s="2">
        <v>0</v>
      </c>
      <c r="AM70" s="2">
        <v>0</v>
      </c>
      <c r="AN70" s="2">
        <v>0</v>
      </c>
      <c r="AO70" s="2">
        <v>24.07</v>
      </c>
      <c r="AP70" s="2">
        <v>0</v>
      </c>
      <c r="AQ70" s="2">
        <v>2.25</v>
      </c>
      <c r="AR70" s="2">
        <v>0</v>
      </c>
      <c r="AS70" s="2">
        <v>0</v>
      </c>
      <c r="AT70" s="2">
        <v>91</v>
      </c>
      <c r="AU70" s="2">
        <v>48</v>
      </c>
      <c r="AV70" s="2">
        <v>1.0469999999999999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0</v>
      </c>
      <c r="BI70" s="2">
        <v>1</v>
      </c>
      <c r="BJ70" s="2" t="s">
        <v>116</v>
      </c>
      <c r="BK70" s="2"/>
      <c r="BL70" s="2"/>
      <c r="BM70" s="2">
        <v>106</v>
      </c>
      <c r="BN70" s="2">
        <v>0</v>
      </c>
      <c r="BO70" s="2" t="s">
        <v>114</v>
      </c>
      <c r="BP70" s="2">
        <v>1</v>
      </c>
      <c r="BQ70" s="2">
        <v>60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91</v>
      </c>
      <c r="CA70" s="2">
        <v>48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614</v>
      </c>
      <c r="CO70" s="2">
        <v>0</v>
      </c>
      <c r="CP70" s="2">
        <f t="shared" si="41"/>
        <v>1285.27</v>
      </c>
      <c r="CQ70" s="2">
        <f t="shared" si="42"/>
        <v>0</v>
      </c>
      <c r="CR70" s="2">
        <f t="shared" si="68"/>
        <v>0</v>
      </c>
      <c r="CS70" s="2">
        <f t="shared" si="69"/>
        <v>0</v>
      </c>
      <c r="CT70" s="2">
        <f t="shared" si="45"/>
        <v>30.24</v>
      </c>
      <c r="CU70" s="2">
        <f t="shared" si="46"/>
        <v>0</v>
      </c>
      <c r="CV70" s="2">
        <f t="shared" si="47"/>
        <v>2.8268999999999997</v>
      </c>
      <c r="CW70" s="2">
        <f t="shared" si="48"/>
        <v>0</v>
      </c>
      <c r="CX70" s="2">
        <f t="shared" si="49"/>
        <v>0</v>
      </c>
      <c r="CY70" s="2">
        <f t="shared" si="70"/>
        <v>1169.5999999999999</v>
      </c>
      <c r="CZ70" s="2">
        <f t="shared" si="71"/>
        <v>616.92999999999995</v>
      </c>
      <c r="DA70" s="2"/>
      <c r="DB70" s="2">
        <v>81</v>
      </c>
      <c r="DC70" s="2" t="s">
        <v>3</v>
      </c>
      <c r="DD70" s="2" t="s">
        <v>104</v>
      </c>
      <c r="DE70" s="2" t="s">
        <v>105</v>
      </c>
      <c r="DF70" s="2" t="s">
        <v>105</v>
      </c>
      <c r="DG70" s="2" t="s">
        <v>105</v>
      </c>
      <c r="DH70" s="2" t="s">
        <v>3</v>
      </c>
      <c r="DI70" s="2" t="s">
        <v>105</v>
      </c>
      <c r="DJ70" s="2" t="s">
        <v>105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1003</v>
      </c>
      <c r="DV70" s="2" t="s">
        <v>99</v>
      </c>
      <c r="DW70" s="2" t="s">
        <v>99</v>
      </c>
      <c r="DX70" s="2">
        <v>100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57042996</v>
      </c>
      <c r="EF70" s="2">
        <v>60</v>
      </c>
      <c r="EG70" s="2" t="s">
        <v>106</v>
      </c>
      <c r="EH70" s="2">
        <v>0</v>
      </c>
      <c r="EI70" s="2" t="s">
        <v>3</v>
      </c>
      <c r="EJ70" s="2">
        <v>1</v>
      </c>
      <c r="EK70" s="2">
        <v>106</v>
      </c>
      <c r="EL70" s="2" t="s">
        <v>107</v>
      </c>
      <c r="EM70" s="2" t="s">
        <v>108</v>
      </c>
      <c r="EN70" s="2"/>
      <c r="EO70" s="2" t="s">
        <v>109</v>
      </c>
      <c r="EP70" s="2"/>
      <c r="EQ70" s="2">
        <v>0</v>
      </c>
      <c r="ER70" s="2">
        <v>24.07</v>
      </c>
      <c r="ES70" s="2">
        <v>0</v>
      </c>
      <c r="ET70" s="2">
        <v>0</v>
      </c>
      <c r="EU70" s="2">
        <v>0</v>
      </c>
      <c r="EV70" s="2">
        <v>24.07</v>
      </c>
      <c r="EW70" s="2">
        <v>2.25</v>
      </c>
      <c r="EX70" s="2">
        <v>0</v>
      </c>
      <c r="EY70" s="2">
        <v>0</v>
      </c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91</v>
      </c>
      <c r="FY70" s="2">
        <v>48</v>
      </c>
      <c r="FZ70" s="2"/>
      <c r="GA70" s="2" t="s">
        <v>3</v>
      </c>
      <c r="GB70" s="2"/>
      <c r="GC70" s="2"/>
      <c r="GD70" s="2">
        <v>1</v>
      </c>
      <c r="GE70" s="2"/>
      <c r="GF70" s="2">
        <v>-1911321142</v>
      </c>
      <c r="GG70" s="2">
        <v>2</v>
      </c>
      <c r="GH70" s="2">
        <v>1</v>
      </c>
      <c r="GI70" s="2">
        <v>2</v>
      </c>
      <c r="GJ70" s="2">
        <v>0</v>
      </c>
      <c r="GK70" s="2">
        <v>0</v>
      </c>
      <c r="GL70" s="2">
        <f t="shared" si="52"/>
        <v>0</v>
      </c>
      <c r="GM70" s="2">
        <f t="shared" si="53"/>
        <v>3071.8</v>
      </c>
      <c r="GN70" s="2">
        <f t="shared" si="54"/>
        <v>3071.8</v>
      </c>
      <c r="GO70" s="2">
        <f t="shared" si="55"/>
        <v>0</v>
      </c>
      <c r="GP70" s="2">
        <f t="shared" si="56"/>
        <v>0</v>
      </c>
      <c r="GQ70" s="2"/>
      <c r="GR70" s="2">
        <v>0</v>
      </c>
      <c r="GS70" s="2">
        <v>3</v>
      </c>
      <c r="GT70" s="2">
        <v>0</v>
      </c>
      <c r="GU70" s="2" t="s">
        <v>3</v>
      </c>
      <c r="GV70" s="2">
        <f t="shared" si="57"/>
        <v>0</v>
      </c>
      <c r="GW70" s="2">
        <v>1</v>
      </c>
      <c r="GX70" s="2">
        <f t="shared" si="58"/>
        <v>0</v>
      </c>
      <c r="GY70" s="2"/>
      <c r="GZ70" s="2"/>
      <c r="HA70" s="2">
        <v>0</v>
      </c>
      <c r="HB70" s="2">
        <v>0</v>
      </c>
      <c r="HC70" s="2">
        <f t="shared" si="59"/>
        <v>0</v>
      </c>
      <c r="HD70" s="2"/>
      <c r="HE70" s="2" t="s">
        <v>3</v>
      </c>
      <c r="HF70" s="2" t="s">
        <v>3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5">
      <c r="A71" s="3">
        <v>17</v>
      </c>
      <c r="B71" s="3">
        <v>1</v>
      </c>
      <c r="C71" s="3">
        <f>ROW(SmtRes!A108)</f>
        <v>108</v>
      </c>
      <c r="D71" s="3">
        <f>ROW(EtalonRes!A140)</f>
        <v>140</v>
      </c>
      <c r="E71" s="3" t="s">
        <v>113</v>
      </c>
      <c r="F71" s="3" t="s">
        <v>114</v>
      </c>
      <c r="G71" s="3" t="s">
        <v>115</v>
      </c>
      <c r="H71" s="3" t="s">
        <v>99</v>
      </c>
      <c r="I71" s="3">
        <f>ROUND((4750+100+300+4250-5150)/100,9)</f>
        <v>42.5</v>
      </c>
      <c r="J71" s="3">
        <v>0</v>
      </c>
      <c r="K71" s="3">
        <f>ROUND((4750+100+300+4250-5150)/100,9)</f>
        <v>42.5</v>
      </c>
      <c r="O71" s="3">
        <f t="shared" si="21"/>
        <v>72424.960000000006</v>
      </c>
      <c r="P71" s="3">
        <f t="shared" si="22"/>
        <v>0</v>
      </c>
      <c r="Q71" s="3">
        <f t="shared" si="60"/>
        <v>0</v>
      </c>
      <c r="R71" s="3">
        <f t="shared" si="61"/>
        <v>0</v>
      </c>
      <c r="S71" s="3">
        <f t="shared" si="25"/>
        <v>72424.960000000006</v>
      </c>
      <c r="T71" s="3">
        <f t="shared" si="26"/>
        <v>0</v>
      </c>
      <c r="U71" s="3">
        <f t="shared" si="27"/>
        <v>120.14324999999999</v>
      </c>
      <c r="V71" s="3">
        <f t="shared" si="28"/>
        <v>0</v>
      </c>
      <c r="W71" s="3">
        <f t="shared" si="29"/>
        <v>0</v>
      </c>
      <c r="X71" s="3">
        <f t="shared" si="62"/>
        <v>65906.710000000006</v>
      </c>
      <c r="Y71" s="3">
        <f t="shared" si="63"/>
        <v>34763.980000000003</v>
      </c>
      <c r="AA71" s="3">
        <v>57034454</v>
      </c>
      <c r="AB71" s="3">
        <f t="shared" si="32"/>
        <v>28.884</v>
      </c>
      <c r="AC71" s="3">
        <f t="shared" si="64"/>
        <v>0</v>
      </c>
      <c r="AD71" s="3">
        <f t="shared" si="65"/>
        <v>0</v>
      </c>
      <c r="AE71" s="3">
        <f t="shared" si="66"/>
        <v>0</v>
      </c>
      <c r="AF71" s="3">
        <f t="shared" si="66"/>
        <v>28.884</v>
      </c>
      <c r="AG71" s="3">
        <f t="shared" si="37"/>
        <v>0</v>
      </c>
      <c r="AH71" s="3">
        <f t="shared" si="67"/>
        <v>2.6999999999999997</v>
      </c>
      <c r="AI71" s="3">
        <f t="shared" si="67"/>
        <v>0</v>
      </c>
      <c r="AJ71" s="3">
        <f t="shared" si="40"/>
        <v>0</v>
      </c>
      <c r="AK71" s="3">
        <v>24.07</v>
      </c>
      <c r="AL71" s="3">
        <v>0</v>
      </c>
      <c r="AM71" s="3">
        <v>0</v>
      </c>
      <c r="AN71" s="3">
        <v>0</v>
      </c>
      <c r="AO71" s="3">
        <v>24.07</v>
      </c>
      <c r="AP71" s="3">
        <v>0</v>
      </c>
      <c r="AQ71" s="3">
        <v>2.25</v>
      </c>
      <c r="AR71" s="3">
        <v>0</v>
      </c>
      <c r="AS71" s="3">
        <v>0</v>
      </c>
      <c r="AT71" s="3">
        <v>91</v>
      </c>
      <c r="AU71" s="3">
        <v>48</v>
      </c>
      <c r="AV71" s="3">
        <v>1.0469999999999999</v>
      </c>
      <c r="AW71" s="3">
        <v>1</v>
      </c>
      <c r="AZ71" s="3">
        <v>1</v>
      </c>
      <c r="BA71" s="3">
        <v>56.35</v>
      </c>
      <c r="BB71" s="3">
        <v>1</v>
      </c>
      <c r="BC71" s="3">
        <v>1</v>
      </c>
      <c r="BD71" s="3" t="s">
        <v>3</v>
      </c>
      <c r="BE71" s="3" t="s">
        <v>3</v>
      </c>
      <c r="BF71" s="3" t="s">
        <v>3</v>
      </c>
      <c r="BG71" s="3" t="s">
        <v>3</v>
      </c>
      <c r="BH71" s="3">
        <v>0</v>
      </c>
      <c r="BI71" s="3">
        <v>1</v>
      </c>
      <c r="BJ71" s="3" t="s">
        <v>116</v>
      </c>
      <c r="BM71" s="3">
        <v>106</v>
      </c>
      <c r="BN71" s="3">
        <v>0</v>
      </c>
      <c r="BO71" s="3" t="s">
        <v>114</v>
      </c>
      <c r="BP71" s="3">
        <v>1</v>
      </c>
      <c r="BQ71" s="3">
        <v>60</v>
      </c>
      <c r="BR71" s="3">
        <v>0</v>
      </c>
      <c r="BS71" s="3">
        <v>56.35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 t="s">
        <v>3</v>
      </c>
      <c r="BZ71" s="3">
        <v>91</v>
      </c>
      <c r="CA71" s="3">
        <v>48</v>
      </c>
      <c r="CB71" s="3" t="s">
        <v>3</v>
      </c>
      <c r="CE71" s="3">
        <v>1566</v>
      </c>
      <c r="CF71" s="3">
        <v>0</v>
      </c>
      <c r="CG71" s="3">
        <v>0</v>
      </c>
      <c r="CM71" s="3">
        <v>0</v>
      </c>
      <c r="CN71" s="3" t="s">
        <v>614</v>
      </c>
      <c r="CO71" s="3">
        <v>0</v>
      </c>
      <c r="CP71" s="3">
        <f t="shared" si="41"/>
        <v>72424.960000000006</v>
      </c>
      <c r="CQ71" s="3">
        <f t="shared" si="42"/>
        <v>0</v>
      </c>
      <c r="CR71" s="3">
        <f t="shared" si="68"/>
        <v>0</v>
      </c>
      <c r="CS71" s="3">
        <f t="shared" si="69"/>
        <v>0</v>
      </c>
      <c r="CT71" s="3">
        <f t="shared" si="45"/>
        <v>1704.02</v>
      </c>
      <c r="CU71" s="3">
        <f t="shared" si="46"/>
        <v>0</v>
      </c>
      <c r="CV71" s="3">
        <f t="shared" si="47"/>
        <v>2.8268999999999997</v>
      </c>
      <c r="CW71" s="3">
        <f t="shared" si="48"/>
        <v>0</v>
      </c>
      <c r="CX71" s="3">
        <f t="shared" si="49"/>
        <v>0</v>
      </c>
      <c r="CY71" s="3">
        <f t="shared" si="70"/>
        <v>65906.710000000006</v>
      </c>
      <c r="CZ71" s="3">
        <f t="shared" si="71"/>
        <v>34763.980000000003</v>
      </c>
      <c r="DB71" s="3">
        <v>82</v>
      </c>
      <c r="DC71" s="3" t="s">
        <v>3</v>
      </c>
      <c r="DD71" s="3" t="s">
        <v>104</v>
      </c>
      <c r="DE71" s="3" t="s">
        <v>105</v>
      </c>
      <c r="DF71" s="3" t="s">
        <v>105</v>
      </c>
      <c r="DG71" s="3" t="s">
        <v>105</v>
      </c>
      <c r="DH71" s="3" t="s">
        <v>3</v>
      </c>
      <c r="DI71" s="3" t="s">
        <v>105</v>
      </c>
      <c r="DJ71" s="3" t="s">
        <v>105</v>
      </c>
      <c r="DK71" s="3" t="s">
        <v>3</v>
      </c>
      <c r="DL71" s="3" t="s">
        <v>3</v>
      </c>
      <c r="DM71" s="3" t="s">
        <v>3</v>
      </c>
      <c r="DN71" s="3">
        <v>0</v>
      </c>
      <c r="DO71" s="3">
        <v>0</v>
      </c>
      <c r="DP71" s="3">
        <v>1</v>
      </c>
      <c r="DQ71" s="3">
        <v>1</v>
      </c>
      <c r="DU71" s="3">
        <v>1003</v>
      </c>
      <c r="DV71" s="3" t="s">
        <v>99</v>
      </c>
      <c r="DW71" s="3" t="s">
        <v>99</v>
      </c>
      <c r="DX71" s="3">
        <v>100</v>
      </c>
      <c r="DZ71" s="3" t="s">
        <v>3</v>
      </c>
      <c r="EA71" s="3" t="s">
        <v>3</v>
      </c>
      <c r="EB71" s="3" t="s">
        <v>3</v>
      </c>
      <c r="EC71" s="3" t="s">
        <v>3</v>
      </c>
      <c r="EE71" s="3">
        <v>57042996</v>
      </c>
      <c r="EF71" s="3">
        <v>60</v>
      </c>
      <c r="EG71" s="3" t="s">
        <v>106</v>
      </c>
      <c r="EH71" s="3">
        <v>0</v>
      </c>
      <c r="EI71" s="3" t="s">
        <v>3</v>
      </c>
      <c r="EJ71" s="3">
        <v>1</v>
      </c>
      <c r="EK71" s="3">
        <v>106</v>
      </c>
      <c r="EL71" s="3" t="s">
        <v>107</v>
      </c>
      <c r="EM71" s="3" t="s">
        <v>108</v>
      </c>
      <c r="EO71" s="3" t="s">
        <v>109</v>
      </c>
      <c r="EQ71" s="3">
        <v>0</v>
      </c>
      <c r="ER71" s="3">
        <v>24.07</v>
      </c>
      <c r="ES71" s="3">
        <v>0</v>
      </c>
      <c r="ET71" s="3">
        <v>0</v>
      </c>
      <c r="EU71" s="3">
        <v>0</v>
      </c>
      <c r="EV71" s="3">
        <v>24.07</v>
      </c>
      <c r="EW71" s="3">
        <v>2.25</v>
      </c>
      <c r="EX71" s="3">
        <v>0</v>
      </c>
      <c r="EY71" s="3">
        <v>0</v>
      </c>
      <c r="FQ71" s="3">
        <v>0</v>
      </c>
      <c r="FR71" s="3">
        <v>0</v>
      </c>
      <c r="FS71" s="3">
        <v>0</v>
      </c>
      <c r="FX71" s="3">
        <v>91</v>
      </c>
      <c r="FY71" s="3">
        <v>48</v>
      </c>
      <c r="GA71" s="3" t="s">
        <v>3</v>
      </c>
      <c r="GD71" s="3">
        <v>1</v>
      </c>
      <c r="GF71" s="3">
        <v>-1911321142</v>
      </c>
      <c r="GG71" s="3">
        <v>2</v>
      </c>
      <c r="GH71" s="3">
        <v>1</v>
      </c>
      <c r="GI71" s="3">
        <v>2</v>
      </c>
      <c r="GJ71" s="3">
        <v>0</v>
      </c>
      <c r="GK71" s="3">
        <v>0</v>
      </c>
      <c r="GL71" s="3">
        <f t="shared" si="52"/>
        <v>0</v>
      </c>
      <c r="GM71" s="3">
        <f t="shared" si="53"/>
        <v>173095.65</v>
      </c>
      <c r="GN71" s="3">
        <f t="shared" si="54"/>
        <v>173095.65</v>
      </c>
      <c r="GO71" s="3">
        <f t="shared" si="55"/>
        <v>0</v>
      </c>
      <c r="GP71" s="3">
        <f t="shared" si="56"/>
        <v>0</v>
      </c>
      <c r="GR71" s="3">
        <v>0</v>
      </c>
      <c r="GS71" s="3">
        <v>3</v>
      </c>
      <c r="GT71" s="3">
        <v>0</v>
      </c>
      <c r="GU71" s="3" t="s">
        <v>3</v>
      </c>
      <c r="GV71" s="3">
        <f t="shared" si="57"/>
        <v>0</v>
      </c>
      <c r="GW71" s="3">
        <v>1</v>
      </c>
      <c r="GX71" s="3">
        <f t="shared" si="58"/>
        <v>0</v>
      </c>
      <c r="HA71" s="3">
        <v>0</v>
      </c>
      <c r="HB71" s="3">
        <v>0</v>
      </c>
      <c r="HC71" s="3">
        <f t="shared" si="59"/>
        <v>0</v>
      </c>
      <c r="HE71" s="3" t="s">
        <v>3</v>
      </c>
      <c r="HF71" s="3" t="s">
        <v>3</v>
      </c>
      <c r="HM71" s="3" t="s">
        <v>3</v>
      </c>
      <c r="HN71" s="3" t="s">
        <v>3</v>
      </c>
      <c r="HO71" s="3" t="s">
        <v>3</v>
      </c>
      <c r="HP71" s="3" t="s">
        <v>3</v>
      </c>
      <c r="HQ71" s="3" t="s">
        <v>3</v>
      </c>
      <c r="HS71" s="3">
        <v>0</v>
      </c>
      <c r="IK71" s="3">
        <v>0</v>
      </c>
    </row>
    <row r="73" spans="1:255" ht="13" x14ac:dyDescent="0.3">
      <c r="A73" s="11">
        <v>51</v>
      </c>
      <c r="B73" s="11">
        <f>B24</f>
        <v>1</v>
      </c>
      <c r="C73" s="11">
        <f>A24</f>
        <v>4</v>
      </c>
      <c r="D73" s="11">
        <f>ROW(A24)</f>
        <v>24</v>
      </c>
      <c r="E73" s="11"/>
      <c r="F73" s="11" t="str">
        <f>IF(F24&lt;&gt;"",F24,"")</f>
        <v>Новый раздел</v>
      </c>
      <c r="G73" s="11" t="str">
        <f>IF(G24&lt;&gt;"",G24,"")</f>
        <v>Демонтажные работы (Письмо от АНО «РГТ» об утверждении объёмов демонтажных работ)</v>
      </c>
      <c r="H73" s="11">
        <v>0</v>
      </c>
      <c r="I73" s="11"/>
      <c r="J73" s="11"/>
      <c r="K73" s="11"/>
      <c r="L73" s="11"/>
      <c r="M73" s="11"/>
      <c r="N73" s="11"/>
      <c r="O73" s="11">
        <f t="shared" ref="O73:T73" si="72">ROUND(AB73,2)</f>
        <v>18801.8</v>
      </c>
      <c r="P73" s="11">
        <f t="shared" si="72"/>
        <v>0</v>
      </c>
      <c r="Q73" s="11">
        <f t="shared" si="72"/>
        <v>814.34</v>
      </c>
      <c r="R73" s="11">
        <f t="shared" si="72"/>
        <v>94.56</v>
      </c>
      <c r="S73" s="11">
        <f t="shared" si="72"/>
        <v>17987.46</v>
      </c>
      <c r="T73" s="11">
        <f t="shared" si="72"/>
        <v>0</v>
      </c>
      <c r="U73" s="11">
        <f>AH73</f>
        <v>1475.5193009999998</v>
      </c>
      <c r="V73" s="11">
        <f>AI73</f>
        <v>0</v>
      </c>
      <c r="W73" s="11">
        <f>ROUND(AJ73,2)</f>
        <v>0</v>
      </c>
      <c r="X73" s="11">
        <f>ROUND(AK73,2)</f>
        <v>16454.150000000001</v>
      </c>
      <c r="Y73" s="11">
        <f>ROUND(AL73,2)</f>
        <v>8475.5</v>
      </c>
      <c r="Z73" s="11"/>
      <c r="AA73" s="11"/>
      <c r="AB73" s="11">
        <f>ROUND(SUMIF(AA28:AA71,"=57034452",O28:O71),2)</f>
        <v>18801.8</v>
      </c>
      <c r="AC73" s="11">
        <f>ROUND(SUMIF(AA28:AA71,"=57034452",P28:P71),2)</f>
        <v>0</v>
      </c>
      <c r="AD73" s="11">
        <f>ROUND(SUMIF(AA28:AA71,"=57034452",Q28:Q71),2)</f>
        <v>814.34</v>
      </c>
      <c r="AE73" s="11">
        <f>ROUND(SUMIF(AA28:AA71,"=57034452",R28:R71),2)</f>
        <v>94.56</v>
      </c>
      <c r="AF73" s="11">
        <f>ROUND(SUMIF(AA28:AA71,"=57034452",S28:S71),2)</f>
        <v>17987.46</v>
      </c>
      <c r="AG73" s="11">
        <f>ROUND(SUMIF(AA28:AA71,"=57034452",T28:T71),2)</f>
        <v>0</v>
      </c>
      <c r="AH73" s="11">
        <f>SUMIF(AA28:AA71,"=57034452",U28:U71)</f>
        <v>1475.5193009999998</v>
      </c>
      <c r="AI73" s="11">
        <f>SUMIF(AA28:AA71,"=57034452",V28:V71)</f>
        <v>0</v>
      </c>
      <c r="AJ73" s="11">
        <f>ROUND(SUMIF(AA28:AA71,"=57034452",W28:W71),2)</f>
        <v>0</v>
      </c>
      <c r="AK73" s="11">
        <f>ROUND(SUMIF(AA28:AA71,"=57034452",X28:X71),2)</f>
        <v>16454.150000000001</v>
      </c>
      <c r="AL73" s="11">
        <f>ROUND(SUMIF(AA28:AA71,"=57034452",Y28:Y71),2)</f>
        <v>8475.5</v>
      </c>
      <c r="AM73" s="11"/>
      <c r="AN73" s="11"/>
      <c r="AO73" s="11">
        <f t="shared" ref="AO73:BD73" si="73">ROUND(BX73,2)</f>
        <v>0</v>
      </c>
      <c r="AP73" s="11">
        <f t="shared" si="73"/>
        <v>0</v>
      </c>
      <c r="AQ73" s="11">
        <f t="shared" si="73"/>
        <v>0</v>
      </c>
      <c r="AR73" s="11">
        <f t="shared" si="73"/>
        <v>43731.45</v>
      </c>
      <c r="AS73" s="11">
        <f t="shared" si="73"/>
        <v>3071.8</v>
      </c>
      <c r="AT73" s="11">
        <f t="shared" si="73"/>
        <v>40659.65</v>
      </c>
      <c r="AU73" s="11">
        <f t="shared" si="73"/>
        <v>0</v>
      </c>
      <c r="AV73" s="11">
        <f t="shared" si="73"/>
        <v>0</v>
      </c>
      <c r="AW73" s="11">
        <f t="shared" si="73"/>
        <v>0</v>
      </c>
      <c r="AX73" s="11">
        <f t="shared" si="73"/>
        <v>0</v>
      </c>
      <c r="AY73" s="11">
        <f t="shared" si="73"/>
        <v>0</v>
      </c>
      <c r="AZ73" s="11">
        <f t="shared" si="73"/>
        <v>0</v>
      </c>
      <c r="BA73" s="11">
        <f t="shared" si="73"/>
        <v>0</v>
      </c>
      <c r="BB73" s="11">
        <f t="shared" si="73"/>
        <v>0</v>
      </c>
      <c r="BC73" s="11">
        <f t="shared" si="73"/>
        <v>0</v>
      </c>
      <c r="BD73" s="11">
        <f t="shared" si="73"/>
        <v>0</v>
      </c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>
        <f>ROUND(SUMIF(AA28:AA71,"=57034452",FQ28:FQ71),2)</f>
        <v>0</v>
      </c>
      <c r="BY73" s="11">
        <f>ROUND(SUMIF(AA28:AA71,"=57034452",FR28:FR71),2)</f>
        <v>0</v>
      </c>
      <c r="BZ73" s="11">
        <f>ROUND(SUMIF(AA28:AA71,"=57034452",GL28:GL71),2)</f>
        <v>0</v>
      </c>
      <c r="CA73" s="11">
        <f>ROUND(SUMIF(AA28:AA71,"=57034452",GM28:GM71),2)</f>
        <v>43731.45</v>
      </c>
      <c r="CB73" s="11">
        <f>ROUND(SUMIF(AA28:AA71,"=57034452",GN28:GN71),2)</f>
        <v>3071.8</v>
      </c>
      <c r="CC73" s="11">
        <f>ROUND(SUMIF(AA28:AA71,"=57034452",GO28:GO71),2)</f>
        <v>40659.65</v>
      </c>
      <c r="CD73" s="11">
        <f>ROUND(SUMIF(AA28:AA71,"=57034452",GP28:GP71),2)</f>
        <v>0</v>
      </c>
      <c r="CE73" s="11">
        <f>AC73-BX73</f>
        <v>0</v>
      </c>
      <c r="CF73" s="11">
        <f>AC73-BY73</f>
        <v>0</v>
      </c>
      <c r="CG73" s="11">
        <f>BX73-BZ73</f>
        <v>0</v>
      </c>
      <c r="CH73" s="11">
        <f>AC73-BX73-BY73+BZ73</f>
        <v>0</v>
      </c>
      <c r="CI73" s="11">
        <f>BY73-BZ73</f>
        <v>0</v>
      </c>
      <c r="CJ73" s="11">
        <f>ROUND(SUMIF(AA28:AA71,"=57034452",GX28:GX71),2)</f>
        <v>0</v>
      </c>
      <c r="CK73" s="11">
        <f>ROUND(SUMIF(AA28:AA71,"=57034452",GY28:GY71),2)</f>
        <v>0</v>
      </c>
      <c r="CL73" s="11">
        <f>ROUND(SUMIF(AA28:AA71,"=57034452",GZ28:GZ71),2)</f>
        <v>0</v>
      </c>
      <c r="CM73" s="11">
        <f>ROUND(SUMIF(AA28:AA71,"=57034452",HD28:HD71),2)</f>
        <v>0</v>
      </c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2">
        <f t="shared" ref="DG73:DL73" si="74">ROUND(DT73,2)</f>
        <v>1026183.3</v>
      </c>
      <c r="DH73" s="12">
        <f t="shared" si="74"/>
        <v>0</v>
      </c>
      <c r="DI73" s="12">
        <f t="shared" si="74"/>
        <v>12589.92</v>
      </c>
      <c r="DJ73" s="12">
        <f t="shared" si="74"/>
        <v>5328.44</v>
      </c>
      <c r="DK73" s="12">
        <f t="shared" si="74"/>
        <v>1013593.38</v>
      </c>
      <c r="DL73" s="12">
        <f t="shared" si="74"/>
        <v>0</v>
      </c>
      <c r="DM73" s="12">
        <f>DZ73</f>
        <v>1475.5193009999998</v>
      </c>
      <c r="DN73" s="12">
        <f>EA73</f>
        <v>0</v>
      </c>
      <c r="DO73" s="12">
        <f>ROUND(EB73,2)</f>
        <v>0</v>
      </c>
      <c r="DP73" s="12">
        <f>ROUND(EC73,2)</f>
        <v>927189.53</v>
      </c>
      <c r="DQ73" s="12">
        <f>ROUND(ED73,2)</f>
        <v>477593.62</v>
      </c>
      <c r="DR73" s="12"/>
      <c r="DS73" s="12"/>
      <c r="DT73" s="12">
        <f>ROUND(SUMIF(AA28:AA71,"=57034454",O28:O71),2)</f>
        <v>1026183.3</v>
      </c>
      <c r="DU73" s="12">
        <f>ROUND(SUMIF(AA28:AA71,"=57034454",P28:P71),2)</f>
        <v>0</v>
      </c>
      <c r="DV73" s="12">
        <f>ROUND(SUMIF(AA28:AA71,"=57034454",Q28:Q71),2)</f>
        <v>12589.92</v>
      </c>
      <c r="DW73" s="12">
        <f>ROUND(SUMIF(AA28:AA71,"=57034454",R28:R71),2)</f>
        <v>5328.44</v>
      </c>
      <c r="DX73" s="12">
        <f>ROUND(SUMIF(AA28:AA71,"=57034454",S28:S71),2)</f>
        <v>1013593.38</v>
      </c>
      <c r="DY73" s="12">
        <f>ROUND(SUMIF(AA28:AA71,"=57034454",T28:T71),2)</f>
        <v>0</v>
      </c>
      <c r="DZ73" s="12">
        <f>SUMIF(AA28:AA71,"=57034454",U28:U71)</f>
        <v>1475.5193009999998</v>
      </c>
      <c r="EA73" s="12">
        <f>SUMIF(AA28:AA71,"=57034454",V28:V71)</f>
        <v>0</v>
      </c>
      <c r="EB73" s="12">
        <f>ROUND(SUMIF(AA28:AA71,"=57034454",W28:W71),2)</f>
        <v>0</v>
      </c>
      <c r="EC73" s="12">
        <f>ROUND(SUMIF(AA28:AA71,"=57034454",X28:X71),2)</f>
        <v>927189.53</v>
      </c>
      <c r="ED73" s="12">
        <f>ROUND(SUMIF(AA28:AA71,"=57034454",Y28:Y71),2)</f>
        <v>477593.62</v>
      </c>
      <c r="EE73" s="12"/>
      <c r="EF73" s="12"/>
      <c r="EG73" s="12">
        <f t="shared" ref="EG73:EV73" si="75">ROUND(FP73,2)</f>
        <v>0</v>
      </c>
      <c r="EH73" s="12">
        <f t="shared" si="75"/>
        <v>0</v>
      </c>
      <c r="EI73" s="12">
        <f t="shared" si="75"/>
        <v>0</v>
      </c>
      <c r="EJ73" s="12">
        <f t="shared" si="75"/>
        <v>2430966.4500000002</v>
      </c>
      <c r="EK73" s="12">
        <f t="shared" si="75"/>
        <v>173095.65</v>
      </c>
      <c r="EL73" s="12">
        <f t="shared" si="75"/>
        <v>2257870.7999999998</v>
      </c>
      <c r="EM73" s="12">
        <f t="shared" si="75"/>
        <v>0</v>
      </c>
      <c r="EN73" s="12">
        <f t="shared" si="75"/>
        <v>0</v>
      </c>
      <c r="EO73" s="12">
        <f t="shared" si="75"/>
        <v>0</v>
      </c>
      <c r="EP73" s="12">
        <f t="shared" si="75"/>
        <v>0</v>
      </c>
      <c r="EQ73" s="12">
        <f t="shared" si="75"/>
        <v>0</v>
      </c>
      <c r="ER73" s="12">
        <f t="shared" si="75"/>
        <v>0</v>
      </c>
      <c r="ES73" s="12">
        <f t="shared" si="75"/>
        <v>0</v>
      </c>
      <c r="ET73" s="12">
        <f t="shared" si="75"/>
        <v>0</v>
      </c>
      <c r="EU73" s="12">
        <f t="shared" si="75"/>
        <v>0</v>
      </c>
      <c r="EV73" s="12">
        <f t="shared" si="75"/>
        <v>0</v>
      </c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>
        <f>ROUND(SUMIF(AA28:AA71,"=57034454",FQ28:FQ71),2)</f>
        <v>0</v>
      </c>
      <c r="FQ73" s="12">
        <f>ROUND(SUMIF(AA28:AA71,"=57034454",FR28:FR71),2)</f>
        <v>0</v>
      </c>
      <c r="FR73" s="12">
        <f>ROUND(SUMIF(AA28:AA71,"=57034454",GL28:GL71),2)</f>
        <v>0</v>
      </c>
      <c r="FS73" s="12">
        <f>ROUND(SUMIF(AA28:AA71,"=57034454",GM28:GM71),2)</f>
        <v>2430966.4500000002</v>
      </c>
      <c r="FT73" s="12">
        <f>ROUND(SUMIF(AA28:AA71,"=57034454",GN28:GN71),2)</f>
        <v>173095.65</v>
      </c>
      <c r="FU73" s="12">
        <f>ROUND(SUMIF(AA28:AA71,"=57034454",GO28:GO71),2)</f>
        <v>2257870.7999999998</v>
      </c>
      <c r="FV73" s="12">
        <f>ROUND(SUMIF(AA28:AA71,"=57034454",GP28:GP71),2)</f>
        <v>0</v>
      </c>
      <c r="FW73" s="12">
        <f>DU73-FP73</f>
        <v>0</v>
      </c>
      <c r="FX73" s="12">
        <f>DU73-FQ73</f>
        <v>0</v>
      </c>
      <c r="FY73" s="12">
        <f>FP73-FR73</f>
        <v>0</v>
      </c>
      <c r="FZ73" s="12">
        <f>DU73-FP73-FQ73+FR73</f>
        <v>0</v>
      </c>
      <c r="GA73" s="12">
        <f>FQ73-FR73</f>
        <v>0</v>
      </c>
      <c r="GB73" s="12">
        <f>ROUND(SUMIF(AA28:AA71,"=57034454",GX28:GX71),2)</f>
        <v>0</v>
      </c>
      <c r="GC73" s="12">
        <f>ROUND(SUMIF(AA28:AA71,"=57034454",GY28:GY71),2)</f>
        <v>0</v>
      </c>
      <c r="GD73" s="12">
        <f>ROUND(SUMIF(AA28:AA71,"=57034454",GZ28:GZ71),2)</f>
        <v>0</v>
      </c>
      <c r="GE73" s="12">
        <f>ROUND(SUMIF(AA28:AA71,"=57034454",HD28:HD71),2)</f>
        <v>0</v>
      </c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>
        <v>0</v>
      </c>
    </row>
    <row r="75" spans="1:255" ht="13" x14ac:dyDescent="0.3">
      <c r="A75" s="13">
        <v>50</v>
      </c>
      <c r="B75" s="13">
        <v>0</v>
      </c>
      <c r="C75" s="13">
        <v>0</v>
      </c>
      <c r="D75" s="13">
        <v>1</v>
      </c>
      <c r="E75" s="13">
        <v>201</v>
      </c>
      <c r="F75" s="13">
        <f>ROUND(Source!O73,O75)</f>
        <v>18801.8</v>
      </c>
      <c r="G75" s="13" t="s">
        <v>117</v>
      </c>
      <c r="H75" s="13" t="s">
        <v>118</v>
      </c>
      <c r="I75" s="13"/>
      <c r="J75" s="13"/>
      <c r="K75" s="13">
        <v>201</v>
      </c>
      <c r="L75" s="13">
        <v>1</v>
      </c>
      <c r="M75" s="13">
        <v>3</v>
      </c>
      <c r="N75" s="13" t="s">
        <v>3</v>
      </c>
      <c r="O75" s="13">
        <v>2</v>
      </c>
      <c r="P75" s="13">
        <f>ROUND(Source!DG73,O75)</f>
        <v>1026183.3</v>
      </c>
      <c r="Q75" s="13"/>
      <c r="R75" s="13"/>
      <c r="S75" s="13"/>
      <c r="T75" s="13"/>
      <c r="U75" s="13"/>
      <c r="V75" s="13"/>
      <c r="W75" s="13">
        <v>18801.8</v>
      </c>
      <c r="X75" s="13">
        <v>1</v>
      </c>
      <c r="Y75" s="13">
        <v>18801.8</v>
      </c>
      <c r="Z75" s="13">
        <v>1026183.3</v>
      </c>
      <c r="AA75" s="13">
        <v>1</v>
      </c>
      <c r="AB75" s="13">
        <v>1026183.3</v>
      </c>
    </row>
    <row r="76" spans="1:255" ht="13" x14ac:dyDescent="0.3">
      <c r="A76" s="13">
        <v>50</v>
      </c>
      <c r="B76" s="13">
        <v>0</v>
      </c>
      <c r="C76" s="13">
        <v>0</v>
      </c>
      <c r="D76" s="13">
        <v>1</v>
      </c>
      <c r="E76" s="13">
        <v>202</v>
      </c>
      <c r="F76" s="13">
        <f>ROUND(Source!P73,O76)</f>
        <v>0</v>
      </c>
      <c r="G76" s="13" t="s">
        <v>119</v>
      </c>
      <c r="H76" s="13" t="s">
        <v>120</v>
      </c>
      <c r="I76" s="13"/>
      <c r="J76" s="13"/>
      <c r="K76" s="13">
        <v>202</v>
      </c>
      <c r="L76" s="13">
        <v>2</v>
      </c>
      <c r="M76" s="13">
        <v>3</v>
      </c>
      <c r="N76" s="13" t="s">
        <v>3</v>
      </c>
      <c r="O76" s="13">
        <v>2</v>
      </c>
      <c r="P76" s="13">
        <f>ROUND(Source!DH73,O76)</f>
        <v>0</v>
      </c>
      <c r="Q76" s="13"/>
      <c r="R76" s="13"/>
      <c r="S76" s="13"/>
      <c r="T76" s="13"/>
      <c r="U76" s="13"/>
      <c r="V76" s="13"/>
      <c r="W76" s="13">
        <v>0</v>
      </c>
      <c r="X76" s="13">
        <v>1</v>
      </c>
      <c r="Y76" s="13">
        <v>0</v>
      </c>
      <c r="Z76" s="13">
        <v>0</v>
      </c>
      <c r="AA76" s="13">
        <v>1</v>
      </c>
      <c r="AB76" s="13">
        <v>0</v>
      </c>
    </row>
    <row r="77" spans="1:255" ht="13" x14ac:dyDescent="0.3">
      <c r="A77" s="13">
        <v>50</v>
      </c>
      <c r="B77" s="13">
        <v>0</v>
      </c>
      <c r="C77" s="13">
        <v>0</v>
      </c>
      <c r="D77" s="13">
        <v>1</v>
      </c>
      <c r="E77" s="13">
        <v>222</v>
      </c>
      <c r="F77" s="13">
        <f>ROUND(Source!AO73,O77)</f>
        <v>0</v>
      </c>
      <c r="G77" s="13" t="s">
        <v>121</v>
      </c>
      <c r="H77" s="13" t="s">
        <v>122</v>
      </c>
      <c r="I77" s="13"/>
      <c r="J77" s="13"/>
      <c r="K77" s="13">
        <v>222</v>
      </c>
      <c r="L77" s="13">
        <v>3</v>
      </c>
      <c r="M77" s="13">
        <v>3</v>
      </c>
      <c r="N77" s="13" t="s">
        <v>3</v>
      </c>
      <c r="O77" s="13">
        <v>2</v>
      </c>
      <c r="P77" s="13">
        <f>ROUND(Source!EG73,O77)</f>
        <v>0</v>
      </c>
      <c r="Q77" s="13"/>
      <c r="R77" s="13"/>
      <c r="S77" s="13"/>
      <c r="T77" s="13"/>
      <c r="U77" s="13"/>
      <c r="V77" s="13"/>
      <c r="W77" s="13">
        <v>0</v>
      </c>
      <c r="X77" s="13">
        <v>1</v>
      </c>
      <c r="Y77" s="13">
        <v>0</v>
      </c>
      <c r="Z77" s="13">
        <v>0</v>
      </c>
      <c r="AA77" s="13">
        <v>1</v>
      </c>
      <c r="AB77" s="13">
        <v>0</v>
      </c>
    </row>
    <row r="78" spans="1:255" ht="13" x14ac:dyDescent="0.3">
      <c r="A78" s="13">
        <v>50</v>
      </c>
      <c r="B78" s="13">
        <v>0</v>
      </c>
      <c r="C78" s="13">
        <v>0</v>
      </c>
      <c r="D78" s="13">
        <v>1</v>
      </c>
      <c r="E78" s="13">
        <v>225</v>
      </c>
      <c r="F78" s="13">
        <f>ROUND(Source!AV73,O78)</f>
        <v>0</v>
      </c>
      <c r="G78" s="13" t="s">
        <v>123</v>
      </c>
      <c r="H78" s="13" t="s">
        <v>124</v>
      </c>
      <c r="I78" s="13"/>
      <c r="J78" s="13"/>
      <c r="K78" s="13">
        <v>225</v>
      </c>
      <c r="L78" s="13">
        <v>4</v>
      </c>
      <c r="M78" s="13">
        <v>3</v>
      </c>
      <c r="N78" s="13" t="s">
        <v>3</v>
      </c>
      <c r="O78" s="13">
        <v>2</v>
      </c>
      <c r="P78" s="13">
        <f>ROUND(Source!EN73,O78)</f>
        <v>0</v>
      </c>
      <c r="Q78" s="13"/>
      <c r="R78" s="13"/>
      <c r="S78" s="13"/>
      <c r="T78" s="13"/>
      <c r="U78" s="13"/>
      <c r="V78" s="13"/>
      <c r="W78" s="13">
        <v>0</v>
      </c>
      <c r="X78" s="13">
        <v>1</v>
      </c>
      <c r="Y78" s="13">
        <v>0</v>
      </c>
      <c r="Z78" s="13">
        <v>0</v>
      </c>
      <c r="AA78" s="13">
        <v>1</v>
      </c>
      <c r="AB78" s="13">
        <v>0</v>
      </c>
    </row>
    <row r="79" spans="1:255" ht="13" x14ac:dyDescent="0.3">
      <c r="A79" s="13">
        <v>50</v>
      </c>
      <c r="B79" s="13">
        <v>0</v>
      </c>
      <c r="C79" s="13">
        <v>0</v>
      </c>
      <c r="D79" s="13">
        <v>1</v>
      </c>
      <c r="E79" s="13">
        <v>226</v>
      </c>
      <c r="F79" s="13">
        <f>ROUND(Source!AW73,O79)</f>
        <v>0</v>
      </c>
      <c r="G79" s="13" t="s">
        <v>125</v>
      </c>
      <c r="H79" s="13" t="s">
        <v>126</v>
      </c>
      <c r="I79" s="13"/>
      <c r="J79" s="13"/>
      <c r="K79" s="13">
        <v>226</v>
      </c>
      <c r="L79" s="13">
        <v>5</v>
      </c>
      <c r="M79" s="13">
        <v>3</v>
      </c>
      <c r="N79" s="13" t="s">
        <v>3</v>
      </c>
      <c r="O79" s="13">
        <v>2</v>
      </c>
      <c r="P79" s="13">
        <f>ROUND(Source!EO73,O79)</f>
        <v>0</v>
      </c>
      <c r="Q79" s="13"/>
      <c r="R79" s="13"/>
      <c r="S79" s="13"/>
      <c r="T79" s="13"/>
      <c r="U79" s="13"/>
      <c r="V79" s="13"/>
      <c r="W79" s="13">
        <v>0</v>
      </c>
      <c r="X79" s="13">
        <v>1</v>
      </c>
      <c r="Y79" s="13">
        <v>0</v>
      </c>
      <c r="Z79" s="13">
        <v>0</v>
      </c>
      <c r="AA79" s="13">
        <v>1</v>
      </c>
      <c r="AB79" s="13">
        <v>0</v>
      </c>
    </row>
    <row r="80" spans="1:255" ht="13" x14ac:dyDescent="0.3">
      <c r="A80" s="13">
        <v>50</v>
      </c>
      <c r="B80" s="13">
        <v>0</v>
      </c>
      <c r="C80" s="13">
        <v>0</v>
      </c>
      <c r="D80" s="13">
        <v>1</v>
      </c>
      <c r="E80" s="13">
        <v>227</v>
      </c>
      <c r="F80" s="13">
        <f>ROUND(Source!AX73,O80)</f>
        <v>0</v>
      </c>
      <c r="G80" s="13" t="s">
        <v>127</v>
      </c>
      <c r="H80" s="13" t="s">
        <v>128</v>
      </c>
      <c r="I80" s="13"/>
      <c r="J80" s="13"/>
      <c r="K80" s="13">
        <v>227</v>
      </c>
      <c r="L80" s="13">
        <v>6</v>
      </c>
      <c r="M80" s="13">
        <v>3</v>
      </c>
      <c r="N80" s="13" t="s">
        <v>3</v>
      </c>
      <c r="O80" s="13">
        <v>2</v>
      </c>
      <c r="P80" s="13">
        <f>ROUND(Source!EP73,O80)</f>
        <v>0</v>
      </c>
      <c r="Q80" s="13"/>
      <c r="R80" s="13"/>
      <c r="S80" s="13"/>
      <c r="T80" s="13"/>
      <c r="U80" s="13"/>
      <c r="V80" s="13"/>
      <c r="W80" s="13">
        <v>0</v>
      </c>
      <c r="X80" s="13">
        <v>1</v>
      </c>
      <c r="Y80" s="13">
        <v>0</v>
      </c>
      <c r="Z80" s="13">
        <v>0</v>
      </c>
      <c r="AA80" s="13">
        <v>1</v>
      </c>
      <c r="AB80" s="13">
        <v>0</v>
      </c>
    </row>
    <row r="81" spans="1:28" ht="13" x14ac:dyDescent="0.3">
      <c r="A81" s="13">
        <v>50</v>
      </c>
      <c r="B81" s="13">
        <v>0</v>
      </c>
      <c r="C81" s="13">
        <v>0</v>
      </c>
      <c r="D81" s="13">
        <v>1</v>
      </c>
      <c r="E81" s="13">
        <v>228</v>
      </c>
      <c r="F81" s="13">
        <f>ROUND(Source!AY73,O81)</f>
        <v>0</v>
      </c>
      <c r="G81" s="13" t="s">
        <v>129</v>
      </c>
      <c r="H81" s="13" t="s">
        <v>130</v>
      </c>
      <c r="I81" s="13"/>
      <c r="J81" s="13"/>
      <c r="K81" s="13">
        <v>228</v>
      </c>
      <c r="L81" s="13">
        <v>7</v>
      </c>
      <c r="M81" s="13">
        <v>3</v>
      </c>
      <c r="N81" s="13" t="s">
        <v>3</v>
      </c>
      <c r="O81" s="13">
        <v>2</v>
      </c>
      <c r="P81" s="13">
        <f>ROUND(Source!EQ73,O81)</f>
        <v>0</v>
      </c>
      <c r="Q81" s="13"/>
      <c r="R81" s="13"/>
      <c r="S81" s="13"/>
      <c r="T81" s="13"/>
      <c r="U81" s="13"/>
      <c r="V81" s="13"/>
      <c r="W81" s="13">
        <v>0</v>
      </c>
      <c r="X81" s="13">
        <v>1</v>
      </c>
      <c r="Y81" s="13">
        <v>0</v>
      </c>
      <c r="Z81" s="13">
        <v>0</v>
      </c>
      <c r="AA81" s="13">
        <v>1</v>
      </c>
      <c r="AB81" s="13">
        <v>0</v>
      </c>
    </row>
    <row r="82" spans="1:28" ht="13" x14ac:dyDescent="0.3">
      <c r="A82" s="13">
        <v>50</v>
      </c>
      <c r="B82" s="13">
        <v>0</v>
      </c>
      <c r="C82" s="13">
        <v>0</v>
      </c>
      <c r="D82" s="13">
        <v>1</v>
      </c>
      <c r="E82" s="13">
        <v>216</v>
      </c>
      <c r="F82" s="13">
        <f>ROUND(Source!AP73,O82)</f>
        <v>0</v>
      </c>
      <c r="G82" s="13" t="s">
        <v>131</v>
      </c>
      <c r="H82" s="13" t="s">
        <v>132</v>
      </c>
      <c r="I82" s="13"/>
      <c r="J82" s="13"/>
      <c r="K82" s="13">
        <v>216</v>
      </c>
      <c r="L82" s="13">
        <v>8</v>
      </c>
      <c r="M82" s="13">
        <v>3</v>
      </c>
      <c r="N82" s="13" t="s">
        <v>3</v>
      </c>
      <c r="O82" s="13">
        <v>2</v>
      </c>
      <c r="P82" s="13">
        <f>ROUND(Source!EH73,O82)</f>
        <v>0</v>
      </c>
      <c r="Q82" s="13"/>
      <c r="R82" s="13"/>
      <c r="S82" s="13"/>
      <c r="T82" s="13"/>
      <c r="U82" s="13"/>
      <c r="V82" s="13"/>
      <c r="W82" s="13">
        <v>0</v>
      </c>
      <c r="X82" s="13">
        <v>1</v>
      </c>
      <c r="Y82" s="13">
        <v>0</v>
      </c>
      <c r="Z82" s="13">
        <v>0</v>
      </c>
      <c r="AA82" s="13">
        <v>1</v>
      </c>
      <c r="AB82" s="13">
        <v>0</v>
      </c>
    </row>
    <row r="83" spans="1:28" ht="13" x14ac:dyDescent="0.3">
      <c r="A83" s="13">
        <v>50</v>
      </c>
      <c r="B83" s="13">
        <v>0</v>
      </c>
      <c r="C83" s="13">
        <v>0</v>
      </c>
      <c r="D83" s="13">
        <v>1</v>
      </c>
      <c r="E83" s="13">
        <v>223</v>
      </c>
      <c r="F83" s="13">
        <f>ROUND(Source!AQ73,O83)</f>
        <v>0</v>
      </c>
      <c r="G83" s="13" t="s">
        <v>133</v>
      </c>
      <c r="H83" s="13" t="s">
        <v>134</v>
      </c>
      <c r="I83" s="13"/>
      <c r="J83" s="13"/>
      <c r="K83" s="13">
        <v>223</v>
      </c>
      <c r="L83" s="13">
        <v>9</v>
      </c>
      <c r="M83" s="13">
        <v>3</v>
      </c>
      <c r="N83" s="13" t="s">
        <v>3</v>
      </c>
      <c r="O83" s="13">
        <v>2</v>
      </c>
      <c r="P83" s="13">
        <f>ROUND(Source!EI73,O83)</f>
        <v>0</v>
      </c>
      <c r="Q83" s="13"/>
      <c r="R83" s="13"/>
      <c r="S83" s="13"/>
      <c r="T83" s="13"/>
      <c r="U83" s="13"/>
      <c r="V83" s="13"/>
      <c r="W83" s="13">
        <v>0</v>
      </c>
      <c r="X83" s="13">
        <v>1</v>
      </c>
      <c r="Y83" s="13">
        <v>0</v>
      </c>
      <c r="Z83" s="13">
        <v>0</v>
      </c>
      <c r="AA83" s="13">
        <v>1</v>
      </c>
      <c r="AB83" s="13">
        <v>0</v>
      </c>
    </row>
    <row r="84" spans="1:28" ht="13" x14ac:dyDescent="0.3">
      <c r="A84" s="13">
        <v>50</v>
      </c>
      <c r="B84" s="13">
        <v>0</v>
      </c>
      <c r="C84" s="13">
        <v>0</v>
      </c>
      <c r="D84" s="13">
        <v>1</v>
      </c>
      <c r="E84" s="13">
        <v>229</v>
      </c>
      <c r="F84" s="13">
        <f>ROUND(Source!AZ73,O84)</f>
        <v>0</v>
      </c>
      <c r="G84" s="13" t="s">
        <v>135</v>
      </c>
      <c r="H84" s="13" t="s">
        <v>136</v>
      </c>
      <c r="I84" s="13"/>
      <c r="J84" s="13"/>
      <c r="K84" s="13">
        <v>229</v>
      </c>
      <c r="L84" s="13">
        <v>10</v>
      </c>
      <c r="M84" s="13">
        <v>3</v>
      </c>
      <c r="N84" s="13" t="s">
        <v>3</v>
      </c>
      <c r="O84" s="13">
        <v>2</v>
      </c>
      <c r="P84" s="13">
        <f>ROUND(Source!ER73,O84)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28" ht="13" x14ac:dyDescent="0.3">
      <c r="A85" s="13">
        <v>50</v>
      </c>
      <c r="B85" s="13">
        <v>0</v>
      </c>
      <c r="C85" s="13">
        <v>0</v>
      </c>
      <c r="D85" s="13">
        <v>1</v>
      </c>
      <c r="E85" s="13">
        <v>203</v>
      </c>
      <c r="F85" s="13">
        <f>ROUND(Source!Q73,O85)</f>
        <v>814.34</v>
      </c>
      <c r="G85" s="13" t="s">
        <v>137</v>
      </c>
      <c r="H85" s="13" t="s">
        <v>138</v>
      </c>
      <c r="I85" s="13"/>
      <c r="J85" s="13"/>
      <c r="K85" s="13">
        <v>203</v>
      </c>
      <c r="L85" s="13">
        <v>11</v>
      </c>
      <c r="M85" s="13">
        <v>3</v>
      </c>
      <c r="N85" s="13" t="s">
        <v>3</v>
      </c>
      <c r="O85" s="13">
        <v>2</v>
      </c>
      <c r="P85" s="13">
        <f>ROUND(Source!DI73,O85)</f>
        <v>12589.92</v>
      </c>
      <c r="Q85" s="13"/>
      <c r="R85" s="13"/>
      <c r="S85" s="13"/>
      <c r="T85" s="13"/>
      <c r="U85" s="13"/>
      <c r="V85" s="13"/>
      <c r="W85" s="13">
        <v>814.34</v>
      </c>
      <c r="X85" s="13">
        <v>1</v>
      </c>
      <c r="Y85" s="13">
        <v>814.34</v>
      </c>
      <c r="Z85" s="13">
        <v>12589.92</v>
      </c>
      <c r="AA85" s="13">
        <v>1</v>
      </c>
      <c r="AB85" s="13">
        <v>12589.92</v>
      </c>
    </row>
    <row r="86" spans="1:28" ht="13" x14ac:dyDescent="0.3">
      <c r="A86" s="13">
        <v>50</v>
      </c>
      <c r="B86" s="13">
        <v>0</v>
      </c>
      <c r="C86" s="13">
        <v>0</v>
      </c>
      <c r="D86" s="13">
        <v>1</v>
      </c>
      <c r="E86" s="13">
        <v>231</v>
      </c>
      <c r="F86" s="13">
        <f>ROUND(Source!BB73,O86)</f>
        <v>0</v>
      </c>
      <c r="G86" s="13" t="s">
        <v>139</v>
      </c>
      <c r="H86" s="13" t="s">
        <v>140</v>
      </c>
      <c r="I86" s="13"/>
      <c r="J86" s="13"/>
      <c r="K86" s="13">
        <v>231</v>
      </c>
      <c r="L86" s="13">
        <v>12</v>
      </c>
      <c r="M86" s="13">
        <v>3</v>
      </c>
      <c r="N86" s="13" t="s">
        <v>3</v>
      </c>
      <c r="O86" s="13">
        <v>2</v>
      </c>
      <c r="P86" s="13">
        <f>ROUND(Source!ET73,O86)</f>
        <v>0</v>
      </c>
      <c r="Q86" s="13"/>
      <c r="R86" s="13"/>
      <c r="S86" s="13"/>
      <c r="T86" s="13"/>
      <c r="U86" s="13"/>
      <c r="V86" s="13"/>
      <c r="W86" s="13">
        <v>0</v>
      </c>
      <c r="X86" s="13">
        <v>1</v>
      </c>
      <c r="Y86" s="13">
        <v>0</v>
      </c>
      <c r="Z86" s="13">
        <v>0</v>
      </c>
      <c r="AA86" s="13">
        <v>1</v>
      </c>
      <c r="AB86" s="13">
        <v>0</v>
      </c>
    </row>
    <row r="87" spans="1:28" ht="13" x14ac:dyDescent="0.3">
      <c r="A87" s="13">
        <v>50</v>
      </c>
      <c r="B87" s="13">
        <v>0</v>
      </c>
      <c r="C87" s="13">
        <v>0</v>
      </c>
      <c r="D87" s="13">
        <v>1</v>
      </c>
      <c r="E87" s="13">
        <v>204</v>
      </c>
      <c r="F87" s="13">
        <f>ROUND(Source!R73,O87)</f>
        <v>94.56</v>
      </c>
      <c r="G87" s="13" t="s">
        <v>141</v>
      </c>
      <c r="H87" s="13" t="s">
        <v>142</v>
      </c>
      <c r="I87" s="13"/>
      <c r="J87" s="13"/>
      <c r="K87" s="13">
        <v>204</v>
      </c>
      <c r="L87" s="13">
        <v>13</v>
      </c>
      <c r="M87" s="13">
        <v>3</v>
      </c>
      <c r="N87" s="13" t="s">
        <v>3</v>
      </c>
      <c r="O87" s="13">
        <v>2</v>
      </c>
      <c r="P87" s="13">
        <f>ROUND(Source!DJ73,O87)</f>
        <v>5328.44</v>
      </c>
      <c r="Q87" s="13"/>
      <c r="R87" s="13"/>
      <c r="S87" s="13"/>
      <c r="T87" s="13"/>
      <c r="U87" s="13"/>
      <c r="V87" s="13"/>
      <c r="W87" s="13">
        <v>94.56</v>
      </c>
      <c r="X87" s="13">
        <v>1</v>
      </c>
      <c r="Y87" s="13">
        <v>94.56</v>
      </c>
      <c r="Z87" s="13">
        <v>5328.44</v>
      </c>
      <c r="AA87" s="13">
        <v>1</v>
      </c>
      <c r="AB87" s="13">
        <v>5328.44</v>
      </c>
    </row>
    <row r="88" spans="1:28" ht="13" x14ac:dyDescent="0.3">
      <c r="A88" s="13">
        <v>50</v>
      </c>
      <c r="B88" s="13">
        <v>0</v>
      </c>
      <c r="C88" s="13">
        <v>0</v>
      </c>
      <c r="D88" s="13">
        <v>1</v>
      </c>
      <c r="E88" s="13">
        <v>205</v>
      </c>
      <c r="F88" s="13">
        <f>ROUND(Source!S73,O88)</f>
        <v>17987.46</v>
      </c>
      <c r="G88" s="13" t="s">
        <v>143</v>
      </c>
      <c r="H88" s="13" t="s">
        <v>144</v>
      </c>
      <c r="I88" s="13"/>
      <c r="J88" s="13"/>
      <c r="K88" s="13">
        <v>205</v>
      </c>
      <c r="L88" s="13">
        <v>14</v>
      </c>
      <c r="M88" s="13">
        <v>3</v>
      </c>
      <c r="N88" s="13" t="s">
        <v>3</v>
      </c>
      <c r="O88" s="13">
        <v>2</v>
      </c>
      <c r="P88" s="13">
        <f>ROUND(Source!DK73,O88)</f>
        <v>1013593.38</v>
      </c>
      <c r="Q88" s="13"/>
      <c r="R88" s="13"/>
      <c r="S88" s="13"/>
      <c r="T88" s="13"/>
      <c r="U88" s="13"/>
      <c r="V88" s="13"/>
      <c r="W88" s="13">
        <v>17987.46</v>
      </c>
      <c r="X88" s="13">
        <v>1</v>
      </c>
      <c r="Y88" s="13">
        <v>17987.46</v>
      </c>
      <c r="Z88" s="13">
        <v>1013593.38</v>
      </c>
      <c r="AA88" s="13">
        <v>1</v>
      </c>
      <c r="AB88" s="13">
        <v>1013593.38</v>
      </c>
    </row>
    <row r="89" spans="1:28" ht="13" x14ac:dyDescent="0.3">
      <c r="A89" s="13">
        <v>50</v>
      </c>
      <c r="B89" s="13">
        <v>0</v>
      </c>
      <c r="C89" s="13">
        <v>0</v>
      </c>
      <c r="D89" s="13">
        <v>1</v>
      </c>
      <c r="E89" s="13">
        <v>232</v>
      </c>
      <c r="F89" s="13">
        <f>ROUND(Source!BC73,O89)</f>
        <v>0</v>
      </c>
      <c r="G89" s="13" t="s">
        <v>145</v>
      </c>
      <c r="H89" s="13" t="s">
        <v>146</v>
      </c>
      <c r="I89" s="13"/>
      <c r="J89" s="13"/>
      <c r="K89" s="13">
        <v>232</v>
      </c>
      <c r="L89" s="13">
        <v>15</v>
      </c>
      <c r="M89" s="13">
        <v>3</v>
      </c>
      <c r="N89" s="13" t="s">
        <v>3</v>
      </c>
      <c r="O89" s="13">
        <v>2</v>
      </c>
      <c r="P89" s="13">
        <f>ROUND(Source!EU73,O89)</f>
        <v>0</v>
      </c>
      <c r="Q89" s="13"/>
      <c r="R89" s="13"/>
      <c r="S89" s="13"/>
      <c r="T89" s="13"/>
      <c r="U89" s="13"/>
      <c r="V89" s="13"/>
      <c r="W89" s="13">
        <v>0</v>
      </c>
      <c r="X89" s="13">
        <v>1</v>
      </c>
      <c r="Y89" s="13">
        <v>0</v>
      </c>
      <c r="Z89" s="13">
        <v>0</v>
      </c>
      <c r="AA89" s="13">
        <v>1</v>
      </c>
      <c r="AB89" s="13">
        <v>0</v>
      </c>
    </row>
    <row r="90" spans="1:28" ht="13" x14ac:dyDescent="0.3">
      <c r="A90" s="13">
        <v>50</v>
      </c>
      <c r="B90" s="13">
        <v>0</v>
      </c>
      <c r="C90" s="13">
        <v>0</v>
      </c>
      <c r="D90" s="13">
        <v>1</v>
      </c>
      <c r="E90" s="13">
        <v>214</v>
      </c>
      <c r="F90" s="13">
        <f>ROUND(Source!AS73,O90)</f>
        <v>3071.8</v>
      </c>
      <c r="G90" s="13" t="s">
        <v>147</v>
      </c>
      <c r="H90" s="13" t="s">
        <v>148</v>
      </c>
      <c r="I90" s="13"/>
      <c r="J90" s="13"/>
      <c r="K90" s="13">
        <v>214</v>
      </c>
      <c r="L90" s="13">
        <v>16</v>
      </c>
      <c r="M90" s="13">
        <v>3</v>
      </c>
      <c r="N90" s="13" t="s">
        <v>3</v>
      </c>
      <c r="O90" s="13">
        <v>2</v>
      </c>
      <c r="P90" s="13">
        <f>ROUND(Source!EK73,O90)</f>
        <v>173095.65</v>
      </c>
      <c r="Q90" s="13"/>
      <c r="R90" s="13"/>
      <c r="S90" s="13"/>
      <c r="T90" s="13"/>
      <c r="U90" s="13"/>
      <c r="V90" s="13"/>
      <c r="W90" s="13">
        <v>3071.8</v>
      </c>
      <c r="X90" s="13">
        <v>1</v>
      </c>
      <c r="Y90" s="13">
        <v>3071.8</v>
      </c>
      <c r="Z90" s="13">
        <v>173095.65</v>
      </c>
      <c r="AA90" s="13">
        <v>1</v>
      </c>
      <c r="AB90" s="13">
        <v>173095.65</v>
      </c>
    </row>
    <row r="91" spans="1:28" ht="13" x14ac:dyDescent="0.3">
      <c r="A91" s="13">
        <v>50</v>
      </c>
      <c r="B91" s="13">
        <v>0</v>
      </c>
      <c r="C91" s="13">
        <v>0</v>
      </c>
      <c r="D91" s="13">
        <v>1</v>
      </c>
      <c r="E91" s="13">
        <v>215</v>
      </c>
      <c r="F91" s="13">
        <f>ROUND(Source!AT73,O91)</f>
        <v>40659.65</v>
      </c>
      <c r="G91" s="13" t="s">
        <v>149</v>
      </c>
      <c r="H91" s="13" t="s">
        <v>150</v>
      </c>
      <c r="I91" s="13"/>
      <c r="J91" s="13"/>
      <c r="K91" s="13">
        <v>215</v>
      </c>
      <c r="L91" s="13">
        <v>17</v>
      </c>
      <c r="M91" s="13">
        <v>3</v>
      </c>
      <c r="N91" s="13" t="s">
        <v>3</v>
      </c>
      <c r="O91" s="13">
        <v>2</v>
      </c>
      <c r="P91" s="13">
        <f>ROUND(Source!EL73,O91)</f>
        <v>2257870.7999999998</v>
      </c>
      <c r="Q91" s="13"/>
      <c r="R91" s="13"/>
      <c r="S91" s="13"/>
      <c r="T91" s="13"/>
      <c r="U91" s="13"/>
      <c r="V91" s="13"/>
      <c r="W91" s="13">
        <v>40659.65</v>
      </c>
      <c r="X91" s="13">
        <v>1</v>
      </c>
      <c r="Y91" s="13">
        <v>40659.65</v>
      </c>
      <c r="Z91" s="13">
        <v>2257870.7999999998</v>
      </c>
      <c r="AA91" s="13">
        <v>1</v>
      </c>
      <c r="AB91" s="13">
        <v>2257870.7999999998</v>
      </c>
    </row>
    <row r="92" spans="1:28" ht="13" x14ac:dyDescent="0.3">
      <c r="A92" s="13">
        <v>50</v>
      </c>
      <c r="B92" s="13">
        <v>0</v>
      </c>
      <c r="C92" s="13">
        <v>0</v>
      </c>
      <c r="D92" s="13">
        <v>1</v>
      </c>
      <c r="E92" s="13">
        <v>217</v>
      </c>
      <c r="F92" s="13">
        <f>ROUND(Source!AU73,O92)</f>
        <v>0</v>
      </c>
      <c r="G92" s="13" t="s">
        <v>151</v>
      </c>
      <c r="H92" s="13" t="s">
        <v>152</v>
      </c>
      <c r="I92" s="13"/>
      <c r="J92" s="13"/>
      <c r="K92" s="13">
        <v>217</v>
      </c>
      <c r="L92" s="13">
        <v>18</v>
      </c>
      <c r="M92" s="13">
        <v>3</v>
      </c>
      <c r="N92" s="13" t="s">
        <v>3</v>
      </c>
      <c r="O92" s="13">
        <v>2</v>
      </c>
      <c r="P92" s="13">
        <f>ROUND(Source!EM73,O92)</f>
        <v>0</v>
      </c>
      <c r="Q92" s="13"/>
      <c r="R92" s="13"/>
      <c r="S92" s="13"/>
      <c r="T92" s="13"/>
      <c r="U92" s="13"/>
      <c r="V92" s="13"/>
      <c r="W92" s="13">
        <v>0</v>
      </c>
      <c r="X92" s="13">
        <v>1</v>
      </c>
      <c r="Y92" s="13">
        <v>0</v>
      </c>
      <c r="Z92" s="13">
        <v>0</v>
      </c>
      <c r="AA92" s="13">
        <v>1</v>
      </c>
      <c r="AB92" s="13">
        <v>0</v>
      </c>
    </row>
    <row r="93" spans="1:28" ht="13" x14ac:dyDescent="0.3">
      <c r="A93" s="13">
        <v>50</v>
      </c>
      <c r="B93" s="13">
        <v>0</v>
      </c>
      <c r="C93" s="13">
        <v>0</v>
      </c>
      <c r="D93" s="13">
        <v>1</v>
      </c>
      <c r="E93" s="13">
        <v>230</v>
      </c>
      <c r="F93" s="13">
        <f>ROUND(Source!BA73,O93)</f>
        <v>0</v>
      </c>
      <c r="G93" s="13" t="s">
        <v>153</v>
      </c>
      <c r="H93" s="13" t="s">
        <v>154</v>
      </c>
      <c r="I93" s="13"/>
      <c r="J93" s="13"/>
      <c r="K93" s="13">
        <v>230</v>
      </c>
      <c r="L93" s="13">
        <v>19</v>
      </c>
      <c r="M93" s="13">
        <v>3</v>
      </c>
      <c r="N93" s="13" t="s">
        <v>3</v>
      </c>
      <c r="O93" s="13">
        <v>2</v>
      </c>
      <c r="P93" s="13">
        <f>ROUND(Source!ES73,O93)</f>
        <v>0</v>
      </c>
      <c r="Q93" s="13"/>
      <c r="R93" s="13"/>
      <c r="S93" s="13"/>
      <c r="T93" s="13"/>
      <c r="U93" s="13"/>
      <c r="V93" s="13"/>
      <c r="W93" s="13">
        <v>0</v>
      </c>
      <c r="X93" s="13">
        <v>1</v>
      </c>
      <c r="Y93" s="13">
        <v>0</v>
      </c>
      <c r="Z93" s="13">
        <v>0</v>
      </c>
      <c r="AA93" s="13">
        <v>1</v>
      </c>
      <c r="AB93" s="13">
        <v>0</v>
      </c>
    </row>
    <row r="94" spans="1:28" ht="13" x14ac:dyDescent="0.3">
      <c r="A94" s="13">
        <v>50</v>
      </c>
      <c r="B94" s="13">
        <v>0</v>
      </c>
      <c r="C94" s="13">
        <v>0</v>
      </c>
      <c r="D94" s="13">
        <v>1</v>
      </c>
      <c r="E94" s="13">
        <v>206</v>
      </c>
      <c r="F94" s="13">
        <f>ROUND(Source!T73,O94)</f>
        <v>0</v>
      </c>
      <c r="G94" s="13" t="s">
        <v>155</v>
      </c>
      <c r="H94" s="13" t="s">
        <v>156</v>
      </c>
      <c r="I94" s="13"/>
      <c r="J94" s="13"/>
      <c r="K94" s="13">
        <v>206</v>
      </c>
      <c r="L94" s="13">
        <v>20</v>
      </c>
      <c r="M94" s="13">
        <v>3</v>
      </c>
      <c r="N94" s="13" t="s">
        <v>3</v>
      </c>
      <c r="O94" s="13">
        <v>2</v>
      </c>
      <c r="P94" s="13">
        <f>ROUND(Source!DL73,O94)</f>
        <v>0</v>
      </c>
      <c r="Q94" s="13"/>
      <c r="R94" s="13"/>
      <c r="S94" s="13"/>
      <c r="T94" s="13"/>
      <c r="U94" s="13"/>
      <c r="V94" s="13"/>
      <c r="W94" s="13">
        <v>0</v>
      </c>
      <c r="X94" s="13">
        <v>1</v>
      </c>
      <c r="Y94" s="13">
        <v>0</v>
      </c>
      <c r="Z94" s="13">
        <v>0</v>
      </c>
      <c r="AA94" s="13">
        <v>1</v>
      </c>
      <c r="AB94" s="13">
        <v>0</v>
      </c>
    </row>
    <row r="95" spans="1:28" ht="13" x14ac:dyDescent="0.3">
      <c r="A95" s="13">
        <v>50</v>
      </c>
      <c r="B95" s="13">
        <v>0</v>
      </c>
      <c r="C95" s="13">
        <v>0</v>
      </c>
      <c r="D95" s="13">
        <v>1</v>
      </c>
      <c r="E95" s="13">
        <v>207</v>
      </c>
      <c r="F95" s="13">
        <f>Source!U73</f>
        <v>1475.5193009999998</v>
      </c>
      <c r="G95" s="13" t="s">
        <v>157</v>
      </c>
      <c r="H95" s="13" t="s">
        <v>158</v>
      </c>
      <c r="I95" s="13"/>
      <c r="J95" s="13"/>
      <c r="K95" s="13">
        <v>207</v>
      </c>
      <c r="L95" s="13">
        <v>21</v>
      </c>
      <c r="M95" s="13">
        <v>3</v>
      </c>
      <c r="N95" s="13" t="s">
        <v>3</v>
      </c>
      <c r="O95" s="13">
        <v>-1</v>
      </c>
      <c r="P95" s="13">
        <f>Source!DM73</f>
        <v>1475.5193009999998</v>
      </c>
      <c r="Q95" s="13"/>
      <c r="R95" s="13"/>
      <c r="S95" s="13"/>
      <c r="T95" s="13"/>
      <c r="U95" s="13"/>
      <c r="V95" s="13"/>
      <c r="W95" s="13">
        <v>1475.5193009999998</v>
      </c>
      <c r="X95" s="13">
        <v>1</v>
      </c>
      <c r="Y95" s="13">
        <v>1475.5193009999998</v>
      </c>
      <c r="Z95" s="13">
        <v>1475.5193009999998</v>
      </c>
      <c r="AA95" s="13">
        <v>1</v>
      </c>
      <c r="AB95" s="13">
        <v>1475.5193009999998</v>
      </c>
    </row>
    <row r="96" spans="1:28" ht="13" x14ac:dyDescent="0.3">
      <c r="A96" s="13">
        <v>50</v>
      </c>
      <c r="B96" s="13">
        <v>0</v>
      </c>
      <c r="C96" s="13">
        <v>0</v>
      </c>
      <c r="D96" s="13">
        <v>1</v>
      </c>
      <c r="E96" s="13">
        <v>208</v>
      </c>
      <c r="F96" s="13">
        <f>Source!V73</f>
        <v>0</v>
      </c>
      <c r="G96" s="13" t="s">
        <v>159</v>
      </c>
      <c r="H96" s="13" t="s">
        <v>160</v>
      </c>
      <c r="I96" s="13"/>
      <c r="J96" s="13"/>
      <c r="K96" s="13">
        <v>208</v>
      </c>
      <c r="L96" s="13">
        <v>22</v>
      </c>
      <c r="M96" s="13">
        <v>3</v>
      </c>
      <c r="N96" s="13" t="s">
        <v>3</v>
      </c>
      <c r="O96" s="13">
        <v>-1</v>
      </c>
      <c r="P96" s="13">
        <f>Source!DN73</f>
        <v>0</v>
      </c>
      <c r="Q96" s="13"/>
      <c r="R96" s="13"/>
      <c r="S96" s="13"/>
      <c r="T96" s="13"/>
      <c r="U96" s="13"/>
      <c r="V96" s="13"/>
      <c r="W96" s="13">
        <v>0</v>
      </c>
      <c r="X96" s="13">
        <v>1</v>
      </c>
      <c r="Y96" s="13">
        <v>0</v>
      </c>
      <c r="Z96" s="13">
        <v>0</v>
      </c>
      <c r="AA96" s="13">
        <v>1</v>
      </c>
      <c r="AB96" s="13">
        <v>0</v>
      </c>
    </row>
    <row r="97" spans="1:255" ht="13" x14ac:dyDescent="0.3">
      <c r="A97" s="13">
        <v>50</v>
      </c>
      <c r="B97" s="13">
        <v>0</v>
      </c>
      <c r="C97" s="13">
        <v>0</v>
      </c>
      <c r="D97" s="13">
        <v>1</v>
      </c>
      <c r="E97" s="13">
        <v>209</v>
      </c>
      <c r="F97" s="13">
        <f>ROUND(Source!W73,O97)</f>
        <v>0</v>
      </c>
      <c r="G97" s="13" t="s">
        <v>161</v>
      </c>
      <c r="H97" s="13" t="s">
        <v>162</v>
      </c>
      <c r="I97" s="13"/>
      <c r="J97" s="13"/>
      <c r="K97" s="13">
        <v>209</v>
      </c>
      <c r="L97" s="13">
        <v>23</v>
      </c>
      <c r="M97" s="13">
        <v>3</v>
      </c>
      <c r="N97" s="13" t="s">
        <v>3</v>
      </c>
      <c r="O97" s="13">
        <v>2</v>
      </c>
      <c r="P97" s="13">
        <f>ROUND(Source!DO73,O97)</f>
        <v>0</v>
      </c>
      <c r="Q97" s="13"/>
      <c r="R97" s="13"/>
      <c r="S97" s="13"/>
      <c r="T97" s="13"/>
      <c r="U97" s="13"/>
      <c r="V97" s="13"/>
      <c r="W97" s="13">
        <v>0</v>
      </c>
      <c r="X97" s="13">
        <v>1</v>
      </c>
      <c r="Y97" s="13">
        <v>0</v>
      </c>
      <c r="Z97" s="13">
        <v>0</v>
      </c>
      <c r="AA97" s="13">
        <v>1</v>
      </c>
      <c r="AB97" s="13">
        <v>0</v>
      </c>
    </row>
    <row r="98" spans="1:255" ht="13" x14ac:dyDescent="0.3">
      <c r="A98" s="13">
        <v>50</v>
      </c>
      <c r="B98" s="13">
        <v>0</v>
      </c>
      <c r="C98" s="13">
        <v>0</v>
      </c>
      <c r="D98" s="13">
        <v>1</v>
      </c>
      <c r="E98" s="13">
        <v>233</v>
      </c>
      <c r="F98" s="13">
        <f>ROUND(Source!BD73,O98)</f>
        <v>0</v>
      </c>
      <c r="G98" s="13" t="s">
        <v>163</v>
      </c>
      <c r="H98" s="13" t="s">
        <v>164</v>
      </c>
      <c r="I98" s="13"/>
      <c r="J98" s="13"/>
      <c r="K98" s="13">
        <v>233</v>
      </c>
      <c r="L98" s="13">
        <v>24</v>
      </c>
      <c r="M98" s="13">
        <v>3</v>
      </c>
      <c r="N98" s="13" t="s">
        <v>3</v>
      </c>
      <c r="O98" s="13">
        <v>2</v>
      </c>
      <c r="P98" s="13">
        <f>ROUND(Source!EV73,O98)</f>
        <v>0</v>
      </c>
      <c r="Q98" s="13"/>
      <c r="R98" s="13"/>
      <c r="S98" s="13"/>
      <c r="T98" s="13"/>
      <c r="U98" s="13"/>
      <c r="V98" s="13"/>
      <c r="W98" s="13">
        <v>0</v>
      </c>
      <c r="X98" s="13">
        <v>1</v>
      </c>
      <c r="Y98" s="13">
        <v>0</v>
      </c>
      <c r="Z98" s="13">
        <v>0</v>
      </c>
      <c r="AA98" s="13">
        <v>1</v>
      </c>
      <c r="AB98" s="13">
        <v>0</v>
      </c>
    </row>
    <row r="99" spans="1:255" ht="13" x14ac:dyDescent="0.3">
      <c r="A99" s="13">
        <v>50</v>
      </c>
      <c r="B99" s="13">
        <v>0</v>
      </c>
      <c r="C99" s="13">
        <v>0</v>
      </c>
      <c r="D99" s="13">
        <v>1</v>
      </c>
      <c r="E99" s="13">
        <v>210</v>
      </c>
      <c r="F99" s="13">
        <f>ROUND(Source!X73,O99)</f>
        <v>16454.150000000001</v>
      </c>
      <c r="G99" s="13" t="s">
        <v>165</v>
      </c>
      <c r="H99" s="13" t="s">
        <v>166</v>
      </c>
      <c r="I99" s="13"/>
      <c r="J99" s="13"/>
      <c r="K99" s="13">
        <v>210</v>
      </c>
      <c r="L99" s="13">
        <v>25</v>
      </c>
      <c r="M99" s="13">
        <v>3</v>
      </c>
      <c r="N99" s="13" t="s">
        <v>3</v>
      </c>
      <c r="O99" s="13">
        <v>2</v>
      </c>
      <c r="P99" s="13">
        <f>ROUND(Source!DP73,O99)</f>
        <v>927189.53</v>
      </c>
      <c r="Q99" s="13"/>
      <c r="R99" s="13"/>
      <c r="S99" s="13"/>
      <c r="T99" s="13"/>
      <c r="U99" s="13"/>
      <c r="V99" s="13"/>
      <c r="W99" s="13">
        <v>16454.150000000001</v>
      </c>
      <c r="X99" s="13">
        <v>1</v>
      </c>
      <c r="Y99" s="13">
        <v>16454.150000000001</v>
      </c>
      <c r="Z99" s="13">
        <v>927189.53</v>
      </c>
      <c r="AA99" s="13">
        <v>1</v>
      </c>
      <c r="AB99" s="13">
        <v>927189.53</v>
      </c>
    </row>
    <row r="100" spans="1:255" ht="13" x14ac:dyDescent="0.3">
      <c r="A100" s="13">
        <v>50</v>
      </c>
      <c r="B100" s="13">
        <v>0</v>
      </c>
      <c r="C100" s="13">
        <v>0</v>
      </c>
      <c r="D100" s="13">
        <v>1</v>
      </c>
      <c r="E100" s="13">
        <v>211</v>
      </c>
      <c r="F100" s="13">
        <f>ROUND(Source!Y73,O100)</f>
        <v>8475.5</v>
      </c>
      <c r="G100" s="13" t="s">
        <v>167</v>
      </c>
      <c r="H100" s="13" t="s">
        <v>168</v>
      </c>
      <c r="I100" s="13"/>
      <c r="J100" s="13"/>
      <c r="K100" s="13">
        <v>211</v>
      </c>
      <c r="L100" s="13">
        <v>26</v>
      </c>
      <c r="M100" s="13">
        <v>3</v>
      </c>
      <c r="N100" s="13" t="s">
        <v>3</v>
      </c>
      <c r="O100" s="13">
        <v>2</v>
      </c>
      <c r="P100" s="13">
        <f>ROUND(Source!DQ73,O100)</f>
        <v>477593.62</v>
      </c>
      <c r="Q100" s="13"/>
      <c r="R100" s="13"/>
      <c r="S100" s="13"/>
      <c r="T100" s="13"/>
      <c r="U100" s="13"/>
      <c r="V100" s="13"/>
      <c r="W100" s="13">
        <v>8475.5</v>
      </c>
      <c r="X100" s="13">
        <v>1</v>
      </c>
      <c r="Y100" s="13">
        <v>8475.5</v>
      </c>
      <c r="Z100" s="13">
        <v>477593.62</v>
      </c>
      <c r="AA100" s="13">
        <v>1</v>
      </c>
      <c r="AB100" s="13">
        <v>477593.62</v>
      </c>
    </row>
    <row r="101" spans="1:255" ht="13" x14ac:dyDescent="0.3">
      <c r="A101" s="13">
        <v>50</v>
      </c>
      <c r="B101" s="13">
        <v>0</v>
      </c>
      <c r="C101" s="13">
        <v>0</v>
      </c>
      <c r="D101" s="13">
        <v>1</v>
      </c>
      <c r="E101" s="13">
        <v>224</v>
      </c>
      <c r="F101" s="13">
        <f>ROUND(Source!AR73,O101)</f>
        <v>43731.45</v>
      </c>
      <c r="G101" s="13" t="s">
        <v>169</v>
      </c>
      <c r="H101" s="13" t="s">
        <v>170</v>
      </c>
      <c r="I101" s="13"/>
      <c r="J101" s="13"/>
      <c r="K101" s="13">
        <v>224</v>
      </c>
      <c r="L101" s="13">
        <v>27</v>
      </c>
      <c r="M101" s="13">
        <v>3</v>
      </c>
      <c r="N101" s="13" t="s">
        <v>3</v>
      </c>
      <c r="O101" s="13">
        <v>2</v>
      </c>
      <c r="P101" s="13">
        <f>ROUND(Source!EJ73,O101)</f>
        <v>2430966.4500000002</v>
      </c>
      <c r="Q101" s="13"/>
      <c r="R101" s="13"/>
      <c r="S101" s="13"/>
      <c r="T101" s="13"/>
      <c r="U101" s="13"/>
      <c r="V101" s="13"/>
      <c r="W101" s="13">
        <v>43731.45</v>
      </c>
      <c r="X101" s="13">
        <v>1</v>
      </c>
      <c r="Y101" s="13">
        <v>43731.45</v>
      </c>
      <c r="Z101" s="13">
        <v>2430966.4500000002</v>
      </c>
      <c r="AA101" s="13">
        <v>1</v>
      </c>
      <c r="AB101" s="13">
        <v>2430966.4500000002</v>
      </c>
    </row>
    <row r="103" spans="1:255" ht="13" x14ac:dyDescent="0.3">
      <c r="A103" s="10">
        <v>4</v>
      </c>
      <c r="B103" s="10">
        <v>1</v>
      </c>
      <c r="C103" s="10"/>
      <c r="D103" s="10">
        <f>ROW(A112)</f>
        <v>112</v>
      </c>
      <c r="E103" s="10"/>
      <c r="F103" s="10" t="s">
        <v>21</v>
      </c>
      <c r="G103" s="10" t="s">
        <v>171</v>
      </c>
      <c r="H103" s="10" t="s">
        <v>3</v>
      </c>
      <c r="I103" s="10">
        <v>0</v>
      </c>
      <c r="J103" s="10"/>
      <c r="K103" s="10">
        <v>0</v>
      </c>
      <c r="L103" s="10"/>
      <c r="M103" s="10" t="s">
        <v>3</v>
      </c>
      <c r="N103" s="10"/>
      <c r="O103" s="10"/>
      <c r="P103" s="10"/>
      <c r="Q103" s="10"/>
      <c r="R103" s="10"/>
      <c r="S103" s="10">
        <v>0</v>
      </c>
      <c r="T103" s="10">
        <v>0</v>
      </c>
      <c r="U103" s="10" t="s">
        <v>3</v>
      </c>
      <c r="V103" s="10">
        <v>2</v>
      </c>
      <c r="W103" s="10"/>
      <c r="X103" s="10"/>
      <c r="Y103" s="10"/>
      <c r="Z103" s="10"/>
      <c r="AA103" s="10"/>
      <c r="AB103" s="10" t="s">
        <v>3</v>
      </c>
      <c r="AC103" s="10" t="s">
        <v>3</v>
      </c>
      <c r="AD103" s="10" t="s">
        <v>3</v>
      </c>
      <c r="AE103" s="10" t="s">
        <v>3</v>
      </c>
      <c r="AF103" s="10" t="s">
        <v>3</v>
      </c>
      <c r="AG103" s="10" t="s">
        <v>3</v>
      </c>
      <c r="AH103" s="10"/>
      <c r="AI103" s="10"/>
      <c r="AJ103" s="10"/>
      <c r="AK103" s="10"/>
      <c r="AL103" s="10"/>
      <c r="AM103" s="10"/>
      <c r="AN103" s="10"/>
      <c r="AO103" s="10"/>
      <c r="AP103" s="10" t="s">
        <v>3</v>
      </c>
      <c r="AQ103" s="10" t="s">
        <v>3</v>
      </c>
      <c r="AR103" s="10" t="s">
        <v>3</v>
      </c>
      <c r="AS103" s="10"/>
      <c r="AT103" s="10"/>
      <c r="AU103" s="10"/>
      <c r="AV103" s="10"/>
      <c r="AW103" s="10"/>
      <c r="AX103" s="10"/>
      <c r="AY103" s="10"/>
      <c r="AZ103" s="10" t="s">
        <v>3</v>
      </c>
      <c r="BA103" s="10"/>
      <c r="BB103" s="10" t="s">
        <v>3</v>
      </c>
      <c r="BC103" s="10" t="s">
        <v>3</v>
      </c>
      <c r="BD103" s="10" t="s">
        <v>3</v>
      </c>
      <c r="BE103" s="10" t="s">
        <v>3</v>
      </c>
      <c r="BF103" s="10" t="s">
        <v>3</v>
      </c>
      <c r="BG103" s="10" t="s">
        <v>3</v>
      </c>
      <c r="BH103" s="10" t="s">
        <v>3</v>
      </c>
      <c r="BI103" s="10" t="s">
        <v>3</v>
      </c>
      <c r="BJ103" s="10" t="s">
        <v>3</v>
      </c>
      <c r="BK103" s="10" t="s">
        <v>3</v>
      </c>
      <c r="BL103" s="10" t="s">
        <v>3</v>
      </c>
      <c r="BM103" s="10" t="s">
        <v>3</v>
      </c>
      <c r="BN103" s="10" t="s">
        <v>3</v>
      </c>
      <c r="BO103" s="10" t="s">
        <v>3</v>
      </c>
      <c r="BP103" s="10" t="s">
        <v>3</v>
      </c>
      <c r="BQ103" s="10"/>
      <c r="BR103" s="10"/>
      <c r="BS103" s="10"/>
      <c r="BT103" s="10"/>
      <c r="BU103" s="10"/>
      <c r="BV103" s="10"/>
      <c r="BW103" s="10"/>
      <c r="BX103" s="10">
        <v>0</v>
      </c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>
        <v>0</v>
      </c>
    </row>
    <row r="105" spans="1:255" ht="13" x14ac:dyDescent="0.3">
      <c r="A105" s="11">
        <v>52</v>
      </c>
      <c r="B105" s="11">
        <f t="shared" ref="B105:G105" si="76">B112</f>
        <v>1</v>
      </c>
      <c r="C105" s="11">
        <f t="shared" si="76"/>
        <v>4</v>
      </c>
      <c r="D105" s="11">
        <f t="shared" si="76"/>
        <v>103</v>
      </c>
      <c r="E105" s="11">
        <f t="shared" si="76"/>
        <v>0</v>
      </c>
      <c r="F105" s="11" t="str">
        <f t="shared" si="76"/>
        <v>Новый раздел</v>
      </c>
      <c r="G105" s="11" t="str">
        <f t="shared" si="76"/>
        <v>АРМ СПС.</v>
      </c>
      <c r="H105" s="11"/>
      <c r="I105" s="11"/>
      <c r="J105" s="11"/>
      <c r="K105" s="11"/>
      <c r="L105" s="11"/>
      <c r="M105" s="11"/>
      <c r="N105" s="11"/>
      <c r="O105" s="11">
        <f t="shared" ref="O105:AT105" si="77">O112</f>
        <v>52941.65</v>
      </c>
      <c r="P105" s="11">
        <f t="shared" si="77"/>
        <v>52864.83</v>
      </c>
      <c r="Q105" s="11">
        <f t="shared" si="77"/>
        <v>33.409999999999997</v>
      </c>
      <c r="R105" s="11">
        <f t="shared" si="77"/>
        <v>5.08</v>
      </c>
      <c r="S105" s="11">
        <f t="shared" si="77"/>
        <v>43.41</v>
      </c>
      <c r="T105" s="11">
        <f t="shared" si="77"/>
        <v>0</v>
      </c>
      <c r="U105" s="11">
        <f t="shared" si="77"/>
        <v>3.8822759999999996</v>
      </c>
      <c r="V105" s="11">
        <f t="shared" si="77"/>
        <v>0</v>
      </c>
      <c r="W105" s="11">
        <f t="shared" si="77"/>
        <v>0</v>
      </c>
      <c r="X105" s="11">
        <f t="shared" si="77"/>
        <v>43.64</v>
      </c>
      <c r="Y105" s="11">
        <f t="shared" si="77"/>
        <v>22.31</v>
      </c>
      <c r="Z105" s="11">
        <f t="shared" si="77"/>
        <v>0</v>
      </c>
      <c r="AA105" s="11">
        <f t="shared" si="77"/>
        <v>0</v>
      </c>
      <c r="AB105" s="11">
        <f t="shared" si="77"/>
        <v>52941.65</v>
      </c>
      <c r="AC105" s="11">
        <f t="shared" si="77"/>
        <v>52864.83</v>
      </c>
      <c r="AD105" s="11">
        <f t="shared" si="77"/>
        <v>33.409999999999997</v>
      </c>
      <c r="AE105" s="11">
        <f t="shared" si="77"/>
        <v>5.08</v>
      </c>
      <c r="AF105" s="11">
        <f t="shared" si="77"/>
        <v>43.41</v>
      </c>
      <c r="AG105" s="11">
        <f t="shared" si="77"/>
        <v>0</v>
      </c>
      <c r="AH105" s="11">
        <f t="shared" si="77"/>
        <v>3.8822759999999996</v>
      </c>
      <c r="AI105" s="11">
        <f t="shared" si="77"/>
        <v>0</v>
      </c>
      <c r="AJ105" s="11">
        <f t="shared" si="77"/>
        <v>0</v>
      </c>
      <c r="AK105" s="11">
        <f t="shared" si="77"/>
        <v>43.64</v>
      </c>
      <c r="AL105" s="11">
        <f t="shared" si="77"/>
        <v>22.31</v>
      </c>
      <c r="AM105" s="11">
        <f t="shared" si="77"/>
        <v>0</v>
      </c>
      <c r="AN105" s="11">
        <f t="shared" si="77"/>
        <v>0</v>
      </c>
      <c r="AO105" s="11">
        <f t="shared" si="77"/>
        <v>0</v>
      </c>
      <c r="AP105" s="11">
        <f t="shared" si="77"/>
        <v>52864.83</v>
      </c>
      <c r="AQ105" s="11">
        <f t="shared" si="77"/>
        <v>0</v>
      </c>
      <c r="AR105" s="11">
        <f t="shared" si="77"/>
        <v>53007.6</v>
      </c>
      <c r="AS105" s="11">
        <f t="shared" si="77"/>
        <v>0</v>
      </c>
      <c r="AT105" s="11">
        <f t="shared" si="77"/>
        <v>142.77000000000001</v>
      </c>
      <c r="AU105" s="11">
        <f t="shared" ref="AU105:BZ105" si="78">AU112</f>
        <v>0</v>
      </c>
      <c r="AV105" s="11">
        <f t="shared" si="78"/>
        <v>52864.83</v>
      </c>
      <c r="AW105" s="11">
        <f t="shared" si="78"/>
        <v>0</v>
      </c>
      <c r="AX105" s="11">
        <f t="shared" si="78"/>
        <v>0</v>
      </c>
      <c r="AY105" s="11">
        <f t="shared" si="78"/>
        <v>0</v>
      </c>
      <c r="AZ105" s="11">
        <f t="shared" si="78"/>
        <v>52864.83</v>
      </c>
      <c r="BA105" s="11">
        <f t="shared" si="78"/>
        <v>0</v>
      </c>
      <c r="BB105" s="11">
        <f t="shared" si="78"/>
        <v>0</v>
      </c>
      <c r="BC105" s="11">
        <f t="shared" si="78"/>
        <v>0</v>
      </c>
      <c r="BD105" s="11">
        <f t="shared" si="78"/>
        <v>0</v>
      </c>
      <c r="BE105" s="11">
        <f t="shared" si="78"/>
        <v>0</v>
      </c>
      <c r="BF105" s="11">
        <f t="shared" si="78"/>
        <v>0</v>
      </c>
      <c r="BG105" s="11">
        <f t="shared" si="78"/>
        <v>0</v>
      </c>
      <c r="BH105" s="11">
        <f t="shared" si="78"/>
        <v>0</v>
      </c>
      <c r="BI105" s="11">
        <f t="shared" si="78"/>
        <v>0</v>
      </c>
      <c r="BJ105" s="11">
        <f t="shared" si="78"/>
        <v>0</v>
      </c>
      <c r="BK105" s="11">
        <f t="shared" si="78"/>
        <v>0</v>
      </c>
      <c r="BL105" s="11">
        <f t="shared" si="78"/>
        <v>0</v>
      </c>
      <c r="BM105" s="11">
        <f t="shared" si="78"/>
        <v>0</v>
      </c>
      <c r="BN105" s="11">
        <f t="shared" si="78"/>
        <v>0</v>
      </c>
      <c r="BO105" s="11">
        <f t="shared" si="78"/>
        <v>0</v>
      </c>
      <c r="BP105" s="11">
        <f t="shared" si="78"/>
        <v>0</v>
      </c>
      <c r="BQ105" s="11">
        <f t="shared" si="78"/>
        <v>0</v>
      </c>
      <c r="BR105" s="11">
        <f t="shared" si="78"/>
        <v>0</v>
      </c>
      <c r="BS105" s="11">
        <f t="shared" si="78"/>
        <v>0</v>
      </c>
      <c r="BT105" s="11">
        <f t="shared" si="78"/>
        <v>0</v>
      </c>
      <c r="BU105" s="11">
        <f t="shared" si="78"/>
        <v>0</v>
      </c>
      <c r="BV105" s="11">
        <f t="shared" si="78"/>
        <v>0</v>
      </c>
      <c r="BW105" s="11">
        <f t="shared" si="78"/>
        <v>0</v>
      </c>
      <c r="BX105" s="11">
        <f t="shared" si="78"/>
        <v>0</v>
      </c>
      <c r="BY105" s="11">
        <f t="shared" si="78"/>
        <v>52864.83</v>
      </c>
      <c r="BZ105" s="11">
        <f t="shared" si="78"/>
        <v>0</v>
      </c>
      <c r="CA105" s="11">
        <f t="shared" ref="CA105:DF105" si="79">CA112</f>
        <v>53007.6</v>
      </c>
      <c r="CB105" s="11">
        <f t="shared" si="79"/>
        <v>0</v>
      </c>
      <c r="CC105" s="11">
        <f t="shared" si="79"/>
        <v>142.77000000000001</v>
      </c>
      <c r="CD105" s="11">
        <f t="shared" si="79"/>
        <v>0</v>
      </c>
      <c r="CE105" s="11">
        <f t="shared" si="79"/>
        <v>52864.83</v>
      </c>
      <c r="CF105" s="11">
        <f t="shared" si="79"/>
        <v>0</v>
      </c>
      <c r="CG105" s="11">
        <f t="shared" si="79"/>
        <v>0</v>
      </c>
      <c r="CH105" s="11">
        <f t="shared" si="79"/>
        <v>0</v>
      </c>
      <c r="CI105" s="11">
        <f t="shared" si="79"/>
        <v>52864.83</v>
      </c>
      <c r="CJ105" s="11">
        <f t="shared" si="79"/>
        <v>0</v>
      </c>
      <c r="CK105" s="11">
        <f t="shared" si="79"/>
        <v>0</v>
      </c>
      <c r="CL105" s="11">
        <f t="shared" si="79"/>
        <v>0</v>
      </c>
      <c r="CM105" s="11">
        <f t="shared" si="79"/>
        <v>0</v>
      </c>
      <c r="CN105" s="11">
        <f t="shared" si="79"/>
        <v>0</v>
      </c>
      <c r="CO105" s="11">
        <f t="shared" si="79"/>
        <v>0</v>
      </c>
      <c r="CP105" s="11">
        <f t="shared" si="79"/>
        <v>0</v>
      </c>
      <c r="CQ105" s="11">
        <f t="shared" si="79"/>
        <v>0</v>
      </c>
      <c r="CR105" s="11">
        <f t="shared" si="79"/>
        <v>0</v>
      </c>
      <c r="CS105" s="11">
        <f t="shared" si="79"/>
        <v>0</v>
      </c>
      <c r="CT105" s="11">
        <f t="shared" si="79"/>
        <v>0</v>
      </c>
      <c r="CU105" s="11">
        <f t="shared" si="79"/>
        <v>0</v>
      </c>
      <c r="CV105" s="11">
        <f t="shared" si="79"/>
        <v>0</v>
      </c>
      <c r="CW105" s="11">
        <f t="shared" si="79"/>
        <v>0</v>
      </c>
      <c r="CX105" s="11">
        <f t="shared" si="79"/>
        <v>0</v>
      </c>
      <c r="CY105" s="11">
        <f t="shared" si="79"/>
        <v>0</v>
      </c>
      <c r="CZ105" s="11">
        <f t="shared" si="79"/>
        <v>0</v>
      </c>
      <c r="DA105" s="11">
        <f t="shared" si="79"/>
        <v>0</v>
      </c>
      <c r="DB105" s="11">
        <f t="shared" si="79"/>
        <v>0</v>
      </c>
      <c r="DC105" s="11">
        <f t="shared" si="79"/>
        <v>0</v>
      </c>
      <c r="DD105" s="11">
        <f t="shared" si="79"/>
        <v>0</v>
      </c>
      <c r="DE105" s="11">
        <f t="shared" si="79"/>
        <v>0</v>
      </c>
      <c r="DF105" s="11">
        <f t="shared" si="79"/>
        <v>0</v>
      </c>
      <c r="DG105" s="12">
        <f t="shared" ref="DG105:EL105" si="80">DG112</f>
        <v>403203.22</v>
      </c>
      <c r="DH105" s="12">
        <f t="shared" si="80"/>
        <v>400186.76</v>
      </c>
      <c r="DI105" s="12">
        <f t="shared" si="80"/>
        <v>570.30999999999995</v>
      </c>
      <c r="DJ105" s="12">
        <f t="shared" si="80"/>
        <v>286.26</v>
      </c>
      <c r="DK105" s="12">
        <f t="shared" si="80"/>
        <v>2446.15</v>
      </c>
      <c r="DL105" s="12">
        <f t="shared" si="80"/>
        <v>0</v>
      </c>
      <c r="DM105" s="12">
        <f t="shared" si="80"/>
        <v>3.8822759999999996</v>
      </c>
      <c r="DN105" s="12">
        <f t="shared" si="80"/>
        <v>0</v>
      </c>
      <c r="DO105" s="12">
        <f t="shared" si="80"/>
        <v>0</v>
      </c>
      <c r="DP105" s="12">
        <f t="shared" si="80"/>
        <v>2459.17</v>
      </c>
      <c r="DQ105" s="12">
        <f t="shared" si="80"/>
        <v>1256.9100000000001</v>
      </c>
      <c r="DR105" s="12">
        <f t="shared" si="80"/>
        <v>0</v>
      </c>
      <c r="DS105" s="12">
        <f t="shared" si="80"/>
        <v>0</v>
      </c>
      <c r="DT105" s="12">
        <f t="shared" si="80"/>
        <v>403203.22</v>
      </c>
      <c r="DU105" s="12">
        <f t="shared" si="80"/>
        <v>400186.76</v>
      </c>
      <c r="DV105" s="12">
        <f t="shared" si="80"/>
        <v>570.30999999999995</v>
      </c>
      <c r="DW105" s="12">
        <f t="shared" si="80"/>
        <v>286.26</v>
      </c>
      <c r="DX105" s="12">
        <f t="shared" si="80"/>
        <v>2446.15</v>
      </c>
      <c r="DY105" s="12">
        <f t="shared" si="80"/>
        <v>0</v>
      </c>
      <c r="DZ105" s="12">
        <f t="shared" si="80"/>
        <v>3.8822759999999996</v>
      </c>
      <c r="EA105" s="12">
        <f t="shared" si="80"/>
        <v>0</v>
      </c>
      <c r="EB105" s="12">
        <f t="shared" si="80"/>
        <v>0</v>
      </c>
      <c r="EC105" s="12">
        <f t="shared" si="80"/>
        <v>2459.17</v>
      </c>
      <c r="ED105" s="12">
        <f t="shared" si="80"/>
        <v>1256.9100000000001</v>
      </c>
      <c r="EE105" s="12">
        <f t="shared" si="80"/>
        <v>0</v>
      </c>
      <c r="EF105" s="12">
        <f t="shared" si="80"/>
        <v>0</v>
      </c>
      <c r="EG105" s="12">
        <f t="shared" si="80"/>
        <v>0</v>
      </c>
      <c r="EH105" s="12">
        <f t="shared" si="80"/>
        <v>400186.76</v>
      </c>
      <c r="EI105" s="12">
        <f t="shared" si="80"/>
        <v>0</v>
      </c>
      <c r="EJ105" s="12">
        <f t="shared" si="80"/>
        <v>406919.3</v>
      </c>
      <c r="EK105" s="12">
        <f t="shared" si="80"/>
        <v>0</v>
      </c>
      <c r="EL105" s="12">
        <f t="shared" si="80"/>
        <v>6732.54</v>
      </c>
      <c r="EM105" s="12">
        <f t="shared" ref="EM105:FR105" si="81">EM112</f>
        <v>0</v>
      </c>
      <c r="EN105" s="12">
        <f t="shared" si="81"/>
        <v>400186.76</v>
      </c>
      <c r="EO105" s="12">
        <f t="shared" si="81"/>
        <v>0</v>
      </c>
      <c r="EP105" s="12">
        <f t="shared" si="81"/>
        <v>0</v>
      </c>
      <c r="EQ105" s="12">
        <f t="shared" si="81"/>
        <v>0</v>
      </c>
      <c r="ER105" s="12">
        <f t="shared" si="81"/>
        <v>400186.76</v>
      </c>
      <c r="ES105" s="12">
        <f t="shared" si="81"/>
        <v>0</v>
      </c>
      <c r="ET105" s="12">
        <f t="shared" si="81"/>
        <v>0</v>
      </c>
      <c r="EU105" s="12">
        <f t="shared" si="81"/>
        <v>0</v>
      </c>
      <c r="EV105" s="12">
        <f t="shared" si="81"/>
        <v>0</v>
      </c>
      <c r="EW105" s="12">
        <f t="shared" si="81"/>
        <v>0</v>
      </c>
      <c r="EX105" s="12">
        <f t="shared" si="81"/>
        <v>0</v>
      </c>
      <c r="EY105" s="12">
        <f t="shared" si="81"/>
        <v>0</v>
      </c>
      <c r="EZ105" s="12">
        <f t="shared" si="81"/>
        <v>0</v>
      </c>
      <c r="FA105" s="12">
        <f t="shared" si="81"/>
        <v>0</v>
      </c>
      <c r="FB105" s="12">
        <f t="shared" si="81"/>
        <v>0</v>
      </c>
      <c r="FC105" s="12">
        <f t="shared" si="81"/>
        <v>0</v>
      </c>
      <c r="FD105" s="12">
        <f t="shared" si="81"/>
        <v>0</v>
      </c>
      <c r="FE105" s="12">
        <f t="shared" si="81"/>
        <v>0</v>
      </c>
      <c r="FF105" s="12">
        <f t="shared" si="81"/>
        <v>0</v>
      </c>
      <c r="FG105" s="12">
        <f t="shared" si="81"/>
        <v>0</v>
      </c>
      <c r="FH105" s="12">
        <f t="shared" si="81"/>
        <v>0</v>
      </c>
      <c r="FI105" s="12">
        <f t="shared" si="81"/>
        <v>0</v>
      </c>
      <c r="FJ105" s="12">
        <f t="shared" si="81"/>
        <v>0</v>
      </c>
      <c r="FK105" s="12">
        <f t="shared" si="81"/>
        <v>0</v>
      </c>
      <c r="FL105" s="12">
        <f t="shared" si="81"/>
        <v>0</v>
      </c>
      <c r="FM105" s="12">
        <f t="shared" si="81"/>
        <v>0</v>
      </c>
      <c r="FN105" s="12">
        <f t="shared" si="81"/>
        <v>0</v>
      </c>
      <c r="FO105" s="12">
        <f t="shared" si="81"/>
        <v>0</v>
      </c>
      <c r="FP105" s="12">
        <f t="shared" si="81"/>
        <v>0</v>
      </c>
      <c r="FQ105" s="12">
        <f t="shared" si="81"/>
        <v>400186.76</v>
      </c>
      <c r="FR105" s="12">
        <f t="shared" si="81"/>
        <v>0</v>
      </c>
      <c r="FS105" s="12">
        <f t="shared" ref="FS105:GX105" si="82">FS112</f>
        <v>406919.3</v>
      </c>
      <c r="FT105" s="12">
        <f t="shared" si="82"/>
        <v>0</v>
      </c>
      <c r="FU105" s="12">
        <f t="shared" si="82"/>
        <v>6732.54</v>
      </c>
      <c r="FV105" s="12">
        <f t="shared" si="82"/>
        <v>0</v>
      </c>
      <c r="FW105" s="12">
        <f t="shared" si="82"/>
        <v>400186.76</v>
      </c>
      <c r="FX105" s="12">
        <f t="shared" si="82"/>
        <v>0</v>
      </c>
      <c r="FY105" s="12">
        <f t="shared" si="82"/>
        <v>0</v>
      </c>
      <c r="FZ105" s="12">
        <f t="shared" si="82"/>
        <v>0</v>
      </c>
      <c r="GA105" s="12">
        <f t="shared" si="82"/>
        <v>400186.76</v>
      </c>
      <c r="GB105" s="12">
        <f t="shared" si="82"/>
        <v>0</v>
      </c>
      <c r="GC105" s="12">
        <f t="shared" si="82"/>
        <v>0</v>
      </c>
      <c r="GD105" s="12">
        <f t="shared" si="82"/>
        <v>0</v>
      </c>
      <c r="GE105" s="12">
        <f t="shared" si="82"/>
        <v>0</v>
      </c>
      <c r="GF105" s="12">
        <f t="shared" si="82"/>
        <v>0</v>
      </c>
      <c r="GG105" s="12">
        <f t="shared" si="82"/>
        <v>0</v>
      </c>
      <c r="GH105" s="12">
        <f t="shared" si="82"/>
        <v>0</v>
      </c>
      <c r="GI105" s="12">
        <f t="shared" si="82"/>
        <v>0</v>
      </c>
      <c r="GJ105" s="12">
        <f t="shared" si="82"/>
        <v>0</v>
      </c>
      <c r="GK105" s="12">
        <f t="shared" si="82"/>
        <v>0</v>
      </c>
      <c r="GL105" s="12">
        <f t="shared" si="82"/>
        <v>0</v>
      </c>
      <c r="GM105" s="12">
        <f t="shared" si="82"/>
        <v>0</v>
      </c>
      <c r="GN105" s="12">
        <f t="shared" si="82"/>
        <v>0</v>
      </c>
      <c r="GO105" s="12">
        <f t="shared" si="82"/>
        <v>0</v>
      </c>
      <c r="GP105" s="12">
        <f t="shared" si="82"/>
        <v>0</v>
      </c>
      <c r="GQ105" s="12">
        <f t="shared" si="82"/>
        <v>0</v>
      </c>
      <c r="GR105" s="12">
        <f t="shared" si="82"/>
        <v>0</v>
      </c>
      <c r="GS105" s="12">
        <f t="shared" si="82"/>
        <v>0</v>
      </c>
      <c r="GT105" s="12">
        <f t="shared" si="82"/>
        <v>0</v>
      </c>
      <c r="GU105" s="12">
        <f t="shared" si="82"/>
        <v>0</v>
      </c>
      <c r="GV105" s="12">
        <f t="shared" si="82"/>
        <v>0</v>
      </c>
      <c r="GW105" s="12">
        <f t="shared" si="82"/>
        <v>0</v>
      </c>
      <c r="GX105" s="12">
        <f t="shared" si="82"/>
        <v>0</v>
      </c>
    </row>
    <row r="107" spans="1:255" x14ac:dyDescent="0.25">
      <c r="A107" s="2">
        <v>17</v>
      </c>
      <c r="B107" s="2">
        <v>1</v>
      </c>
      <c r="C107" s="2">
        <f>ROW(SmtRes!A111)</f>
        <v>111</v>
      </c>
      <c r="D107" s="2">
        <f>ROW(EtalonRes!A143)</f>
        <v>143</v>
      </c>
      <c r="E107" s="2" t="s">
        <v>172</v>
      </c>
      <c r="F107" s="2" t="s">
        <v>24</v>
      </c>
      <c r="G107" s="2" t="s">
        <v>173</v>
      </c>
      <c r="H107" s="2" t="s">
        <v>26</v>
      </c>
      <c r="I107" s="2">
        <f>ROUND(1,9)</f>
        <v>1</v>
      </c>
      <c r="J107" s="2">
        <v>0</v>
      </c>
      <c r="K107" s="2">
        <f>ROUND(1,9)</f>
        <v>1</v>
      </c>
      <c r="L107" s="2"/>
      <c r="M107" s="2"/>
      <c r="N107" s="2"/>
      <c r="O107" s="2">
        <f>ROUND(CP107,2)</f>
        <v>76.819999999999993</v>
      </c>
      <c r="P107" s="2">
        <f>ROUND((ROUND((AC107*AW107*I107),2)*BC107),2)</f>
        <v>0</v>
      </c>
      <c r="Q107" s="2">
        <f>(ROUND((ROUND((((ET107*1.2))*AV107*I107),2)*BB107),2)+ROUND((ROUND(((AE107-((EU107*1.2)))*AV107*I107),2)*BS107),2))</f>
        <v>33.409999999999997</v>
      </c>
      <c r="R107" s="2">
        <f>(ROUND((ROUND((((EU107*1.2))*AV107*I107),2)*BS107),2)+ROUND((ROUND(((AE107-((EU107*1.2)))*AV107*I107),2)*BS107),2))</f>
        <v>5.08</v>
      </c>
      <c r="S107" s="2">
        <f>ROUND((ROUND((AF107*AV107*I107),2)*BA107),2)</f>
        <v>43.41</v>
      </c>
      <c r="T107" s="2">
        <f>ROUND(CU107*I107,2)</f>
        <v>0</v>
      </c>
      <c r="U107" s="2">
        <f>CV107*I107</f>
        <v>3.8822759999999996</v>
      </c>
      <c r="V107" s="2">
        <f>CW107*I107</f>
        <v>0</v>
      </c>
      <c r="W107" s="2">
        <f>ROUND(CX107*I107,2)</f>
        <v>0</v>
      </c>
      <c r="X107" s="2">
        <f>(ROUND((((S107+ROUND((ROUND((((EU107*1.2))*AV107*I107),2)*BS107),2))*AT107)/100),2)+ROUND(((ROUND((ROUND(((AE107-((EU107*1.2)))*AV107*I107),2)*BS107),2)*AT107)/100),2))</f>
        <v>43.64</v>
      </c>
      <c r="Y107" s="2">
        <f>(ROUND((((S107+ROUND((ROUND((((EU107*1.2))*AV107*I107),2)*BS107),2))*AU107)/100),2)+ROUND(((ROUND((ROUND(((AE107-((EU107*1.2)))*AV107*I107),2)*BS107),2)*AU107)/100),2))</f>
        <v>22.31</v>
      </c>
      <c r="Z107" s="2"/>
      <c r="AA107" s="2">
        <v>57034452</v>
      </c>
      <c r="AB107" s="2">
        <f>ROUND((AC107+AD107+AF107),6)</f>
        <v>73.367999999999995</v>
      </c>
      <c r="AC107" s="2">
        <f>ROUND(((ES107*1)),6)</f>
        <v>0</v>
      </c>
      <c r="AD107" s="2">
        <f>ROUND(((((ET107*1.2))-((EU107*1.2)))+AE107),6)</f>
        <v>31.908000000000001</v>
      </c>
      <c r="AE107" s="2">
        <f>ROUND(((EU107*1.2)),6)</f>
        <v>4.8479999999999999</v>
      </c>
      <c r="AF107" s="2">
        <f>ROUND(((EV107*1.2)),6)</f>
        <v>41.46</v>
      </c>
      <c r="AG107" s="2">
        <f>ROUND((AP107),6)</f>
        <v>0</v>
      </c>
      <c r="AH107" s="2">
        <f>((EW107*1.2))</f>
        <v>3.7079999999999997</v>
      </c>
      <c r="AI107" s="2">
        <f>((EX107*1.2))</f>
        <v>0</v>
      </c>
      <c r="AJ107" s="2">
        <f>(AS107)</f>
        <v>0</v>
      </c>
      <c r="AK107" s="2">
        <v>61.14</v>
      </c>
      <c r="AL107" s="2">
        <v>0</v>
      </c>
      <c r="AM107" s="2">
        <v>26.59</v>
      </c>
      <c r="AN107" s="2">
        <v>4.04</v>
      </c>
      <c r="AO107" s="2">
        <v>34.549999999999997</v>
      </c>
      <c r="AP107" s="2">
        <v>0</v>
      </c>
      <c r="AQ107" s="2">
        <v>3.09</v>
      </c>
      <c r="AR107" s="2">
        <v>0</v>
      </c>
      <c r="AS107" s="2">
        <v>0</v>
      </c>
      <c r="AT107" s="2">
        <v>90</v>
      </c>
      <c r="AU107" s="2">
        <v>46</v>
      </c>
      <c r="AV107" s="2">
        <v>1.0469999999999999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0</v>
      </c>
      <c r="BI107" s="2">
        <v>2</v>
      </c>
      <c r="BJ107" s="2" t="s">
        <v>27</v>
      </c>
      <c r="BK107" s="2"/>
      <c r="BL107" s="2"/>
      <c r="BM107" s="2">
        <v>72</v>
      </c>
      <c r="BN107" s="2">
        <v>0</v>
      </c>
      <c r="BO107" s="2" t="s">
        <v>24</v>
      </c>
      <c r="BP107" s="2">
        <v>1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90</v>
      </c>
      <c r="CA107" s="2">
        <v>46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614</v>
      </c>
      <c r="CO107" s="2">
        <v>0</v>
      </c>
      <c r="CP107" s="2">
        <f>(P107+Q107+S107)</f>
        <v>76.819999999999993</v>
      </c>
      <c r="CQ107" s="2">
        <f>ROUND((ROUND((AC107*AW107*1),2)*BC107),2)</f>
        <v>0</v>
      </c>
      <c r="CR107" s="2">
        <f>(ROUND((ROUND((((ET107*1.2))*AV107*1),2)*BB107),2)+ROUND((ROUND(((AE107-((EU107*1.2)))*AV107*1),2)*BS107),2))</f>
        <v>33.409999999999997</v>
      </c>
      <c r="CS107" s="2">
        <f>(ROUND((ROUND((((EU107*1.2))*AV107*1),2)*BS107),2)+ROUND((ROUND(((AE107-((EU107*1.2)))*AV107*1),2)*BS107),2))</f>
        <v>5.08</v>
      </c>
      <c r="CT107" s="2">
        <f>ROUND((ROUND((AF107*AV107*1),2)*BA107),2)</f>
        <v>43.41</v>
      </c>
      <c r="CU107" s="2">
        <f>AG107</f>
        <v>0</v>
      </c>
      <c r="CV107" s="2">
        <f>(AH107*AV107)</f>
        <v>3.8822759999999996</v>
      </c>
      <c r="CW107" s="2">
        <f t="shared" ref="CW107:CX110" si="83">AI107</f>
        <v>0</v>
      </c>
      <c r="CX107" s="2">
        <f t="shared" si="83"/>
        <v>0</v>
      </c>
      <c r="CY107" s="2">
        <f>(ROUND((((S107+ROUND((ROUND((((EU107*1.2))*AV107*1),2)*BS107),2))*AT107)/100),2)+ROUND(((ROUND((ROUND(((AE107-((EU107*1.2)))*AV107*1),2)*BS107),2)*AT107)/100),2))</f>
        <v>43.64</v>
      </c>
      <c r="CZ107" s="2">
        <f>(ROUND((((S107+ROUND((ROUND((((EU107*1.2))*AV107*1),2)*BS107),2))*AU107)/100),2)+ROUND(((ROUND((ROUND(((AE107-((EU107*1.2)))*AV107*1),2)*BS107),2)*AU107)/100),2))</f>
        <v>22.31</v>
      </c>
      <c r="DA107" s="2"/>
      <c r="DB107" s="2">
        <v>83</v>
      </c>
      <c r="DC107" s="2" t="s">
        <v>3</v>
      </c>
      <c r="DD107" s="2" t="s">
        <v>104</v>
      </c>
      <c r="DE107" s="2" t="s">
        <v>105</v>
      </c>
      <c r="DF107" s="2" t="s">
        <v>105</v>
      </c>
      <c r="DG107" s="2" t="s">
        <v>105</v>
      </c>
      <c r="DH107" s="2" t="s">
        <v>3</v>
      </c>
      <c r="DI107" s="2" t="s">
        <v>105</v>
      </c>
      <c r="DJ107" s="2" t="s">
        <v>105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26</v>
      </c>
      <c r="DW107" s="2" t="s">
        <v>26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57042962</v>
      </c>
      <c r="EF107" s="2">
        <v>40</v>
      </c>
      <c r="EG107" s="2" t="s">
        <v>30</v>
      </c>
      <c r="EH107" s="2">
        <v>0</v>
      </c>
      <c r="EI107" s="2" t="s">
        <v>3</v>
      </c>
      <c r="EJ107" s="2">
        <v>2</v>
      </c>
      <c r="EK107" s="2">
        <v>72</v>
      </c>
      <c r="EL107" s="2" t="s">
        <v>31</v>
      </c>
      <c r="EM107" s="2" t="s">
        <v>32</v>
      </c>
      <c r="EN107" s="2"/>
      <c r="EO107" s="2" t="s">
        <v>109</v>
      </c>
      <c r="EP107" s="2"/>
      <c r="EQ107" s="2">
        <v>131072</v>
      </c>
      <c r="ER107" s="2">
        <v>61.14</v>
      </c>
      <c r="ES107" s="2">
        <v>0</v>
      </c>
      <c r="ET107" s="2">
        <v>26.59</v>
      </c>
      <c r="EU107" s="2">
        <v>4.04</v>
      </c>
      <c r="EV107" s="2">
        <v>34.549999999999997</v>
      </c>
      <c r="EW107" s="2">
        <v>3.09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90</v>
      </c>
      <c r="FY107" s="2">
        <v>46</v>
      </c>
      <c r="FZ107" s="2"/>
      <c r="GA107" s="2" t="s">
        <v>3</v>
      </c>
      <c r="GB107" s="2"/>
      <c r="GC107" s="2"/>
      <c r="GD107" s="2">
        <v>1</v>
      </c>
      <c r="GE107" s="2"/>
      <c r="GF107" s="2">
        <v>563141307</v>
      </c>
      <c r="GG107" s="2">
        <v>2</v>
      </c>
      <c r="GH107" s="2">
        <v>1</v>
      </c>
      <c r="GI107" s="2">
        <v>2</v>
      </c>
      <c r="GJ107" s="2">
        <v>0</v>
      </c>
      <c r="GK107" s="2">
        <v>0</v>
      </c>
      <c r="GL107" s="2">
        <f>ROUND(IF(AND(BH107=3,BI107=3,FS107&lt;&gt;0),P107,0),2)</f>
        <v>0</v>
      </c>
      <c r="GM107" s="2">
        <f>ROUND(O107+X107+Y107,2)+GX107</f>
        <v>142.77000000000001</v>
      </c>
      <c r="GN107" s="2">
        <f>IF(OR(BI107=0,BI107=1),GM107-GX107,0)</f>
        <v>0</v>
      </c>
      <c r="GO107" s="2">
        <f>IF(BI107=2,GM107-GX107,0)</f>
        <v>142.77000000000001</v>
      </c>
      <c r="GP107" s="2">
        <f>IF(BI107=4,GM107-GX107,0)</f>
        <v>0</v>
      </c>
      <c r="GQ107" s="2"/>
      <c r="GR107" s="2">
        <v>0</v>
      </c>
      <c r="GS107" s="2">
        <v>3</v>
      </c>
      <c r="GT107" s="2">
        <v>0</v>
      </c>
      <c r="GU107" s="2" t="s">
        <v>3</v>
      </c>
      <c r="GV107" s="2">
        <f>ROUND((GT107),6)</f>
        <v>0</v>
      </c>
      <c r="GW107" s="2">
        <v>1</v>
      </c>
      <c r="GX107" s="2">
        <f>ROUND(HC107*I107,2)</f>
        <v>0</v>
      </c>
      <c r="GY107" s="2"/>
      <c r="GZ107" s="2"/>
      <c r="HA107" s="2">
        <v>0</v>
      </c>
      <c r="HB107" s="2">
        <v>0</v>
      </c>
      <c r="HC107" s="2">
        <f>GV107*GW107</f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5">
      <c r="A108" s="3">
        <v>17</v>
      </c>
      <c r="B108" s="3">
        <v>1</v>
      </c>
      <c r="C108" s="3">
        <f>ROW(SmtRes!A114)</f>
        <v>114</v>
      </c>
      <c r="D108" s="3">
        <f>ROW(EtalonRes!A146)</f>
        <v>146</v>
      </c>
      <c r="E108" s="3" t="s">
        <v>172</v>
      </c>
      <c r="F108" s="3" t="s">
        <v>24</v>
      </c>
      <c r="G108" s="3" t="s">
        <v>173</v>
      </c>
      <c r="H108" s="3" t="s">
        <v>26</v>
      </c>
      <c r="I108" s="3">
        <f>ROUND(1,9)</f>
        <v>1</v>
      </c>
      <c r="J108" s="3">
        <v>0</v>
      </c>
      <c r="K108" s="3">
        <f>ROUND(1,9)</f>
        <v>1</v>
      </c>
      <c r="O108" s="3">
        <f>ROUND(CP108,2)</f>
        <v>3016.46</v>
      </c>
      <c r="P108" s="3">
        <f>ROUND((ROUND((AC108*AW108*I108),2)*BC108),2)</f>
        <v>0</v>
      </c>
      <c r="Q108" s="3">
        <f>(ROUND((ROUND((((ET108*1.2))*AV108*I108),2)*BB108),2)+ROUND((ROUND(((AE108-((EU108*1.2)))*AV108*I108),2)*BS108),2))</f>
        <v>570.30999999999995</v>
      </c>
      <c r="R108" s="3">
        <f>(ROUND((ROUND((((EU108*1.2))*AV108*I108),2)*BS108),2)+ROUND((ROUND(((AE108-((EU108*1.2)))*AV108*I108),2)*BS108),2))</f>
        <v>286.26</v>
      </c>
      <c r="S108" s="3">
        <f>ROUND((ROUND((AF108*AV108*I108),2)*BA108),2)</f>
        <v>2446.15</v>
      </c>
      <c r="T108" s="3">
        <f>ROUND(CU108*I108,2)</f>
        <v>0</v>
      </c>
      <c r="U108" s="3">
        <f>CV108*I108</f>
        <v>3.8822759999999996</v>
      </c>
      <c r="V108" s="3">
        <f>CW108*I108</f>
        <v>0</v>
      </c>
      <c r="W108" s="3">
        <f>ROUND(CX108*I108,2)</f>
        <v>0</v>
      </c>
      <c r="X108" s="3">
        <f>(ROUND((((S108+ROUND((ROUND((((EU108*1.2))*AV108*I108),2)*BS108),2))*AT108)/100),2)+ROUND(((ROUND((ROUND(((AE108-((EU108*1.2)))*AV108*I108),2)*BS108),2)*AT108)/100),2))</f>
        <v>2459.17</v>
      </c>
      <c r="Y108" s="3">
        <f>(ROUND((((S108+ROUND((ROUND((((EU108*1.2))*AV108*I108),2)*BS108),2))*AU108)/100),2)+ROUND(((ROUND((ROUND(((AE108-((EU108*1.2)))*AV108*I108),2)*BS108),2)*AU108)/100),2))</f>
        <v>1256.9100000000001</v>
      </c>
      <c r="AA108" s="3">
        <v>57034454</v>
      </c>
      <c r="AB108" s="3">
        <f>ROUND((AC108+AD108+AF108),6)</f>
        <v>73.367999999999995</v>
      </c>
      <c r="AC108" s="3">
        <f>ROUND(((ES108*1)),6)</f>
        <v>0</v>
      </c>
      <c r="AD108" s="3">
        <f>ROUND(((((ET108*1.2))-((EU108*1.2)))+AE108),6)</f>
        <v>31.908000000000001</v>
      </c>
      <c r="AE108" s="3">
        <f>ROUND(((EU108*1.2)),6)</f>
        <v>4.8479999999999999</v>
      </c>
      <c r="AF108" s="3">
        <f>ROUND(((EV108*1.2)),6)</f>
        <v>41.46</v>
      </c>
      <c r="AG108" s="3">
        <f>ROUND((AP108),6)</f>
        <v>0</v>
      </c>
      <c r="AH108" s="3">
        <f>((EW108*1.2))</f>
        <v>3.7079999999999997</v>
      </c>
      <c r="AI108" s="3">
        <f>((EX108*1.2))</f>
        <v>0</v>
      </c>
      <c r="AJ108" s="3">
        <f>(AS108)</f>
        <v>0</v>
      </c>
      <c r="AK108" s="3">
        <v>61.14</v>
      </c>
      <c r="AL108" s="3">
        <v>0</v>
      </c>
      <c r="AM108" s="3">
        <v>26.59</v>
      </c>
      <c r="AN108" s="3">
        <v>4.04</v>
      </c>
      <c r="AO108" s="3">
        <v>34.549999999999997</v>
      </c>
      <c r="AP108" s="3">
        <v>0</v>
      </c>
      <c r="AQ108" s="3">
        <v>3.09</v>
      </c>
      <c r="AR108" s="3">
        <v>0</v>
      </c>
      <c r="AS108" s="3">
        <v>0</v>
      </c>
      <c r="AT108" s="3">
        <v>90</v>
      </c>
      <c r="AU108" s="3">
        <v>46</v>
      </c>
      <c r="AV108" s="3">
        <v>1.0469999999999999</v>
      </c>
      <c r="AW108" s="3">
        <v>1</v>
      </c>
      <c r="AZ108" s="3">
        <v>1</v>
      </c>
      <c r="BA108" s="3">
        <v>56.35</v>
      </c>
      <c r="BB108" s="3">
        <v>17.07</v>
      </c>
      <c r="BC108" s="3">
        <v>1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0</v>
      </c>
      <c r="BI108" s="3">
        <v>2</v>
      </c>
      <c r="BJ108" s="3" t="s">
        <v>27</v>
      </c>
      <c r="BM108" s="3">
        <v>72</v>
      </c>
      <c r="BN108" s="3">
        <v>0</v>
      </c>
      <c r="BO108" s="3" t="s">
        <v>24</v>
      </c>
      <c r="BP108" s="3">
        <v>1</v>
      </c>
      <c r="BQ108" s="3">
        <v>40</v>
      </c>
      <c r="BR108" s="3">
        <v>0</v>
      </c>
      <c r="BS108" s="3">
        <v>56.35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90</v>
      </c>
      <c r="CA108" s="3">
        <v>46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614</v>
      </c>
      <c r="CO108" s="3">
        <v>0</v>
      </c>
      <c r="CP108" s="3">
        <f>(P108+Q108+S108)</f>
        <v>3016.46</v>
      </c>
      <c r="CQ108" s="3">
        <f>ROUND((ROUND((AC108*AW108*1),2)*BC108),2)</f>
        <v>0</v>
      </c>
      <c r="CR108" s="3">
        <f>(ROUND((ROUND((((ET108*1.2))*AV108*1),2)*BB108),2)+ROUND((ROUND(((AE108-((EU108*1.2)))*AV108*1),2)*BS108),2))</f>
        <v>570.30999999999995</v>
      </c>
      <c r="CS108" s="3">
        <f>(ROUND((ROUND((((EU108*1.2))*AV108*1),2)*BS108),2)+ROUND((ROUND(((AE108-((EU108*1.2)))*AV108*1),2)*BS108),2))</f>
        <v>286.26</v>
      </c>
      <c r="CT108" s="3">
        <f>ROUND((ROUND((AF108*AV108*1),2)*BA108),2)</f>
        <v>2446.15</v>
      </c>
      <c r="CU108" s="3">
        <f>AG108</f>
        <v>0</v>
      </c>
      <c r="CV108" s="3">
        <f>(AH108*AV108)</f>
        <v>3.8822759999999996</v>
      </c>
      <c r="CW108" s="3">
        <f t="shared" si="83"/>
        <v>0</v>
      </c>
      <c r="CX108" s="3">
        <f t="shared" si="83"/>
        <v>0</v>
      </c>
      <c r="CY108" s="3">
        <f>(ROUND((((S108+ROUND((ROUND((((EU108*1.2))*AV108*1),2)*BS108),2))*AT108)/100),2)+ROUND(((ROUND((ROUND(((AE108-((EU108*1.2)))*AV108*1),2)*BS108),2)*AT108)/100),2))</f>
        <v>2459.17</v>
      </c>
      <c r="CZ108" s="3">
        <f>(ROUND((((S108+ROUND((ROUND((((EU108*1.2))*AV108*1),2)*BS108),2))*AU108)/100),2)+ROUND(((ROUND((ROUND(((AE108-((EU108*1.2)))*AV108*1),2)*BS108),2)*AU108)/100),2))</f>
        <v>1256.9100000000001</v>
      </c>
      <c r="DB108" s="3">
        <v>84</v>
      </c>
      <c r="DC108" s="3" t="s">
        <v>3</v>
      </c>
      <c r="DD108" s="3" t="s">
        <v>104</v>
      </c>
      <c r="DE108" s="3" t="s">
        <v>105</v>
      </c>
      <c r="DF108" s="3" t="s">
        <v>105</v>
      </c>
      <c r="DG108" s="3" t="s">
        <v>105</v>
      </c>
      <c r="DH108" s="3" t="s">
        <v>3</v>
      </c>
      <c r="DI108" s="3" t="s">
        <v>105</v>
      </c>
      <c r="DJ108" s="3" t="s">
        <v>105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26</v>
      </c>
      <c r="DW108" s="3" t="s">
        <v>26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57042962</v>
      </c>
      <c r="EF108" s="3">
        <v>40</v>
      </c>
      <c r="EG108" s="3" t="s">
        <v>30</v>
      </c>
      <c r="EH108" s="3">
        <v>0</v>
      </c>
      <c r="EI108" s="3" t="s">
        <v>3</v>
      </c>
      <c r="EJ108" s="3">
        <v>2</v>
      </c>
      <c r="EK108" s="3">
        <v>72</v>
      </c>
      <c r="EL108" s="3" t="s">
        <v>31</v>
      </c>
      <c r="EM108" s="3" t="s">
        <v>32</v>
      </c>
      <c r="EO108" s="3" t="s">
        <v>109</v>
      </c>
      <c r="EQ108" s="3">
        <v>131072</v>
      </c>
      <c r="ER108" s="3">
        <v>61.14</v>
      </c>
      <c r="ES108" s="3">
        <v>0</v>
      </c>
      <c r="ET108" s="3">
        <v>26.59</v>
      </c>
      <c r="EU108" s="3">
        <v>4.04</v>
      </c>
      <c r="EV108" s="3">
        <v>34.549999999999997</v>
      </c>
      <c r="EW108" s="3">
        <v>3.09</v>
      </c>
      <c r="EX108" s="3">
        <v>0</v>
      </c>
      <c r="EY108" s="3">
        <v>0</v>
      </c>
      <c r="FQ108" s="3">
        <v>0</v>
      </c>
      <c r="FR108" s="3">
        <v>0</v>
      </c>
      <c r="FS108" s="3">
        <v>0</v>
      </c>
      <c r="FX108" s="3">
        <v>90</v>
      </c>
      <c r="FY108" s="3">
        <v>46</v>
      </c>
      <c r="GA108" s="3" t="s">
        <v>3</v>
      </c>
      <c r="GD108" s="3">
        <v>1</v>
      </c>
      <c r="GF108" s="3">
        <v>563141307</v>
      </c>
      <c r="GG108" s="3">
        <v>2</v>
      </c>
      <c r="GH108" s="3">
        <v>1</v>
      </c>
      <c r="GI108" s="3">
        <v>2</v>
      </c>
      <c r="GJ108" s="3">
        <v>0</v>
      </c>
      <c r="GK108" s="3">
        <v>0</v>
      </c>
      <c r="GL108" s="3">
        <f>ROUND(IF(AND(BH108=3,BI108=3,FS108&lt;&gt;0),P108,0),2)</f>
        <v>0</v>
      </c>
      <c r="GM108" s="3">
        <f>ROUND(O108+X108+Y108,2)+GX108</f>
        <v>6732.54</v>
      </c>
      <c r="GN108" s="3">
        <f>IF(OR(BI108=0,BI108=1),GM108-GX108,0)</f>
        <v>0</v>
      </c>
      <c r="GO108" s="3">
        <f>IF(BI108=2,GM108-GX108,0)</f>
        <v>6732.54</v>
      </c>
      <c r="GP108" s="3">
        <f>IF(BI108=4,GM108-GX108,0)</f>
        <v>0</v>
      </c>
      <c r="GR108" s="3">
        <v>0</v>
      </c>
      <c r="GS108" s="3">
        <v>3</v>
      </c>
      <c r="GT108" s="3">
        <v>0</v>
      </c>
      <c r="GU108" s="3" t="s">
        <v>3</v>
      </c>
      <c r="GV108" s="3">
        <f>ROUND((GT108),6)</f>
        <v>0</v>
      </c>
      <c r="GW108" s="3">
        <v>1</v>
      </c>
      <c r="GX108" s="3">
        <f>ROUND(HC108*I108,2)</f>
        <v>0</v>
      </c>
      <c r="HA108" s="3">
        <v>0</v>
      </c>
      <c r="HB108" s="3">
        <v>0</v>
      </c>
      <c r="HC108" s="3">
        <f>GV108*GW108</f>
        <v>0</v>
      </c>
      <c r="HE108" s="3" t="s">
        <v>3</v>
      </c>
      <c r="HF108" s="3" t="s">
        <v>3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5">
      <c r="A109" s="2">
        <v>18</v>
      </c>
      <c r="B109" s="2">
        <v>1</v>
      </c>
      <c r="C109" s="2">
        <v>111</v>
      </c>
      <c r="D109" s="2"/>
      <c r="E109" s="2" t="s">
        <v>174</v>
      </c>
      <c r="F109" s="2" t="s">
        <v>175</v>
      </c>
      <c r="G109" s="2" t="s">
        <v>176</v>
      </c>
      <c r="H109" s="2" t="s">
        <v>177</v>
      </c>
      <c r="I109" s="2">
        <f>I107*J109</f>
        <v>1</v>
      </c>
      <c r="J109" s="2">
        <v>1</v>
      </c>
      <c r="K109" s="2">
        <v>1</v>
      </c>
      <c r="L109" s="2"/>
      <c r="M109" s="2"/>
      <c r="N109" s="2"/>
      <c r="O109" s="2">
        <f>ROUND(CP109,2)</f>
        <v>52864.83</v>
      </c>
      <c r="P109" s="2">
        <f>ROUND((ROUND((AC109*I109),2)*BC109),2)</f>
        <v>52864.83</v>
      </c>
      <c r="Q109" s="2">
        <f>(ROUND((ROUND(((ET109)*AV109*I109),2)*BB109),2)+ROUND((ROUND(((AE109-(EU109))*AV109*I109),2)*BS109),2))</f>
        <v>0</v>
      </c>
      <c r="R109" s="2">
        <f>(ROUND((ROUND(((EU109)*AV109*I109),2)*BS109),2)+ROUND((ROUND(((AE109-(EU109))*AV109*I109),2)*BS109),2))</f>
        <v>0</v>
      </c>
      <c r="S109" s="2">
        <f>ROUND((ROUND((AF109*AV109*I109),2)*BA109),2)</f>
        <v>0</v>
      </c>
      <c r="T109" s="2">
        <f>ROUND(CU109*I109,2)</f>
        <v>0</v>
      </c>
      <c r="U109" s="2">
        <f>CV109*I109</f>
        <v>0</v>
      </c>
      <c r="V109" s="2">
        <f>CW109*I109</f>
        <v>0</v>
      </c>
      <c r="W109" s="2">
        <f>ROUND(CX109*I109,2)</f>
        <v>0</v>
      </c>
      <c r="X109" s="2">
        <f>(ROUND((((S109+ROUND((ROUND(((EU109)*AV109*I109),2)*BS109),2))*AT109)/100),2)+ROUND(((ROUND((ROUND(((AE109-(EU109))*AV109*I109),2)*BS109),2)*AT109)/100),2))</f>
        <v>0</v>
      </c>
      <c r="Y109" s="2">
        <f>(ROUND((((S109+ROUND((ROUND(((EU109)*AV109*I109),2)*BS109),2))*AU109)/100),2)+ROUND(((ROUND((ROUND(((AE109-(EU109))*AV109*I109),2)*BS109),2)*AU109)/100),2))</f>
        <v>0</v>
      </c>
      <c r="Z109" s="2"/>
      <c r="AA109" s="2">
        <v>57034452</v>
      </c>
      <c r="AB109" s="2">
        <f>ROUND((AC109+AD109+AF109),6)</f>
        <v>52864.83</v>
      </c>
      <c r="AC109" s="2">
        <f>ROUND((ES109),6)</f>
        <v>52864.83</v>
      </c>
      <c r="AD109" s="2">
        <f>ROUND((((ET109)-(EU109))+AE109),6)</f>
        <v>0</v>
      </c>
      <c r="AE109" s="2">
        <f>ROUND((EU109),6)</f>
        <v>0</v>
      </c>
      <c r="AF109" s="2">
        <f>ROUND((EV109),6)</f>
        <v>0</v>
      </c>
      <c r="AG109" s="2">
        <f>ROUND((AP109),6)</f>
        <v>0</v>
      </c>
      <c r="AH109" s="2">
        <f>(EW109)</f>
        <v>0</v>
      </c>
      <c r="AI109" s="2">
        <f>(EX109)</f>
        <v>0</v>
      </c>
      <c r="AJ109" s="2">
        <f>(AS109)</f>
        <v>0</v>
      </c>
      <c r="AK109" s="2">
        <v>52864.83</v>
      </c>
      <c r="AL109" s="2">
        <v>52864.83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3</v>
      </c>
      <c r="BJ109" s="2" t="s">
        <v>3</v>
      </c>
      <c r="BK109" s="2"/>
      <c r="BL109" s="2"/>
      <c r="BM109" s="2">
        <v>746</v>
      </c>
      <c r="BN109" s="2">
        <v>0</v>
      </c>
      <c r="BO109" s="2" t="s">
        <v>3</v>
      </c>
      <c r="BP109" s="2">
        <v>0</v>
      </c>
      <c r="BQ109" s="2">
        <v>130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615</v>
      </c>
      <c r="CO109" s="2">
        <v>0</v>
      </c>
      <c r="CP109" s="2">
        <f>(P109+Q109+S109)</f>
        <v>52864.83</v>
      </c>
      <c r="CQ109" s="2">
        <f>ROUND((ROUND((AC109*1),2)*BC109),2)</f>
        <v>52864.83</v>
      </c>
      <c r="CR109" s="2">
        <f>(ROUND((ROUND(((ET109)*AV109*1),2)*BB109),2)+ROUND((ROUND(((AE109-(EU109))*AV109*1),2)*BS109),2))</f>
        <v>0</v>
      </c>
      <c r="CS109" s="2">
        <f>(ROUND((ROUND(((EU109)*AV109*1),2)*BS109),2)+ROUND((ROUND(((AE109-(EU109))*AV109*1),2)*BS109),2))</f>
        <v>0</v>
      </c>
      <c r="CT109" s="2">
        <f>ROUND((ROUND((AF109*AV109*1),2)*BA109),2)</f>
        <v>0</v>
      </c>
      <c r="CU109" s="2">
        <f>AG109</f>
        <v>0</v>
      </c>
      <c r="CV109" s="2">
        <f>(AH109*AV109)</f>
        <v>0</v>
      </c>
      <c r="CW109" s="2">
        <f t="shared" si="83"/>
        <v>0</v>
      </c>
      <c r="CX109" s="2">
        <f t="shared" si="83"/>
        <v>0</v>
      </c>
      <c r="CY109" s="2">
        <f>(ROUND((((S109+ROUND((ROUND(((EU109)*AV109*1),2)*BS109),2))*AT109)/100),2)+ROUND(((ROUND((ROUND(((AE109-(EU109))*AV109*1),2)*BS109),2)*AT109)/100),2))</f>
        <v>0</v>
      </c>
      <c r="CZ109" s="2">
        <f>(ROUND((((S109+ROUND((ROUND(((EU109)*AV109*1),2)*BS109),2))*AU109)/100),2)+ROUND(((ROUND((ROUND(((AE109-(EU109))*AV109*1),2)*BS109),2)*AU109)/100),2))</f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1010</v>
      </c>
      <c r="DV109" s="2" t="s">
        <v>177</v>
      </c>
      <c r="DW109" s="2" t="s">
        <v>177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57043064</v>
      </c>
      <c r="EF109" s="2">
        <v>130</v>
      </c>
      <c r="EG109" s="2" t="s">
        <v>178</v>
      </c>
      <c r="EH109" s="2">
        <v>0</v>
      </c>
      <c r="EI109" s="2" t="s">
        <v>3</v>
      </c>
      <c r="EJ109" s="2">
        <v>3</v>
      </c>
      <c r="EK109" s="2">
        <v>746</v>
      </c>
      <c r="EL109" s="2" t="s">
        <v>179</v>
      </c>
      <c r="EM109" s="2" t="s">
        <v>180</v>
      </c>
      <c r="EN109" s="2"/>
      <c r="EO109" s="2" t="s">
        <v>109</v>
      </c>
      <c r="EP109" s="2"/>
      <c r="EQ109" s="2">
        <v>2097152</v>
      </c>
      <c r="ER109" s="2">
        <v>0</v>
      </c>
      <c r="ES109" s="2">
        <v>52864.83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f>P109</f>
        <v>52864.83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181</v>
      </c>
      <c r="GB109" s="2"/>
      <c r="GC109" s="2"/>
      <c r="GD109" s="2">
        <v>1</v>
      </c>
      <c r="GE109" s="2"/>
      <c r="GF109" s="2">
        <v>352512997</v>
      </c>
      <c r="GG109" s="2">
        <v>2</v>
      </c>
      <c r="GH109" s="2">
        <v>4</v>
      </c>
      <c r="GI109" s="2">
        <v>-2</v>
      </c>
      <c r="GJ109" s="2">
        <v>0</v>
      </c>
      <c r="GK109" s="2">
        <v>0</v>
      </c>
      <c r="GL109" s="2">
        <f>ROUND(IF(AND(BH109=3,BI109=3,FS109&lt;&gt;0),P109,0),2)</f>
        <v>0</v>
      </c>
      <c r="GM109" s="2">
        <f>ROUND(O109+X109+Y109,2)+GX109</f>
        <v>52864.83</v>
      </c>
      <c r="GN109" s="2">
        <f>IF(OR(BI109=0,BI109=1),GM109-GX109,0)</f>
        <v>0</v>
      </c>
      <c r="GO109" s="2">
        <f>IF(BI109=2,GM109-GX109,0)</f>
        <v>0</v>
      </c>
      <c r="GP109" s="2">
        <f>IF(BI109=4,GM109-GX109,0)</f>
        <v>0</v>
      </c>
      <c r="GQ109" s="2"/>
      <c r="GR109" s="2">
        <v>0</v>
      </c>
      <c r="GS109" s="2">
        <v>2</v>
      </c>
      <c r="GT109" s="2">
        <v>0</v>
      </c>
      <c r="GU109" s="2" t="s">
        <v>3</v>
      </c>
      <c r="GV109" s="2">
        <f>ROUND((GT109),6)</f>
        <v>0</v>
      </c>
      <c r="GW109" s="2">
        <v>1</v>
      </c>
      <c r="GX109" s="2">
        <f>ROUND(HC109*I109,2)</f>
        <v>0</v>
      </c>
      <c r="GY109" s="2"/>
      <c r="GZ109" s="2"/>
      <c r="HA109" s="2">
        <v>0</v>
      </c>
      <c r="HB109" s="2">
        <v>0</v>
      </c>
      <c r="HC109" s="2">
        <f>GV109*GW109</f>
        <v>0</v>
      </c>
      <c r="HD109" s="2"/>
      <c r="HE109" s="2" t="s">
        <v>40</v>
      </c>
      <c r="HF109" s="2" t="s">
        <v>182</v>
      </c>
      <c r="HG109" s="2"/>
      <c r="HH109" s="2"/>
      <c r="HI109" s="2"/>
      <c r="HJ109" s="2"/>
      <c r="HK109" s="2"/>
      <c r="HL109" s="2"/>
      <c r="HM109" s="2" t="s">
        <v>104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5">
      <c r="A110" s="3">
        <v>18</v>
      </c>
      <c r="B110" s="3">
        <v>1</v>
      </c>
      <c r="C110" s="3">
        <v>114</v>
      </c>
      <c r="E110" s="3" t="s">
        <v>174</v>
      </c>
      <c r="F110" s="3" t="s">
        <v>175</v>
      </c>
      <c r="G110" s="3" t="s">
        <v>176</v>
      </c>
      <c r="H110" s="3" t="s">
        <v>177</v>
      </c>
      <c r="I110" s="3">
        <f>I108*J110</f>
        <v>1</v>
      </c>
      <c r="J110" s="3">
        <v>1</v>
      </c>
      <c r="K110" s="3">
        <v>1</v>
      </c>
      <c r="O110" s="3">
        <f>ROUND(CP110,2)</f>
        <v>400186.76</v>
      </c>
      <c r="P110" s="3">
        <f>ROUND((ROUND((AC110*I110),2)*BC110),2)</f>
        <v>400186.76</v>
      </c>
      <c r="Q110" s="3">
        <f>(ROUND((ROUND(((ET110)*AV110*I110),2)*BB110),2)+ROUND((ROUND(((AE110-(EU110))*AV110*I110),2)*BS110),2))</f>
        <v>0</v>
      </c>
      <c r="R110" s="3">
        <f>(ROUND((ROUND(((EU110)*AV110*I110),2)*BS110),2)+ROUND((ROUND(((AE110-(EU110))*AV110*I110),2)*BS110),2))</f>
        <v>0</v>
      </c>
      <c r="S110" s="3">
        <f>ROUND((ROUND((AF110*AV110*I110),2)*BA110),2)</f>
        <v>0</v>
      </c>
      <c r="T110" s="3">
        <f>ROUND(CU110*I110,2)</f>
        <v>0</v>
      </c>
      <c r="U110" s="3">
        <f>CV110*I110</f>
        <v>0</v>
      </c>
      <c r="V110" s="3">
        <f>CW110*I110</f>
        <v>0</v>
      </c>
      <c r="W110" s="3">
        <f>ROUND(CX110*I110,2)</f>
        <v>0</v>
      </c>
      <c r="X110" s="3">
        <f>(ROUND((((S110+ROUND((ROUND(((EU110)*AV110*I110),2)*BS110),2))*AT110)/100),2)+ROUND(((ROUND((ROUND(((AE110-(EU110))*AV110*I110),2)*BS110),2)*AT110)/100),2))</f>
        <v>0</v>
      </c>
      <c r="Y110" s="3">
        <f>(ROUND((((S110+ROUND((ROUND(((EU110)*AV110*I110),2)*BS110),2))*AU110)/100),2)+ROUND(((ROUND((ROUND(((AE110-(EU110))*AV110*I110),2)*BS110),2)*AU110)/100),2))</f>
        <v>0</v>
      </c>
      <c r="AA110" s="3">
        <v>57034454</v>
      </c>
      <c r="AB110" s="3">
        <f>ROUND((AC110+AD110+AF110),6)</f>
        <v>52864.83</v>
      </c>
      <c r="AC110" s="3">
        <f>ROUND((ES110),6)</f>
        <v>52864.83</v>
      </c>
      <c r="AD110" s="3">
        <f>ROUND((((ET110)-(EU110))+AE110),6)</f>
        <v>0</v>
      </c>
      <c r="AE110" s="3">
        <f>ROUND((EU110),6)</f>
        <v>0</v>
      </c>
      <c r="AF110" s="3">
        <f>ROUND((EV110),6)</f>
        <v>0</v>
      </c>
      <c r="AG110" s="3">
        <f>ROUND((AP110),6)</f>
        <v>0</v>
      </c>
      <c r="AH110" s="3">
        <f>(EW110)</f>
        <v>0</v>
      </c>
      <c r="AI110" s="3">
        <f>(EX110)</f>
        <v>0</v>
      </c>
      <c r="AJ110" s="3">
        <f>(AS110)</f>
        <v>0</v>
      </c>
      <c r="AK110" s="3">
        <v>52864.83</v>
      </c>
      <c r="AL110" s="3">
        <v>52864.83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1</v>
      </c>
      <c r="AW110" s="3">
        <v>1</v>
      </c>
      <c r="AZ110" s="3">
        <v>1</v>
      </c>
      <c r="BA110" s="3">
        <v>1</v>
      </c>
      <c r="BB110" s="3">
        <v>1</v>
      </c>
      <c r="BC110" s="3">
        <v>7.57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3</v>
      </c>
      <c r="BI110" s="3">
        <v>3</v>
      </c>
      <c r="BJ110" s="3" t="s">
        <v>3</v>
      </c>
      <c r="BM110" s="3">
        <v>746</v>
      </c>
      <c r="BN110" s="3">
        <v>0</v>
      </c>
      <c r="BO110" s="3" t="s">
        <v>3</v>
      </c>
      <c r="BP110" s="3">
        <v>0</v>
      </c>
      <c r="BQ110" s="3">
        <v>130</v>
      </c>
      <c r="BR110" s="3">
        <v>0</v>
      </c>
      <c r="BS110" s="3">
        <v>1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615</v>
      </c>
      <c r="CO110" s="3">
        <v>0</v>
      </c>
      <c r="CP110" s="3">
        <f>(P110+Q110+S110)</f>
        <v>400186.76</v>
      </c>
      <c r="CQ110" s="3">
        <f>ROUND((ROUND((AC110*1),2)*BC110),2)</f>
        <v>400186.76</v>
      </c>
      <c r="CR110" s="3">
        <f>(ROUND((ROUND(((ET110)*AV110*1),2)*BB110),2)+ROUND((ROUND(((AE110-(EU110))*AV110*1),2)*BS110),2))</f>
        <v>0</v>
      </c>
      <c r="CS110" s="3">
        <f>(ROUND((ROUND(((EU110)*AV110*1),2)*BS110),2)+ROUND((ROUND(((AE110-(EU110))*AV110*1),2)*BS110),2))</f>
        <v>0</v>
      </c>
      <c r="CT110" s="3">
        <f>ROUND((ROUND((AF110*AV110*1),2)*BA110),2)</f>
        <v>0</v>
      </c>
      <c r="CU110" s="3">
        <f>AG110</f>
        <v>0</v>
      </c>
      <c r="CV110" s="3">
        <f>(AH110*AV110)</f>
        <v>0</v>
      </c>
      <c r="CW110" s="3">
        <f t="shared" si="83"/>
        <v>0</v>
      </c>
      <c r="CX110" s="3">
        <f t="shared" si="83"/>
        <v>0</v>
      </c>
      <c r="CY110" s="3">
        <f>(ROUND((((S110+ROUND((ROUND(((EU110)*AV110*1),2)*BS110),2))*AT110)/100),2)+ROUND(((ROUND((ROUND(((AE110-(EU110))*AV110*1),2)*BS110),2)*AT110)/100),2))</f>
        <v>0</v>
      </c>
      <c r="CZ110" s="3">
        <f>(ROUND((((S110+ROUND((ROUND(((EU110)*AV110*1),2)*BS110),2))*AU110)/100),2)+ROUND(((ROUND((ROUND(((AE110-(EU110))*AV110*1),2)*BS110),2)*AU110)/100),2))</f>
        <v>0</v>
      </c>
      <c r="DC110" s="3" t="s">
        <v>3</v>
      </c>
      <c r="DD110" s="3" t="s">
        <v>3</v>
      </c>
      <c r="DE110" s="3" t="s">
        <v>3</v>
      </c>
      <c r="DF110" s="3" t="s">
        <v>3</v>
      </c>
      <c r="DG110" s="3" t="s">
        <v>3</v>
      </c>
      <c r="DH110" s="3" t="s">
        <v>3</v>
      </c>
      <c r="DI110" s="3" t="s">
        <v>3</v>
      </c>
      <c r="DJ110" s="3" t="s">
        <v>3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1010</v>
      </c>
      <c r="DV110" s="3" t="s">
        <v>177</v>
      </c>
      <c r="DW110" s="3" t="s">
        <v>177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57043064</v>
      </c>
      <c r="EF110" s="3">
        <v>130</v>
      </c>
      <c r="EG110" s="3" t="s">
        <v>178</v>
      </c>
      <c r="EH110" s="3">
        <v>0</v>
      </c>
      <c r="EI110" s="3" t="s">
        <v>3</v>
      </c>
      <c r="EJ110" s="3">
        <v>3</v>
      </c>
      <c r="EK110" s="3">
        <v>746</v>
      </c>
      <c r="EL110" s="3" t="s">
        <v>179</v>
      </c>
      <c r="EM110" s="3" t="s">
        <v>180</v>
      </c>
      <c r="EO110" s="3" t="s">
        <v>109</v>
      </c>
      <c r="EQ110" s="3">
        <v>2097152</v>
      </c>
      <c r="ER110" s="3">
        <v>52864.83</v>
      </c>
      <c r="ES110" s="3">
        <v>52864.83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Z110" s="3">
        <v>5</v>
      </c>
      <c r="FC110" s="3">
        <v>1</v>
      </c>
      <c r="FD110" s="3">
        <v>18</v>
      </c>
      <c r="FF110" s="3">
        <v>468387</v>
      </c>
      <c r="FQ110" s="3">
        <v>0</v>
      </c>
      <c r="FR110" s="3">
        <f>P110</f>
        <v>400186.76</v>
      </c>
      <c r="FS110" s="3">
        <v>0</v>
      </c>
      <c r="FX110" s="3">
        <v>90</v>
      </c>
      <c r="FY110" s="3">
        <v>46</v>
      </c>
      <c r="GA110" s="3" t="s">
        <v>181</v>
      </c>
      <c r="GD110" s="3">
        <v>1</v>
      </c>
      <c r="GF110" s="3">
        <v>352512997</v>
      </c>
      <c r="GG110" s="3">
        <v>2</v>
      </c>
      <c r="GH110" s="3">
        <v>3</v>
      </c>
      <c r="GI110" s="3">
        <v>5</v>
      </c>
      <c r="GJ110" s="3">
        <v>0</v>
      </c>
      <c r="GK110" s="3">
        <v>0</v>
      </c>
      <c r="GL110" s="3">
        <f>ROUND(IF(AND(BH110=3,BI110=3,FS110&lt;&gt;0),P110,0),2)</f>
        <v>0</v>
      </c>
      <c r="GM110" s="3">
        <f>ROUND(O110+X110+Y110,2)+GX110</f>
        <v>400186.76</v>
      </c>
      <c r="GN110" s="3">
        <f>IF(OR(BI110=0,BI110=1),GM110-GX110,0)</f>
        <v>0</v>
      </c>
      <c r="GO110" s="3">
        <f>IF(BI110=2,GM110-GX110,0)</f>
        <v>0</v>
      </c>
      <c r="GP110" s="3">
        <f>IF(BI110=4,GM110-GX110,0)</f>
        <v>0</v>
      </c>
      <c r="GR110" s="3">
        <v>1</v>
      </c>
      <c r="GS110" s="3">
        <v>1</v>
      </c>
      <c r="GT110" s="3">
        <v>0</v>
      </c>
      <c r="GU110" s="3" t="s">
        <v>3</v>
      </c>
      <c r="GV110" s="3">
        <f>ROUND((GT110),6)</f>
        <v>0</v>
      </c>
      <c r="GW110" s="3">
        <v>1</v>
      </c>
      <c r="GX110" s="3">
        <f>ROUND(HC110*I110,2)</f>
        <v>0</v>
      </c>
      <c r="HA110" s="3">
        <v>0</v>
      </c>
      <c r="HB110" s="3">
        <v>0</v>
      </c>
      <c r="HC110" s="3">
        <f>GV110*GW110</f>
        <v>0</v>
      </c>
      <c r="HE110" s="3" t="s">
        <v>40</v>
      </c>
      <c r="HF110" s="3" t="s">
        <v>182</v>
      </c>
      <c r="HM110" s="3" t="s">
        <v>104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2" spans="1:255" ht="13" x14ac:dyDescent="0.3">
      <c r="A112" s="11">
        <v>51</v>
      </c>
      <c r="B112" s="11">
        <f>B103</f>
        <v>1</v>
      </c>
      <c r="C112" s="11">
        <f>A103</f>
        <v>4</v>
      </c>
      <c r="D112" s="11">
        <f>ROW(A103)</f>
        <v>103</v>
      </c>
      <c r="E112" s="11"/>
      <c r="F112" s="11" t="str">
        <f>IF(F103&lt;&gt;"",F103,"")</f>
        <v>Новый раздел</v>
      </c>
      <c r="G112" s="11" t="str">
        <f>IF(G103&lt;&gt;"",G103,"")</f>
        <v>АРМ СПС.</v>
      </c>
      <c r="H112" s="11">
        <v>0</v>
      </c>
      <c r="I112" s="11"/>
      <c r="J112" s="11"/>
      <c r="K112" s="11"/>
      <c r="L112" s="11"/>
      <c r="M112" s="11"/>
      <c r="N112" s="11"/>
      <c r="O112" s="11">
        <f t="shared" ref="O112:T112" si="84">ROUND(AB112,2)</f>
        <v>52941.65</v>
      </c>
      <c r="P112" s="11">
        <f t="shared" si="84"/>
        <v>52864.83</v>
      </c>
      <c r="Q112" s="11">
        <f t="shared" si="84"/>
        <v>33.409999999999997</v>
      </c>
      <c r="R112" s="11">
        <f t="shared" si="84"/>
        <v>5.08</v>
      </c>
      <c r="S112" s="11">
        <f t="shared" si="84"/>
        <v>43.41</v>
      </c>
      <c r="T112" s="11">
        <f t="shared" si="84"/>
        <v>0</v>
      </c>
      <c r="U112" s="11">
        <f>AH112</f>
        <v>3.8822759999999996</v>
      </c>
      <c r="V112" s="11">
        <f>AI112</f>
        <v>0</v>
      </c>
      <c r="W112" s="11">
        <f>ROUND(AJ112,2)</f>
        <v>0</v>
      </c>
      <c r="X112" s="11">
        <f>ROUND(AK112,2)</f>
        <v>43.64</v>
      </c>
      <c r="Y112" s="11">
        <f>ROUND(AL112,2)</f>
        <v>22.31</v>
      </c>
      <c r="Z112" s="11"/>
      <c r="AA112" s="11"/>
      <c r="AB112" s="11">
        <f>ROUND(SUMIF(AA107:AA110,"=57034452",O107:O110),2)</f>
        <v>52941.65</v>
      </c>
      <c r="AC112" s="11">
        <f>ROUND(SUMIF(AA107:AA110,"=57034452",P107:P110),2)</f>
        <v>52864.83</v>
      </c>
      <c r="AD112" s="11">
        <f>ROUND(SUMIF(AA107:AA110,"=57034452",Q107:Q110),2)</f>
        <v>33.409999999999997</v>
      </c>
      <c r="AE112" s="11">
        <f>ROUND(SUMIF(AA107:AA110,"=57034452",R107:R110),2)</f>
        <v>5.08</v>
      </c>
      <c r="AF112" s="11">
        <f>ROUND(SUMIF(AA107:AA110,"=57034452",S107:S110),2)</f>
        <v>43.41</v>
      </c>
      <c r="AG112" s="11">
        <f>ROUND(SUMIF(AA107:AA110,"=57034452",T107:T110),2)</f>
        <v>0</v>
      </c>
      <c r="AH112" s="11">
        <f>SUMIF(AA107:AA110,"=57034452",U107:U110)</f>
        <v>3.8822759999999996</v>
      </c>
      <c r="AI112" s="11">
        <f>SUMIF(AA107:AA110,"=57034452",V107:V110)</f>
        <v>0</v>
      </c>
      <c r="AJ112" s="11">
        <f>ROUND(SUMIF(AA107:AA110,"=57034452",W107:W110),2)</f>
        <v>0</v>
      </c>
      <c r="AK112" s="11">
        <f>ROUND(SUMIF(AA107:AA110,"=57034452",X107:X110),2)</f>
        <v>43.64</v>
      </c>
      <c r="AL112" s="11">
        <f>ROUND(SUMIF(AA107:AA110,"=57034452",Y107:Y110),2)</f>
        <v>22.31</v>
      </c>
      <c r="AM112" s="11"/>
      <c r="AN112" s="11"/>
      <c r="AO112" s="11">
        <f t="shared" ref="AO112:BD112" si="85">ROUND(BX112,2)</f>
        <v>0</v>
      </c>
      <c r="AP112" s="11">
        <f t="shared" si="85"/>
        <v>52864.83</v>
      </c>
      <c r="AQ112" s="11">
        <f t="shared" si="85"/>
        <v>0</v>
      </c>
      <c r="AR112" s="11">
        <f t="shared" si="85"/>
        <v>53007.6</v>
      </c>
      <c r="AS112" s="11">
        <f t="shared" si="85"/>
        <v>0</v>
      </c>
      <c r="AT112" s="11">
        <f t="shared" si="85"/>
        <v>142.77000000000001</v>
      </c>
      <c r="AU112" s="11">
        <f t="shared" si="85"/>
        <v>0</v>
      </c>
      <c r="AV112" s="11">
        <f t="shared" si="85"/>
        <v>52864.83</v>
      </c>
      <c r="AW112" s="11">
        <f t="shared" si="85"/>
        <v>0</v>
      </c>
      <c r="AX112" s="11">
        <f t="shared" si="85"/>
        <v>0</v>
      </c>
      <c r="AY112" s="11">
        <f t="shared" si="85"/>
        <v>0</v>
      </c>
      <c r="AZ112" s="11">
        <f t="shared" si="85"/>
        <v>52864.83</v>
      </c>
      <c r="BA112" s="11">
        <f t="shared" si="85"/>
        <v>0</v>
      </c>
      <c r="BB112" s="11">
        <f t="shared" si="85"/>
        <v>0</v>
      </c>
      <c r="BC112" s="11">
        <f t="shared" si="85"/>
        <v>0</v>
      </c>
      <c r="BD112" s="11">
        <f t="shared" si="85"/>
        <v>0</v>
      </c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>
        <f>ROUND(SUMIF(AA107:AA110,"=57034452",FQ107:FQ110),2)</f>
        <v>0</v>
      </c>
      <c r="BY112" s="11">
        <f>ROUND(SUMIF(AA107:AA110,"=57034452",FR107:FR110),2)</f>
        <v>52864.83</v>
      </c>
      <c r="BZ112" s="11">
        <f>ROUND(SUMIF(AA107:AA110,"=57034452",GL107:GL110),2)</f>
        <v>0</v>
      </c>
      <c r="CA112" s="11">
        <f>ROUND(SUMIF(AA107:AA110,"=57034452",GM107:GM110),2)</f>
        <v>53007.6</v>
      </c>
      <c r="CB112" s="11">
        <f>ROUND(SUMIF(AA107:AA110,"=57034452",GN107:GN110),2)</f>
        <v>0</v>
      </c>
      <c r="CC112" s="11">
        <f>ROUND(SUMIF(AA107:AA110,"=57034452",GO107:GO110),2)</f>
        <v>142.77000000000001</v>
      </c>
      <c r="CD112" s="11">
        <f>ROUND(SUMIF(AA107:AA110,"=57034452",GP107:GP110),2)</f>
        <v>0</v>
      </c>
      <c r="CE112" s="11">
        <f>AC112-BX112</f>
        <v>52864.83</v>
      </c>
      <c r="CF112" s="11">
        <f>AC112-BY112</f>
        <v>0</v>
      </c>
      <c r="CG112" s="11">
        <f>BX112-BZ112</f>
        <v>0</v>
      </c>
      <c r="CH112" s="11">
        <f>AC112-BX112-BY112+BZ112</f>
        <v>0</v>
      </c>
      <c r="CI112" s="11">
        <f>BY112-BZ112</f>
        <v>52864.83</v>
      </c>
      <c r="CJ112" s="11">
        <f>ROUND(SUMIF(AA107:AA110,"=57034452",GX107:GX110),2)</f>
        <v>0</v>
      </c>
      <c r="CK112" s="11">
        <f>ROUND(SUMIF(AA107:AA110,"=57034452",GY107:GY110),2)</f>
        <v>0</v>
      </c>
      <c r="CL112" s="11">
        <f>ROUND(SUMIF(AA107:AA110,"=57034452",GZ107:GZ110),2)</f>
        <v>0</v>
      </c>
      <c r="CM112" s="11">
        <f>ROUND(SUMIF(AA107:AA110,"=57034452",HD107:HD110),2)</f>
        <v>0</v>
      </c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2">
        <f t="shared" ref="DG112:DL112" si="86">ROUND(DT112,2)</f>
        <v>403203.22</v>
      </c>
      <c r="DH112" s="12">
        <f t="shared" si="86"/>
        <v>400186.76</v>
      </c>
      <c r="DI112" s="12">
        <f t="shared" si="86"/>
        <v>570.30999999999995</v>
      </c>
      <c r="DJ112" s="12">
        <f t="shared" si="86"/>
        <v>286.26</v>
      </c>
      <c r="DK112" s="12">
        <f t="shared" si="86"/>
        <v>2446.15</v>
      </c>
      <c r="DL112" s="12">
        <f t="shared" si="86"/>
        <v>0</v>
      </c>
      <c r="DM112" s="12">
        <f>DZ112</f>
        <v>3.8822759999999996</v>
      </c>
      <c r="DN112" s="12">
        <f>EA112</f>
        <v>0</v>
      </c>
      <c r="DO112" s="12">
        <f>ROUND(EB112,2)</f>
        <v>0</v>
      </c>
      <c r="DP112" s="12">
        <f>ROUND(EC112,2)</f>
        <v>2459.17</v>
      </c>
      <c r="DQ112" s="12">
        <f>ROUND(ED112,2)</f>
        <v>1256.9100000000001</v>
      </c>
      <c r="DR112" s="12"/>
      <c r="DS112" s="12"/>
      <c r="DT112" s="12">
        <f>ROUND(SUMIF(AA107:AA110,"=57034454",O107:O110),2)</f>
        <v>403203.22</v>
      </c>
      <c r="DU112" s="12">
        <f>ROUND(SUMIF(AA107:AA110,"=57034454",P107:P110),2)</f>
        <v>400186.76</v>
      </c>
      <c r="DV112" s="12">
        <f>ROUND(SUMIF(AA107:AA110,"=57034454",Q107:Q110),2)</f>
        <v>570.30999999999995</v>
      </c>
      <c r="DW112" s="12">
        <f>ROUND(SUMIF(AA107:AA110,"=57034454",R107:R110),2)</f>
        <v>286.26</v>
      </c>
      <c r="DX112" s="12">
        <f>ROUND(SUMIF(AA107:AA110,"=57034454",S107:S110),2)</f>
        <v>2446.15</v>
      </c>
      <c r="DY112" s="12">
        <f>ROUND(SUMIF(AA107:AA110,"=57034454",T107:T110),2)</f>
        <v>0</v>
      </c>
      <c r="DZ112" s="12">
        <f>SUMIF(AA107:AA110,"=57034454",U107:U110)</f>
        <v>3.8822759999999996</v>
      </c>
      <c r="EA112" s="12">
        <f>SUMIF(AA107:AA110,"=57034454",V107:V110)</f>
        <v>0</v>
      </c>
      <c r="EB112" s="12">
        <f>ROUND(SUMIF(AA107:AA110,"=57034454",W107:W110),2)</f>
        <v>0</v>
      </c>
      <c r="EC112" s="12">
        <f>ROUND(SUMIF(AA107:AA110,"=57034454",X107:X110),2)</f>
        <v>2459.17</v>
      </c>
      <c r="ED112" s="12">
        <f>ROUND(SUMIF(AA107:AA110,"=57034454",Y107:Y110),2)</f>
        <v>1256.9100000000001</v>
      </c>
      <c r="EE112" s="12"/>
      <c r="EF112" s="12"/>
      <c r="EG112" s="12">
        <f t="shared" ref="EG112:EV112" si="87">ROUND(FP112,2)</f>
        <v>0</v>
      </c>
      <c r="EH112" s="12">
        <f t="shared" si="87"/>
        <v>400186.76</v>
      </c>
      <c r="EI112" s="12">
        <f t="shared" si="87"/>
        <v>0</v>
      </c>
      <c r="EJ112" s="12">
        <f t="shared" si="87"/>
        <v>406919.3</v>
      </c>
      <c r="EK112" s="12">
        <f t="shared" si="87"/>
        <v>0</v>
      </c>
      <c r="EL112" s="12">
        <f t="shared" si="87"/>
        <v>6732.54</v>
      </c>
      <c r="EM112" s="12">
        <f t="shared" si="87"/>
        <v>0</v>
      </c>
      <c r="EN112" s="12">
        <f t="shared" si="87"/>
        <v>400186.76</v>
      </c>
      <c r="EO112" s="12">
        <f t="shared" si="87"/>
        <v>0</v>
      </c>
      <c r="EP112" s="12">
        <f t="shared" si="87"/>
        <v>0</v>
      </c>
      <c r="EQ112" s="12">
        <f t="shared" si="87"/>
        <v>0</v>
      </c>
      <c r="ER112" s="12">
        <f t="shared" si="87"/>
        <v>400186.76</v>
      </c>
      <c r="ES112" s="12">
        <f t="shared" si="87"/>
        <v>0</v>
      </c>
      <c r="ET112" s="12">
        <f t="shared" si="87"/>
        <v>0</v>
      </c>
      <c r="EU112" s="12">
        <f t="shared" si="87"/>
        <v>0</v>
      </c>
      <c r="EV112" s="12">
        <f t="shared" si="87"/>
        <v>0</v>
      </c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>
        <f>ROUND(SUMIF(AA107:AA110,"=57034454",FQ107:FQ110),2)</f>
        <v>0</v>
      </c>
      <c r="FQ112" s="12">
        <f>ROUND(SUMIF(AA107:AA110,"=57034454",FR107:FR110),2)</f>
        <v>400186.76</v>
      </c>
      <c r="FR112" s="12">
        <f>ROUND(SUMIF(AA107:AA110,"=57034454",GL107:GL110),2)</f>
        <v>0</v>
      </c>
      <c r="FS112" s="12">
        <f>ROUND(SUMIF(AA107:AA110,"=57034454",GM107:GM110),2)</f>
        <v>406919.3</v>
      </c>
      <c r="FT112" s="12">
        <f>ROUND(SUMIF(AA107:AA110,"=57034454",GN107:GN110),2)</f>
        <v>0</v>
      </c>
      <c r="FU112" s="12">
        <f>ROUND(SUMIF(AA107:AA110,"=57034454",GO107:GO110),2)</f>
        <v>6732.54</v>
      </c>
      <c r="FV112" s="12">
        <f>ROUND(SUMIF(AA107:AA110,"=57034454",GP107:GP110),2)</f>
        <v>0</v>
      </c>
      <c r="FW112" s="12">
        <f>DU112-FP112</f>
        <v>400186.76</v>
      </c>
      <c r="FX112" s="12">
        <f>DU112-FQ112</f>
        <v>0</v>
      </c>
      <c r="FY112" s="12">
        <f>FP112-FR112</f>
        <v>0</v>
      </c>
      <c r="FZ112" s="12">
        <f>DU112-FP112-FQ112+FR112</f>
        <v>0</v>
      </c>
      <c r="GA112" s="12">
        <f>FQ112-FR112</f>
        <v>400186.76</v>
      </c>
      <c r="GB112" s="12">
        <f>ROUND(SUMIF(AA107:AA110,"=57034454",GX107:GX110),2)</f>
        <v>0</v>
      </c>
      <c r="GC112" s="12">
        <f>ROUND(SUMIF(AA107:AA110,"=57034454",GY107:GY110),2)</f>
        <v>0</v>
      </c>
      <c r="GD112" s="12">
        <f>ROUND(SUMIF(AA107:AA110,"=57034454",GZ107:GZ110),2)</f>
        <v>0</v>
      </c>
      <c r="GE112" s="12">
        <f>ROUND(SUMIF(AA107:AA110,"=57034454",HD107:HD110),2)</f>
        <v>0</v>
      </c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>
        <v>0</v>
      </c>
    </row>
    <row r="114" spans="1:28" ht="13" x14ac:dyDescent="0.3">
      <c r="A114" s="13">
        <v>50</v>
      </c>
      <c r="B114" s="13">
        <v>0</v>
      </c>
      <c r="C114" s="13">
        <v>0</v>
      </c>
      <c r="D114" s="13">
        <v>1</v>
      </c>
      <c r="E114" s="13">
        <v>201</v>
      </c>
      <c r="F114" s="13">
        <f>ROUND(Source!O112,O114)</f>
        <v>52941.65</v>
      </c>
      <c r="G114" s="13" t="s">
        <v>117</v>
      </c>
      <c r="H114" s="13" t="s">
        <v>118</v>
      </c>
      <c r="I114" s="13"/>
      <c r="J114" s="13"/>
      <c r="K114" s="13">
        <v>201</v>
      </c>
      <c r="L114" s="13">
        <v>1</v>
      </c>
      <c r="M114" s="13">
        <v>3</v>
      </c>
      <c r="N114" s="13" t="s">
        <v>3</v>
      </c>
      <c r="O114" s="13">
        <v>2</v>
      </c>
      <c r="P114" s="13">
        <f>ROUND(Source!DG112,O114)</f>
        <v>403203.22</v>
      </c>
      <c r="Q114" s="13"/>
      <c r="R114" s="13"/>
      <c r="S114" s="13"/>
      <c r="T114" s="13"/>
      <c r="U114" s="13"/>
      <c r="V114" s="13"/>
      <c r="W114" s="13">
        <v>52941.65</v>
      </c>
      <c r="X114" s="13">
        <v>1</v>
      </c>
      <c r="Y114" s="13">
        <v>52941.65</v>
      </c>
      <c r="Z114" s="13">
        <v>403203.22</v>
      </c>
      <c r="AA114" s="13">
        <v>1</v>
      </c>
      <c r="AB114" s="13">
        <v>403203.22</v>
      </c>
    </row>
    <row r="115" spans="1:28" ht="13" x14ac:dyDescent="0.3">
      <c r="A115" s="13">
        <v>50</v>
      </c>
      <c r="B115" s="13">
        <v>0</v>
      </c>
      <c r="C115" s="13">
        <v>0</v>
      </c>
      <c r="D115" s="13">
        <v>1</v>
      </c>
      <c r="E115" s="13">
        <v>202</v>
      </c>
      <c r="F115" s="13">
        <f>ROUND(Source!P112,O115)</f>
        <v>52864.83</v>
      </c>
      <c r="G115" s="13" t="s">
        <v>119</v>
      </c>
      <c r="H115" s="13" t="s">
        <v>120</v>
      </c>
      <c r="I115" s="13"/>
      <c r="J115" s="13"/>
      <c r="K115" s="13">
        <v>202</v>
      </c>
      <c r="L115" s="13">
        <v>2</v>
      </c>
      <c r="M115" s="13">
        <v>3</v>
      </c>
      <c r="N115" s="13" t="s">
        <v>3</v>
      </c>
      <c r="O115" s="13">
        <v>2</v>
      </c>
      <c r="P115" s="13">
        <f>ROUND(Source!DH112,O115)</f>
        <v>400186.76</v>
      </c>
      <c r="Q115" s="13"/>
      <c r="R115" s="13"/>
      <c r="S115" s="13"/>
      <c r="T115" s="13"/>
      <c r="U115" s="13"/>
      <c r="V115" s="13"/>
      <c r="W115" s="13">
        <v>52864.83</v>
      </c>
      <c r="X115" s="13">
        <v>1</v>
      </c>
      <c r="Y115" s="13">
        <v>52864.83</v>
      </c>
      <c r="Z115" s="13">
        <v>400186.76</v>
      </c>
      <c r="AA115" s="13">
        <v>1</v>
      </c>
      <c r="AB115" s="13">
        <v>400186.76</v>
      </c>
    </row>
    <row r="116" spans="1:28" ht="13" x14ac:dyDescent="0.3">
      <c r="A116" s="13">
        <v>50</v>
      </c>
      <c r="B116" s="13">
        <v>0</v>
      </c>
      <c r="C116" s="13">
        <v>0</v>
      </c>
      <c r="D116" s="13">
        <v>1</v>
      </c>
      <c r="E116" s="13">
        <v>222</v>
      </c>
      <c r="F116" s="13">
        <f>ROUND(Source!AO112,O116)</f>
        <v>0</v>
      </c>
      <c r="G116" s="13" t="s">
        <v>121</v>
      </c>
      <c r="H116" s="13" t="s">
        <v>122</v>
      </c>
      <c r="I116" s="13"/>
      <c r="J116" s="13"/>
      <c r="K116" s="13">
        <v>222</v>
      </c>
      <c r="L116" s="13">
        <v>3</v>
      </c>
      <c r="M116" s="13">
        <v>3</v>
      </c>
      <c r="N116" s="13" t="s">
        <v>3</v>
      </c>
      <c r="O116" s="13">
        <v>2</v>
      </c>
      <c r="P116" s="13">
        <f>ROUND(Source!EG112,O116)</f>
        <v>0</v>
      </c>
      <c r="Q116" s="13"/>
      <c r="R116" s="13"/>
      <c r="S116" s="13"/>
      <c r="T116" s="13"/>
      <c r="U116" s="13"/>
      <c r="V116" s="13"/>
      <c r="W116" s="13">
        <v>0</v>
      </c>
      <c r="X116" s="13">
        <v>1</v>
      </c>
      <c r="Y116" s="13">
        <v>0</v>
      </c>
      <c r="Z116" s="13">
        <v>0</v>
      </c>
      <c r="AA116" s="13">
        <v>1</v>
      </c>
      <c r="AB116" s="13">
        <v>0</v>
      </c>
    </row>
    <row r="117" spans="1:28" ht="13" x14ac:dyDescent="0.3">
      <c r="A117" s="13">
        <v>50</v>
      </c>
      <c r="B117" s="13">
        <v>0</v>
      </c>
      <c r="C117" s="13">
        <v>0</v>
      </c>
      <c r="D117" s="13">
        <v>1</v>
      </c>
      <c r="E117" s="13">
        <v>225</v>
      </c>
      <c r="F117" s="13">
        <f>ROUND(Source!AV112,O117)</f>
        <v>52864.83</v>
      </c>
      <c r="G117" s="13" t="s">
        <v>123</v>
      </c>
      <c r="H117" s="13" t="s">
        <v>124</v>
      </c>
      <c r="I117" s="13"/>
      <c r="J117" s="13"/>
      <c r="K117" s="13">
        <v>225</v>
      </c>
      <c r="L117" s="13">
        <v>4</v>
      </c>
      <c r="M117" s="13">
        <v>3</v>
      </c>
      <c r="N117" s="13" t="s">
        <v>3</v>
      </c>
      <c r="O117" s="13">
        <v>2</v>
      </c>
      <c r="P117" s="13">
        <f>ROUND(Source!EN112,O117)</f>
        <v>400186.76</v>
      </c>
      <c r="Q117" s="13"/>
      <c r="R117" s="13"/>
      <c r="S117" s="13"/>
      <c r="T117" s="13"/>
      <c r="U117" s="13"/>
      <c r="V117" s="13"/>
      <c r="W117" s="13">
        <v>52864.83</v>
      </c>
      <c r="X117" s="13">
        <v>1</v>
      </c>
      <c r="Y117" s="13">
        <v>52864.83</v>
      </c>
      <c r="Z117" s="13">
        <v>400186.76</v>
      </c>
      <c r="AA117" s="13">
        <v>1</v>
      </c>
      <c r="AB117" s="13">
        <v>400186.76</v>
      </c>
    </row>
    <row r="118" spans="1:28" ht="13" x14ac:dyDescent="0.3">
      <c r="A118" s="13">
        <v>50</v>
      </c>
      <c r="B118" s="13">
        <v>0</v>
      </c>
      <c r="C118" s="13">
        <v>0</v>
      </c>
      <c r="D118" s="13">
        <v>1</v>
      </c>
      <c r="E118" s="13">
        <v>226</v>
      </c>
      <c r="F118" s="13">
        <f>ROUND(Source!AW112,O118)</f>
        <v>0</v>
      </c>
      <c r="G118" s="13" t="s">
        <v>125</v>
      </c>
      <c r="H118" s="13" t="s">
        <v>126</v>
      </c>
      <c r="I118" s="13"/>
      <c r="J118" s="13"/>
      <c r="K118" s="13">
        <v>226</v>
      </c>
      <c r="L118" s="13">
        <v>5</v>
      </c>
      <c r="M118" s="13">
        <v>3</v>
      </c>
      <c r="N118" s="13" t="s">
        <v>3</v>
      </c>
      <c r="O118" s="13">
        <v>2</v>
      </c>
      <c r="P118" s="13">
        <f>ROUND(Source!EO112,O118)</f>
        <v>0</v>
      </c>
      <c r="Q118" s="13"/>
      <c r="R118" s="13"/>
      <c r="S118" s="13"/>
      <c r="T118" s="13"/>
      <c r="U118" s="13"/>
      <c r="V118" s="13"/>
      <c r="W118" s="13">
        <v>0</v>
      </c>
      <c r="X118" s="13">
        <v>1</v>
      </c>
      <c r="Y118" s="13">
        <v>0</v>
      </c>
      <c r="Z118" s="13">
        <v>0</v>
      </c>
      <c r="AA118" s="13">
        <v>1</v>
      </c>
      <c r="AB118" s="13">
        <v>0</v>
      </c>
    </row>
    <row r="119" spans="1:28" ht="13" x14ac:dyDescent="0.3">
      <c r="A119" s="13">
        <v>50</v>
      </c>
      <c r="B119" s="13">
        <v>0</v>
      </c>
      <c r="C119" s="13">
        <v>0</v>
      </c>
      <c r="D119" s="13">
        <v>1</v>
      </c>
      <c r="E119" s="13">
        <v>227</v>
      </c>
      <c r="F119" s="13">
        <f>ROUND(Source!AX112,O119)</f>
        <v>0</v>
      </c>
      <c r="G119" s="13" t="s">
        <v>127</v>
      </c>
      <c r="H119" s="13" t="s">
        <v>128</v>
      </c>
      <c r="I119" s="13"/>
      <c r="J119" s="13"/>
      <c r="K119" s="13">
        <v>227</v>
      </c>
      <c r="L119" s="13">
        <v>6</v>
      </c>
      <c r="M119" s="13">
        <v>3</v>
      </c>
      <c r="N119" s="13" t="s">
        <v>3</v>
      </c>
      <c r="O119" s="13">
        <v>2</v>
      </c>
      <c r="P119" s="13">
        <f>ROUND(Source!EP112,O119)</f>
        <v>0</v>
      </c>
      <c r="Q119" s="13"/>
      <c r="R119" s="13"/>
      <c r="S119" s="13"/>
      <c r="T119" s="13"/>
      <c r="U119" s="13"/>
      <c r="V119" s="13"/>
      <c r="W119" s="13">
        <v>0</v>
      </c>
      <c r="X119" s="13">
        <v>1</v>
      </c>
      <c r="Y119" s="13">
        <v>0</v>
      </c>
      <c r="Z119" s="13">
        <v>0</v>
      </c>
      <c r="AA119" s="13">
        <v>1</v>
      </c>
      <c r="AB119" s="13">
        <v>0</v>
      </c>
    </row>
    <row r="120" spans="1:28" ht="13" x14ac:dyDescent="0.3">
      <c r="A120" s="13">
        <v>50</v>
      </c>
      <c r="B120" s="13">
        <v>0</v>
      </c>
      <c r="C120" s="13">
        <v>0</v>
      </c>
      <c r="D120" s="13">
        <v>1</v>
      </c>
      <c r="E120" s="13">
        <v>228</v>
      </c>
      <c r="F120" s="13">
        <f>ROUND(Source!AY112,O120)</f>
        <v>0</v>
      </c>
      <c r="G120" s="13" t="s">
        <v>129</v>
      </c>
      <c r="H120" s="13" t="s">
        <v>130</v>
      </c>
      <c r="I120" s="13"/>
      <c r="J120" s="13"/>
      <c r="K120" s="13">
        <v>228</v>
      </c>
      <c r="L120" s="13">
        <v>7</v>
      </c>
      <c r="M120" s="13">
        <v>3</v>
      </c>
      <c r="N120" s="13" t="s">
        <v>3</v>
      </c>
      <c r="O120" s="13">
        <v>2</v>
      </c>
      <c r="P120" s="13">
        <f>ROUND(Source!EQ112,O120)</f>
        <v>0</v>
      </c>
      <c r="Q120" s="13"/>
      <c r="R120" s="13"/>
      <c r="S120" s="13"/>
      <c r="T120" s="13"/>
      <c r="U120" s="13"/>
      <c r="V120" s="13"/>
      <c r="W120" s="13">
        <v>0</v>
      </c>
      <c r="X120" s="13">
        <v>1</v>
      </c>
      <c r="Y120" s="13">
        <v>0</v>
      </c>
      <c r="Z120" s="13">
        <v>0</v>
      </c>
      <c r="AA120" s="13">
        <v>1</v>
      </c>
      <c r="AB120" s="13">
        <v>0</v>
      </c>
    </row>
    <row r="121" spans="1:28" ht="13" x14ac:dyDescent="0.3">
      <c r="A121" s="13">
        <v>50</v>
      </c>
      <c r="B121" s="13">
        <v>0</v>
      </c>
      <c r="C121" s="13">
        <v>0</v>
      </c>
      <c r="D121" s="13">
        <v>1</v>
      </c>
      <c r="E121" s="13">
        <v>216</v>
      </c>
      <c r="F121" s="13">
        <f>ROUND(Source!AP112,O121)</f>
        <v>52864.83</v>
      </c>
      <c r="G121" s="13" t="s">
        <v>131</v>
      </c>
      <c r="H121" s="13" t="s">
        <v>132</v>
      </c>
      <c r="I121" s="13"/>
      <c r="J121" s="13"/>
      <c r="K121" s="13">
        <v>216</v>
      </c>
      <c r="L121" s="13">
        <v>8</v>
      </c>
      <c r="M121" s="13">
        <v>3</v>
      </c>
      <c r="N121" s="13" t="s">
        <v>3</v>
      </c>
      <c r="O121" s="13">
        <v>2</v>
      </c>
      <c r="P121" s="13">
        <f>ROUND(Source!EH112,O121)</f>
        <v>400186.76</v>
      </c>
      <c r="Q121" s="13"/>
      <c r="R121" s="13"/>
      <c r="S121" s="13"/>
      <c r="T121" s="13"/>
      <c r="U121" s="13"/>
      <c r="V121" s="13"/>
      <c r="W121" s="13">
        <v>52864.83</v>
      </c>
      <c r="X121" s="13">
        <v>1</v>
      </c>
      <c r="Y121" s="13">
        <v>52864.83</v>
      </c>
      <c r="Z121" s="13">
        <v>400186.76</v>
      </c>
      <c r="AA121" s="13">
        <v>1</v>
      </c>
      <c r="AB121" s="13">
        <v>400186.76</v>
      </c>
    </row>
    <row r="122" spans="1:28" ht="13" x14ac:dyDescent="0.3">
      <c r="A122" s="13">
        <v>50</v>
      </c>
      <c r="B122" s="13">
        <v>0</v>
      </c>
      <c r="C122" s="13">
        <v>0</v>
      </c>
      <c r="D122" s="13">
        <v>1</v>
      </c>
      <c r="E122" s="13">
        <v>223</v>
      </c>
      <c r="F122" s="13">
        <f>ROUND(Source!AQ112,O122)</f>
        <v>0</v>
      </c>
      <c r="G122" s="13" t="s">
        <v>133</v>
      </c>
      <c r="H122" s="13" t="s">
        <v>134</v>
      </c>
      <c r="I122" s="13"/>
      <c r="J122" s="13"/>
      <c r="K122" s="13">
        <v>223</v>
      </c>
      <c r="L122" s="13">
        <v>9</v>
      </c>
      <c r="M122" s="13">
        <v>3</v>
      </c>
      <c r="N122" s="13" t="s">
        <v>3</v>
      </c>
      <c r="O122" s="13">
        <v>2</v>
      </c>
      <c r="P122" s="13">
        <f>ROUND(Source!EI112,O122)</f>
        <v>0</v>
      </c>
      <c r="Q122" s="13"/>
      <c r="R122" s="13"/>
      <c r="S122" s="13"/>
      <c r="T122" s="13"/>
      <c r="U122" s="13"/>
      <c r="V122" s="13"/>
      <c r="W122" s="13">
        <v>0</v>
      </c>
      <c r="X122" s="13">
        <v>1</v>
      </c>
      <c r="Y122" s="13">
        <v>0</v>
      </c>
      <c r="Z122" s="13">
        <v>0</v>
      </c>
      <c r="AA122" s="13">
        <v>1</v>
      </c>
      <c r="AB122" s="13">
        <v>0</v>
      </c>
    </row>
    <row r="123" spans="1:28" ht="13" x14ac:dyDescent="0.3">
      <c r="A123" s="13">
        <v>50</v>
      </c>
      <c r="B123" s="13">
        <v>0</v>
      </c>
      <c r="C123" s="13">
        <v>0</v>
      </c>
      <c r="D123" s="13">
        <v>1</v>
      </c>
      <c r="E123" s="13">
        <v>229</v>
      </c>
      <c r="F123" s="13">
        <f>ROUND(Source!AZ112,O123)</f>
        <v>52864.83</v>
      </c>
      <c r="G123" s="13" t="s">
        <v>135</v>
      </c>
      <c r="H123" s="13" t="s">
        <v>136</v>
      </c>
      <c r="I123" s="13"/>
      <c r="J123" s="13"/>
      <c r="K123" s="13">
        <v>229</v>
      </c>
      <c r="L123" s="13">
        <v>10</v>
      </c>
      <c r="M123" s="13">
        <v>3</v>
      </c>
      <c r="N123" s="13" t="s">
        <v>3</v>
      </c>
      <c r="O123" s="13">
        <v>2</v>
      </c>
      <c r="P123" s="13">
        <f>ROUND(Source!ER112,O123)</f>
        <v>400186.76</v>
      </c>
      <c r="Q123" s="13"/>
      <c r="R123" s="13"/>
      <c r="S123" s="13"/>
      <c r="T123" s="13"/>
      <c r="U123" s="13"/>
      <c r="V123" s="13"/>
      <c r="W123" s="13">
        <v>52864.83</v>
      </c>
      <c r="X123" s="13">
        <v>1</v>
      </c>
      <c r="Y123" s="13">
        <v>52864.83</v>
      </c>
      <c r="Z123" s="13">
        <v>400186.76</v>
      </c>
      <c r="AA123" s="13">
        <v>1</v>
      </c>
      <c r="AB123" s="13">
        <v>400186.76</v>
      </c>
    </row>
    <row r="124" spans="1:28" ht="13" x14ac:dyDescent="0.3">
      <c r="A124" s="13">
        <v>50</v>
      </c>
      <c r="B124" s="13">
        <v>0</v>
      </c>
      <c r="C124" s="13">
        <v>0</v>
      </c>
      <c r="D124" s="13">
        <v>1</v>
      </c>
      <c r="E124" s="13">
        <v>203</v>
      </c>
      <c r="F124" s="13">
        <f>ROUND(Source!Q112,O124)</f>
        <v>33.409999999999997</v>
      </c>
      <c r="G124" s="13" t="s">
        <v>137</v>
      </c>
      <c r="H124" s="13" t="s">
        <v>138</v>
      </c>
      <c r="I124" s="13"/>
      <c r="J124" s="13"/>
      <c r="K124" s="13">
        <v>203</v>
      </c>
      <c r="L124" s="13">
        <v>11</v>
      </c>
      <c r="M124" s="13">
        <v>3</v>
      </c>
      <c r="N124" s="13" t="s">
        <v>3</v>
      </c>
      <c r="O124" s="13">
        <v>2</v>
      </c>
      <c r="P124" s="13">
        <f>ROUND(Source!DI112,O124)</f>
        <v>570.30999999999995</v>
      </c>
      <c r="Q124" s="13"/>
      <c r="R124" s="13"/>
      <c r="S124" s="13"/>
      <c r="T124" s="13"/>
      <c r="U124" s="13"/>
      <c r="V124" s="13"/>
      <c r="W124" s="13">
        <v>33.409999999999997</v>
      </c>
      <c r="X124" s="13">
        <v>1</v>
      </c>
      <c r="Y124" s="13">
        <v>33.409999999999997</v>
      </c>
      <c r="Z124" s="13">
        <v>570.30999999999995</v>
      </c>
      <c r="AA124" s="13">
        <v>1</v>
      </c>
      <c r="AB124" s="13">
        <v>570.30999999999995</v>
      </c>
    </row>
    <row r="125" spans="1:28" ht="13" x14ac:dyDescent="0.3">
      <c r="A125" s="13">
        <v>50</v>
      </c>
      <c r="B125" s="13">
        <v>0</v>
      </c>
      <c r="C125" s="13">
        <v>0</v>
      </c>
      <c r="D125" s="13">
        <v>1</v>
      </c>
      <c r="E125" s="13">
        <v>231</v>
      </c>
      <c r="F125" s="13">
        <f>ROUND(Source!BB112,O125)</f>
        <v>0</v>
      </c>
      <c r="G125" s="13" t="s">
        <v>139</v>
      </c>
      <c r="H125" s="13" t="s">
        <v>140</v>
      </c>
      <c r="I125" s="13"/>
      <c r="J125" s="13"/>
      <c r="K125" s="13">
        <v>231</v>
      </c>
      <c r="L125" s="13">
        <v>12</v>
      </c>
      <c r="M125" s="13">
        <v>3</v>
      </c>
      <c r="N125" s="13" t="s">
        <v>3</v>
      </c>
      <c r="O125" s="13">
        <v>2</v>
      </c>
      <c r="P125" s="13">
        <f>ROUND(Source!ET112,O125)</f>
        <v>0</v>
      </c>
      <c r="Q125" s="13"/>
      <c r="R125" s="13"/>
      <c r="S125" s="13"/>
      <c r="T125" s="13"/>
      <c r="U125" s="13"/>
      <c r="V125" s="13"/>
      <c r="W125" s="13">
        <v>0</v>
      </c>
      <c r="X125" s="13">
        <v>1</v>
      </c>
      <c r="Y125" s="13">
        <v>0</v>
      </c>
      <c r="Z125" s="13">
        <v>0</v>
      </c>
      <c r="AA125" s="13">
        <v>1</v>
      </c>
      <c r="AB125" s="13">
        <v>0</v>
      </c>
    </row>
    <row r="126" spans="1:28" ht="13" x14ac:dyDescent="0.3">
      <c r="A126" s="13">
        <v>50</v>
      </c>
      <c r="B126" s="13">
        <v>0</v>
      </c>
      <c r="C126" s="13">
        <v>0</v>
      </c>
      <c r="D126" s="13">
        <v>1</v>
      </c>
      <c r="E126" s="13">
        <v>204</v>
      </c>
      <c r="F126" s="13">
        <f>ROUND(Source!R112,O126)</f>
        <v>5.08</v>
      </c>
      <c r="G126" s="13" t="s">
        <v>141</v>
      </c>
      <c r="H126" s="13" t="s">
        <v>142</v>
      </c>
      <c r="I126" s="13"/>
      <c r="J126" s="13"/>
      <c r="K126" s="13">
        <v>204</v>
      </c>
      <c r="L126" s="13">
        <v>13</v>
      </c>
      <c r="M126" s="13">
        <v>3</v>
      </c>
      <c r="N126" s="13" t="s">
        <v>3</v>
      </c>
      <c r="O126" s="13">
        <v>2</v>
      </c>
      <c r="P126" s="13">
        <f>ROUND(Source!DJ112,O126)</f>
        <v>286.26</v>
      </c>
      <c r="Q126" s="13"/>
      <c r="R126" s="13"/>
      <c r="S126" s="13"/>
      <c r="T126" s="13"/>
      <c r="U126" s="13"/>
      <c r="V126" s="13"/>
      <c r="W126" s="13">
        <v>5.08</v>
      </c>
      <c r="X126" s="13">
        <v>1</v>
      </c>
      <c r="Y126" s="13">
        <v>5.08</v>
      </c>
      <c r="Z126" s="13">
        <v>286.26</v>
      </c>
      <c r="AA126" s="13">
        <v>1</v>
      </c>
      <c r="AB126" s="13">
        <v>286.26</v>
      </c>
    </row>
    <row r="127" spans="1:28" ht="13" x14ac:dyDescent="0.3">
      <c r="A127" s="13">
        <v>50</v>
      </c>
      <c r="B127" s="13">
        <v>0</v>
      </c>
      <c r="C127" s="13">
        <v>0</v>
      </c>
      <c r="D127" s="13">
        <v>1</v>
      </c>
      <c r="E127" s="13">
        <v>205</v>
      </c>
      <c r="F127" s="13">
        <f>ROUND(Source!S112,O127)</f>
        <v>43.41</v>
      </c>
      <c r="G127" s="13" t="s">
        <v>143</v>
      </c>
      <c r="H127" s="13" t="s">
        <v>144</v>
      </c>
      <c r="I127" s="13"/>
      <c r="J127" s="13"/>
      <c r="K127" s="13">
        <v>205</v>
      </c>
      <c r="L127" s="13">
        <v>14</v>
      </c>
      <c r="M127" s="13">
        <v>3</v>
      </c>
      <c r="N127" s="13" t="s">
        <v>3</v>
      </c>
      <c r="O127" s="13">
        <v>2</v>
      </c>
      <c r="P127" s="13">
        <f>ROUND(Source!DK112,O127)</f>
        <v>2446.15</v>
      </c>
      <c r="Q127" s="13"/>
      <c r="R127" s="13"/>
      <c r="S127" s="13"/>
      <c r="T127" s="13"/>
      <c r="U127" s="13"/>
      <c r="V127" s="13"/>
      <c r="W127" s="13">
        <v>43.41</v>
      </c>
      <c r="X127" s="13">
        <v>1</v>
      </c>
      <c r="Y127" s="13">
        <v>43.41</v>
      </c>
      <c r="Z127" s="13">
        <v>2446.15</v>
      </c>
      <c r="AA127" s="13">
        <v>1</v>
      </c>
      <c r="AB127" s="13">
        <v>2446.15</v>
      </c>
    </row>
    <row r="128" spans="1:28" ht="13" x14ac:dyDescent="0.3">
      <c r="A128" s="13">
        <v>50</v>
      </c>
      <c r="B128" s="13">
        <v>0</v>
      </c>
      <c r="C128" s="13">
        <v>0</v>
      </c>
      <c r="D128" s="13">
        <v>1</v>
      </c>
      <c r="E128" s="13">
        <v>232</v>
      </c>
      <c r="F128" s="13">
        <f>ROUND(Source!BC112,O128)</f>
        <v>0</v>
      </c>
      <c r="G128" s="13" t="s">
        <v>145</v>
      </c>
      <c r="H128" s="13" t="s">
        <v>146</v>
      </c>
      <c r="I128" s="13"/>
      <c r="J128" s="13"/>
      <c r="K128" s="13">
        <v>232</v>
      </c>
      <c r="L128" s="13">
        <v>15</v>
      </c>
      <c r="M128" s="13">
        <v>3</v>
      </c>
      <c r="N128" s="13" t="s">
        <v>3</v>
      </c>
      <c r="O128" s="13">
        <v>2</v>
      </c>
      <c r="P128" s="13">
        <f>ROUND(Source!EU112,O128)</f>
        <v>0</v>
      </c>
      <c r="Q128" s="13"/>
      <c r="R128" s="13"/>
      <c r="S128" s="13"/>
      <c r="T128" s="13"/>
      <c r="U128" s="13"/>
      <c r="V128" s="13"/>
      <c r="W128" s="13">
        <v>0</v>
      </c>
      <c r="X128" s="13">
        <v>1</v>
      </c>
      <c r="Y128" s="13">
        <v>0</v>
      </c>
      <c r="Z128" s="13">
        <v>0</v>
      </c>
      <c r="AA128" s="13">
        <v>1</v>
      </c>
      <c r="AB128" s="13">
        <v>0</v>
      </c>
    </row>
    <row r="129" spans="1:206" ht="13" x14ac:dyDescent="0.3">
      <c r="A129" s="13">
        <v>50</v>
      </c>
      <c r="B129" s="13">
        <v>0</v>
      </c>
      <c r="C129" s="13">
        <v>0</v>
      </c>
      <c r="D129" s="13">
        <v>1</v>
      </c>
      <c r="E129" s="13">
        <v>214</v>
      </c>
      <c r="F129" s="13">
        <f>ROUND(Source!AS112,O129)</f>
        <v>0</v>
      </c>
      <c r="G129" s="13" t="s">
        <v>147</v>
      </c>
      <c r="H129" s="13" t="s">
        <v>148</v>
      </c>
      <c r="I129" s="13"/>
      <c r="J129" s="13"/>
      <c r="K129" s="13">
        <v>214</v>
      </c>
      <c r="L129" s="13">
        <v>16</v>
      </c>
      <c r="M129" s="13">
        <v>3</v>
      </c>
      <c r="N129" s="13" t="s">
        <v>3</v>
      </c>
      <c r="O129" s="13">
        <v>2</v>
      </c>
      <c r="P129" s="13">
        <f>ROUND(Source!EK112,O129)</f>
        <v>0</v>
      </c>
      <c r="Q129" s="13"/>
      <c r="R129" s="13"/>
      <c r="S129" s="13"/>
      <c r="T129" s="13"/>
      <c r="U129" s="13"/>
      <c r="V129" s="13"/>
      <c r="W129" s="13">
        <v>0</v>
      </c>
      <c r="X129" s="13">
        <v>1</v>
      </c>
      <c r="Y129" s="13">
        <v>0</v>
      </c>
      <c r="Z129" s="13">
        <v>0</v>
      </c>
      <c r="AA129" s="13">
        <v>1</v>
      </c>
      <c r="AB129" s="13">
        <v>0</v>
      </c>
    </row>
    <row r="130" spans="1:206" ht="13" x14ac:dyDescent="0.3">
      <c r="A130" s="13">
        <v>50</v>
      </c>
      <c r="B130" s="13">
        <v>0</v>
      </c>
      <c r="C130" s="13">
        <v>0</v>
      </c>
      <c r="D130" s="13">
        <v>1</v>
      </c>
      <c r="E130" s="13">
        <v>215</v>
      </c>
      <c r="F130" s="13">
        <f>ROUND(Source!AT112,O130)</f>
        <v>142.77000000000001</v>
      </c>
      <c r="G130" s="13" t="s">
        <v>149</v>
      </c>
      <c r="H130" s="13" t="s">
        <v>150</v>
      </c>
      <c r="I130" s="13"/>
      <c r="J130" s="13"/>
      <c r="K130" s="13">
        <v>215</v>
      </c>
      <c r="L130" s="13">
        <v>17</v>
      </c>
      <c r="M130" s="13">
        <v>3</v>
      </c>
      <c r="N130" s="13" t="s">
        <v>3</v>
      </c>
      <c r="O130" s="13">
        <v>2</v>
      </c>
      <c r="P130" s="13">
        <f>ROUND(Source!EL112,O130)</f>
        <v>6732.54</v>
      </c>
      <c r="Q130" s="13"/>
      <c r="R130" s="13"/>
      <c r="S130" s="13"/>
      <c r="T130" s="13"/>
      <c r="U130" s="13"/>
      <c r="V130" s="13"/>
      <c r="W130" s="13">
        <v>142.77000000000001</v>
      </c>
      <c r="X130" s="13">
        <v>1</v>
      </c>
      <c r="Y130" s="13">
        <v>142.77000000000001</v>
      </c>
      <c r="Z130" s="13">
        <v>6732.54</v>
      </c>
      <c r="AA130" s="13">
        <v>1</v>
      </c>
      <c r="AB130" s="13">
        <v>6732.54</v>
      </c>
    </row>
    <row r="131" spans="1:206" ht="13" x14ac:dyDescent="0.3">
      <c r="A131" s="13">
        <v>50</v>
      </c>
      <c r="B131" s="13">
        <v>0</v>
      </c>
      <c r="C131" s="13">
        <v>0</v>
      </c>
      <c r="D131" s="13">
        <v>1</v>
      </c>
      <c r="E131" s="13">
        <v>217</v>
      </c>
      <c r="F131" s="13">
        <f>ROUND(Source!AU112,O131)</f>
        <v>0</v>
      </c>
      <c r="G131" s="13" t="s">
        <v>151</v>
      </c>
      <c r="H131" s="13" t="s">
        <v>152</v>
      </c>
      <c r="I131" s="13"/>
      <c r="J131" s="13"/>
      <c r="K131" s="13">
        <v>217</v>
      </c>
      <c r="L131" s="13">
        <v>18</v>
      </c>
      <c r="M131" s="13">
        <v>3</v>
      </c>
      <c r="N131" s="13" t="s">
        <v>3</v>
      </c>
      <c r="O131" s="13">
        <v>2</v>
      </c>
      <c r="P131" s="13">
        <f>ROUND(Source!EM112,O131)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06" ht="13" x14ac:dyDescent="0.3">
      <c r="A132" s="13">
        <v>50</v>
      </c>
      <c r="B132" s="13">
        <v>0</v>
      </c>
      <c r="C132" s="13">
        <v>0</v>
      </c>
      <c r="D132" s="13">
        <v>1</v>
      </c>
      <c r="E132" s="13">
        <v>230</v>
      </c>
      <c r="F132" s="13">
        <f>ROUND(Source!BA112,O132)</f>
        <v>0</v>
      </c>
      <c r="G132" s="13" t="s">
        <v>153</v>
      </c>
      <c r="H132" s="13" t="s">
        <v>154</v>
      </c>
      <c r="I132" s="13"/>
      <c r="J132" s="13"/>
      <c r="K132" s="13">
        <v>230</v>
      </c>
      <c r="L132" s="13">
        <v>19</v>
      </c>
      <c r="M132" s="13">
        <v>3</v>
      </c>
      <c r="N132" s="13" t="s">
        <v>3</v>
      </c>
      <c r="O132" s="13">
        <v>2</v>
      </c>
      <c r="P132" s="13">
        <f>ROUND(Source!ES112,O132)</f>
        <v>0</v>
      </c>
      <c r="Q132" s="13"/>
      <c r="R132" s="13"/>
      <c r="S132" s="13"/>
      <c r="T132" s="13"/>
      <c r="U132" s="13"/>
      <c r="V132" s="13"/>
      <c r="W132" s="13">
        <v>0</v>
      </c>
      <c r="X132" s="13">
        <v>1</v>
      </c>
      <c r="Y132" s="13">
        <v>0</v>
      </c>
      <c r="Z132" s="13">
        <v>0</v>
      </c>
      <c r="AA132" s="13">
        <v>1</v>
      </c>
      <c r="AB132" s="13">
        <v>0</v>
      </c>
    </row>
    <row r="133" spans="1:206" ht="13" x14ac:dyDescent="0.3">
      <c r="A133" s="13">
        <v>50</v>
      </c>
      <c r="B133" s="13">
        <v>0</v>
      </c>
      <c r="C133" s="13">
        <v>0</v>
      </c>
      <c r="D133" s="13">
        <v>1</v>
      </c>
      <c r="E133" s="13">
        <v>206</v>
      </c>
      <c r="F133" s="13">
        <f>ROUND(Source!T112,O133)</f>
        <v>0</v>
      </c>
      <c r="G133" s="13" t="s">
        <v>155</v>
      </c>
      <c r="H133" s="13" t="s">
        <v>156</v>
      </c>
      <c r="I133" s="13"/>
      <c r="J133" s="13"/>
      <c r="K133" s="13">
        <v>206</v>
      </c>
      <c r="L133" s="13">
        <v>20</v>
      </c>
      <c r="M133" s="13">
        <v>3</v>
      </c>
      <c r="N133" s="13" t="s">
        <v>3</v>
      </c>
      <c r="O133" s="13">
        <v>2</v>
      </c>
      <c r="P133" s="13">
        <f>ROUND(Source!DL112,O133)</f>
        <v>0</v>
      </c>
      <c r="Q133" s="13"/>
      <c r="R133" s="13"/>
      <c r="S133" s="13"/>
      <c r="T133" s="13"/>
      <c r="U133" s="13"/>
      <c r="V133" s="13"/>
      <c r="W133" s="13">
        <v>0</v>
      </c>
      <c r="X133" s="13">
        <v>1</v>
      </c>
      <c r="Y133" s="13">
        <v>0</v>
      </c>
      <c r="Z133" s="13">
        <v>0</v>
      </c>
      <c r="AA133" s="13">
        <v>1</v>
      </c>
      <c r="AB133" s="13">
        <v>0</v>
      </c>
    </row>
    <row r="134" spans="1:206" ht="13" x14ac:dyDescent="0.3">
      <c r="A134" s="13">
        <v>50</v>
      </c>
      <c r="B134" s="13">
        <v>0</v>
      </c>
      <c r="C134" s="13">
        <v>0</v>
      </c>
      <c r="D134" s="13">
        <v>1</v>
      </c>
      <c r="E134" s="13">
        <v>207</v>
      </c>
      <c r="F134" s="13">
        <f>Source!U112</f>
        <v>3.8822759999999996</v>
      </c>
      <c r="G134" s="13" t="s">
        <v>157</v>
      </c>
      <c r="H134" s="13" t="s">
        <v>158</v>
      </c>
      <c r="I134" s="13"/>
      <c r="J134" s="13"/>
      <c r="K134" s="13">
        <v>207</v>
      </c>
      <c r="L134" s="13">
        <v>21</v>
      </c>
      <c r="M134" s="13">
        <v>3</v>
      </c>
      <c r="N134" s="13" t="s">
        <v>3</v>
      </c>
      <c r="O134" s="13">
        <v>-1</v>
      </c>
      <c r="P134" s="13">
        <f>Source!DM112</f>
        <v>3.8822759999999996</v>
      </c>
      <c r="Q134" s="13"/>
      <c r="R134" s="13"/>
      <c r="S134" s="13"/>
      <c r="T134" s="13"/>
      <c r="U134" s="13"/>
      <c r="V134" s="13"/>
      <c r="W134" s="13">
        <v>3.8822760000000001</v>
      </c>
      <c r="X134" s="13">
        <v>1</v>
      </c>
      <c r="Y134" s="13">
        <v>3.8822760000000001</v>
      </c>
      <c r="Z134" s="13">
        <v>3.8822760000000001</v>
      </c>
      <c r="AA134" s="13">
        <v>1</v>
      </c>
      <c r="AB134" s="13">
        <v>3.8822760000000001</v>
      </c>
    </row>
    <row r="135" spans="1:206" ht="13" x14ac:dyDescent="0.3">
      <c r="A135" s="13">
        <v>50</v>
      </c>
      <c r="B135" s="13">
        <v>0</v>
      </c>
      <c r="C135" s="13">
        <v>0</v>
      </c>
      <c r="D135" s="13">
        <v>1</v>
      </c>
      <c r="E135" s="13">
        <v>208</v>
      </c>
      <c r="F135" s="13">
        <f>Source!V112</f>
        <v>0</v>
      </c>
      <c r="G135" s="13" t="s">
        <v>159</v>
      </c>
      <c r="H135" s="13" t="s">
        <v>160</v>
      </c>
      <c r="I135" s="13"/>
      <c r="J135" s="13"/>
      <c r="K135" s="13">
        <v>208</v>
      </c>
      <c r="L135" s="13">
        <v>22</v>
      </c>
      <c r="M135" s="13">
        <v>3</v>
      </c>
      <c r="N135" s="13" t="s">
        <v>3</v>
      </c>
      <c r="O135" s="13">
        <v>-1</v>
      </c>
      <c r="P135" s="13">
        <f>Source!DN112</f>
        <v>0</v>
      </c>
      <c r="Q135" s="13"/>
      <c r="R135" s="13"/>
      <c r="S135" s="13"/>
      <c r="T135" s="13"/>
      <c r="U135" s="13"/>
      <c r="V135" s="13"/>
      <c r="W135" s="13">
        <v>0</v>
      </c>
      <c r="X135" s="13">
        <v>1</v>
      </c>
      <c r="Y135" s="13">
        <v>0</v>
      </c>
      <c r="Z135" s="13">
        <v>0</v>
      </c>
      <c r="AA135" s="13">
        <v>1</v>
      </c>
      <c r="AB135" s="13">
        <v>0</v>
      </c>
    </row>
    <row r="136" spans="1:206" ht="13" x14ac:dyDescent="0.3">
      <c r="A136" s="13">
        <v>50</v>
      </c>
      <c r="B136" s="13">
        <v>0</v>
      </c>
      <c r="C136" s="13">
        <v>0</v>
      </c>
      <c r="D136" s="13">
        <v>1</v>
      </c>
      <c r="E136" s="13">
        <v>209</v>
      </c>
      <c r="F136" s="13">
        <f>ROUND(Source!W112,O136)</f>
        <v>0</v>
      </c>
      <c r="G136" s="13" t="s">
        <v>161</v>
      </c>
      <c r="H136" s="13" t="s">
        <v>162</v>
      </c>
      <c r="I136" s="13"/>
      <c r="J136" s="13"/>
      <c r="K136" s="13">
        <v>209</v>
      </c>
      <c r="L136" s="13">
        <v>23</v>
      </c>
      <c r="M136" s="13">
        <v>3</v>
      </c>
      <c r="N136" s="13" t="s">
        <v>3</v>
      </c>
      <c r="O136" s="13">
        <v>2</v>
      </c>
      <c r="P136" s="13">
        <f>ROUND(Source!DO112,O136)</f>
        <v>0</v>
      </c>
      <c r="Q136" s="13"/>
      <c r="R136" s="13"/>
      <c r="S136" s="13"/>
      <c r="T136" s="13"/>
      <c r="U136" s="13"/>
      <c r="V136" s="13"/>
      <c r="W136" s="13">
        <v>0</v>
      </c>
      <c r="X136" s="13">
        <v>1</v>
      </c>
      <c r="Y136" s="13">
        <v>0</v>
      </c>
      <c r="Z136" s="13">
        <v>0</v>
      </c>
      <c r="AA136" s="13">
        <v>1</v>
      </c>
      <c r="AB136" s="13">
        <v>0</v>
      </c>
    </row>
    <row r="137" spans="1:206" ht="13" x14ac:dyDescent="0.3">
      <c r="A137" s="13">
        <v>50</v>
      </c>
      <c r="B137" s="13">
        <v>0</v>
      </c>
      <c r="C137" s="13">
        <v>0</v>
      </c>
      <c r="D137" s="13">
        <v>1</v>
      </c>
      <c r="E137" s="13">
        <v>233</v>
      </c>
      <c r="F137" s="13">
        <f>ROUND(Source!BD112,O137)</f>
        <v>0</v>
      </c>
      <c r="G137" s="13" t="s">
        <v>163</v>
      </c>
      <c r="H137" s="13" t="s">
        <v>164</v>
      </c>
      <c r="I137" s="13"/>
      <c r="J137" s="13"/>
      <c r="K137" s="13">
        <v>233</v>
      </c>
      <c r="L137" s="13">
        <v>24</v>
      </c>
      <c r="M137" s="13">
        <v>3</v>
      </c>
      <c r="N137" s="13" t="s">
        <v>3</v>
      </c>
      <c r="O137" s="13">
        <v>2</v>
      </c>
      <c r="P137" s="13">
        <f>ROUND(Source!EV112,O137)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06" ht="13" x14ac:dyDescent="0.3">
      <c r="A138" s="13">
        <v>50</v>
      </c>
      <c r="B138" s="13">
        <v>0</v>
      </c>
      <c r="C138" s="13">
        <v>0</v>
      </c>
      <c r="D138" s="13">
        <v>1</v>
      </c>
      <c r="E138" s="13">
        <v>210</v>
      </c>
      <c r="F138" s="13">
        <f>ROUND(Source!X112,O138)</f>
        <v>43.64</v>
      </c>
      <c r="G138" s="13" t="s">
        <v>165</v>
      </c>
      <c r="H138" s="13" t="s">
        <v>166</v>
      </c>
      <c r="I138" s="13"/>
      <c r="J138" s="13"/>
      <c r="K138" s="13">
        <v>210</v>
      </c>
      <c r="L138" s="13">
        <v>25</v>
      </c>
      <c r="M138" s="13">
        <v>3</v>
      </c>
      <c r="N138" s="13" t="s">
        <v>3</v>
      </c>
      <c r="O138" s="13">
        <v>2</v>
      </c>
      <c r="P138" s="13">
        <f>ROUND(Source!DP112,O138)</f>
        <v>2459.17</v>
      </c>
      <c r="Q138" s="13"/>
      <c r="R138" s="13"/>
      <c r="S138" s="13"/>
      <c r="T138" s="13"/>
      <c r="U138" s="13"/>
      <c r="V138" s="13"/>
      <c r="W138" s="13">
        <v>43.64</v>
      </c>
      <c r="X138" s="13">
        <v>1</v>
      </c>
      <c r="Y138" s="13">
        <v>43.64</v>
      </c>
      <c r="Z138" s="13">
        <v>2459.17</v>
      </c>
      <c r="AA138" s="13">
        <v>1</v>
      </c>
      <c r="AB138" s="13">
        <v>2459.17</v>
      </c>
    </row>
    <row r="139" spans="1:206" ht="13" x14ac:dyDescent="0.3">
      <c r="A139" s="13">
        <v>50</v>
      </c>
      <c r="B139" s="13">
        <v>0</v>
      </c>
      <c r="C139" s="13">
        <v>0</v>
      </c>
      <c r="D139" s="13">
        <v>1</v>
      </c>
      <c r="E139" s="13">
        <v>211</v>
      </c>
      <c r="F139" s="13">
        <f>ROUND(Source!Y112,O139)</f>
        <v>22.31</v>
      </c>
      <c r="G139" s="13" t="s">
        <v>167</v>
      </c>
      <c r="H139" s="13" t="s">
        <v>168</v>
      </c>
      <c r="I139" s="13"/>
      <c r="J139" s="13"/>
      <c r="K139" s="13">
        <v>211</v>
      </c>
      <c r="L139" s="13">
        <v>26</v>
      </c>
      <c r="M139" s="13">
        <v>3</v>
      </c>
      <c r="N139" s="13" t="s">
        <v>3</v>
      </c>
      <c r="O139" s="13">
        <v>2</v>
      </c>
      <c r="P139" s="13">
        <f>ROUND(Source!DQ112,O139)</f>
        <v>1256.9100000000001</v>
      </c>
      <c r="Q139" s="13"/>
      <c r="R139" s="13"/>
      <c r="S139" s="13"/>
      <c r="T139" s="13"/>
      <c r="U139" s="13"/>
      <c r="V139" s="13"/>
      <c r="W139" s="13">
        <v>22.31</v>
      </c>
      <c r="X139" s="13">
        <v>1</v>
      </c>
      <c r="Y139" s="13">
        <v>22.31</v>
      </c>
      <c r="Z139" s="13">
        <v>1256.9100000000001</v>
      </c>
      <c r="AA139" s="13">
        <v>1</v>
      </c>
      <c r="AB139" s="13">
        <v>1256.9100000000001</v>
      </c>
    </row>
    <row r="140" spans="1:206" ht="13" x14ac:dyDescent="0.3">
      <c r="A140" s="13">
        <v>50</v>
      </c>
      <c r="B140" s="13">
        <v>0</v>
      </c>
      <c r="C140" s="13">
        <v>0</v>
      </c>
      <c r="D140" s="13">
        <v>1</v>
      </c>
      <c r="E140" s="13">
        <v>224</v>
      </c>
      <c r="F140" s="13">
        <f>ROUND(Source!AR112,O140)</f>
        <v>53007.6</v>
      </c>
      <c r="G140" s="13" t="s">
        <v>169</v>
      </c>
      <c r="H140" s="13" t="s">
        <v>170</v>
      </c>
      <c r="I140" s="13"/>
      <c r="J140" s="13"/>
      <c r="K140" s="13">
        <v>224</v>
      </c>
      <c r="L140" s="13">
        <v>27</v>
      </c>
      <c r="M140" s="13">
        <v>3</v>
      </c>
      <c r="N140" s="13" t="s">
        <v>3</v>
      </c>
      <c r="O140" s="13">
        <v>2</v>
      </c>
      <c r="P140" s="13">
        <f>ROUND(Source!EJ112,O140)</f>
        <v>406919.3</v>
      </c>
      <c r="Q140" s="13"/>
      <c r="R140" s="13"/>
      <c r="S140" s="13"/>
      <c r="T140" s="13"/>
      <c r="U140" s="13"/>
      <c r="V140" s="13"/>
      <c r="W140" s="13">
        <v>53007.6</v>
      </c>
      <c r="X140" s="13">
        <v>1</v>
      </c>
      <c r="Y140" s="13">
        <v>53007.6</v>
      </c>
      <c r="Z140" s="13">
        <v>406919.3</v>
      </c>
      <c r="AA140" s="13">
        <v>1</v>
      </c>
      <c r="AB140" s="13">
        <v>406919.3</v>
      </c>
    </row>
    <row r="142" spans="1:206" ht="13" x14ac:dyDescent="0.3">
      <c r="A142" s="10">
        <v>4</v>
      </c>
      <c r="B142" s="10">
        <v>1</v>
      </c>
      <c r="C142" s="10"/>
      <c r="D142" s="10">
        <f>ROW(A167)</f>
        <v>167</v>
      </c>
      <c r="E142" s="10"/>
      <c r="F142" s="10" t="s">
        <v>21</v>
      </c>
      <c r="G142" s="10" t="s">
        <v>183</v>
      </c>
      <c r="H142" s="10" t="s">
        <v>3</v>
      </c>
      <c r="I142" s="10">
        <v>0</v>
      </c>
      <c r="J142" s="10"/>
      <c r="K142" s="10">
        <v>0</v>
      </c>
      <c r="L142" s="10"/>
      <c r="M142" s="10" t="s">
        <v>3</v>
      </c>
      <c r="N142" s="10"/>
      <c r="O142" s="10"/>
      <c r="P142" s="10"/>
      <c r="Q142" s="10"/>
      <c r="R142" s="10"/>
      <c r="S142" s="10">
        <v>0</v>
      </c>
      <c r="T142" s="10">
        <v>0</v>
      </c>
      <c r="U142" s="10" t="s">
        <v>3</v>
      </c>
      <c r="V142" s="10">
        <v>2</v>
      </c>
      <c r="W142" s="10"/>
      <c r="X142" s="10"/>
      <c r="Y142" s="10"/>
      <c r="Z142" s="10"/>
      <c r="AA142" s="10"/>
      <c r="AB142" s="10" t="s">
        <v>3</v>
      </c>
      <c r="AC142" s="10" t="s">
        <v>3</v>
      </c>
      <c r="AD142" s="10" t="s">
        <v>3</v>
      </c>
      <c r="AE142" s="10" t="s">
        <v>3</v>
      </c>
      <c r="AF142" s="10" t="s">
        <v>3</v>
      </c>
      <c r="AG142" s="10" t="s">
        <v>3</v>
      </c>
      <c r="AH142" s="10"/>
      <c r="AI142" s="10"/>
      <c r="AJ142" s="10"/>
      <c r="AK142" s="10"/>
      <c r="AL142" s="10"/>
      <c r="AM142" s="10"/>
      <c r="AN142" s="10"/>
      <c r="AO142" s="10"/>
      <c r="AP142" s="10" t="s">
        <v>3</v>
      </c>
      <c r="AQ142" s="10" t="s">
        <v>3</v>
      </c>
      <c r="AR142" s="10" t="s">
        <v>3</v>
      </c>
      <c r="AS142" s="10"/>
      <c r="AT142" s="10"/>
      <c r="AU142" s="10"/>
      <c r="AV142" s="10"/>
      <c r="AW142" s="10"/>
      <c r="AX142" s="10"/>
      <c r="AY142" s="10"/>
      <c r="AZ142" s="10" t="s">
        <v>3</v>
      </c>
      <c r="BA142" s="10"/>
      <c r="BB142" s="10" t="s">
        <v>3</v>
      </c>
      <c r="BC142" s="10" t="s">
        <v>3</v>
      </c>
      <c r="BD142" s="10" t="s">
        <v>3</v>
      </c>
      <c r="BE142" s="10" t="s">
        <v>3</v>
      </c>
      <c r="BF142" s="10" t="s">
        <v>3</v>
      </c>
      <c r="BG142" s="10" t="s">
        <v>3</v>
      </c>
      <c r="BH142" s="10" t="s">
        <v>3</v>
      </c>
      <c r="BI142" s="10" t="s">
        <v>3</v>
      </c>
      <c r="BJ142" s="10" t="s">
        <v>3</v>
      </c>
      <c r="BK142" s="10" t="s">
        <v>3</v>
      </c>
      <c r="BL142" s="10" t="s">
        <v>3</v>
      </c>
      <c r="BM142" s="10" t="s">
        <v>3</v>
      </c>
      <c r="BN142" s="10" t="s">
        <v>3</v>
      </c>
      <c r="BO142" s="10" t="s">
        <v>3</v>
      </c>
      <c r="BP142" s="10" t="s">
        <v>3</v>
      </c>
      <c r="BQ142" s="10"/>
      <c r="BR142" s="10"/>
      <c r="BS142" s="10"/>
      <c r="BT142" s="10"/>
      <c r="BU142" s="10"/>
      <c r="BV142" s="10"/>
      <c r="BW142" s="10"/>
      <c r="BX142" s="10">
        <v>0</v>
      </c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>
        <v>0</v>
      </c>
    </row>
    <row r="144" spans="1:206" ht="13" x14ac:dyDescent="0.3">
      <c r="A144" s="11">
        <v>52</v>
      </c>
      <c r="B144" s="11">
        <f t="shared" ref="B144:G144" si="88">B167</f>
        <v>1</v>
      </c>
      <c r="C144" s="11">
        <f t="shared" si="88"/>
        <v>4</v>
      </c>
      <c r="D144" s="11">
        <f t="shared" si="88"/>
        <v>142</v>
      </c>
      <c r="E144" s="11">
        <f t="shared" si="88"/>
        <v>0</v>
      </c>
      <c r="F144" s="11" t="str">
        <f t="shared" si="88"/>
        <v>Новый раздел</v>
      </c>
      <c r="G144" s="11" t="str">
        <f t="shared" si="88"/>
        <v>Базовое оборудование СПС.</v>
      </c>
      <c r="H144" s="11"/>
      <c r="I144" s="11"/>
      <c r="J144" s="11"/>
      <c r="K144" s="11"/>
      <c r="L144" s="11"/>
      <c r="M144" s="11"/>
      <c r="N144" s="11"/>
      <c r="O144" s="11">
        <f t="shared" ref="O144:AT144" si="89">O167</f>
        <v>21690.01</v>
      </c>
      <c r="P144" s="11">
        <f t="shared" si="89"/>
        <v>21194.23</v>
      </c>
      <c r="Q144" s="11">
        <f t="shared" si="89"/>
        <v>0.33</v>
      </c>
      <c r="R144" s="11">
        <f t="shared" si="89"/>
        <v>0.04</v>
      </c>
      <c r="S144" s="11">
        <f t="shared" si="89"/>
        <v>495.45</v>
      </c>
      <c r="T144" s="11">
        <f t="shared" si="89"/>
        <v>0</v>
      </c>
      <c r="U144" s="11">
        <f t="shared" si="89"/>
        <v>37.302515999999997</v>
      </c>
      <c r="V144" s="11">
        <f t="shared" si="89"/>
        <v>0</v>
      </c>
      <c r="W144" s="11">
        <f t="shared" si="89"/>
        <v>0</v>
      </c>
      <c r="X144" s="11">
        <f t="shared" si="89"/>
        <v>445.94</v>
      </c>
      <c r="Y144" s="11">
        <f t="shared" si="89"/>
        <v>227.92</v>
      </c>
      <c r="Z144" s="11">
        <f t="shared" si="89"/>
        <v>0</v>
      </c>
      <c r="AA144" s="11">
        <f t="shared" si="89"/>
        <v>0</v>
      </c>
      <c r="AB144" s="11">
        <f t="shared" si="89"/>
        <v>21690.01</v>
      </c>
      <c r="AC144" s="11">
        <f t="shared" si="89"/>
        <v>21194.23</v>
      </c>
      <c r="AD144" s="11">
        <f t="shared" si="89"/>
        <v>0.33</v>
      </c>
      <c r="AE144" s="11">
        <f t="shared" si="89"/>
        <v>0.04</v>
      </c>
      <c r="AF144" s="11">
        <f t="shared" si="89"/>
        <v>495.45</v>
      </c>
      <c r="AG144" s="11">
        <f t="shared" si="89"/>
        <v>0</v>
      </c>
      <c r="AH144" s="11">
        <f t="shared" si="89"/>
        <v>37.302515999999997</v>
      </c>
      <c r="AI144" s="11">
        <f t="shared" si="89"/>
        <v>0</v>
      </c>
      <c r="AJ144" s="11">
        <f t="shared" si="89"/>
        <v>0</v>
      </c>
      <c r="AK144" s="11">
        <f t="shared" si="89"/>
        <v>445.94</v>
      </c>
      <c r="AL144" s="11">
        <f t="shared" si="89"/>
        <v>227.92</v>
      </c>
      <c r="AM144" s="11">
        <f t="shared" si="89"/>
        <v>0</v>
      </c>
      <c r="AN144" s="11">
        <f t="shared" si="89"/>
        <v>0</v>
      </c>
      <c r="AO144" s="11">
        <f t="shared" si="89"/>
        <v>0</v>
      </c>
      <c r="AP144" s="11">
        <f t="shared" si="89"/>
        <v>21144.94</v>
      </c>
      <c r="AQ144" s="11">
        <f t="shared" si="89"/>
        <v>0</v>
      </c>
      <c r="AR144" s="11">
        <f t="shared" si="89"/>
        <v>22363.87</v>
      </c>
      <c r="AS144" s="11">
        <f t="shared" si="89"/>
        <v>0</v>
      </c>
      <c r="AT144" s="11">
        <f t="shared" si="89"/>
        <v>1218.93</v>
      </c>
      <c r="AU144" s="11">
        <f t="shared" ref="AU144:BZ144" si="90">AU167</f>
        <v>0</v>
      </c>
      <c r="AV144" s="11">
        <f t="shared" si="90"/>
        <v>21194.23</v>
      </c>
      <c r="AW144" s="11">
        <f t="shared" si="90"/>
        <v>49.29</v>
      </c>
      <c r="AX144" s="11">
        <f t="shared" si="90"/>
        <v>0</v>
      </c>
      <c r="AY144" s="11">
        <f t="shared" si="90"/>
        <v>49.29</v>
      </c>
      <c r="AZ144" s="11">
        <f t="shared" si="90"/>
        <v>21144.94</v>
      </c>
      <c r="BA144" s="11">
        <f t="shared" si="90"/>
        <v>0</v>
      </c>
      <c r="BB144" s="11">
        <f t="shared" si="90"/>
        <v>0</v>
      </c>
      <c r="BC144" s="11">
        <f t="shared" si="90"/>
        <v>0</v>
      </c>
      <c r="BD144" s="11">
        <f t="shared" si="90"/>
        <v>0</v>
      </c>
      <c r="BE144" s="11">
        <f t="shared" si="90"/>
        <v>0</v>
      </c>
      <c r="BF144" s="11">
        <f t="shared" si="90"/>
        <v>0</v>
      </c>
      <c r="BG144" s="11">
        <f t="shared" si="90"/>
        <v>0</v>
      </c>
      <c r="BH144" s="11">
        <f t="shared" si="90"/>
        <v>0</v>
      </c>
      <c r="BI144" s="11">
        <f t="shared" si="90"/>
        <v>0</v>
      </c>
      <c r="BJ144" s="11">
        <f t="shared" si="90"/>
        <v>0</v>
      </c>
      <c r="BK144" s="11">
        <f t="shared" si="90"/>
        <v>0</v>
      </c>
      <c r="BL144" s="11">
        <f t="shared" si="90"/>
        <v>0</v>
      </c>
      <c r="BM144" s="11">
        <f t="shared" si="90"/>
        <v>0</v>
      </c>
      <c r="BN144" s="11">
        <f t="shared" si="90"/>
        <v>0</v>
      </c>
      <c r="BO144" s="11">
        <f t="shared" si="90"/>
        <v>0</v>
      </c>
      <c r="BP144" s="11">
        <f t="shared" si="90"/>
        <v>0</v>
      </c>
      <c r="BQ144" s="11">
        <f t="shared" si="90"/>
        <v>0</v>
      </c>
      <c r="BR144" s="11">
        <f t="shared" si="90"/>
        <v>0</v>
      </c>
      <c r="BS144" s="11">
        <f t="shared" si="90"/>
        <v>0</v>
      </c>
      <c r="BT144" s="11">
        <f t="shared" si="90"/>
        <v>0</v>
      </c>
      <c r="BU144" s="11">
        <f t="shared" si="90"/>
        <v>0</v>
      </c>
      <c r="BV144" s="11">
        <f t="shared" si="90"/>
        <v>0</v>
      </c>
      <c r="BW144" s="11">
        <f t="shared" si="90"/>
        <v>0</v>
      </c>
      <c r="BX144" s="11">
        <f t="shared" si="90"/>
        <v>0</v>
      </c>
      <c r="BY144" s="11">
        <f t="shared" si="90"/>
        <v>21144.94</v>
      </c>
      <c r="BZ144" s="11">
        <f t="shared" si="90"/>
        <v>0</v>
      </c>
      <c r="CA144" s="11">
        <f t="shared" ref="CA144:DF144" si="91">CA167</f>
        <v>22363.87</v>
      </c>
      <c r="CB144" s="11">
        <f t="shared" si="91"/>
        <v>0</v>
      </c>
      <c r="CC144" s="11">
        <f t="shared" si="91"/>
        <v>1218.93</v>
      </c>
      <c r="CD144" s="11">
        <f t="shared" si="91"/>
        <v>0</v>
      </c>
      <c r="CE144" s="11">
        <f t="shared" si="91"/>
        <v>21194.23</v>
      </c>
      <c r="CF144" s="11">
        <f t="shared" si="91"/>
        <v>49.290000000000873</v>
      </c>
      <c r="CG144" s="11">
        <f t="shared" si="91"/>
        <v>0</v>
      </c>
      <c r="CH144" s="11">
        <f t="shared" si="91"/>
        <v>49.290000000000873</v>
      </c>
      <c r="CI144" s="11">
        <f t="shared" si="91"/>
        <v>21144.94</v>
      </c>
      <c r="CJ144" s="11">
        <f t="shared" si="91"/>
        <v>0</v>
      </c>
      <c r="CK144" s="11">
        <f t="shared" si="91"/>
        <v>0</v>
      </c>
      <c r="CL144" s="11">
        <f t="shared" si="91"/>
        <v>0</v>
      </c>
      <c r="CM144" s="11">
        <f t="shared" si="91"/>
        <v>0</v>
      </c>
      <c r="CN144" s="11">
        <f t="shared" si="91"/>
        <v>0</v>
      </c>
      <c r="CO144" s="11">
        <f t="shared" si="91"/>
        <v>0</v>
      </c>
      <c r="CP144" s="11">
        <f t="shared" si="91"/>
        <v>0</v>
      </c>
      <c r="CQ144" s="11">
        <f t="shared" si="91"/>
        <v>0</v>
      </c>
      <c r="CR144" s="11">
        <f t="shared" si="91"/>
        <v>0</v>
      </c>
      <c r="CS144" s="11">
        <f t="shared" si="91"/>
        <v>0</v>
      </c>
      <c r="CT144" s="11">
        <f t="shared" si="91"/>
        <v>0</v>
      </c>
      <c r="CU144" s="11">
        <f t="shared" si="91"/>
        <v>0</v>
      </c>
      <c r="CV144" s="11">
        <f t="shared" si="91"/>
        <v>0</v>
      </c>
      <c r="CW144" s="11">
        <f t="shared" si="91"/>
        <v>0</v>
      </c>
      <c r="CX144" s="11">
        <f t="shared" si="91"/>
        <v>0</v>
      </c>
      <c r="CY144" s="11">
        <f t="shared" si="91"/>
        <v>0</v>
      </c>
      <c r="CZ144" s="11">
        <f t="shared" si="91"/>
        <v>0</v>
      </c>
      <c r="DA144" s="11">
        <f t="shared" si="91"/>
        <v>0</v>
      </c>
      <c r="DB144" s="11">
        <f t="shared" si="91"/>
        <v>0</v>
      </c>
      <c r="DC144" s="11">
        <f t="shared" si="91"/>
        <v>0</v>
      </c>
      <c r="DD144" s="11">
        <f t="shared" si="91"/>
        <v>0</v>
      </c>
      <c r="DE144" s="11">
        <f t="shared" si="91"/>
        <v>0</v>
      </c>
      <c r="DF144" s="11">
        <f t="shared" si="91"/>
        <v>0</v>
      </c>
      <c r="DG144" s="12">
        <f t="shared" ref="DG144:EL144" si="92">DG167</f>
        <v>188480.87</v>
      </c>
      <c r="DH144" s="12">
        <f t="shared" si="92"/>
        <v>160556.9</v>
      </c>
      <c r="DI144" s="12">
        <f t="shared" si="92"/>
        <v>5.36</v>
      </c>
      <c r="DJ144" s="12">
        <f t="shared" si="92"/>
        <v>2.25</v>
      </c>
      <c r="DK144" s="12">
        <f t="shared" si="92"/>
        <v>27918.61</v>
      </c>
      <c r="DL144" s="12">
        <f t="shared" si="92"/>
        <v>0</v>
      </c>
      <c r="DM144" s="12">
        <f t="shared" si="92"/>
        <v>37.302515999999997</v>
      </c>
      <c r="DN144" s="12">
        <f t="shared" si="92"/>
        <v>0</v>
      </c>
      <c r="DO144" s="12">
        <f t="shared" si="92"/>
        <v>0</v>
      </c>
      <c r="DP144" s="12">
        <f t="shared" si="92"/>
        <v>25128.78</v>
      </c>
      <c r="DQ144" s="12">
        <f t="shared" si="92"/>
        <v>12843.6</v>
      </c>
      <c r="DR144" s="12">
        <f t="shared" si="92"/>
        <v>0</v>
      </c>
      <c r="DS144" s="12">
        <f t="shared" si="92"/>
        <v>0</v>
      </c>
      <c r="DT144" s="12">
        <f t="shared" si="92"/>
        <v>188480.87</v>
      </c>
      <c r="DU144" s="12">
        <f t="shared" si="92"/>
        <v>160556.9</v>
      </c>
      <c r="DV144" s="12">
        <f t="shared" si="92"/>
        <v>5.36</v>
      </c>
      <c r="DW144" s="12">
        <f t="shared" si="92"/>
        <v>2.25</v>
      </c>
      <c r="DX144" s="12">
        <f t="shared" si="92"/>
        <v>27918.61</v>
      </c>
      <c r="DY144" s="12">
        <f t="shared" si="92"/>
        <v>0</v>
      </c>
      <c r="DZ144" s="12">
        <f t="shared" si="92"/>
        <v>37.302515999999997</v>
      </c>
      <c r="EA144" s="12">
        <f t="shared" si="92"/>
        <v>0</v>
      </c>
      <c r="EB144" s="12">
        <f t="shared" si="92"/>
        <v>0</v>
      </c>
      <c r="EC144" s="12">
        <f t="shared" si="92"/>
        <v>25128.78</v>
      </c>
      <c r="ED144" s="12">
        <f t="shared" si="92"/>
        <v>12843.6</v>
      </c>
      <c r="EE144" s="12">
        <f t="shared" si="92"/>
        <v>0</v>
      </c>
      <c r="EF144" s="12">
        <f t="shared" si="92"/>
        <v>0</v>
      </c>
      <c r="EG144" s="12">
        <f t="shared" si="92"/>
        <v>0</v>
      </c>
      <c r="EH144" s="12">
        <f t="shared" si="92"/>
        <v>160067.20000000001</v>
      </c>
      <c r="EI144" s="12">
        <f t="shared" si="92"/>
        <v>0</v>
      </c>
      <c r="EJ144" s="12">
        <f t="shared" si="92"/>
        <v>226453.25</v>
      </c>
      <c r="EK144" s="12">
        <f t="shared" si="92"/>
        <v>0</v>
      </c>
      <c r="EL144" s="12">
        <f t="shared" si="92"/>
        <v>66386.05</v>
      </c>
      <c r="EM144" s="12">
        <f t="shared" ref="EM144:FR144" si="93">EM167</f>
        <v>0</v>
      </c>
      <c r="EN144" s="12">
        <f t="shared" si="93"/>
        <v>160556.9</v>
      </c>
      <c r="EO144" s="12">
        <f t="shared" si="93"/>
        <v>489.7</v>
      </c>
      <c r="EP144" s="12">
        <f t="shared" si="93"/>
        <v>0</v>
      </c>
      <c r="EQ144" s="12">
        <f t="shared" si="93"/>
        <v>489.7</v>
      </c>
      <c r="ER144" s="12">
        <f t="shared" si="93"/>
        <v>160067.20000000001</v>
      </c>
      <c r="ES144" s="12">
        <f t="shared" si="93"/>
        <v>0</v>
      </c>
      <c r="ET144" s="12">
        <f t="shared" si="93"/>
        <v>0</v>
      </c>
      <c r="EU144" s="12">
        <f t="shared" si="93"/>
        <v>0</v>
      </c>
      <c r="EV144" s="12">
        <f t="shared" si="93"/>
        <v>0</v>
      </c>
      <c r="EW144" s="12">
        <f t="shared" si="93"/>
        <v>0</v>
      </c>
      <c r="EX144" s="12">
        <f t="shared" si="93"/>
        <v>0</v>
      </c>
      <c r="EY144" s="12">
        <f t="shared" si="93"/>
        <v>0</v>
      </c>
      <c r="EZ144" s="12">
        <f t="shared" si="93"/>
        <v>0</v>
      </c>
      <c r="FA144" s="12">
        <f t="shared" si="93"/>
        <v>0</v>
      </c>
      <c r="FB144" s="12">
        <f t="shared" si="93"/>
        <v>0</v>
      </c>
      <c r="FC144" s="12">
        <f t="shared" si="93"/>
        <v>0</v>
      </c>
      <c r="FD144" s="12">
        <f t="shared" si="93"/>
        <v>0</v>
      </c>
      <c r="FE144" s="12">
        <f t="shared" si="93"/>
        <v>0</v>
      </c>
      <c r="FF144" s="12">
        <f t="shared" si="93"/>
        <v>0</v>
      </c>
      <c r="FG144" s="12">
        <f t="shared" si="93"/>
        <v>0</v>
      </c>
      <c r="FH144" s="12">
        <f t="shared" si="93"/>
        <v>0</v>
      </c>
      <c r="FI144" s="12">
        <f t="shared" si="93"/>
        <v>0</v>
      </c>
      <c r="FJ144" s="12">
        <f t="shared" si="93"/>
        <v>0</v>
      </c>
      <c r="FK144" s="12">
        <f t="shared" si="93"/>
        <v>0</v>
      </c>
      <c r="FL144" s="12">
        <f t="shared" si="93"/>
        <v>0</v>
      </c>
      <c r="FM144" s="12">
        <f t="shared" si="93"/>
        <v>0</v>
      </c>
      <c r="FN144" s="12">
        <f t="shared" si="93"/>
        <v>0</v>
      </c>
      <c r="FO144" s="12">
        <f t="shared" si="93"/>
        <v>0</v>
      </c>
      <c r="FP144" s="12">
        <f t="shared" si="93"/>
        <v>0</v>
      </c>
      <c r="FQ144" s="12">
        <f t="shared" si="93"/>
        <v>160067.20000000001</v>
      </c>
      <c r="FR144" s="12">
        <f t="shared" si="93"/>
        <v>0</v>
      </c>
      <c r="FS144" s="12">
        <f t="shared" ref="FS144:GX144" si="94">FS167</f>
        <v>226453.25</v>
      </c>
      <c r="FT144" s="12">
        <f t="shared" si="94"/>
        <v>0</v>
      </c>
      <c r="FU144" s="12">
        <f t="shared" si="94"/>
        <v>66386.05</v>
      </c>
      <c r="FV144" s="12">
        <f t="shared" si="94"/>
        <v>0</v>
      </c>
      <c r="FW144" s="12">
        <f t="shared" si="94"/>
        <v>160556.9</v>
      </c>
      <c r="FX144" s="12">
        <f t="shared" si="94"/>
        <v>489.69999999998254</v>
      </c>
      <c r="FY144" s="12">
        <f t="shared" si="94"/>
        <v>0</v>
      </c>
      <c r="FZ144" s="12">
        <f t="shared" si="94"/>
        <v>489.69999999998254</v>
      </c>
      <c r="GA144" s="12">
        <f t="shared" si="94"/>
        <v>160067.20000000001</v>
      </c>
      <c r="GB144" s="12">
        <f t="shared" si="94"/>
        <v>0</v>
      </c>
      <c r="GC144" s="12">
        <f t="shared" si="94"/>
        <v>0</v>
      </c>
      <c r="GD144" s="12">
        <f t="shared" si="94"/>
        <v>0</v>
      </c>
      <c r="GE144" s="12">
        <f t="shared" si="94"/>
        <v>0</v>
      </c>
      <c r="GF144" s="12">
        <f t="shared" si="94"/>
        <v>0</v>
      </c>
      <c r="GG144" s="12">
        <f t="shared" si="94"/>
        <v>0</v>
      </c>
      <c r="GH144" s="12">
        <f t="shared" si="94"/>
        <v>0</v>
      </c>
      <c r="GI144" s="12">
        <f t="shared" si="94"/>
        <v>0</v>
      </c>
      <c r="GJ144" s="12">
        <f t="shared" si="94"/>
        <v>0</v>
      </c>
      <c r="GK144" s="12">
        <f t="shared" si="94"/>
        <v>0</v>
      </c>
      <c r="GL144" s="12">
        <f t="shared" si="94"/>
        <v>0</v>
      </c>
      <c r="GM144" s="12">
        <f t="shared" si="94"/>
        <v>0</v>
      </c>
      <c r="GN144" s="12">
        <f t="shared" si="94"/>
        <v>0</v>
      </c>
      <c r="GO144" s="12">
        <f t="shared" si="94"/>
        <v>0</v>
      </c>
      <c r="GP144" s="12">
        <f t="shared" si="94"/>
        <v>0</v>
      </c>
      <c r="GQ144" s="12">
        <f t="shared" si="94"/>
        <v>0</v>
      </c>
      <c r="GR144" s="12">
        <f t="shared" si="94"/>
        <v>0</v>
      </c>
      <c r="GS144" s="12">
        <f t="shared" si="94"/>
        <v>0</v>
      </c>
      <c r="GT144" s="12">
        <f t="shared" si="94"/>
        <v>0</v>
      </c>
      <c r="GU144" s="12">
        <f t="shared" si="94"/>
        <v>0</v>
      </c>
      <c r="GV144" s="12">
        <f t="shared" si="94"/>
        <v>0</v>
      </c>
      <c r="GW144" s="12">
        <f t="shared" si="94"/>
        <v>0</v>
      </c>
      <c r="GX144" s="12">
        <f t="shared" si="94"/>
        <v>0</v>
      </c>
    </row>
    <row r="146" spans="1:255" x14ac:dyDescent="0.25">
      <c r="A146" s="2">
        <v>17</v>
      </c>
      <c r="B146" s="2">
        <v>1</v>
      </c>
      <c r="C146" s="2">
        <f>ROW(SmtRes!A115)</f>
        <v>115</v>
      </c>
      <c r="D146" s="2">
        <f>ROW(EtalonRes!A147)</f>
        <v>147</v>
      </c>
      <c r="E146" s="2" t="s">
        <v>184</v>
      </c>
      <c r="F146" s="2" t="s">
        <v>185</v>
      </c>
      <c r="G146" s="2" t="s">
        <v>186</v>
      </c>
      <c r="H146" s="2" t="s">
        <v>26</v>
      </c>
      <c r="I146" s="2">
        <v>3</v>
      </c>
      <c r="J146" s="2">
        <v>0</v>
      </c>
      <c r="K146" s="2">
        <v>3</v>
      </c>
      <c r="L146" s="2"/>
      <c r="M146" s="2"/>
      <c r="N146" s="2"/>
      <c r="O146" s="2">
        <f t="shared" ref="O146:O165" si="95">ROUND(CP146,2)</f>
        <v>396.04</v>
      </c>
      <c r="P146" s="2">
        <f t="shared" ref="P146:P151" si="96">ROUND((ROUND((AC146*AW146*I146),2)*BC146),2)</f>
        <v>37.590000000000003</v>
      </c>
      <c r="Q146" s="2">
        <f>(ROUND((ROUND((((ET146*1.2))*AV146*I146),2)*BB146),2)+ROUND((ROUND(((AE146-((EU146*1.2)))*AV146*I146),2)*BS146),2))</f>
        <v>0.23</v>
      </c>
      <c r="R146" s="2">
        <f>(ROUND((ROUND((((EU146*1.2))*AV146*I146),2)*BS146),2)+ROUND((ROUND(((AE146-((EU146*1.2)))*AV146*I146),2)*BS146),2))</f>
        <v>0.04</v>
      </c>
      <c r="S146" s="2">
        <f t="shared" ref="S146:S165" si="97">ROUND((ROUND((AF146*AV146*I146),2)*BA146),2)</f>
        <v>358.22</v>
      </c>
      <c r="T146" s="2">
        <f t="shared" ref="T146:T165" si="98">ROUND(CU146*I146,2)</f>
        <v>0</v>
      </c>
      <c r="U146" s="2">
        <f t="shared" ref="U146:U165" si="99">CV146*I146</f>
        <v>27.13824</v>
      </c>
      <c r="V146" s="2">
        <f t="shared" ref="V146:V165" si="100">CW146*I146</f>
        <v>0</v>
      </c>
      <c r="W146" s="2">
        <f t="shared" ref="W146:W165" si="101">ROUND(CX146*I146,2)</f>
        <v>0</v>
      </c>
      <c r="X146" s="2">
        <f>(ROUND((((S146+ROUND((ROUND((((EU146*1.2))*AV146*I146),2)*BS146),2))*AT146)/100),2)+ROUND(((ROUND((ROUND(((AE146-((EU146*1.2)))*AV146*I146),2)*BS146),2)*AT146)/100),2))</f>
        <v>322.43</v>
      </c>
      <c r="Y146" s="2">
        <f>(ROUND((((S146+ROUND((ROUND((((EU146*1.2))*AV146*I146),2)*BS146),2))*AU146)/100),2)+ROUND(((ROUND((ROUND(((AE146-((EU146*1.2)))*AV146*I146),2)*BS146),2)*AU146)/100),2))</f>
        <v>164.8</v>
      </c>
      <c r="Z146" s="2"/>
      <c r="AA146" s="2">
        <v>57034452</v>
      </c>
      <c r="AB146" s="2">
        <f t="shared" ref="AB146:AB165" si="102">ROUND((AC146+AD146+AF146),6)</f>
        <v>126.65</v>
      </c>
      <c r="AC146" s="2">
        <f>ROUND(((ES146*1)),6)</f>
        <v>12.53</v>
      </c>
      <c r="AD146" s="2">
        <f>ROUND(((((ET146*1.2))-((EU146*1.2)))+AE146),6)</f>
        <v>7.1999999999999995E-2</v>
      </c>
      <c r="AE146" s="2">
        <f>ROUND(((EU146*1.2)),6)</f>
        <v>1.2E-2</v>
      </c>
      <c r="AF146" s="2">
        <f>ROUND(((EV146*1.2)),6)</f>
        <v>114.048</v>
      </c>
      <c r="AG146" s="2">
        <f t="shared" ref="AG146:AG165" si="103">ROUND((AP146),6)</f>
        <v>0</v>
      </c>
      <c r="AH146" s="2">
        <f>((EW146*1.2))</f>
        <v>8.64</v>
      </c>
      <c r="AI146" s="2">
        <f>((EX146*1.2))</f>
        <v>0</v>
      </c>
      <c r="AJ146" s="2">
        <f t="shared" ref="AJ146:AJ165" si="104">(AS146)</f>
        <v>0</v>
      </c>
      <c r="AK146" s="2">
        <v>107.63</v>
      </c>
      <c r="AL146" s="2">
        <v>12.53</v>
      </c>
      <c r="AM146" s="2">
        <v>0.06</v>
      </c>
      <c r="AN146" s="2">
        <v>0.01</v>
      </c>
      <c r="AO146" s="2">
        <v>95.04</v>
      </c>
      <c r="AP146" s="2">
        <v>0</v>
      </c>
      <c r="AQ146" s="2">
        <v>7.2</v>
      </c>
      <c r="AR146" s="2">
        <v>0</v>
      </c>
      <c r="AS146" s="2">
        <v>0</v>
      </c>
      <c r="AT146" s="2">
        <v>90</v>
      </c>
      <c r="AU146" s="2">
        <v>46</v>
      </c>
      <c r="AV146" s="2">
        <v>1.0469999999999999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0</v>
      </c>
      <c r="BI146" s="2">
        <v>2</v>
      </c>
      <c r="BJ146" s="2" t="s">
        <v>187</v>
      </c>
      <c r="BK146" s="2"/>
      <c r="BL146" s="2"/>
      <c r="BM146" s="2">
        <v>68</v>
      </c>
      <c r="BN146" s="2">
        <v>0</v>
      </c>
      <c r="BO146" s="2" t="s">
        <v>185</v>
      </c>
      <c r="BP146" s="2">
        <v>1</v>
      </c>
      <c r="BQ146" s="2">
        <v>40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90</v>
      </c>
      <c r="CA146" s="2">
        <v>46</v>
      </c>
      <c r="CB146" s="2" t="s">
        <v>3</v>
      </c>
      <c r="CC146" s="2"/>
      <c r="CD146" s="2"/>
      <c r="CE146" s="2">
        <v>1566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2" t="s">
        <v>614</v>
      </c>
      <c r="CO146" s="2">
        <v>0</v>
      </c>
      <c r="CP146" s="2">
        <f t="shared" ref="CP146:CP165" si="105">(P146+Q146+S146)</f>
        <v>396.04</v>
      </c>
      <c r="CQ146" s="2">
        <f t="shared" ref="CQ146:CQ151" si="106">ROUND((ROUND((AC146*AW146*1),2)*BC146),2)</f>
        <v>12.53</v>
      </c>
      <c r="CR146" s="2">
        <f>(ROUND((ROUND((((ET146*1.2))*AV146*1),2)*BB146),2)+ROUND((ROUND(((AE146-((EU146*1.2)))*AV146*1),2)*BS146),2))</f>
        <v>0.08</v>
      </c>
      <c r="CS146" s="2">
        <f>(ROUND((ROUND((((EU146*1.2))*AV146*1),2)*BS146),2)+ROUND((ROUND(((AE146-((EU146*1.2)))*AV146*1),2)*BS146),2))</f>
        <v>0.01</v>
      </c>
      <c r="CT146" s="2">
        <f t="shared" ref="CT146:CT165" si="107">ROUND((ROUND((AF146*AV146*1),2)*BA146),2)</f>
        <v>119.41</v>
      </c>
      <c r="CU146" s="2">
        <f t="shared" ref="CU146:CU165" si="108">AG146</f>
        <v>0</v>
      </c>
      <c r="CV146" s="2">
        <f t="shared" ref="CV146:CV165" si="109">(AH146*AV146)</f>
        <v>9.0460799999999999</v>
      </c>
      <c r="CW146" s="2">
        <f t="shared" ref="CW146:CW165" si="110">AI146</f>
        <v>0</v>
      </c>
      <c r="CX146" s="2">
        <f t="shared" ref="CX146:CX165" si="111">AJ146</f>
        <v>0</v>
      </c>
      <c r="CY146" s="2">
        <f>(ROUND((((S146+ROUND((ROUND((((EU146*1.2))*AV146*1),2)*BS146),2))*AT146)/100),2)+ROUND(((ROUND((ROUND(((AE146-((EU146*1.2)))*AV146*1),2)*BS146),2)*AT146)/100),2))</f>
        <v>322.41000000000003</v>
      </c>
      <c r="CZ146" s="2">
        <f>(ROUND((((S146+ROUND((ROUND((((EU146*1.2))*AV146*1),2)*BS146),2))*AU146)/100),2)+ROUND(((ROUND((ROUND(((AE146-((EU146*1.2)))*AV146*1),2)*BS146),2)*AU146)/100),2))</f>
        <v>164.79</v>
      </c>
      <c r="DA146" s="2"/>
      <c r="DB146" s="2">
        <v>85</v>
      </c>
      <c r="DC146" s="2" t="s">
        <v>3</v>
      </c>
      <c r="DD146" s="2" t="s">
        <v>104</v>
      </c>
      <c r="DE146" s="2" t="s">
        <v>105</v>
      </c>
      <c r="DF146" s="2" t="s">
        <v>105</v>
      </c>
      <c r="DG146" s="2" t="s">
        <v>105</v>
      </c>
      <c r="DH146" s="2" t="s">
        <v>3</v>
      </c>
      <c r="DI146" s="2" t="s">
        <v>105</v>
      </c>
      <c r="DJ146" s="2" t="s">
        <v>105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1013</v>
      </c>
      <c r="DV146" s="2" t="s">
        <v>26</v>
      </c>
      <c r="DW146" s="2" t="s">
        <v>26</v>
      </c>
      <c r="DX146" s="2">
        <v>1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57042958</v>
      </c>
      <c r="EF146" s="2">
        <v>40</v>
      </c>
      <c r="EG146" s="2" t="s">
        <v>30</v>
      </c>
      <c r="EH146" s="2">
        <v>0</v>
      </c>
      <c r="EI146" s="2" t="s">
        <v>3</v>
      </c>
      <c r="EJ146" s="2">
        <v>2</v>
      </c>
      <c r="EK146" s="2">
        <v>68</v>
      </c>
      <c r="EL146" s="2" t="s">
        <v>38</v>
      </c>
      <c r="EM146" s="2" t="s">
        <v>39</v>
      </c>
      <c r="EN146" s="2"/>
      <c r="EO146" s="2" t="s">
        <v>109</v>
      </c>
      <c r="EP146" s="2"/>
      <c r="EQ146" s="2">
        <v>0</v>
      </c>
      <c r="ER146" s="2">
        <v>107.63</v>
      </c>
      <c r="ES146" s="2">
        <v>12.53</v>
      </c>
      <c r="ET146" s="2">
        <v>0.06</v>
      </c>
      <c r="EU146" s="2">
        <v>0.01</v>
      </c>
      <c r="EV146" s="2">
        <v>95.04</v>
      </c>
      <c r="EW146" s="2">
        <v>7.2</v>
      </c>
      <c r="EX146" s="2">
        <v>0</v>
      </c>
      <c r="EY146" s="2">
        <v>0</v>
      </c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v>0</v>
      </c>
      <c r="FS146" s="2">
        <v>0</v>
      </c>
      <c r="FT146" s="2"/>
      <c r="FU146" s="2"/>
      <c r="FV146" s="2"/>
      <c r="FW146" s="2"/>
      <c r="FX146" s="2">
        <v>90</v>
      </c>
      <c r="FY146" s="2">
        <v>46</v>
      </c>
      <c r="FZ146" s="2"/>
      <c r="GA146" s="2" t="s">
        <v>3</v>
      </c>
      <c r="GB146" s="2"/>
      <c r="GC146" s="2"/>
      <c r="GD146" s="2">
        <v>1</v>
      </c>
      <c r="GE146" s="2"/>
      <c r="GF146" s="2">
        <v>-488197810</v>
      </c>
      <c r="GG146" s="2">
        <v>2</v>
      </c>
      <c r="GH146" s="2">
        <v>1</v>
      </c>
      <c r="GI146" s="2">
        <v>2</v>
      </c>
      <c r="GJ146" s="2">
        <v>0</v>
      </c>
      <c r="GK146" s="2">
        <v>0</v>
      </c>
      <c r="GL146" s="2">
        <f t="shared" ref="GL146:GL165" si="112">ROUND(IF(AND(BH146=3,BI146=3,FS146&lt;&gt;0),P146,0),2)</f>
        <v>0</v>
      </c>
      <c r="GM146" s="2">
        <f t="shared" ref="GM146:GM165" si="113">ROUND(O146+X146+Y146,2)+GX146</f>
        <v>883.27</v>
      </c>
      <c r="GN146" s="2">
        <f t="shared" ref="GN146:GN165" si="114">IF(OR(BI146=0,BI146=1),GM146-GX146,0)</f>
        <v>0</v>
      </c>
      <c r="GO146" s="2">
        <f t="shared" ref="GO146:GO165" si="115">IF(BI146=2,GM146-GX146,0)</f>
        <v>883.27</v>
      </c>
      <c r="GP146" s="2">
        <f t="shared" ref="GP146:GP165" si="116">IF(BI146=4,GM146-GX146,0)</f>
        <v>0</v>
      </c>
      <c r="GQ146" s="2"/>
      <c r="GR146" s="2">
        <v>0</v>
      </c>
      <c r="GS146" s="2">
        <v>3</v>
      </c>
      <c r="GT146" s="2">
        <v>0</v>
      </c>
      <c r="GU146" s="2" t="s">
        <v>3</v>
      </c>
      <c r="GV146" s="2">
        <f t="shared" ref="GV146:GV165" si="117">ROUND((GT146),6)</f>
        <v>0</v>
      </c>
      <c r="GW146" s="2">
        <v>1</v>
      </c>
      <c r="GX146" s="2">
        <f t="shared" ref="GX146:GX165" si="118">ROUND(HC146*I146,2)</f>
        <v>0</v>
      </c>
      <c r="GY146" s="2"/>
      <c r="GZ146" s="2"/>
      <c r="HA146" s="2">
        <v>0</v>
      </c>
      <c r="HB146" s="2">
        <v>0</v>
      </c>
      <c r="HC146" s="2">
        <f t="shared" ref="HC146:HC165" si="119">GV146*GW146</f>
        <v>0</v>
      </c>
      <c r="HD146" s="2"/>
      <c r="HE146" s="2" t="s">
        <v>3</v>
      </c>
      <c r="HF146" s="2" t="s">
        <v>3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x14ac:dyDescent="0.25">
      <c r="A147" s="3">
        <v>17</v>
      </c>
      <c r="B147" s="3">
        <v>1</v>
      </c>
      <c r="C147" s="3">
        <f>ROW(SmtRes!A116)</f>
        <v>116</v>
      </c>
      <c r="D147" s="3">
        <f>ROW(EtalonRes!A148)</f>
        <v>148</v>
      </c>
      <c r="E147" s="3" t="s">
        <v>184</v>
      </c>
      <c r="F147" s="3" t="s">
        <v>185</v>
      </c>
      <c r="G147" s="3" t="s">
        <v>186</v>
      </c>
      <c r="H147" s="3" t="s">
        <v>26</v>
      </c>
      <c r="I147" s="3">
        <v>3</v>
      </c>
      <c r="J147" s="3">
        <v>0</v>
      </c>
      <c r="K147" s="3">
        <v>3</v>
      </c>
      <c r="O147" s="3">
        <f t="shared" si="95"/>
        <v>20559.849999999999</v>
      </c>
      <c r="P147" s="3">
        <f t="shared" si="96"/>
        <v>369.89</v>
      </c>
      <c r="Q147" s="3">
        <f>(ROUND((ROUND((((ET147*1.2))*AV147*I147),2)*BB147),2)+ROUND((ROUND(((AE147-((EU147*1.2)))*AV147*I147),2)*BS147),2))</f>
        <v>4.26</v>
      </c>
      <c r="R147" s="3">
        <f>(ROUND((ROUND((((EU147*1.2))*AV147*I147),2)*BS147),2)+ROUND((ROUND(((AE147-((EU147*1.2)))*AV147*I147),2)*BS147),2))</f>
        <v>2.25</v>
      </c>
      <c r="S147" s="3">
        <f t="shared" si="97"/>
        <v>20185.7</v>
      </c>
      <c r="T147" s="3">
        <f t="shared" si="98"/>
        <v>0</v>
      </c>
      <c r="U147" s="3">
        <f t="shared" si="99"/>
        <v>27.13824</v>
      </c>
      <c r="V147" s="3">
        <f t="shared" si="100"/>
        <v>0</v>
      </c>
      <c r="W147" s="3">
        <f t="shared" si="101"/>
        <v>0</v>
      </c>
      <c r="X147" s="3">
        <f>(ROUND((((S147+ROUND((ROUND((((EU147*1.2))*AV147*I147),2)*BS147),2))*AT147)/100),2)+ROUND(((ROUND((ROUND(((AE147-((EU147*1.2)))*AV147*I147),2)*BS147),2)*AT147)/100),2))</f>
        <v>18169.16</v>
      </c>
      <c r="Y147" s="3">
        <f>(ROUND((((S147+ROUND((ROUND((((EU147*1.2))*AV147*I147),2)*BS147),2))*AU147)/100),2)+ROUND(((ROUND((ROUND(((AE147-((EU147*1.2)))*AV147*I147),2)*BS147),2)*AU147)/100),2))</f>
        <v>9286.4599999999991</v>
      </c>
      <c r="AA147" s="3">
        <v>57034454</v>
      </c>
      <c r="AB147" s="3">
        <f t="shared" si="102"/>
        <v>126.65</v>
      </c>
      <c r="AC147" s="3">
        <f>ROUND(((ES147*1)),6)</f>
        <v>12.53</v>
      </c>
      <c r="AD147" s="3">
        <f>ROUND(((((ET147*1.2))-((EU147*1.2)))+AE147),6)</f>
        <v>7.1999999999999995E-2</v>
      </c>
      <c r="AE147" s="3">
        <f>ROUND(((EU147*1.2)),6)</f>
        <v>1.2E-2</v>
      </c>
      <c r="AF147" s="3">
        <f>ROUND(((EV147*1.2)),6)</f>
        <v>114.048</v>
      </c>
      <c r="AG147" s="3">
        <f t="shared" si="103"/>
        <v>0</v>
      </c>
      <c r="AH147" s="3">
        <f>((EW147*1.2))</f>
        <v>8.64</v>
      </c>
      <c r="AI147" s="3">
        <f>((EX147*1.2))</f>
        <v>0</v>
      </c>
      <c r="AJ147" s="3">
        <f t="shared" si="104"/>
        <v>0</v>
      </c>
      <c r="AK147" s="3">
        <v>107.63</v>
      </c>
      <c r="AL147" s="3">
        <v>12.53</v>
      </c>
      <c r="AM147" s="3">
        <v>0.06</v>
      </c>
      <c r="AN147" s="3">
        <v>0.01</v>
      </c>
      <c r="AO147" s="3">
        <v>95.04</v>
      </c>
      <c r="AP147" s="3">
        <v>0</v>
      </c>
      <c r="AQ147" s="3">
        <v>7.2</v>
      </c>
      <c r="AR147" s="3">
        <v>0</v>
      </c>
      <c r="AS147" s="3">
        <v>0</v>
      </c>
      <c r="AT147" s="3">
        <v>90</v>
      </c>
      <c r="AU147" s="3">
        <v>46</v>
      </c>
      <c r="AV147" s="3">
        <v>1.0469999999999999</v>
      </c>
      <c r="AW147" s="3">
        <v>1</v>
      </c>
      <c r="AZ147" s="3">
        <v>1</v>
      </c>
      <c r="BA147" s="3">
        <v>56.35</v>
      </c>
      <c r="BB147" s="3">
        <v>18.5</v>
      </c>
      <c r="BC147" s="3">
        <v>9.84</v>
      </c>
      <c r="BD147" s="3" t="s">
        <v>3</v>
      </c>
      <c r="BE147" s="3" t="s">
        <v>3</v>
      </c>
      <c r="BF147" s="3" t="s">
        <v>3</v>
      </c>
      <c r="BG147" s="3" t="s">
        <v>3</v>
      </c>
      <c r="BH147" s="3">
        <v>0</v>
      </c>
      <c r="BI147" s="3">
        <v>2</v>
      </c>
      <c r="BJ147" s="3" t="s">
        <v>187</v>
      </c>
      <c r="BM147" s="3">
        <v>68</v>
      </c>
      <c r="BN147" s="3">
        <v>0</v>
      </c>
      <c r="BO147" s="3" t="s">
        <v>185</v>
      </c>
      <c r="BP147" s="3">
        <v>1</v>
      </c>
      <c r="BQ147" s="3">
        <v>40</v>
      </c>
      <c r="BR147" s="3">
        <v>0</v>
      </c>
      <c r="BS147" s="3">
        <v>56.35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 t="s">
        <v>3</v>
      </c>
      <c r="BZ147" s="3">
        <v>90</v>
      </c>
      <c r="CA147" s="3">
        <v>46</v>
      </c>
      <c r="CB147" s="3" t="s">
        <v>3</v>
      </c>
      <c r="CE147" s="3">
        <v>1566</v>
      </c>
      <c r="CF147" s="3">
        <v>0</v>
      </c>
      <c r="CG147" s="3">
        <v>0</v>
      </c>
      <c r="CM147" s="3">
        <v>0</v>
      </c>
      <c r="CN147" s="3" t="s">
        <v>614</v>
      </c>
      <c r="CO147" s="3">
        <v>0</v>
      </c>
      <c r="CP147" s="3">
        <f t="shared" si="105"/>
        <v>20559.850000000002</v>
      </c>
      <c r="CQ147" s="3">
        <f t="shared" si="106"/>
        <v>123.3</v>
      </c>
      <c r="CR147" s="3">
        <f>(ROUND((ROUND((((ET147*1.2))*AV147*1),2)*BB147),2)+ROUND((ROUND(((AE147-((EU147*1.2)))*AV147*1),2)*BS147),2))</f>
        <v>1.48</v>
      </c>
      <c r="CS147" s="3">
        <f>(ROUND((ROUND((((EU147*1.2))*AV147*1),2)*BS147),2)+ROUND((ROUND(((AE147-((EU147*1.2)))*AV147*1),2)*BS147),2))</f>
        <v>0.56000000000000005</v>
      </c>
      <c r="CT147" s="3">
        <f t="shared" si="107"/>
        <v>6728.75</v>
      </c>
      <c r="CU147" s="3">
        <f t="shared" si="108"/>
        <v>0</v>
      </c>
      <c r="CV147" s="3">
        <f t="shared" si="109"/>
        <v>9.0460799999999999</v>
      </c>
      <c r="CW147" s="3">
        <f t="shared" si="110"/>
        <v>0</v>
      </c>
      <c r="CX147" s="3">
        <f t="shared" si="111"/>
        <v>0</v>
      </c>
      <c r="CY147" s="3">
        <f>(ROUND((((S147+ROUND((ROUND((((EU147*1.2))*AV147*1),2)*BS147),2))*AT147)/100),2)+ROUND(((ROUND((ROUND(((AE147-((EU147*1.2)))*AV147*1),2)*BS147),2)*AT147)/100),2))</f>
        <v>18167.63</v>
      </c>
      <c r="CZ147" s="3">
        <f>(ROUND((((S147+ROUND((ROUND((((EU147*1.2))*AV147*1),2)*BS147),2))*AU147)/100),2)+ROUND(((ROUND((ROUND(((AE147-((EU147*1.2)))*AV147*1),2)*BS147),2)*AU147)/100),2))</f>
        <v>9285.68</v>
      </c>
      <c r="DB147" s="3">
        <v>86</v>
      </c>
      <c r="DC147" s="3" t="s">
        <v>3</v>
      </c>
      <c r="DD147" s="3" t="s">
        <v>104</v>
      </c>
      <c r="DE147" s="3" t="s">
        <v>105</v>
      </c>
      <c r="DF147" s="3" t="s">
        <v>105</v>
      </c>
      <c r="DG147" s="3" t="s">
        <v>105</v>
      </c>
      <c r="DH147" s="3" t="s">
        <v>3</v>
      </c>
      <c r="DI147" s="3" t="s">
        <v>105</v>
      </c>
      <c r="DJ147" s="3" t="s">
        <v>105</v>
      </c>
      <c r="DK147" s="3" t="s">
        <v>3</v>
      </c>
      <c r="DL147" s="3" t="s">
        <v>3</v>
      </c>
      <c r="DM147" s="3" t="s">
        <v>3</v>
      </c>
      <c r="DN147" s="3">
        <v>0</v>
      </c>
      <c r="DO147" s="3">
        <v>0</v>
      </c>
      <c r="DP147" s="3">
        <v>1</v>
      </c>
      <c r="DQ147" s="3">
        <v>1</v>
      </c>
      <c r="DU147" s="3">
        <v>1013</v>
      </c>
      <c r="DV147" s="3" t="s">
        <v>26</v>
      </c>
      <c r="DW147" s="3" t="s">
        <v>26</v>
      </c>
      <c r="DX147" s="3">
        <v>1</v>
      </c>
      <c r="DZ147" s="3" t="s">
        <v>3</v>
      </c>
      <c r="EA147" s="3" t="s">
        <v>3</v>
      </c>
      <c r="EB147" s="3" t="s">
        <v>3</v>
      </c>
      <c r="EC147" s="3" t="s">
        <v>3</v>
      </c>
      <c r="EE147" s="3">
        <v>57042958</v>
      </c>
      <c r="EF147" s="3">
        <v>40</v>
      </c>
      <c r="EG147" s="3" t="s">
        <v>30</v>
      </c>
      <c r="EH147" s="3">
        <v>0</v>
      </c>
      <c r="EI147" s="3" t="s">
        <v>3</v>
      </c>
      <c r="EJ147" s="3">
        <v>2</v>
      </c>
      <c r="EK147" s="3">
        <v>68</v>
      </c>
      <c r="EL147" s="3" t="s">
        <v>38</v>
      </c>
      <c r="EM147" s="3" t="s">
        <v>39</v>
      </c>
      <c r="EO147" s="3" t="s">
        <v>109</v>
      </c>
      <c r="EQ147" s="3">
        <v>0</v>
      </c>
      <c r="ER147" s="3">
        <v>107.63</v>
      </c>
      <c r="ES147" s="3">
        <v>12.53</v>
      </c>
      <c r="ET147" s="3">
        <v>0.06</v>
      </c>
      <c r="EU147" s="3">
        <v>0.01</v>
      </c>
      <c r="EV147" s="3">
        <v>95.04</v>
      </c>
      <c r="EW147" s="3">
        <v>7.2</v>
      </c>
      <c r="EX147" s="3">
        <v>0</v>
      </c>
      <c r="EY147" s="3">
        <v>0</v>
      </c>
      <c r="FQ147" s="3">
        <v>0</v>
      </c>
      <c r="FR147" s="3">
        <v>0</v>
      </c>
      <c r="FS147" s="3">
        <v>0</v>
      </c>
      <c r="FX147" s="3">
        <v>90</v>
      </c>
      <c r="FY147" s="3">
        <v>46</v>
      </c>
      <c r="GA147" s="3" t="s">
        <v>3</v>
      </c>
      <c r="GD147" s="3">
        <v>1</v>
      </c>
      <c r="GF147" s="3">
        <v>-488197810</v>
      </c>
      <c r="GG147" s="3">
        <v>2</v>
      </c>
      <c r="GH147" s="3">
        <v>1</v>
      </c>
      <c r="GI147" s="3">
        <v>2</v>
      </c>
      <c r="GJ147" s="3">
        <v>0</v>
      </c>
      <c r="GK147" s="3">
        <v>0</v>
      </c>
      <c r="GL147" s="3">
        <f t="shared" si="112"/>
        <v>0</v>
      </c>
      <c r="GM147" s="3">
        <f t="shared" si="113"/>
        <v>48015.47</v>
      </c>
      <c r="GN147" s="3">
        <f t="shared" si="114"/>
        <v>0</v>
      </c>
      <c r="GO147" s="3">
        <f t="shared" si="115"/>
        <v>48015.47</v>
      </c>
      <c r="GP147" s="3">
        <f t="shared" si="116"/>
        <v>0</v>
      </c>
      <c r="GR147" s="3">
        <v>0</v>
      </c>
      <c r="GS147" s="3">
        <v>3</v>
      </c>
      <c r="GT147" s="3">
        <v>0</v>
      </c>
      <c r="GU147" s="3" t="s">
        <v>3</v>
      </c>
      <c r="GV147" s="3">
        <f t="shared" si="117"/>
        <v>0</v>
      </c>
      <c r="GW147" s="3">
        <v>1</v>
      </c>
      <c r="GX147" s="3">
        <f t="shared" si="118"/>
        <v>0</v>
      </c>
      <c r="HA147" s="3">
        <v>0</v>
      </c>
      <c r="HB147" s="3">
        <v>0</v>
      </c>
      <c r="HC147" s="3">
        <f t="shared" si="119"/>
        <v>0</v>
      </c>
      <c r="HE147" s="3" t="s">
        <v>3</v>
      </c>
      <c r="HF147" s="3" t="s">
        <v>3</v>
      </c>
      <c r="HM147" s="3" t="s">
        <v>3</v>
      </c>
      <c r="HN147" s="3" t="s">
        <v>3</v>
      </c>
      <c r="HO147" s="3" t="s">
        <v>3</v>
      </c>
      <c r="HP147" s="3" t="s">
        <v>3</v>
      </c>
      <c r="HQ147" s="3" t="s">
        <v>3</v>
      </c>
      <c r="HS147" s="3">
        <v>0</v>
      </c>
      <c r="IK147" s="3">
        <v>0</v>
      </c>
    </row>
    <row r="148" spans="1:255" x14ac:dyDescent="0.25">
      <c r="A148" s="2">
        <v>17</v>
      </c>
      <c r="B148" s="2">
        <v>1</v>
      </c>
      <c r="C148" s="2"/>
      <c r="D148" s="2"/>
      <c r="E148" s="2" t="s">
        <v>188</v>
      </c>
      <c r="F148" s="2" t="s">
        <v>189</v>
      </c>
      <c r="G148" s="2" t="s">
        <v>190</v>
      </c>
      <c r="H148" s="2" t="s">
        <v>191</v>
      </c>
      <c r="I148" s="2">
        <v>3</v>
      </c>
      <c r="J148" s="2">
        <v>0</v>
      </c>
      <c r="K148" s="2">
        <v>3</v>
      </c>
      <c r="L148" s="2"/>
      <c r="M148" s="2"/>
      <c r="N148" s="2"/>
      <c r="O148" s="2">
        <f t="shared" si="95"/>
        <v>14553.24</v>
      </c>
      <c r="P148" s="2">
        <f t="shared" si="96"/>
        <v>14553.24</v>
      </c>
      <c r="Q148" s="2">
        <f>(ROUND((ROUND(((ET148)*AV148*I148),2)*BB148),2)+ROUND((ROUND(((AE148-(EU148))*AV148*I148),2)*BS148),2))</f>
        <v>0</v>
      </c>
      <c r="R148" s="2">
        <f>(ROUND((ROUND(((EU148)*AV148*I148),2)*BS148),2)+ROUND((ROUND(((AE148-(EU148))*AV148*I148),2)*BS148),2))</f>
        <v>0</v>
      </c>
      <c r="S148" s="2">
        <f t="shared" si="97"/>
        <v>0</v>
      </c>
      <c r="T148" s="2">
        <f t="shared" si="98"/>
        <v>0</v>
      </c>
      <c r="U148" s="2">
        <f t="shared" si="99"/>
        <v>0</v>
      </c>
      <c r="V148" s="2">
        <f t="shared" si="100"/>
        <v>0</v>
      </c>
      <c r="W148" s="2">
        <f t="shared" si="101"/>
        <v>0</v>
      </c>
      <c r="X148" s="2">
        <f>(ROUND((((S148+ROUND((ROUND(((EU148)*AV148*I148),2)*BS148),2))*AT148)/100),2)+ROUND(((ROUND((ROUND(((AE148-(EU148))*AV148*I148),2)*BS148),2)*AT148)/100),2))</f>
        <v>0</v>
      </c>
      <c r="Y148" s="2">
        <f>(ROUND((((S148+ROUND((ROUND(((EU148)*AV148*I148),2)*BS148),2))*AU148)/100),2)+ROUND(((ROUND((ROUND(((AE148-(EU148))*AV148*I148),2)*BS148),2)*AU148)/100),2))</f>
        <v>0</v>
      </c>
      <c r="Z148" s="2"/>
      <c r="AA148" s="2">
        <v>57034452</v>
      </c>
      <c r="AB148" s="2">
        <f t="shared" si="102"/>
        <v>4851.08</v>
      </c>
      <c r="AC148" s="2">
        <f>ROUND((ES148),6)</f>
        <v>4851.08</v>
      </c>
      <c r="AD148" s="2">
        <f>ROUND((((ET148)-(EU148))+AE148),6)</f>
        <v>0</v>
      </c>
      <c r="AE148" s="2">
        <f>ROUND((EU148),6)</f>
        <v>0</v>
      </c>
      <c r="AF148" s="2">
        <f>ROUND((EV148),6)</f>
        <v>0</v>
      </c>
      <c r="AG148" s="2">
        <f t="shared" si="103"/>
        <v>0</v>
      </c>
      <c r="AH148" s="2">
        <f>(EW148)</f>
        <v>0</v>
      </c>
      <c r="AI148" s="2">
        <f>(EX148)</f>
        <v>0</v>
      </c>
      <c r="AJ148" s="2">
        <f t="shared" si="104"/>
        <v>0</v>
      </c>
      <c r="AK148" s="2">
        <v>4851.08</v>
      </c>
      <c r="AL148" s="2">
        <v>4851.08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1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3</v>
      </c>
      <c r="BI148" s="2">
        <v>3</v>
      </c>
      <c r="BJ148" s="2" t="s">
        <v>3</v>
      </c>
      <c r="BK148" s="2"/>
      <c r="BL148" s="2"/>
      <c r="BM148" s="2">
        <v>400002</v>
      </c>
      <c r="BN148" s="2">
        <v>0</v>
      </c>
      <c r="BO148" s="2" t="s">
        <v>3</v>
      </c>
      <c r="BP148" s="2">
        <v>0</v>
      </c>
      <c r="BQ148" s="2">
        <v>202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0</v>
      </c>
      <c r="CA148" s="2">
        <v>0</v>
      </c>
      <c r="CB148" s="2" t="s">
        <v>3</v>
      </c>
      <c r="CC148" s="2"/>
      <c r="CD148" s="2"/>
      <c r="CE148" s="2">
        <v>1566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3</v>
      </c>
      <c r="CO148" s="2">
        <v>0</v>
      </c>
      <c r="CP148" s="2">
        <f t="shared" si="105"/>
        <v>14553.24</v>
      </c>
      <c r="CQ148" s="2">
        <f t="shared" si="106"/>
        <v>4851.08</v>
      </c>
      <c r="CR148" s="2">
        <f>(ROUND((ROUND(((ET148)*AV148*1),2)*BB148),2)+ROUND((ROUND(((AE148-(EU148))*AV148*1),2)*BS148),2))</f>
        <v>0</v>
      </c>
      <c r="CS148" s="2">
        <f>(ROUND((ROUND(((EU148)*AV148*1),2)*BS148),2)+ROUND((ROUND(((AE148-(EU148))*AV148*1),2)*BS148),2))</f>
        <v>0</v>
      </c>
      <c r="CT148" s="2">
        <f t="shared" si="107"/>
        <v>0</v>
      </c>
      <c r="CU148" s="2">
        <f t="shared" si="108"/>
        <v>0</v>
      </c>
      <c r="CV148" s="2">
        <f t="shared" si="109"/>
        <v>0</v>
      </c>
      <c r="CW148" s="2">
        <f t="shared" si="110"/>
        <v>0</v>
      </c>
      <c r="CX148" s="2">
        <f t="shared" si="111"/>
        <v>0</v>
      </c>
      <c r="CY148" s="2">
        <f>(ROUND((((S148+ROUND((ROUND(((EU148)*AV148*1),2)*BS148),2))*AT148)/100),2)+ROUND(((ROUND((ROUND(((AE148-(EU148))*AV148*1),2)*BS148),2)*AT148)/100),2))</f>
        <v>0</v>
      </c>
      <c r="CZ148" s="2">
        <f>(ROUND((((S148+ROUND((ROUND(((EU148)*AV148*1),2)*BS148),2))*AU148)/100),2)+ROUND(((ROUND((ROUND(((AE148-(EU148))*AV148*1),2)*BS148),2)*AU148)/100),2))</f>
        <v>0</v>
      </c>
      <c r="DA148" s="2"/>
      <c r="DB148" s="2"/>
      <c r="DC148" s="2" t="s">
        <v>3</v>
      </c>
      <c r="DD148" s="2" t="s">
        <v>3</v>
      </c>
      <c r="DE148" s="2" t="s">
        <v>3</v>
      </c>
      <c r="DF148" s="2" t="s">
        <v>3</v>
      </c>
      <c r="DG148" s="2" t="s">
        <v>3</v>
      </c>
      <c r="DH148" s="2" t="s">
        <v>3</v>
      </c>
      <c r="DI148" s="2" t="s">
        <v>3</v>
      </c>
      <c r="DJ148" s="2" t="s">
        <v>3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1013</v>
      </c>
      <c r="DV148" s="2" t="s">
        <v>191</v>
      </c>
      <c r="DW148" s="2" t="s">
        <v>191</v>
      </c>
      <c r="DX148" s="2">
        <v>1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57043070</v>
      </c>
      <c r="EF148" s="2">
        <v>202</v>
      </c>
      <c r="EG148" s="2" t="s">
        <v>192</v>
      </c>
      <c r="EH148" s="2">
        <v>0</v>
      </c>
      <c r="EI148" s="2" t="s">
        <v>3</v>
      </c>
      <c r="EJ148" s="2">
        <v>1</v>
      </c>
      <c r="EK148" s="2">
        <v>400002</v>
      </c>
      <c r="EL148" s="2" t="s">
        <v>193</v>
      </c>
      <c r="EM148" s="2" t="s">
        <v>192</v>
      </c>
      <c r="EN148" s="2"/>
      <c r="EO148" s="2" t="s">
        <v>3</v>
      </c>
      <c r="EP148" s="2"/>
      <c r="EQ148" s="2">
        <v>0</v>
      </c>
      <c r="ER148" s="2">
        <v>0</v>
      </c>
      <c r="ES148" s="2">
        <v>4851.08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f>P148</f>
        <v>14553.24</v>
      </c>
      <c r="FS148" s="2">
        <v>0</v>
      </c>
      <c r="FT148" s="2"/>
      <c r="FU148" s="2"/>
      <c r="FV148" s="2"/>
      <c r="FW148" s="2"/>
      <c r="FX148" s="2">
        <v>0</v>
      </c>
      <c r="FY148" s="2">
        <v>0</v>
      </c>
      <c r="FZ148" s="2"/>
      <c r="GA148" s="2" t="s">
        <v>194</v>
      </c>
      <c r="GB148" s="2"/>
      <c r="GC148" s="2"/>
      <c r="GD148" s="2">
        <v>1</v>
      </c>
      <c r="GE148" s="2"/>
      <c r="GF148" s="2">
        <v>1513514093</v>
      </c>
      <c r="GG148" s="2">
        <v>2</v>
      </c>
      <c r="GH148" s="2">
        <v>4</v>
      </c>
      <c r="GI148" s="2">
        <v>-2</v>
      </c>
      <c r="GJ148" s="2">
        <v>0</v>
      </c>
      <c r="GK148" s="2">
        <v>0</v>
      </c>
      <c r="GL148" s="2">
        <f t="shared" si="112"/>
        <v>0</v>
      </c>
      <c r="GM148" s="2">
        <f t="shared" si="113"/>
        <v>14553.24</v>
      </c>
      <c r="GN148" s="2">
        <f t="shared" si="114"/>
        <v>0</v>
      </c>
      <c r="GO148" s="2">
        <f t="shared" si="115"/>
        <v>0</v>
      </c>
      <c r="GP148" s="2">
        <f t="shared" si="116"/>
        <v>0</v>
      </c>
      <c r="GQ148" s="2"/>
      <c r="GR148" s="2">
        <v>0</v>
      </c>
      <c r="GS148" s="2">
        <v>2</v>
      </c>
      <c r="GT148" s="2">
        <v>0</v>
      </c>
      <c r="GU148" s="2" t="s">
        <v>3</v>
      </c>
      <c r="GV148" s="2">
        <f t="shared" si="117"/>
        <v>0</v>
      </c>
      <c r="GW148" s="2">
        <v>1</v>
      </c>
      <c r="GX148" s="2">
        <f t="shared" si="118"/>
        <v>0</v>
      </c>
      <c r="GY148" s="2"/>
      <c r="GZ148" s="2"/>
      <c r="HA148" s="2">
        <v>0</v>
      </c>
      <c r="HB148" s="2">
        <v>0</v>
      </c>
      <c r="HC148" s="2">
        <f t="shared" si="119"/>
        <v>0</v>
      </c>
      <c r="HD148" s="2"/>
      <c r="HE148" s="2" t="s">
        <v>40</v>
      </c>
      <c r="HF148" s="2" t="s">
        <v>182</v>
      </c>
      <c r="HG148" s="2"/>
      <c r="HH148" s="2"/>
      <c r="HI148" s="2"/>
      <c r="HJ148" s="2"/>
      <c r="HK148" s="2"/>
      <c r="HL148" s="2"/>
      <c r="HM148" s="2" t="s">
        <v>3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25">
      <c r="A149" s="3">
        <v>17</v>
      </c>
      <c r="B149" s="3">
        <v>1</v>
      </c>
      <c r="E149" s="3" t="s">
        <v>188</v>
      </c>
      <c r="F149" s="3" t="s">
        <v>189</v>
      </c>
      <c r="G149" s="3" t="s">
        <v>190</v>
      </c>
      <c r="H149" s="3" t="s">
        <v>191</v>
      </c>
      <c r="I149" s="3">
        <v>3</v>
      </c>
      <c r="J149" s="3">
        <v>0</v>
      </c>
      <c r="K149" s="3">
        <v>3</v>
      </c>
      <c r="O149" s="3">
        <f t="shared" si="95"/>
        <v>110168.03</v>
      </c>
      <c r="P149" s="3">
        <f t="shared" si="96"/>
        <v>110168.03</v>
      </c>
      <c r="Q149" s="3">
        <f>(ROUND((ROUND(((ET149)*AV149*I149),2)*BB149),2)+ROUND((ROUND(((AE149-(EU149))*AV149*I149),2)*BS149),2))</f>
        <v>0</v>
      </c>
      <c r="R149" s="3">
        <f>(ROUND((ROUND(((EU149)*AV149*I149),2)*BS149),2)+ROUND((ROUND(((AE149-(EU149))*AV149*I149),2)*BS149),2))</f>
        <v>0</v>
      </c>
      <c r="S149" s="3">
        <f t="shared" si="97"/>
        <v>0</v>
      </c>
      <c r="T149" s="3">
        <f t="shared" si="98"/>
        <v>0</v>
      </c>
      <c r="U149" s="3">
        <f t="shared" si="99"/>
        <v>0</v>
      </c>
      <c r="V149" s="3">
        <f t="shared" si="100"/>
        <v>0</v>
      </c>
      <c r="W149" s="3">
        <f t="shared" si="101"/>
        <v>0</v>
      </c>
      <c r="X149" s="3">
        <f>(ROUND((((S149+ROUND((ROUND(((EU149)*AV149*I149),2)*BS149),2))*AT149)/100),2)+ROUND(((ROUND((ROUND(((AE149-(EU149))*AV149*I149),2)*BS149),2)*AT149)/100),2))</f>
        <v>0</v>
      </c>
      <c r="Y149" s="3">
        <f>(ROUND((((S149+ROUND((ROUND(((EU149)*AV149*I149),2)*BS149),2))*AU149)/100),2)+ROUND(((ROUND((ROUND(((AE149-(EU149))*AV149*I149),2)*BS149),2)*AU149)/100),2))</f>
        <v>0</v>
      </c>
      <c r="AA149" s="3">
        <v>57034454</v>
      </c>
      <c r="AB149" s="3">
        <f t="shared" si="102"/>
        <v>4851.08</v>
      </c>
      <c r="AC149" s="3">
        <f>ROUND((ES149),6)</f>
        <v>4851.08</v>
      </c>
      <c r="AD149" s="3">
        <f>ROUND((((ET149)-(EU149))+AE149),6)</f>
        <v>0</v>
      </c>
      <c r="AE149" s="3">
        <f>ROUND((EU149),6)</f>
        <v>0</v>
      </c>
      <c r="AF149" s="3">
        <f>ROUND((EV149),6)</f>
        <v>0</v>
      </c>
      <c r="AG149" s="3">
        <f t="shared" si="103"/>
        <v>0</v>
      </c>
      <c r="AH149" s="3">
        <f>(EW149)</f>
        <v>0</v>
      </c>
      <c r="AI149" s="3">
        <f>(EX149)</f>
        <v>0</v>
      </c>
      <c r="AJ149" s="3">
        <f t="shared" si="104"/>
        <v>0</v>
      </c>
      <c r="AK149" s="3">
        <v>4851.08</v>
      </c>
      <c r="AL149" s="3">
        <v>4851.08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1</v>
      </c>
      <c r="AW149" s="3">
        <v>1</v>
      </c>
      <c r="AZ149" s="3">
        <v>1</v>
      </c>
      <c r="BA149" s="3">
        <v>1</v>
      </c>
      <c r="BB149" s="3">
        <v>1</v>
      </c>
      <c r="BC149" s="3">
        <v>7.57</v>
      </c>
      <c r="BD149" s="3" t="s">
        <v>3</v>
      </c>
      <c r="BE149" s="3" t="s">
        <v>3</v>
      </c>
      <c r="BF149" s="3" t="s">
        <v>3</v>
      </c>
      <c r="BG149" s="3" t="s">
        <v>3</v>
      </c>
      <c r="BH149" s="3">
        <v>3</v>
      </c>
      <c r="BI149" s="3">
        <v>3</v>
      </c>
      <c r="BJ149" s="3" t="s">
        <v>3</v>
      </c>
      <c r="BM149" s="3">
        <v>400002</v>
      </c>
      <c r="BN149" s="3">
        <v>0</v>
      </c>
      <c r="BO149" s="3" t="s">
        <v>3</v>
      </c>
      <c r="BP149" s="3">
        <v>0</v>
      </c>
      <c r="BQ149" s="3">
        <v>202</v>
      </c>
      <c r="BR149" s="3">
        <v>0</v>
      </c>
      <c r="BS149" s="3">
        <v>1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 t="s">
        <v>3</v>
      </c>
      <c r="BZ149" s="3">
        <v>0</v>
      </c>
      <c r="CA149" s="3">
        <v>0</v>
      </c>
      <c r="CB149" s="3" t="s">
        <v>3</v>
      </c>
      <c r="CE149" s="3">
        <v>1566</v>
      </c>
      <c r="CF149" s="3">
        <v>0</v>
      </c>
      <c r="CG149" s="3">
        <v>0</v>
      </c>
      <c r="CM149" s="3">
        <v>0</v>
      </c>
      <c r="CN149" s="3" t="s">
        <v>3</v>
      </c>
      <c r="CO149" s="3">
        <v>0</v>
      </c>
      <c r="CP149" s="3">
        <f t="shared" si="105"/>
        <v>110168.03</v>
      </c>
      <c r="CQ149" s="3">
        <f t="shared" si="106"/>
        <v>36722.68</v>
      </c>
      <c r="CR149" s="3">
        <f>(ROUND((ROUND(((ET149)*AV149*1),2)*BB149),2)+ROUND((ROUND(((AE149-(EU149))*AV149*1),2)*BS149),2))</f>
        <v>0</v>
      </c>
      <c r="CS149" s="3">
        <f>(ROUND((ROUND(((EU149)*AV149*1),2)*BS149),2)+ROUND((ROUND(((AE149-(EU149))*AV149*1),2)*BS149),2))</f>
        <v>0</v>
      </c>
      <c r="CT149" s="3">
        <f t="shared" si="107"/>
        <v>0</v>
      </c>
      <c r="CU149" s="3">
        <f t="shared" si="108"/>
        <v>0</v>
      </c>
      <c r="CV149" s="3">
        <f t="shared" si="109"/>
        <v>0</v>
      </c>
      <c r="CW149" s="3">
        <f t="shared" si="110"/>
        <v>0</v>
      </c>
      <c r="CX149" s="3">
        <f t="shared" si="111"/>
        <v>0</v>
      </c>
      <c r="CY149" s="3">
        <f>(ROUND((((S149+ROUND((ROUND(((EU149)*AV149*1),2)*BS149),2))*AT149)/100),2)+ROUND(((ROUND((ROUND(((AE149-(EU149))*AV149*1),2)*BS149),2)*AT149)/100),2))</f>
        <v>0</v>
      </c>
      <c r="CZ149" s="3">
        <f>(ROUND((((S149+ROUND((ROUND(((EU149)*AV149*1),2)*BS149),2))*AU149)/100),2)+ROUND(((ROUND((ROUND(((AE149-(EU149))*AV149*1),2)*BS149),2)*AU149)/100),2))</f>
        <v>0</v>
      </c>
      <c r="DC149" s="3" t="s">
        <v>3</v>
      </c>
      <c r="DD149" s="3" t="s">
        <v>3</v>
      </c>
      <c r="DE149" s="3" t="s">
        <v>3</v>
      </c>
      <c r="DF149" s="3" t="s">
        <v>3</v>
      </c>
      <c r="DG149" s="3" t="s">
        <v>3</v>
      </c>
      <c r="DH149" s="3" t="s">
        <v>3</v>
      </c>
      <c r="DI149" s="3" t="s">
        <v>3</v>
      </c>
      <c r="DJ149" s="3" t="s">
        <v>3</v>
      </c>
      <c r="DK149" s="3" t="s">
        <v>3</v>
      </c>
      <c r="DL149" s="3" t="s">
        <v>3</v>
      </c>
      <c r="DM149" s="3" t="s">
        <v>3</v>
      </c>
      <c r="DN149" s="3">
        <v>0</v>
      </c>
      <c r="DO149" s="3">
        <v>0</v>
      </c>
      <c r="DP149" s="3">
        <v>1</v>
      </c>
      <c r="DQ149" s="3">
        <v>1</v>
      </c>
      <c r="DU149" s="3">
        <v>1013</v>
      </c>
      <c r="DV149" s="3" t="s">
        <v>191</v>
      </c>
      <c r="DW149" s="3" t="s">
        <v>191</v>
      </c>
      <c r="DX149" s="3">
        <v>1</v>
      </c>
      <c r="DZ149" s="3" t="s">
        <v>3</v>
      </c>
      <c r="EA149" s="3" t="s">
        <v>3</v>
      </c>
      <c r="EB149" s="3" t="s">
        <v>3</v>
      </c>
      <c r="EC149" s="3" t="s">
        <v>3</v>
      </c>
      <c r="EE149" s="3">
        <v>57043070</v>
      </c>
      <c r="EF149" s="3">
        <v>202</v>
      </c>
      <c r="EG149" s="3" t="s">
        <v>192</v>
      </c>
      <c r="EH149" s="3">
        <v>0</v>
      </c>
      <c r="EI149" s="3" t="s">
        <v>3</v>
      </c>
      <c r="EJ149" s="3">
        <v>1</v>
      </c>
      <c r="EK149" s="3">
        <v>400002</v>
      </c>
      <c r="EL149" s="3" t="s">
        <v>193</v>
      </c>
      <c r="EM149" s="3" t="s">
        <v>192</v>
      </c>
      <c r="EO149" s="3" t="s">
        <v>3</v>
      </c>
      <c r="EQ149" s="3">
        <v>0</v>
      </c>
      <c r="ER149" s="3">
        <v>3651.9300000000003</v>
      </c>
      <c r="ES149" s="3">
        <v>4851.08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5</v>
      </c>
      <c r="FC149" s="3">
        <v>1</v>
      </c>
      <c r="FD149" s="3">
        <v>18</v>
      </c>
      <c r="FF149" s="3">
        <v>42981</v>
      </c>
      <c r="FQ149" s="3">
        <v>0</v>
      </c>
      <c r="FR149" s="3">
        <f>P149</f>
        <v>110168.03</v>
      </c>
      <c r="FS149" s="3">
        <v>0</v>
      </c>
      <c r="FX149" s="3">
        <v>0</v>
      </c>
      <c r="FY149" s="3">
        <v>0</v>
      </c>
      <c r="GA149" s="3" t="s">
        <v>194</v>
      </c>
      <c r="GD149" s="3">
        <v>1</v>
      </c>
      <c r="GF149" s="3">
        <v>1513514093</v>
      </c>
      <c r="GG149" s="3">
        <v>2</v>
      </c>
      <c r="GH149" s="3">
        <v>3</v>
      </c>
      <c r="GI149" s="3">
        <v>5</v>
      </c>
      <c r="GJ149" s="3">
        <v>0</v>
      </c>
      <c r="GK149" s="3">
        <v>0</v>
      </c>
      <c r="GL149" s="3">
        <f t="shared" si="112"/>
        <v>0</v>
      </c>
      <c r="GM149" s="3">
        <f t="shared" si="113"/>
        <v>110168.03</v>
      </c>
      <c r="GN149" s="3">
        <f t="shared" si="114"/>
        <v>0</v>
      </c>
      <c r="GO149" s="3">
        <f t="shared" si="115"/>
        <v>0</v>
      </c>
      <c r="GP149" s="3">
        <f t="shared" si="116"/>
        <v>0</v>
      </c>
      <c r="GR149" s="3">
        <v>1</v>
      </c>
      <c r="GS149" s="3">
        <v>1</v>
      </c>
      <c r="GT149" s="3">
        <v>0</v>
      </c>
      <c r="GU149" s="3" t="s">
        <v>3</v>
      </c>
      <c r="GV149" s="3">
        <f t="shared" si="117"/>
        <v>0</v>
      </c>
      <c r="GW149" s="3">
        <v>1</v>
      </c>
      <c r="GX149" s="3">
        <f t="shared" si="118"/>
        <v>0</v>
      </c>
      <c r="HA149" s="3">
        <v>0</v>
      </c>
      <c r="HB149" s="3">
        <v>0</v>
      </c>
      <c r="HC149" s="3">
        <f t="shared" si="119"/>
        <v>0</v>
      </c>
      <c r="HE149" s="3" t="s">
        <v>40</v>
      </c>
      <c r="HF149" s="3" t="s">
        <v>182</v>
      </c>
      <c r="HM149" s="3" t="s">
        <v>3</v>
      </c>
      <c r="HN149" s="3" t="s">
        <v>3</v>
      </c>
      <c r="HO149" s="3" t="s">
        <v>3</v>
      </c>
      <c r="HP149" s="3" t="s">
        <v>3</v>
      </c>
      <c r="HQ149" s="3" t="s">
        <v>3</v>
      </c>
      <c r="HS149" s="3">
        <v>0</v>
      </c>
      <c r="IK149" s="3">
        <v>0</v>
      </c>
    </row>
    <row r="150" spans="1:255" x14ac:dyDescent="0.25">
      <c r="A150" s="2">
        <v>17</v>
      </c>
      <c r="B150" s="2">
        <v>1</v>
      </c>
      <c r="C150" s="2">
        <f>ROW(SmtRes!A118)</f>
        <v>118</v>
      </c>
      <c r="D150" s="2">
        <f>ROW(EtalonRes!A149)</f>
        <v>149</v>
      </c>
      <c r="E150" s="2" t="s">
        <v>3</v>
      </c>
      <c r="F150" s="2" t="s">
        <v>35</v>
      </c>
      <c r="G150" s="2" t="s">
        <v>195</v>
      </c>
      <c r="H150" s="2" t="s">
        <v>26</v>
      </c>
      <c r="I150" s="2">
        <v>3</v>
      </c>
      <c r="J150" s="2">
        <v>0</v>
      </c>
      <c r="K150" s="2">
        <v>3</v>
      </c>
      <c r="L150" s="2"/>
      <c r="M150" s="2"/>
      <c r="N150" s="2"/>
      <c r="O150" s="2">
        <f t="shared" si="95"/>
        <v>645.14</v>
      </c>
      <c r="P150" s="2">
        <f t="shared" si="96"/>
        <v>62.79</v>
      </c>
      <c r="Q150" s="2">
        <f>(ROUND((ROUND((((ET150*1.2))*AV150*I150),2)*BB150),2)+ROUND((ROUND(((AE150-((EU150*1.2)))*AV150*I150),2)*BS150),2))</f>
        <v>0.23</v>
      </c>
      <c r="R150" s="2">
        <f>(ROUND((ROUND((((EU150*1.2))*AV150*I150),2)*BS150),2)+ROUND((ROUND(((AE150-((EU150*1.2)))*AV150*I150),2)*BS150),2))</f>
        <v>0.04</v>
      </c>
      <c r="S150" s="2">
        <f t="shared" si="97"/>
        <v>582.12</v>
      </c>
      <c r="T150" s="2">
        <f t="shared" si="98"/>
        <v>0</v>
      </c>
      <c r="U150" s="2">
        <f t="shared" si="99"/>
        <v>44.099639999999994</v>
      </c>
      <c r="V150" s="2">
        <f t="shared" si="100"/>
        <v>0</v>
      </c>
      <c r="W150" s="2">
        <f t="shared" si="101"/>
        <v>0</v>
      </c>
      <c r="X150" s="2">
        <f>(ROUND((((S150+ROUND((ROUND((((EU150*1.2))*AV150*I150),2)*BS150),2))*AT150)/100),2)+ROUND(((ROUND((ROUND(((AE150-((EU150*1.2)))*AV150*I150),2)*BS150),2)*AT150)/100),2))</f>
        <v>523.94000000000005</v>
      </c>
      <c r="Y150" s="2">
        <f>(ROUND((((S150+ROUND((ROUND((((EU150*1.2))*AV150*I150),2)*BS150),2))*AU150)/100),2)+ROUND(((ROUND((ROUND(((AE150-((EU150*1.2)))*AV150*I150),2)*BS150),2)*AU150)/100),2))</f>
        <v>267.79000000000002</v>
      </c>
      <c r="Z150" s="2"/>
      <c r="AA150" s="2">
        <v>-1</v>
      </c>
      <c r="AB150" s="2">
        <f t="shared" si="102"/>
        <v>206.33</v>
      </c>
      <c r="AC150" s="2">
        <f>ROUND(((ES150*1)),6)</f>
        <v>20.93</v>
      </c>
      <c r="AD150" s="2">
        <f>ROUND(((((ET150*1.2))-((EU150*1.2)))+AE150),6)</f>
        <v>7.1999999999999995E-2</v>
      </c>
      <c r="AE150" s="2">
        <f>ROUND(((EU150*1.2)),6)</f>
        <v>1.2E-2</v>
      </c>
      <c r="AF150" s="2">
        <f>ROUND(((EV150*1.2)),6)</f>
        <v>185.328</v>
      </c>
      <c r="AG150" s="2">
        <f t="shared" si="103"/>
        <v>0</v>
      </c>
      <c r="AH150" s="2">
        <f>((EW150*1.2))</f>
        <v>14.04</v>
      </c>
      <c r="AI150" s="2">
        <f>((EX150*1.2))</f>
        <v>0</v>
      </c>
      <c r="AJ150" s="2">
        <f t="shared" si="104"/>
        <v>0</v>
      </c>
      <c r="AK150" s="2">
        <v>175.43</v>
      </c>
      <c r="AL150" s="2">
        <v>20.93</v>
      </c>
      <c r="AM150" s="2">
        <v>0.06</v>
      </c>
      <c r="AN150" s="2">
        <v>0.01</v>
      </c>
      <c r="AO150" s="2">
        <v>154.44</v>
      </c>
      <c r="AP150" s="2">
        <v>0</v>
      </c>
      <c r="AQ150" s="2">
        <v>11.7</v>
      </c>
      <c r="AR150" s="2">
        <v>0</v>
      </c>
      <c r="AS150" s="2">
        <v>0</v>
      </c>
      <c r="AT150" s="2">
        <v>90</v>
      </c>
      <c r="AU150" s="2">
        <v>46</v>
      </c>
      <c r="AV150" s="2">
        <v>1.0469999999999999</v>
      </c>
      <c r="AW150" s="2">
        <v>1</v>
      </c>
      <c r="AX150" s="2"/>
      <c r="AY150" s="2"/>
      <c r="AZ150" s="2">
        <v>1</v>
      </c>
      <c r="BA150" s="2">
        <v>1</v>
      </c>
      <c r="BB150" s="2">
        <v>1</v>
      </c>
      <c r="BC150" s="2">
        <v>1</v>
      </c>
      <c r="BD150" s="2" t="s">
        <v>3</v>
      </c>
      <c r="BE150" s="2" t="s">
        <v>3</v>
      </c>
      <c r="BF150" s="2" t="s">
        <v>3</v>
      </c>
      <c r="BG150" s="2" t="s">
        <v>3</v>
      </c>
      <c r="BH150" s="2">
        <v>0</v>
      </c>
      <c r="BI150" s="2">
        <v>2</v>
      </c>
      <c r="BJ150" s="2" t="s">
        <v>37</v>
      </c>
      <c r="BK150" s="2"/>
      <c r="BL150" s="2"/>
      <c r="BM150" s="2">
        <v>68</v>
      </c>
      <c r="BN150" s="2">
        <v>0</v>
      </c>
      <c r="BO150" s="2" t="s">
        <v>35</v>
      </c>
      <c r="BP150" s="2">
        <v>1</v>
      </c>
      <c r="BQ150" s="2">
        <v>40</v>
      </c>
      <c r="BR150" s="2">
        <v>0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 t="s">
        <v>3</v>
      </c>
      <c r="BZ150" s="2">
        <v>90</v>
      </c>
      <c r="CA150" s="2">
        <v>46</v>
      </c>
      <c r="CB150" s="2" t="s">
        <v>3</v>
      </c>
      <c r="CC150" s="2"/>
      <c r="CD150" s="2"/>
      <c r="CE150" s="2">
        <v>1566</v>
      </c>
      <c r="CF150" s="2">
        <v>0</v>
      </c>
      <c r="CG150" s="2">
        <v>0</v>
      </c>
      <c r="CH150" s="2"/>
      <c r="CI150" s="2"/>
      <c r="CJ150" s="2"/>
      <c r="CK150" s="2"/>
      <c r="CL150" s="2"/>
      <c r="CM150" s="2">
        <v>0</v>
      </c>
      <c r="CN150" s="2" t="s">
        <v>614</v>
      </c>
      <c r="CO150" s="2">
        <v>0</v>
      </c>
      <c r="CP150" s="2">
        <f t="shared" si="105"/>
        <v>645.14</v>
      </c>
      <c r="CQ150" s="2">
        <f t="shared" si="106"/>
        <v>20.93</v>
      </c>
      <c r="CR150" s="2">
        <f>(ROUND((ROUND((((ET150*1.2))*AV150*1),2)*BB150),2)+ROUND((ROUND(((AE150-((EU150*1.2)))*AV150*1),2)*BS150),2))</f>
        <v>0.08</v>
      </c>
      <c r="CS150" s="2">
        <f>(ROUND((ROUND((((EU150*1.2))*AV150*1),2)*BS150),2)+ROUND((ROUND(((AE150-((EU150*1.2)))*AV150*1),2)*BS150),2))</f>
        <v>0.01</v>
      </c>
      <c r="CT150" s="2">
        <f t="shared" si="107"/>
        <v>194.04</v>
      </c>
      <c r="CU150" s="2">
        <f t="shared" si="108"/>
        <v>0</v>
      </c>
      <c r="CV150" s="2">
        <f t="shared" si="109"/>
        <v>14.699879999999999</v>
      </c>
      <c r="CW150" s="2">
        <f t="shared" si="110"/>
        <v>0</v>
      </c>
      <c r="CX150" s="2">
        <f t="shared" si="111"/>
        <v>0</v>
      </c>
      <c r="CY150" s="2">
        <f>(ROUND((((S150+ROUND((ROUND((((EU150*1.2))*AV150*1),2)*BS150),2))*AT150)/100),2)+ROUND(((ROUND((ROUND(((AE150-((EU150*1.2)))*AV150*1),2)*BS150),2)*AT150)/100),2))</f>
        <v>523.91999999999996</v>
      </c>
      <c r="CZ150" s="2">
        <f>(ROUND((((S150+ROUND((ROUND((((EU150*1.2))*AV150*1),2)*BS150),2))*AU150)/100),2)+ROUND(((ROUND((ROUND(((AE150-((EU150*1.2)))*AV150*1),2)*BS150),2)*AU150)/100),2))</f>
        <v>267.77999999999997</v>
      </c>
      <c r="DA150" s="2"/>
      <c r="DB150" s="2">
        <v>87</v>
      </c>
      <c r="DC150" s="2" t="s">
        <v>3</v>
      </c>
      <c r="DD150" s="2" t="s">
        <v>104</v>
      </c>
      <c r="DE150" s="2" t="s">
        <v>105</v>
      </c>
      <c r="DF150" s="2" t="s">
        <v>105</v>
      </c>
      <c r="DG150" s="2" t="s">
        <v>105</v>
      </c>
      <c r="DH150" s="2" t="s">
        <v>3</v>
      </c>
      <c r="DI150" s="2" t="s">
        <v>105</v>
      </c>
      <c r="DJ150" s="2" t="s">
        <v>105</v>
      </c>
      <c r="DK150" s="2" t="s">
        <v>3</v>
      </c>
      <c r="DL150" s="2" t="s">
        <v>3</v>
      </c>
      <c r="DM150" s="2" t="s">
        <v>3</v>
      </c>
      <c r="DN150" s="2">
        <v>0</v>
      </c>
      <c r="DO150" s="2">
        <v>0</v>
      </c>
      <c r="DP150" s="2">
        <v>1</v>
      </c>
      <c r="DQ150" s="2">
        <v>1</v>
      </c>
      <c r="DR150" s="2"/>
      <c r="DS150" s="2"/>
      <c r="DT150" s="2"/>
      <c r="DU150" s="2">
        <v>1013</v>
      </c>
      <c r="DV150" s="2" t="s">
        <v>26</v>
      </c>
      <c r="DW150" s="2" t="s">
        <v>26</v>
      </c>
      <c r="DX150" s="2">
        <v>1</v>
      </c>
      <c r="DY150" s="2"/>
      <c r="DZ150" s="2" t="s">
        <v>3</v>
      </c>
      <c r="EA150" s="2" t="s">
        <v>3</v>
      </c>
      <c r="EB150" s="2" t="s">
        <v>3</v>
      </c>
      <c r="EC150" s="2" t="s">
        <v>3</v>
      </c>
      <c r="ED150" s="2"/>
      <c r="EE150" s="2">
        <v>57042958</v>
      </c>
      <c r="EF150" s="2">
        <v>40</v>
      </c>
      <c r="EG150" s="2" t="s">
        <v>30</v>
      </c>
      <c r="EH150" s="2">
        <v>0</v>
      </c>
      <c r="EI150" s="2" t="s">
        <v>3</v>
      </c>
      <c r="EJ150" s="2">
        <v>2</v>
      </c>
      <c r="EK150" s="2">
        <v>68</v>
      </c>
      <c r="EL150" s="2" t="s">
        <v>38</v>
      </c>
      <c r="EM150" s="2" t="s">
        <v>39</v>
      </c>
      <c r="EN150" s="2"/>
      <c r="EO150" s="2" t="s">
        <v>109</v>
      </c>
      <c r="EP150" s="2"/>
      <c r="EQ150" s="2">
        <v>132096</v>
      </c>
      <c r="ER150" s="2">
        <v>175.43</v>
      </c>
      <c r="ES150" s="2">
        <v>20.93</v>
      </c>
      <c r="ET150" s="2">
        <v>0.06</v>
      </c>
      <c r="EU150" s="2">
        <v>0.01</v>
      </c>
      <c r="EV150" s="2">
        <v>154.44</v>
      </c>
      <c r="EW150" s="2">
        <v>11.7</v>
      </c>
      <c r="EX150" s="2">
        <v>0</v>
      </c>
      <c r="EY150" s="2">
        <v>0</v>
      </c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>
        <v>0</v>
      </c>
      <c r="FR150" s="2">
        <v>0</v>
      </c>
      <c r="FS150" s="2">
        <v>0</v>
      </c>
      <c r="FT150" s="2"/>
      <c r="FU150" s="2"/>
      <c r="FV150" s="2"/>
      <c r="FW150" s="2"/>
      <c r="FX150" s="2">
        <v>90</v>
      </c>
      <c r="FY150" s="2">
        <v>46</v>
      </c>
      <c r="FZ150" s="2"/>
      <c r="GA150" s="2" t="s">
        <v>3</v>
      </c>
      <c r="GB150" s="2"/>
      <c r="GC150" s="2"/>
      <c r="GD150" s="2">
        <v>1</v>
      </c>
      <c r="GE150" s="2"/>
      <c r="GF150" s="2">
        <v>755325265</v>
      </c>
      <c r="GG150" s="2">
        <v>2</v>
      </c>
      <c r="GH150" s="2">
        <v>1</v>
      </c>
      <c r="GI150" s="2">
        <v>2</v>
      </c>
      <c r="GJ150" s="2">
        <v>0</v>
      </c>
      <c r="GK150" s="2">
        <v>0</v>
      </c>
      <c r="GL150" s="2">
        <f t="shared" si="112"/>
        <v>0</v>
      </c>
      <c r="GM150" s="2">
        <f t="shared" si="113"/>
        <v>1436.87</v>
      </c>
      <c r="GN150" s="2">
        <f t="shared" si="114"/>
        <v>0</v>
      </c>
      <c r="GO150" s="2">
        <f t="shared" si="115"/>
        <v>1436.87</v>
      </c>
      <c r="GP150" s="2">
        <f t="shared" si="116"/>
        <v>0</v>
      </c>
      <c r="GQ150" s="2"/>
      <c r="GR150" s="2">
        <v>0</v>
      </c>
      <c r="GS150" s="2">
        <v>3</v>
      </c>
      <c r="GT150" s="2">
        <v>0</v>
      </c>
      <c r="GU150" s="2" t="s">
        <v>3</v>
      </c>
      <c r="GV150" s="2">
        <f t="shared" si="117"/>
        <v>0</v>
      </c>
      <c r="GW150" s="2">
        <v>1</v>
      </c>
      <c r="GX150" s="2">
        <f t="shared" si="118"/>
        <v>0</v>
      </c>
      <c r="GY150" s="2"/>
      <c r="GZ150" s="2"/>
      <c r="HA150" s="2">
        <v>0</v>
      </c>
      <c r="HB150" s="2">
        <v>0</v>
      </c>
      <c r="HC150" s="2">
        <f t="shared" si="119"/>
        <v>0</v>
      </c>
      <c r="HD150" s="2"/>
      <c r="HE150" s="2" t="s">
        <v>3</v>
      </c>
      <c r="HF150" s="2" t="s">
        <v>3</v>
      </c>
      <c r="HG150" s="2"/>
      <c r="HH150" s="2"/>
      <c r="HI150" s="2"/>
      <c r="HJ150" s="2"/>
      <c r="HK150" s="2"/>
      <c r="HL150" s="2"/>
      <c r="HM150" s="2" t="s">
        <v>3</v>
      </c>
      <c r="HN150" s="2" t="s">
        <v>3</v>
      </c>
      <c r="HO150" s="2" t="s">
        <v>3</v>
      </c>
      <c r="HP150" s="2" t="s">
        <v>3</v>
      </c>
      <c r="HQ150" s="2" t="s">
        <v>3</v>
      </c>
      <c r="HR150" s="2"/>
      <c r="HS150" s="2">
        <v>0</v>
      </c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>
        <v>0</v>
      </c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x14ac:dyDescent="0.25">
      <c r="A151" s="3">
        <v>17</v>
      </c>
      <c r="B151" s="3">
        <v>1</v>
      </c>
      <c r="C151" s="3">
        <f>ROW(SmtRes!A120)</f>
        <v>120</v>
      </c>
      <c r="D151" s="3">
        <f>ROW(EtalonRes!A150)</f>
        <v>150</v>
      </c>
      <c r="E151" s="3" t="s">
        <v>3</v>
      </c>
      <c r="F151" s="3" t="s">
        <v>35</v>
      </c>
      <c r="G151" s="3" t="s">
        <v>195</v>
      </c>
      <c r="H151" s="3" t="s">
        <v>26</v>
      </c>
      <c r="I151" s="3">
        <v>3</v>
      </c>
      <c r="J151" s="3">
        <v>0</v>
      </c>
      <c r="K151" s="3">
        <v>3</v>
      </c>
      <c r="O151" s="3">
        <f t="shared" si="95"/>
        <v>33424.57</v>
      </c>
      <c r="P151" s="3">
        <f t="shared" si="96"/>
        <v>617.85</v>
      </c>
      <c r="Q151" s="3">
        <f>(ROUND((ROUND((((ET151*1.2))*AV151*I151),2)*BB151),2)+ROUND((ROUND(((AE151-((EU151*1.2)))*AV151*I151),2)*BS151),2))</f>
        <v>4.26</v>
      </c>
      <c r="R151" s="3">
        <f>(ROUND((ROUND((((EU151*1.2))*AV151*I151),2)*BS151),2)+ROUND((ROUND(((AE151-((EU151*1.2)))*AV151*I151),2)*BS151),2))</f>
        <v>2.25</v>
      </c>
      <c r="S151" s="3">
        <f t="shared" si="97"/>
        <v>32802.46</v>
      </c>
      <c r="T151" s="3">
        <f t="shared" si="98"/>
        <v>0</v>
      </c>
      <c r="U151" s="3">
        <f t="shared" si="99"/>
        <v>44.099639999999994</v>
      </c>
      <c r="V151" s="3">
        <f t="shared" si="100"/>
        <v>0</v>
      </c>
      <c r="W151" s="3">
        <f t="shared" si="101"/>
        <v>0</v>
      </c>
      <c r="X151" s="3">
        <f>(ROUND((((S151+ROUND((ROUND((((EU151*1.2))*AV151*I151),2)*BS151),2))*AT151)/100),2)+ROUND(((ROUND((ROUND(((AE151-((EU151*1.2)))*AV151*I151),2)*BS151),2)*AT151)/100),2))</f>
        <v>29524.240000000002</v>
      </c>
      <c r="Y151" s="3">
        <f>(ROUND((((S151+ROUND((ROUND((((EU151*1.2))*AV151*I151),2)*BS151),2))*AU151)/100),2)+ROUND(((ROUND((ROUND(((AE151-((EU151*1.2)))*AV151*I151),2)*BS151),2)*AU151)/100),2))</f>
        <v>15090.17</v>
      </c>
      <c r="AA151" s="3">
        <v>-1</v>
      </c>
      <c r="AB151" s="3">
        <f t="shared" si="102"/>
        <v>206.33</v>
      </c>
      <c r="AC151" s="3">
        <f>ROUND(((ES151*1)),6)</f>
        <v>20.93</v>
      </c>
      <c r="AD151" s="3">
        <f>ROUND(((((ET151*1.2))-((EU151*1.2)))+AE151),6)</f>
        <v>7.1999999999999995E-2</v>
      </c>
      <c r="AE151" s="3">
        <f>ROUND(((EU151*1.2)),6)</f>
        <v>1.2E-2</v>
      </c>
      <c r="AF151" s="3">
        <f>ROUND(((EV151*1.2)),6)</f>
        <v>185.328</v>
      </c>
      <c r="AG151" s="3">
        <f t="shared" si="103"/>
        <v>0</v>
      </c>
      <c r="AH151" s="3">
        <f>((EW151*1.2))</f>
        <v>14.04</v>
      </c>
      <c r="AI151" s="3">
        <f>((EX151*1.2))</f>
        <v>0</v>
      </c>
      <c r="AJ151" s="3">
        <f t="shared" si="104"/>
        <v>0</v>
      </c>
      <c r="AK151" s="3">
        <v>175.43</v>
      </c>
      <c r="AL151" s="3">
        <v>20.93</v>
      </c>
      <c r="AM151" s="3">
        <v>0.06</v>
      </c>
      <c r="AN151" s="3">
        <v>0.01</v>
      </c>
      <c r="AO151" s="3">
        <v>154.44</v>
      </c>
      <c r="AP151" s="3">
        <v>0</v>
      </c>
      <c r="AQ151" s="3">
        <v>11.7</v>
      </c>
      <c r="AR151" s="3">
        <v>0</v>
      </c>
      <c r="AS151" s="3">
        <v>0</v>
      </c>
      <c r="AT151" s="3">
        <v>90</v>
      </c>
      <c r="AU151" s="3">
        <v>46</v>
      </c>
      <c r="AV151" s="3">
        <v>1.0469999999999999</v>
      </c>
      <c r="AW151" s="3">
        <v>1</v>
      </c>
      <c r="AZ151" s="3">
        <v>1</v>
      </c>
      <c r="BA151" s="3">
        <v>56.35</v>
      </c>
      <c r="BB151" s="3">
        <v>18.5</v>
      </c>
      <c r="BC151" s="3">
        <v>9.84</v>
      </c>
      <c r="BD151" s="3" t="s">
        <v>3</v>
      </c>
      <c r="BE151" s="3" t="s">
        <v>3</v>
      </c>
      <c r="BF151" s="3" t="s">
        <v>3</v>
      </c>
      <c r="BG151" s="3" t="s">
        <v>3</v>
      </c>
      <c r="BH151" s="3">
        <v>0</v>
      </c>
      <c r="BI151" s="3">
        <v>2</v>
      </c>
      <c r="BJ151" s="3" t="s">
        <v>37</v>
      </c>
      <c r="BM151" s="3">
        <v>68</v>
      </c>
      <c r="BN151" s="3">
        <v>0</v>
      </c>
      <c r="BO151" s="3" t="s">
        <v>35</v>
      </c>
      <c r="BP151" s="3">
        <v>1</v>
      </c>
      <c r="BQ151" s="3">
        <v>40</v>
      </c>
      <c r="BR151" s="3">
        <v>0</v>
      </c>
      <c r="BS151" s="3">
        <v>56.35</v>
      </c>
      <c r="BT151" s="3">
        <v>1</v>
      </c>
      <c r="BU151" s="3">
        <v>1</v>
      </c>
      <c r="BV151" s="3">
        <v>1</v>
      </c>
      <c r="BW151" s="3">
        <v>1</v>
      </c>
      <c r="BX151" s="3">
        <v>1</v>
      </c>
      <c r="BY151" s="3" t="s">
        <v>3</v>
      </c>
      <c r="BZ151" s="3">
        <v>90</v>
      </c>
      <c r="CA151" s="3">
        <v>46</v>
      </c>
      <c r="CB151" s="3" t="s">
        <v>3</v>
      </c>
      <c r="CE151" s="3">
        <v>1566</v>
      </c>
      <c r="CF151" s="3">
        <v>0</v>
      </c>
      <c r="CG151" s="3">
        <v>0</v>
      </c>
      <c r="CM151" s="3">
        <v>0</v>
      </c>
      <c r="CN151" s="3" t="s">
        <v>614</v>
      </c>
      <c r="CO151" s="3">
        <v>0</v>
      </c>
      <c r="CP151" s="3">
        <f t="shared" si="105"/>
        <v>33424.57</v>
      </c>
      <c r="CQ151" s="3">
        <f t="shared" si="106"/>
        <v>205.95</v>
      </c>
      <c r="CR151" s="3">
        <f>(ROUND((ROUND((((ET151*1.2))*AV151*1),2)*BB151),2)+ROUND((ROUND(((AE151-((EU151*1.2)))*AV151*1),2)*BS151),2))</f>
        <v>1.48</v>
      </c>
      <c r="CS151" s="3">
        <f>(ROUND((ROUND((((EU151*1.2))*AV151*1),2)*BS151),2)+ROUND((ROUND(((AE151-((EU151*1.2)))*AV151*1),2)*BS151),2))</f>
        <v>0.56000000000000005</v>
      </c>
      <c r="CT151" s="3">
        <f t="shared" si="107"/>
        <v>10934.15</v>
      </c>
      <c r="CU151" s="3">
        <f t="shared" si="108"/>
        <v>0</v>
      </c>
      <c r="CV151" s="3">
        <f t="shared" si="109"/>
        <v>14.699879999999999</v>
      </c>
      <c r="CW151" s="3">
        <f t="shared" si="110"/>
        <v>0</v>
      </c>
      <c r="CX151" s="3">
        <f t="shared" si="111"/>
        <v>0</v>
      </c>
      <c r="CY151" s="3">
        <f>(ROUND((((S151+ROUND((ROUND((((EU151*1.2))*AV151*1),2)*BS151),2))*AT151)/100),2)+ROUND(((ROUND((ROUND(((AE151-((EU151*1.2)))*AV151*1),2)*BS151),2)*AT151)/100),2))</f>
        <v>29522.720000000001</v>
      </c>
      <c r="CZ151" s="3">
        <f>(ROUND((((S151+ROUND((ROUND((((EU151*1.2))*AV151*1),2)*BS151),2))*AU151)/100),2)+ROUND(((ROUND((ROUND(((AE151-((EU151*1.2)))*AV151*1),2)*BS151),2)*AU151)/100),2))</f>
        <v>15089.39</v>
      </c>
      <c r="DB151" s="3">
        <v>88</v>
      </c>
      <c r="DC151" s="3" t="s">
        <v>3</v>
      </c>
      <c r="DD151" s="3" t="s">
        <v>104</v>
      </c>
      <c r="DE151" s="3" t="s">
        <v>105</v>
      </c>
      <c r="DF151" s="3" t="s">
        <v>105</v>
      </c>
      <c r="DG151" s="3" t="s">
        <v>105</v>
      </c>
      <c r="DH151" s="3" t="s">
        <v>3</v>
      </c>
      <c r="DI151" s="3" t="s">
        <v>105</v>
      </c>
      <c r="DJ151" s="3" t="s">
        <v>105</v>
      </c>
      <c r="DK151" s="3" t="s">
        <v>3</v>
      </c>
      <c r="DL151" s="3" t="s">
        <v>3</v>
      </c>
      <c r="DM151" s="3" t="s">
        <v>3</v>
      </c>
      <c r="DN151" s="3">
        <v>0</v>
      </c>
      <c r="DO151" s="3">
        <v>0</v>
      </c>
      <c r="DP151" s="3">
        <v>1</v>
      </c>
      <c r="DQ151" s="3">
        <v>1</v>
      </c>
      <c r="DU151" s="3">
        <v>1013</v>
      </c>
      <c r="DV151" s="3" t="s">
        <v>26</v>
      </c>
      <c r="DW151" s="3" t="s">
        <v>26</v>
      </c>
      <c r="DX151" s="3">
        <v>1</v>
      </c>
      <c r="DZ151" s="3" t="s">
        <v>3</v>
      </c>
      <c r="EA151" s="3" t="s">
        <v>3</v>
      </c>
      <c r="EB151" s="3" t="s">
        <v>3</v>
      </c>
      <c r="EC151" s="3" t="s">
        <v>3</v>
      </c>
      <c r="EE151" s="3">
        <v>57042958</v>
      </c>
      <c r="EF151" s="3">
        <v>40</v>
      </c>
      <c r="EG151" s="3" t="s">
        <v>30</v>
      </c>
      <c r="EH151" s="3">
        <v>0</v>
      </c>
      <c r="EI151" s="3" t="s">
        <v>3</v>
      </c>
      <c r="EJ151" s="3">
        <v>2</v>
      </c>
      <c r="EK151" s="3">
        <v>68</v>
      </c>
      <c r="EL151" s="3" t="s">
        <v>38</v>
      </c>
      <c r="EM151" s="3" t="s">
        <v>39</v>
      </c>
      <c r="EO151" s="3" t="s">
        <v>109</v>
      </c>
      <c r="EQ151" s="3">
        <v>132096</v>
      </c>
      <c r="ER151" s="3">
        <v>175.43</v>
      </c>
      <c r="ES151" s="3">
        <v>20.93</v>
      </c>
      <c r="ET151" s="3">
        <v>0.06</v>
      </c>
      <c r="EU151" s="3">
        <v>0.01</v>
      </c>
      <c r="EV151" s="3">
        <v>154.44</v>
      </c>
      <c r="EW151" s="3">
        <v>11.7</v>
      </c>
      <c r="EX151" s="3">
        <v>0</v>
      </c>
      <c r="EY151" s="3">
        <v>0</v>
      </c>
      <c r="FQ151" s="3">
        <v>0</v>
      </c>
      <c r="FR151" s="3">
        <v>0</v>
      </c>
      <c r="FS151" s="3">
        <v>0</v>
      </c>
      <c r="FX151" s="3">
        <v>90</v>
      </c>
      <c r="FY151" s="3">
        <v>46</v>
      </c>
      <c r="GA151" s="3" t="s">
        <v>3</v>
      </c>
      <c r="GD151" s="3">
        <v>1</v>
      </c>
      <c r="GF151" s="3">
        <v>755325265</v>
      </c>
      <c r="GG151" s="3">
        <v>2</v>
      </c>
      <c r="GH151" s="3">
        <v>1</v>
      </c>
      <c r="GI151" s="3">
        <v>2</v>
      </c>
      <c r="GJ151" s="3">
        <v>0</v>
      </c>
      <c r="GK151" s="3">
        <v>0</v>
      </c>
      <c r="GL151" s="3">
        <f t="shared" si="112"/>
        <v>0</v>
      </c>
      <c r="GM151" s="3">
        <f t="shared" si="113"/>
        <v>78038.98</v>
      </c>
      <c r="GN151" s="3">
        <f t="shared" si="114"/>
        <v>0</v>
      </c>
      <c r="GO151" s="3">
        <f t="shared" si="115"/>
        <v>78038.98</v>
      </c>
      <c r="GP151" s="3">
        <f t="shared" si="116"/>
        <v>0</v>
      </c>
      <c r="GR151" s="3">
        <v>0</v>
      </c>
      <c r="GS151" s="3">
        <v>3</v>
      </c>
      <c r="GT151" s="3">
        <v>0</v>
      </c>
      <c r="GU151" s="3" t="s">
        <v>3</v>
      </c>
      <c r="GV151" s="3">
        <f t="shared" si="117"/>
        <v>0</v>
      </c>
      <c r="GW151" s="3">
        <v>1</v>
      </c>
      <c r="GX151" s="3">
        <f t="shared" si="118"/>
        <v>0</v>
      </c>
      <c r="HA151" s="3">
        <v>0</v>
      </c>
      <c r="HB151" s="3">
        <v>0</v>
      </c>
      <c r="HC151" s="3">
        <f t="shared" si="119"/>
        <v>0</v>
      </c>
      <c r="HE151" s="3" t="s">
        <v>3</v>
      </c>
      <c r="HF151" s="3" t="s">
        <v>3</v>
      </c>
      <c r="HM151" s="3" t="s">
        <v>3</v>
      </c>
      <c r="HN151" s="3" t="s">
        <v>3</v>
      </c>
      <c r="HO151" s="3" t="s">
        <v>3</v>
      </c>
      <c r="HP151" s="3" t="s">
        <v>3</v>
      </c>
      <c r="HQ151" s="3" t="s">
        <v>3</v>
      </c>
      <c r="HS151" s="3">
        <v>0</v>
      </c>
      <c r="IK151" s="3">
        <v>0</v>
      </c>
    </row>
    <row r="152" spans="1:255" x14ac:dyDescent="0.25">
      <c r="A152" s="2">
        <v>18</v>
      </c>
      <c r="B152" s="2">
        <v>1</v>
      </c>
      <c r="C152" s="2">
        <v>118</v>
      </c>
      <c r="D152" s="2"/>
      <c r="E152" s="2" t="s">
        <v>3</v>
      </c>
      <c r="F152" s="2" t="s">
        <v>196</v>
      </c>
      <c r="G152" s="2" t="s">
        <v>190</v>
      </c>
      <c r="H152" s="2" t="s">
        <v>177</v>
      </c>
      <c r="I152" s="2">
        <f>I150*J152</f>
        <v>3</v>
      </c>
      <c r="J152" s="2">
        <v>1</v>
      </c>
      <c r="K152" s="2">
        <v>1</v>
      </c>
      <c r="L152" s="2"/>
      <c r="M152" s="2"/>
      <c r="N152" s="2"/>
      <c r="O152" s="2">
        <f t="shared" si="95"/>
        <v>14553.24</v>
      </c>
      <c r="P152" s="2">
        <f>ROUND((ROUND((AC152*I152),2)*BC152),2)</f>
        <v>14553.24</v>
      </c>
      <c r="Q152" s="2">
        <f>(ROUND((ROUND(((ET152)*AV152*I152),2)*BB152),2)+ROUND((ROUND(((AE152-(EU152))*AV152*I152),2)*BS152),2))</f>
        <v>0</v>
      </c>
      <c r="R152" s="2">
        <f>(ROUND((ROUND(((EU152)*AV152*I152),2)*BS152),2)+ROUND((ROUND(((AE152-(EU152))*AV152*I152),2)*BS152),2))</f>
        <v>0</v>
      </c>
      <c r="S152" s="2">
        <f t="shared" si="97"/>
        <v>0</v>
      </c>
      <c r="T152" s="2">
        <f t="shared" si="98"/>
        <v>0</v>
      </c>
      <c r="U152" s="2">
        <f t="shared" si="99"/>
        <v>0</v>
      </c>
      <c r="V152" s="2">
        <f t="shared" si="100"/>
        <v>0</v>
      </c>
      <c r="W152" s="2">
        <f t="shared" si="101"/>
        <v>0</v>
      </c>
      <c r="X152" s="2">
        <f>(ROUND((((S152+ROUND((ROUND(((EU152)*AV152*I152),2)*BS152),2))*AT152)/100),2)+ROUND(((ROUND((ROUND(((AE152-(EU152))*AV152*I152),2)*BS152),2)*AT152)/100),2))</f>
        <v>0</v>
      </c>
      <c r="Y152" s="2">
        <f>(ROUND((((S152+ROUND((ROUND(((EU152)*AV152*I152),2)*BS152),2))*AU152)/100),2)+ROUND(((ROUND((ROUND(((AE152-(EU152))*AV152*I152),2)*BS152),2)*AU152)/100),2))</f>
        <v>0</v>
      </c>
      <c r="Z152" s="2"/>
      <c r="AA152" s="2">
        <v>-1</v>
      </c>
      <c r="AB152" s="2">
        <f t="shared" si="102"/>
        <v>4851.08</v>
      </c>
      <c r="AC152" s="2">
        <f>ROUND((ES152),6)</f>
        <v>4851.08</v>
      </c>
      <c r="AD152" s="2">
        <f>ROUND((((ET152)-(EU152))+AE152),6)</f>
        <v>0</v>
      </c>
      <c r="AE152" s="2">
        <f>ROUND((EU152),6)</f>
        <v>0</v>
      </c>
      <c r="AF152" s="2">
        <f>ROUND((EV152),6)</f>
        <v>0</v>
      </c>
      <c r="AG152" s="2">
        <f t="shared" si="103"/>
        <v>0</v>
      </c>
      <c r="AH152" s="2">
        <f>(EW152)</f>
        <v>0</v>
      </c>
      <c r="AI152" s="2">
        <f>(EX152)</f>
        <v>0</v>
      </c>
      <c r="AJ152" s="2">
        <f t="shared" si="104"/>
        <v>0</v>
      </c>
      <c r="AK152" s="2">
        <v>4851.08</v>
      </c>
      <c r="AL152" s="2">
        <v>4851.08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1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3</v>
      </c>
      <c r="BI152" s="2">
        <v>3</v>
      </c>
      <c r="BJ152" s="2" t="s">
        <v>3</v>
      </c>
      <c r="BK152" s="2"/>
      <c r="BL152" s="2"/>
      <c r="BM152" s="2">
        <v>746</v>
      </c>
      <c r="BN152" s="2">
        <v>0</v>
      </c>
      <c r="BO152" s="2" t="s">
        <v>3</v>
      </c>
      <c r="BP152" s="2">
        <v>0</v>
      </c>
      <c r="BQ152" s="2">
        <v>130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90</v>
      </c>
      <c r="CA152" s="2">
        <v>46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615</v>
      </c>
      <c r="CO152" s="2">
        <v>0</v>
      </c>
      <c r="CP152" s="2">
        <f t="shared" si="105"/>
        <v>14553.24</v>
      </c>
      <c r="CQ152" s="2">
        <f>ROUND((ROUND((AC152*1),2)*BC152),2)</f>
        <v>4851.08</v>
      </c>
      <c r="CR152" s="2">
        <f>(ROUND((ROUND(((ET152)*AV152*1),2)*BB152),2)+ROUND((ROUND(((AE152-(EU152))*AV152*1),2)*BS152),2))</f>
        <v>0</v>
      </c>
      <c r="CS152" s="2">
        <f>(ROUND((ROUND(((EU152)*AV152*1),2)*BS152),2)+ROUND((ROUND(((AE152-(EU152))*AV152*1),2)*BS152),2))</f>
        <v>0</v>
      </c>
      <c r="CT152" s="2">
        <f t="shared" si="107"/>
        <v>0</v>
      </c>
      <c r="CU152" s="2">
        <f t="shared" si="108"/>
        <v>0</v>
      </c>
      <c r="CV152" s="2">
        <f t="shared" si="109"/>
        <v>0</v>
      </c>
      <c r="CW152" s="2">
        <f t="shared" si="110"/>
        <v>0</v>
      </c>
      <c r="CX152" s="2">
        <f t="shared" si="111"/>
        <v>0</v>
      </c>
      <c r="CY152" s="2">
        <f>(ROUND((((S152+ROUND((ROUND(((EU152)*AV152*1),2)*BS152),2))*AT152)/100),2)+ROUND(((ROUND((ROUND(((AE152-(EU152))*AV152*1),2)*BS152),2)*AT152)/100),2))</f>
        <v>0</v>
      </c>
      <c r="CZ152" s="2">
        <f>(ROUND((((S152+ROUND((ROUND(((EU152)*AV152*1),2)*BS152),2))*AU152)/100),2)+ROUND(((ROUND((ROUND(((AE152-(EU152))*AV152*1),2)*BS152),2)*AU152)/100),2))</f>
        <v>0</v>
      </c>
      <c r="DA152" s="2"/>
      <c r="DB152" s="2"/>
      <c r="DC152" s="2" t="s">
        <v>3</v>
      </c>
      <c r="DD152" s="2" t="s">
        <v>3</v>
      </c>
      <c r="DE152" s="2" t="s">
        <v>3</v>
      </c>
      <c r="DF152" s="2" t="s">
        <v>3</v>
      </c>
      <c r="DG152" s="2" t="s">
        <v>3</v>
      </c>
      <c r="DH152" s="2" t="s">
        <v>3</v>
      </c>
      <c r="DI152" s="2" t="s">
        <v>3</v>
      </c>
      <c r="DJ152" s="2" t="s">
        <v>3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1010</v>
      </c>
      <c r="DV152" s="2" t="s">
        <v>177</v>
      </c>
      <c r="DW152" s="2" t="s">
        <v>177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57043064</v>
      </c>
      <c r="EF152" s="2">
        <v>130</v>
      </c>
      <c r="EG152" s="2" t="s">
        <v>178</v>
      </c>
      <c r="EH152" s="2">
        <v>0</v>
      </c>
      <c r="EI152" s="2" t="s">
        <v>3</v>
      </c>
      <c r="EJ152" s="2">
        <v>3</v>
      </c>
      <c r="EK152" s="2">
        <v>746</v>
      </c>
      <c r="EL152" s="2" t="s">
        <v>179</v>
      </c>
      <c r="EM152" s="2" t="s">
        <v>180</v>
      </c>
      <c r="EN152" s="2"/>
      <c r="EO152" s="2" t="s">
        <v>109</v>
      </c>
      <c r="EP152" s="2"/>
      <c r="EQ152" s="2">
        <v>2098176</v>
      </c>
      <c r="ER152" s="2">
        <v>0</v>
      </c>
      <c r="ES152" s="2">
        <v>4851.08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f>P152</f>
        <v>14553.24</v>
      </c>
      <c r="FS152" s="2">
        <v>0</v>
      </c>
      <c r="FT152" s="2"/>
      <c r="FU152" s="2"/>
      <c r="FV152" s="2"/>
      <c r="FW152" s="2"/>
      <c r="FX152" s="2">
        <v>90</v>
      </c>
      <c r="FY152" s="2">
        <v>46</v>
      </c>
      <c r="FZ152" s="2"/>
      <c r="GA152" s="2" t="s">
        <v>194</v>
      </c>
      <c r="GB152" s="2"/>
      <c r="GC152" s="2"/>
      <c r="GD152" s="2">
        <v>1</v>
      </c>
      <c r="GE152" s="2"/>
      <c r="GF152" s="2">
        <v>1774655885</v>
      </c>
      <c r="GG152" s="2">
        <v>2</v>
      </c>
      <c r="GH152" s="2">
        <v>4</v>
      </c>
      <c r="GI152" s="2">
        <v>-2</v>
      </c>
      <c r="GJ152" s="2">
        <v>0</v>
      </c>
      <c r="GK152" s="2">
        <v>0</v>
      </c>
      <c r="GL152" s="2">
        <f t="shared" si="112"/>
        <v>0</v>
      </c>
      <c r="GM152" s="2">
        <f t="shared" si="113"/>
        <v>14553.24</v>
      </c>
      <c r="GN152" s="2">
        <f t="shared" si="114"/>
        <v>0</v>
      </c>
      <c r="GO152" s="2">
        <f t="shared" si="115"/>
        <v>0</v>
      </c>
      <c r="GP152" s="2">
        <f t="shared" si="116"/>
        <v>0</v>
      </c>
      <c r="GQ152" s="2"/>
      <c r="GR152" s="2">
        <v>0</v>
      </c>
      <c r="GS152" s="2">
        <v>2</v>
      </c>
      <c r="GT152" s="2">
        <v>0</v>
      </c>
      <c r="GU152" s="2" t="s">
        <v>3</v>
      </c>
      <c r="GV152" s="2">
        <f t="shared" si="117"/>
        <v>0</v>
      </c>
      <c r="GW152" s="2">
        <v>1</v>
      </c>
      <c r="GX152" s="2">
        <f t="shared" si="118"/>
        <v>0</v>
      </c>
      <c r="GY152" s="2"/>
      <c r="GZ152" s="2"/>
      <c r="HA152" s="2">
        <v>0</v>
      </c>
      <c r="HB152" s="2">
        <v>0</v>
      </c>
      <c r="HC152" s="2">
        <f t="shared" si="119"/>
        <v>0</v>
      </c>
      <c r="HD152" s="2"/>
      <c r="HE152" s="2" t="s">
        <v>40</v>
      </c>
      <c r="HF152" s="2" t="s">
        <v>182</v>
      </c>
      <c r="HG152" s="2"/>
      <c r="HH152" s="2"/>
      <c r="HI152" s="2"/>
      <c r="HJ152" s="2"/>
      <c r="HK152" s="2"/>
      <c r="HL152" s="2"/>
      <c r="HM152" s="2" t="s">
        <v>104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5">
      <c r="A153" s="3">
        <v>18</v>
      </c>
      <c r="B153" s="3">
        <v>1</v>
      </c>
      <c r="C153" s="3">
        <v>120</v>
      </c>
      <c r="E153" s="3" t="s">
        <v>3</v>
      </c>
      <c r="F153" s="3" t="s">
        <v>196</v>
      </c>
      <c r="G153" s="3" t="s">
        <v>190</v>
      </c>
      <c r="H153" s="3" t="s">
        <v>177</v>
      </c>
      <c r="I153" s="3">
        <f>I151*J153</f>
        <v>3</v>
      </c>
      <c r="J153" s="3">
        <v>1</v>
      </c>
      <c r="K153" s="3">
        <v>1</v>
      </c>
      <c r="O153" s="3">
        <f t="shared" si="95"/>
        <v>110168.03</v>
      </c>
      <c r="P153" s="3">
        <f>ROUND((ROUND((AC153*I153),2)*BC153),2)</f>
        <v>110168.03</v>
      </c>
      <c r="Q153" s="3">
        <f>(ROUND((ROUND(((ET153)*AV153*I153),2)*BB153),2)+ROUND((ROUND(((AE153-(EU153))*AV153*I153),2)*BS153),2))</f>
        <v>0</v>
      </c>
      <c r="R153" s="3">
        <f>(ROUND((ROUND(((EU153)*AV153*I153),2)*BS153),2)+ROUND((ROUND(((AE153-(EU153))*AV153*I153),2)*BS153),2))</f>
        <v>0</v>
      </c>
      <c r="S153" s="3">
        <f t="shared" si="97"/>
        <v>0</v>
      </c>
      <c r="T153" s="3">
        <f t="shared" si="98"/>
        <v>0</v>
      </c>
      <c r="U153" s="3">
        <f t="shared" si="99"/>
        <v>0</v>
      </c>
      <c r="V153" s="3">
        <f t="shared" si="100"/>
        <v>0</v>
      </c>
      <c r="W153" s="3">
        <f t="shared" si="101"/>
        <v>0</v>
      </c>
      <c r="X153" s="3">
        <f>(ROUND((((S153+ROUND((ROUND(((EU153)*AV153*I153),2)*BS153),2))*AT153)/100),2)+ROUND(((ROUND((ROUND(((AE153-(EU153))*AV153*I153),2)*BS153),2)*AT153)/100),2))</f>
        <v>0</v>
      </c>
      <c r="Y153" s="3">
        <f>(ROUND((((S153+ROUND((ROUND(((EU153)*AV153*I153),2)*BS153),2))*AU153)/100),2)+ROUND(((ROUND((ROUND(((AE153-(EU153))*AV153*I153),2)*BS153),2)*AU153)/100),2))</f>
        <v>0</v>
      </c>
      <c r="AA153" s="3">
        <v>-1</v>
      </c>
      <c r="AB153" s="3">
        <f t="shared" si="102"/>
        <v>4851.08</v>
      </c>
      <c r="AC153" s="3">
        <f>ROUND((ES153),6)</f>
        <v>4851.08</v>
      </c>
      <c r="AD153" s="3">
        <f>ROUND((((ET153)-(EU153))+AE153),6)</f>
        <v>0</v>
      </c>
      <c r="AE153" s="3">
        <f>ROUND((EU153),6)</f>
        <v>0</v>
      </c>
      <c r="AF153" s="3">
        <f>ROUND((EV153),6)</f>
        <v>0</v>
      </c>
      <c r="AG153" s="3">
        <f t="shared" si="103"/>
        <v>0</v>
      </c>
      <c r="AH153" s="3">
        <f>(EW153)</f>
        <v>0</v>
      </c>
      <c r="AI153" s="3">
        <f>(EX153)</f>
        <v>0</v>
      </c>
      <c r="AJ153" s="3">
        <f t="shared" si="104"/>
        <v>0</v>
      </c>
      <c r="AK153" s="3">
        <v>4851.08</v>
      </c>
      <c r="AL153" s="3">
        <v>4851.08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1</v>
      </c>
      <c r="AW153" s="3">
        <v>1</v>
      </c>
      <c r="AZ153" s="3">
        <v>1</v>
      </c>
      <c r="BA153" s="3">
        <v>1</v>
      </c>
      <c r="BB153" s="3">
        <v>1</v>
      </c>
      <c r="BC153" s="3">
        <v>7.57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3</v>
      </c>
      <c r="BI153" s="3">
        <v>3</v>
      </c>
      <c r="BJ153" s="3" t="s">
        <v>3</v>
      </c>
      <c r="BM153" s="3">
        <v>746</v>
      </c>
      <c r="BN153" s="3">
        <v>0</v>
      </c>
      <c r="BO153" s="3" t="s">
        <v>3</v>
      </c>
      <c r="BP153" s="3">
        <v>0</v>
      </c>
      <c r="BQ153" s="3">
        <v>130</v>
      </c>
      <c r="BR153" s="3">
        <v>0</v>
      </c>
      <c r="BS153" s="3">
        <v>1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90</v>
      </c>
      <c r="CA153" s="3">
        <v>46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615</v>
      </c>
      <c r="CO153" s="3">
        <v>0</v>
      </c>
      <c r="CP153" s="3">
        <f t="shared" si="105"/>
        <v>110168.03</v>
      </c>
      <c r="CQ153" s="3">
        <f>ROUND((ROUND((AC153*1),2)*BC153),2)</f>
        <v>36722.68</v>
      </c>
      <c r="CR153" s="3">
        <f>(ROUND((ROUND(((ET153)*AV153*1),2)*BB153),2)+ROUND((ROUND(((AE153-(EU153))*AV153*1),2)*BS153),2))</f>
        <v>0</v>
      </c>
      <c r="CS153" s="3">
        <f>(ROUND((ROUND(((EU153)*AV153*1),2)*BS153),2)+ROUND((ROUND(((AE153-(EU153))*AV153*1),2)*BS153),2))</f>
        <v>0</v>
      </c>
      <c r="CT153" s="3">
        <f t="shared" si="107"/>
        <v>0</v>
      </c>
      <c r="CU153" s="3">
        <f t="shared" si="108"/>
        <v>0</v>
      </c>
      <c r="CV153" s="3">
        <f t="shared" si="109"/>
        <v>0</v>
      </c>
      <c r="CW153" s="3">
        <f t="shared" si="110"/>
        <v>0</v>
      </c>
      <c r="CX153" s="3">
        <f t="shared" si="111"/>
        <v>0</v>
      </c>
      <c r="CY153" s="3">
        <f>(ROUND((((S153+ROUND((ROUND(((EU153)*AV153*1),2)*BS153),2))*AT153)/100),2)+ROUND(((ROUND((ROUND(((AE153-(EU153))*AV153*1),2)*BS153),2)*AT153)/100),2))</f>
        <v>0</v>
      </c>
      <c r="CZ153" s="3">
        <f>(ROUND((((S153+ROUND((ROUND(((EU153)*AV153*1),2)*BS153),2))*AU153)/100),2)+ROUND(((ROUND((ROUND(((AE153-(EU153))*AV153*1),2)*BS153),2)*AU153)/100),2))</f>
        <v>0</v>
      </c>
      <c r="DC153" s="3" t="s">
        <v>3</v>
      </c>
      <c r="DD153" s="3" t="s">
        <v>3</v>
      </c>
      <c r="DE153" s="3" t="s">
        <v>3</v>
      </c>
      <c r="DF153" s="3" t="s">
        <v>3</v>
      </c>
      <c r="DG153" s="3" t="s">
        <v>3</v>
      </c>
      <c r="DH153" s="3" t="s">
        <v>3</v>
      </c>
      <c r="DI153" s="3" t="s">
        <v>3</v>
      </c>
      <c r="DJ153" s="3" t="s">
        <v>3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1010</v>
      </c>
      <c r="DV153" s="3" t="s">
        <v>177</v>
      </c>
      <c r="DW153" s="3" t="s">
        <v>177</v>
      </c>
      <c r="DX153" s="3">
        <v>1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57043064</v>
      </c>
      <c r="EF153" s="3">
        <v>130</v>
      </c>
      <c r="EG153" s="3" t="s">
        <v>178</v>
      </c>
      <c r="EH153" s="3">
        <v>0</v>
      </c>
      <c r="EI153" s="3" t="s">
        <v>3</v>
      </c>
      <c r="EJ153" s="3">
        <v>3</v>
      </c>
      <c r="EK153" s="3">
        <v>746</v>
      </c>
      <c r="EL153" s="3" t="s">
        <v>179</v>
      </c>
      <c r="EM153" s="3" t="s">
        <v>180</v>
      </c>
      <c r="EO153" s="3" t="s">
        <v>109</v>
      </c>
      <c r="EQ153" s="3">
        <v>2098176</v>
      </c>
      <c r="ER153" s="3">
        <v>4851.08</v>
      </c>
      <c r="ES153" s="3">
        <v>4851.08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Z153" s="3">
        <v>5</v>
      </c>
      <c r="FC153" s="3">
        <v>1</v>
      </c>
      <c r="FD153" s="3">
        <v>18</v>
      </c>
      <c r="FF153" s="3">
        <v>42981</v>
      </c>
      <c r="FQ153" s="3">
        <v>0</v>
      </c>
      <c r="FR153" s="3">
        <f>P153</f>
        <v>110168.03</v>
      </c>
      <c r="FS153" s="3">
        <v>0</v>
      </c>
      <c r="FX153" s="3">
        <v>90</v>
      </c>
      <c r="FY153" s="3">
        <v>46</v>
      </c>
      <c r="GA153" s="3" t="s">
        <v>194</v>
      </c>
      <c r="GD153" s="3">
        <v>1</v>
      </c>
      <c r="GF153" s="3">
        <v>1774655885</v>
      </c>
      <c r="GG153" s="3">
        <v>2</v>
      </c>
      <c r="GH153" s="3">
        <v>3</v>
      </c>
      <c r="GI153" s="3">
        <v>5</v>
      </c>
      <c r="GJ153" s="3">
        <v>0</v>
      </c>
      <c r="GK153" s="3">
        <v>0</v>
      </c>
      <c r="GL153" s="3">
        <f t="shared" si="112"/>
        <v>0</v>
      </c>
      <c r="GM153" s="3">
        <f t="shared" si="113"/>
        <v>110168.03</v>
      </c>
      <c r="GN153" s="3">
        <f t="shared" si="114"/>
        <v>0</v>
      </c>
      <c r="GO153" s="3">
        <f t="shared" si="115"/>
        <v>0</v>
      </c>
      <c r="GP153" s="3">
        <f t="shared" si="116"/>
        <v>0</v>
      </c>
      <c r="GR153" s="3">
        <v>1</v>
      </c>
      <c r="GS153" s="3">
        <v>1</v>
      </c>
      <c r="GT153" s="3">
        <v>0</v>
      </c>
      <c r="GU153" s="3" t="s">
        <v>3</v>
      </c>
      <c r="GV153" s="3">
        <f t="shared" si="117"/>
        <v>0</v>
      </c>
      <c r="GW153" s="3">
        <v>1</v>
      </c>
      <c r="GX153" s="3">
        <f t="shared" si="118"/>
        <v>0</v>
      </c>
      <c r="HA153" s="3">
        <v>0</v>
      </c>
      <c r="HB153" s="3">
        <v>0</v>
      </c>
      <c r="HC153" s="3">
        <f t="shared" si="119"/>
        <v>0</v>
      </c>
      <c r="HE153" s="3" t="s">
        <v>40</v>
      </c>
      <c r="HF153" s="3" t="s">
        <v>182</v>
      </c>
      <c r="HM153" s="3" t="s">
        <v>104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4" spans="1:255" x14ac:dyDescent="0.25">
      <c r="A154" s="2">
        <v>17</v>
      </c>
      <c r="B154" s="2">
        <v>1</v>
      </c>
      <c r="C154" s="2">
        <f>ROW(SmtRes!A125)</f>
        <v>125</v>
      </c>
      <c r="D154" s="2">
        <f>ROW(EtalonRes!A155)</f>
        <v>155</v>
      </c>
      <c r="E154" s="2" t="s">
        <v>197</v>
      </c>
      <c r="F154" s="2" t="s">
        <v>41</v>
      </c>
      <c r="G154" s="2" t="s">
        <v>198</v>
      </c>
      <c r="H154" s="2" t="s">
        <v>26</v>
      </c>
      <c r="I154" s="2">
        <f>ROUND(1,9)</f>
        <v>1</v>
      </c>
      <c r="J154" s="2">
        <v>0</v>
      </c>
      <c r="K154" s="2">
        <f>ROUND(1,9)</f>
        <v>1</v>
      </c>
      <c r="L154" s="2"/>
      <c r="M154" s="2"/>
      <c r="N154" s="2"/>
      <c r="O154" s="2">
        <f t="shared" si="95"/>
        <v>44.39</v>
      </c>
      <c r="P154" s="2">
        <f>ROUND((ROUND((AC154*AW154*I154),2)*BC154),2)</f>
        <v>2.34</v>
      </c>
      <c r="Q154" s="2">
        <f>(ROUND((ROUND((((ET154*1.2))*AV154*I154),2)*BB154),2)+ROUND((ROUND(((AE154-((EU154*1.2)))*AV154*I154),2)*BS154),2))</f>
        <v>0</v>
      </c>
      <c r="R154" s="2">
        <f>(ROUND((ROUND((((EU154*1.2))*AV154*I154),2)*BS154),2)+ROUND((ROUND(((AE154-((EU154*1.2)))*AV154*I154),2)*BS154),2))</f>
        <v>0</v>
      </c>
      <c r="S154" s="2">
        <f t="shared" si="97"/>
        <v>42.05</v>
      </c>
      <c r="T154" s="2">
        <f t="shared" si="98"/>
        <v>0</v>
      </c>
      <c r="U154" s="2">
        <f t="shared" si="99"/>
        <v>3.3294599999999996</v>
      </c>
      <c r="V154" s="2">
        <f t="shared" si="100"/>
        <v>0</v>
      </c>
      <c r="W154" s="2">
        <f t="shared" si="101"/>
        <v>0</v>
      </c>
      <c r="X154" s="2">
        <f>(ROUND((((S154+ROUND((ROUND((((EU154*1.2))*AV154*I154),2)*BS154),2))*AT154)/100),2)+ROUND(((ROUND((ROUND(((AE154-((EU154*1.2)))*AV154*I154),2)*BS154),2)*AT154)/100),2))</f>
        <v>37.85</v>
      </c>
      <c r="Y154" s="2">
        <f>(ROUND((((S154+ROUND((ROUND((((EU154*1.2))*AV154*I154),2)*BS154),2))*AU154)/100),2)+ROUND(((ROUND((ROUND(((AE154-((EU154*1.2)))*AV154*I154),2)*BS154),2)*AU154)/100),2))</f>
        <v>19.34</v>
      </c>
      <c r="Z154" s="2"/>
      <c r="AA154" s="2">
        <v>57034452</v>
      </c>
      <c r="AB154" s="2">
        <f t="shared" si="102"/>
        <v>42.503999999999998</v>
      </c>
      <c r="AC154" s="2">
        <f>ROUND(((ES154*1)),6)</f>
        <v>2.34</v>
      </c>
      <c r="AD154" s="2">
        <f>ROUND(((((ET154*1.2))-((EU154*1.2)))+AE154),6)</f>
        <v>0</v>
      </c>
      <c r="AE154" s="2">
        <f>ROUND(((EU154*1.2)),6)</f>
        <v>0</v>
      </c>
      <c r="AF154" s="2">
        <f>ROUND(((EV154*1.2)),6)</f>
        <v>40.164000000000001</v>
      </c>
      <c r="AG154" s="2">
        <f t="shared" si="103"/>
        <v>0</v>
      </c>
      <c r="AH154" s="2">
        <f>((EW154*1.2))</f>
        <v>3.1799999999999997</v>
      </c>
      <c r="AI154" s="2">
        <f>((EX154*1.2))</f>
        <v>0</v>
      </c>
      <c r="AJ154" s="2">
        <f t="shared" si="104"/>
        <v>0</v>
      </c>
      <c r="AK154" s="2">
        <v>35.81</v>
      </c>
      <c r="AL154" s="2">
        <v>2.34</v>
      </c>
      <c r="AM154" s="2">
        <v>0</v>
      </c>
      <c r="AN154" s="2">
        <v>0</v>
      </c>
      <c r="AO154" s="2">
        <v>33.47</v>
      </c>
      <c r="AP154" s="2">
        <v>0</v>
      </c>
      <c r="AQ154" s="2">
        <v>2.65</v>
      </c>
      <c r="AR154" s="2">
        <v>0</v>
      </c>
      <c r="AS154" s="2">
        <v>0</v>
      </c>
      <c r="AT154" s="2">
        <v>90</v>
      </c>
      <c r="AU154" s="2">
        <v>46</v>
      </c>
      <c r="AV154" s="2">
        <v>1.0469999999999999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0</v>
      </c>
      <c r="BI154" s="2">
        <v>2</v>
      </c>
      <c r="BJ154" s="2" t="s">
        <v>43</v>
      </c>
      <c r="BK154" s="2"/>
      <c r="BL154" s="2"/>
      <c r="BM154" s="2">
        <v>68</v>
      </c>
      <c r="BN154" s="2">
        <v>0</v>
      </c>
      <c r="BO154" s="2" t="s">
        <v>41</v>
      </c>
      <c r="BP154" s="2">
        <v>1</v>
      </c>
      <c r="BQ154" s="2">
        <v>40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90</v>
      </c>
      <c r="CA154" s="2">
        <v>46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614</v>
      </c>
      <c r="CO154" s="2">
        <v>0</v>
      </c>
      <c r="CP154" s="2">
        <f t="shared" si="105"/>
        <v>44.39</v>
      </c>
      <c r="CQ154" s="2">
        <f>ROUND((ROUND((AC154*AW154*1),2)*BC154),2)</f>
        <v>2.34</v>
      </c>
      <c r="CR154" s="2">
        <f>(ROUND((ROUND((((ET154*1.2))*AV154*1),2)*BB154),2)+ROUND((ROUND(((AE154-((EU154*1.2)))*AV154*1),2)*BS154),2))</f>
        <v>0</v>
      </c>
      <c r="CS154" s="2">
        <f>(ROUND((ROUND((((EU154*1.2))*AV154*1),2)*BS154),2)+ROUND((ROUND(((AE154-((EU154*1.2)))*AV154*1),2)*BS154),2))</f>
        <v>0</v>
      </c>
      <c r="CT154" s="2">
        <f t="shared" si="107"/>
        <v>42.05</v>
      </c>
      <c r="CU154" s="2">
        <f t="shared" si="108"/>
        <v>0</v>
      </c>
      <c r="CV154" s="2">
        <f t="shared" si="109"/>
        <v>3.3294599999999996</v>
      </c>
      <c r="CW154" s="2">
        <f t="shared" si="110"/>
        <v>0</v>
      </c>
      <c r="CX154" s="2">
        <f t="shared" si="111"/>
        <v>0</v>
      </c>
      <c r="CY154" s="2">
        <f>(ROUND((((S154+ROUND((ROUND((((EU154*1.2))*AV154*1),2)*BS154),2))*AT154)/100),2)+ROUND(((ROUND((ROUND(((AE154-((EU154*1.2)))*AV154*1),2)*BS154),2)*AT154)/100),2))</f>
        <v>37.85</v>
      </c>
      <c r="CZ154" s="2">
        <f>(ROUND((((S154+ROUND((ROUND((((EU154*1.2))*AV154*1),2)*BS154),2))*AU154)/100),2)+ROUND(((ROUND((ROUND(((AE154-((EU154*1.2)))*AV154*1),2)*BS154),2)*AU154)/100),2))</f>
        <v>19.34</v>
      </c>
      <c r="DA154" s="2"/>
      <c r="DB154" s="2">
        <v>89</v>
      </c>
      <c r="DC154" s="2" t="s">
        <v>3</v>
      </c>
      <c r="DD154" s="2" t="s">
        <v>104</v>
      </c>
      <c r="DE154" s="2" t="s">
        <v>105</v>
      </c>
      <c r="DF154" s="2" t="s">
        <v>105</v>
      </c>
      <c r="DG154" s="2" t="s">
        <v>105</v>
      </c>
      <c r="DH154" s="2" t="s">
        <v>3</v>
      </c>
      <c r="DI154" s="2" t="s">
        <v>105</v>
      </c>
      <c r="DJ154" s="2" t="s">
        <v>105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1013</v>
      </c>
      <c r="DV154" s="2" t="s">
        <v>26</v>
      </c>
      <c r="DW154" s="2" t="s">
        <v>26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57042958</v>
      </c>
      <c r="EF154" s="2">
        <v>40</v>
      </c>
      <c r="EG154" s="2" t="s">
        <v>30</v>
      </c>
      <c r="EH154" s="2">
        <v>0</v>
      </c>
      <c r="EI154" s="2" t="s">
        <v>3</v>
      </c>
      <c r="EJ154" s="2">
        <v>2</v>
      </c>
      <c r="EK154" s="2">
        <v>68</v>
      </c>
      <c r="EL154" s="2" t="s">
        <v>38</v>
      </c>
      <c r="EM154" s="2" t="s">
        <v>39</v>
      </c>
      <c r="EN154" s="2"/>
      <c r="EO154" s="2" t="s">
        <v>109</v>
      </c>
      <c r="EP154" s="2"/>
      <c r="EQ154" s="2">
        <v>131072</v>
      </c>
      <c r="ER154" s="2">
        <v>35.81</v>
      </c>
      <c r="ES154" s="2">
        <v>2.34</v>
      </c>
      <c r="ET154" s="2">
        <v>0</v>
      </c>
      <c r="EU154" s="2">
        <v>0</v>
      </c>
      <c r="EV154" s="2">
        <v>33.47</v>
      </c>
      <c r="EW154" s="2">
        <v>2.65</v>
      </c>
      <c r="EX154" s="2">
        <v>0</v>
      </c>
      <c r="EY154" s="2">
        <v>0</v>
      </c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v>0</v>
      </c>
      <c r="FS154" s="2">
        <v>0</v>
      </c>
      <c r="FT154" s="2"/>
      <c r="FU154" s="2"/>
      <c r="FV154" s="2"/>
      <c r="FW154" s="2"/>
      <c r="FX154" s="2">
        <v>90</v>
      </c>
      <c r="FY154" s="2">
        <v>46</v>
      </c>
      <c r="FZ154" s="2"/>
      <c r="GA154" s="2" t="s">
        <v>3</v>
      </c>
      <c r="GB154" s="2"/>
      <c r="GC154" s="2"/>
      <c r="GD154" s="2">
        <v>1</v>
      </c>
      <c r="GE154" s="2"/>
      <c r="GF154" s="2">
        <v>1558984384</v>
      </c>
      <c r="GG154" s="2">
        <v>2</v>
      </c>
      <c r="GH154" s="2">
        <v>1</v>
      </c>
      <c r="GI154" s="2">
        <v>2</v>
      </c>
      <c r="GJ154" s="2">
        <v>0</v>
      </c>
      <c r="GK154" s="2">
        <v>0</v>
      </c>
      <c r="GL154" s="2">
        <f t="shared" si="112"/>
        <v>0</v>
      </c>
      <c r="GM154" s="2">
        <f t="shared" si="113"/>
        <v>101.58</v>
      </c>
      <c r="GN154" s="2">
        <f t="shared" si="114"/>
        <v>0</v>
      </c>
      <c r="GO154" s="2">
        <f t="shared" si="115"/>
        <v>101.58</v>
      </c>
      <c r="GP154" s="2">
        <f t="shared" si="116"/>
        <v>0</v>
      </c>
      <c r="GQ154" s="2"/>
      <c r="GR154" s="2">
        <v>0</v>
      </c>
      <c r="GS154" s="2">
        <v>3</v>
      </c>
      <c r="GT154" s="2">
        <v>0</v>
      </c>
      <c r="GU154" s="2" t="s">
        <v>3</v>
      </c>
      <c r="GV154" s="2">
        <f t="shared" si="117"/>
        <v>0</v>
      </c>
      <c r="GW154" s="2">
        <v>1</v>
      </c>
      <c r="GX154" s="2">
        <f t="shared" si="118"/>
        <v>0</v>
      </c>
      <c r="GY154" s="2"/>
      <c r="GZ154" s="2"/>
      <c r="HA154" s="2">
        <v>0</v>
      </c>
      <c r="HB154" s="2">
        <v>0</v>
      </c>
      <c r="HC154" s="2">
        <f t="shared" si="119"/>
        <v>0</v>
      </c>
      <c r="HD154" s="2"/>
      <c r="HE154" s="2" t="s">
        <v>3</v>
      </c>
      <c r="HF154" s="2" t="s">
        <v>3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5">
      <c r="A155" s="3">
        <v>17</v>
      </c>
      <c r="B155" s="3">
        <v>1</v>
      </c>
      <c r="C155" s="3">
        <f>ROW(SmtRes!A130)</f>
        <v>130</v>
      </c>
      <c r="D155" s="3">
        <f>ROW(EtalonRes!A160)</f>
        <v>160</v>
      </c>
      <c r="E155" s="3" t="s">
        <v>197</v>
      </c>
      <c r="F155" s="3" t="s">
        <v>41</v>
      </c>
      <c r="G155" s="3" t="s">
        <v>198</v>
      </c>
      <c r="H155" s="3" t="s">
        <v>26</v>
      </c>
      <c r="I155" s="3">
        <f>ROUND(1,9)</f>
        <v>1</v>
      </c>
      <c r="J155" s="3">
        <v>0</v>
      </c>
      <c r="K155" s="3">
        <f>ROUND(1,9)</f>
        <v>1</v>
      </c>
      <c r="O155" s="3">
        <f t="shared" si="95"/>
        <v>2393.48</v>
      </c>
      <c r="P155" s="3">
        <f>ROUND((ROUND((AC155*AW155*I155),2)*BC155),2)</f>
        <v>23.96</v>
      </c>
      <c r="Q155" s="3">
        <f>(ROUND((ROUND((((ET155*1.2))*AV155*I155),2)*BB155),2)+ROUND((ROUND(((AE155-((EU155*1.2)))*AV155*I155),2)*BS155),2))</f>
        <v>0</v>
      </c>
      <c r="R155" s="3">
        <f>(ROUND((ROUND((((EU155*1.2))*AV155*I155),2)*BS155),2)+ROUND((ROUND(((AE155-((EU155*1.2)))*AV155*I155),2)*BS155),2))</f>
        <v>0</v>
      </c>
      <c r="S155" s="3">
        <f t="shared" si="97"/>
        <v>2369.52</v>
      </c>
      <c r="T155" s="3">
        <f t="shared" si="98"/>
        <v>0</v>
      </c>
      <c r="U155" s="3">
        <f t="shared" si="99"/>
        <v>3.3294599999999996</v>
      </c>
      <c r="V155" s="3">
        <f t="shared" si="100"/>
        <v>0</v>
      </c>
      <c r="W155" s="3">
        <f t="shared" si="101"/>
        <v>0</v>
      </c>
      <c r="X155" s="3">
        <f>(ROUND((((S155+ROUND((ROUND((((EU155*1.2))*AV155*I155),2)*BS155),2))*AT155)/100),2)+ROUND(((ROUND((ROUND(((AE155-((EU155*1.2)))*AV155*I155),2)*BS155),2)*AT155)/100),2))</f>
        <v>2132.5700000000002</v>
      </c>
      <c r="Y155" s="3">
        <f>(ROUND((((S155+ROUND((ROUND((((EU155*1.2))*AV155*I155),2)*BS155),2))*AU155)/100),2)+ROUND(((ROUND((ROUND(((AE155-((EU155*1.2)))*AV155*I155),2)*BS155),2)*AU155)/100),2))</f>
        <v>1089.98</v>
      </c>
      <c r="AA155" s="3">
        <v>57034454</v>
      </c>
      <c r="AB155" s="3">
        <f t="shared" si="102"/>
        <v>42.503999999999998</v>
      </c>
      <c r="AC155" s="3">
        <f>ROUND(((ES155*1)),6)</f>
        <v>2.34</v>
      </c>
      <c r="AD155" s="3">
        <f>ROUND(((((ET155*1.2))-((EU155*1.2)))+AE155),6)</f>
        <v>0</v>
      </c>
      <c r="AE155" s="3">
        <f>ROUND(((EU155*1.2)),6)</f>
        <v>0</v>
      </c>
      <c r="AF155" s="3">
        <f>ROUND(((EV155*1.2)),6)</f>
        <v>40.164000000000001</v>
      </c>
      <c r="AG155" s="3">
        <f t="shared" si="103"/>
        <v>0</v>
      </c>
      <c r="AH155" s="3">
        <f>((EW155*1.2))</f>
        <v>3.1799999999999997</v>
      </c>
      <c r="AI155" s="3">
        <f>((EX155*1.2))</f>
        <v>0</v>
      </c>
      <c r="AJ155" s="3">
        <f t="shared" si="104"/>
        <v>0</v>
      </c>
      <c r="AK155" s="3">
        <v>35.81</v>
      </c>
      <c r="AL155" s="3">
        <v>2.34</v>
      </c>
      <c r="AM155" s="3">
        <v>0</v>
      </c>
      <c r="AN155" s="3">
        <v>0</v>
      </c>
      <c r="AO155" s="3">
        <v>33.47</v>
      </c>
      <c r="AP155" s="3">
        <v>0</v>
      </c>
      <c r="AQ155" s="3">
        <v>2.65</v>
      </c>
      <c r="AR155" s="3">
        <v>0</v>
      </c>
      <c r="AS155" s="3">
        <v>0</v>
      </c>
      <c r="AT155" s="3">
        <v>90</v>
      </c>
      <c r="AU155" s="3">
        <v>46</v>
      </c>
      <c r="AV155" s="3">
        <v>1.0469999999999999</v>
      </c>
      <c r="AW155" s="3">
        <v>1</v>
      </c>
      <c r="AZ155" s="3">
        <v>1</v>
      </c>
      <c r="BA155" s="3">
        <v>56.35</v>
      </c>
      <c r="BB155" s="3">
        <v>1</v>
      </c>
      <c r="BC155" s="3">
        <v>10.24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0</v>
      </c>
      <c r="BI155" s="3">
        <v>2</v>
      </c>
      <c r="BJ155" s="3" t="s">
        <v>43</v>
      </c>
      <c r="BM155" s="3">
        <v>68</v>
      </c>
      <c r="BN155" s="3">
        <v>0</v>
      </c>
      <c r="BO155" s="3" t="s">
        <v>41</v>
      </c>
      <c r="BP155" s="3">
        <v>1</v>
      </c>
      <c r="BQ155" s="3">
        <v>40</v>
      </c>
      <c r="BR155" s="3">
        <v>0</v>
      </c>
      <c r="BS155" s="3">
        <v>56.35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90</v>
      </c>
      <c r="CA155" s="3">
        <v>46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614</v>
      </c>
      <c r="CO155" s="3">
        <v>0</v>
      </c>
      <c r="CP155" s="3">
        <f t="shared" si="105"/>
        <v>2393.48</v>
      </c>
      <c r="CQ155" s="3">
        <f>ROUND((ROUND((AC155*AW155*1),2)*BC155),2)</f>
        <v>23.96</v>
      </c>
      <c r="CR155" s="3">
        <f>(ROUND((ROUND((((ET155*1.2))*AV155*1),2)*BB155),2)+ROUND((ROUND(((AE155-((EU155*1.2)))*AV155*1),2)*BS155),2))</f>
        <v>0</v>
      </c>
      <c r="CS155" s="3">
        <f>(ROUND((ROUND((((EU155*1.2))*AV155*1),2)*BS155),2)+ROUND((ROUND(((AE155-((EU155*1.2)))*AV155*1),2)*BS155),2))</f>
        <v>0</v>
      </c>
      <c r="CT155" s="3">
        <f t="shared" si="107"/>
        <v>2369.52</v>
      </c>
      <c r="CU155" s="3">
        <f t="shared" si="108"/>
        <v>0</v>
      </c>
      <c r="CV155" s="3">
        <f t="shared" si="109"/>
        <v>3.3294599999999996</v>
      </c>
      <c r="CW155" s="3">
        <f t="shared" si="110"/>
        <v>0</v>
      </c>
      <c r="CX155" s="3">
        <f t="shared" si="111"/>
        <v>0</v>
      </c>
      <c r="CY155" s="3">
        <f>(ROUND((((S155+ROUND((ROUND((((EU155*1.2))*AV155*1),2)*BS155),2))*AT155)/100),2)+ROUND(((ROUND((ROUND(((AE155-((EU155*1.2)))*AV155*1),2)*BS155),2)*AT155)/100),2))</f>
        <v>2132.5700000000002</v>
      </c>
      <c r="CZ155" s="3">
        <f>(ROUND((((S155+ROUND((ROUND((((EU155*1.2))*AV155*1),2)*BS155),2))*AU155)/100),2)+ROUND(((ROUND((ROUND(((AE155-((EU155*1.2)))*AV155*1),2)*BS155),2)*AU155)/100),2))</f>
        <v>1089.98</v>
      </c>
      <c r="DB155" s="3">
        <v>90</v>
      </c>
      <c r="DC155" s="3" t="s">
        <v>3</v>
      </c>
      <c r="DD155" s="3" t="s">
        <v>104</v>
      </c>
      <c r="DE155" s="3" t="s">
        <v>105</v>
      </c>
      <c r="DF155" s="3" t="s">
        <v>105</v>
      </c>
      <c r="DG155" s="3" t="s">
        <v>105</v>
      </c>
      <c r="DH155" s="3" t="s">
        <v>3</v>
      </c>
      <c r="DI155" s="3" t="s">
        <v>105</v>
      </c>
      <c r="DJ155" s="3" t="s">
        <v>105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1013</v>
      </c>
      <c r="DV155" s="3" t="s">
        <v>26</v>
      </c>
      <c r="DW155" s="3" t="s">
        <v>26</v>
      </c>
      <c r="DX155" s="3">
        <v>1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57042958</v>
      </c>
      <c r="EF155" s="3">
        <v>40</v>
      </c>
      <c r="EG155" s="3" t="s">
        <v>30</v>
      </c>
      <c r="EH155" s="3">
        <v>0</v>
      </c>
      <c r="EI155" s="3" t="s">
        <v>3</v>
      </c>
      <c r="EJ155" s="3">
        <v>2</v>
      </c>
      <c r="EK155" s="3">
        <v>68</v>
      </c>
      <c r="EL155" s="3" t="s">
        <v>38</v>
      </c>
      <c r="EM155" s="3" t="s">
        <v>39</v>
      </c>
      <c r="EO155" s="3" t="s">
        <v>109</v>
      </c>
      <c r="EQ155" s="3">
        <v>131072</v>
      </c>
      <c r="ER155" s="3">
        <v>35.81</v>
      </c>
      <c r="ES155" s="3">
        <v>2.34</v>
      </c>
      <c r="ET155" s="3">
        <v>0</v>
      </c>
      <c r="EU155" s="3">
        <v>0</v>
      </c>
      <c r="EV155" s="3">
        <v>33.47</v>
      </c>
      <c r="EW155" s="3">
        <v>2.65</v>
      </c>
      <c r="EX155" s="3">
        <v>0</v>
      </c>
      <c r="EY155" s="3">
        <v>0</v>
      </c>
      <c r="FQ155" s="3">
        <v>0</v>
      </c>
      <c r="FR155" s="3">
        <v>0</v>
      </c>
      <c r="FS155" s="3">
        <v>0</v>
      </c>
      <c r="FX155" s="3">
        <v>90</v>
      </c>
      <c r="FY155" s="3">
        <v>46</v>
      </c>
      <c r="GA155" s="3" t="s">
        <v>3</v>
      </c>
      <c r="GD155" s="3">
        <v>1</v>
      </c>
      <c r="GF155" s="3">
        <v>1558984384</v>
      </c>
      <c r="GG155" s="3">
        <v>2</v>
      </c>
      <c r="GH155" s="3">
        <v>1</v>
      </c>
      <c r="GI155" s="3">
        <v>2</v>
      </c>
      <c r="GJ155" s="3">
        <v>0</v>
      </c>
      <c r="GK155" s="3">
        <v>0</v>
      </c>
      <c r="GL155" s="3">
        <f t="shared" si="112"/>
        <v>0</v>
      </c>
      <c r="GM155" s="3">
        <f t="shared" si="113"/>
        <v>5616.03</v>
      </c>
      <c r="GN155" s="3">
        <f t="shared" si="114"/>
        <v>0</v>
      </c>
      <c r="GO155" s="3">
        <f t="shared" si="115"/>
        <v>5616.03</v>
      </c>
      <c r="GP155" s="3">
        <f t="shared" si="116"/>
        <v>0</v>
      </c>
      <c r="GR155" s="3">
        <v>0</v>
      </c>
      <c r="GS155" s="3">
        <v>3</v>
      </c>
      <c r="GT155" s="3">
        <v>0</v>
      </c>
      <c r="GU155" s="3" t="s">
        <v>3</v>
      </c>
      <c r="GV155" s="3">
        <f t="shared" si="117"/>
        <v>0</v>
      </c>
      <c r="GW155" s="3">
        <v>1</v>
      </c>
      <c r="GX155" s="3">
        <f t="shared" si="118"/>
        <v>0</v>
      </c>
      <c r="HA155" s="3">
        <v>0</v>
      </c>
      <c r="HB155" s="3">
        <v>0</v>
      </c>
      <c r="HC155" s="3">
        <f t="shared" si="119"/>
        <v>0</v>
      </c>
      <c r="HE155" s="3" t="s">
        <v>3</v>
      </c>
      <c r="HF155" s="3" t="s">
        <v>3</v>
      </c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5">
      <c r="A156" s="2">
        <v>18</v>
      </c>
      <c r="B156" s="2">
        <v>1</v>
      </c>
      <c r="C156" s="2">
        <v>125</v>
      </c>
      <c r="D156" s="2"/>
      <c r="E156" s="2" t="s">
        <v>199</v>
      </c>
      <c r="F156" s="2" t="s">
        <v>200</v>
      </c>
      <c r="G156" s="2" t="s">
        <v>201</v>
      </c>
      <c r="H156" s="2" t="s">
        <v>177</v>
      </c>
      <c r="I156" s="2">
        <f>I154*J156</f>
        <v>1</v>
      </c>
      <c r="J156" s="2">
        <v>1</v>
      </c>
      <c r="K156" s="2">
        <v>1</v>
      </c>
      <c r="L156" s="2"/>
      <c r="M156" s="2"/>
      <c r="N156" s="2"/>
      <c r="O156" s="2">
        <f t="shared" si="95"/>
        <v>2385.0700000000002</v>
      </c>
      <c r="P156" s="2">
        <f>ROUND((ROUND((AC156*I156),2)*BC156),2)</f>
        <v>2385.0700000000002</v>
      </c>
      <c r="Q156" s="2">
        <f>(ROUND((ROUND(((ET156)*AV156*I156),2)*BB156),2)+ROUND((ROUND(((AE156-(EU156))*AV156*I156),2)*BS156),2))</f>
        <v>0</v>
      </c>
      <c r="R156" s="2">
        <f>(ROUND((ROUND(((EU156)*AV156*I156),2)*BS156),2)+ROUND((ROUND(((AE156-(EU156))*AV156*I156),2)*BS156),2))</f>
        <v>0</v>
      </c>
      <c r="S156" s="2">
        <f t="shared" si="97"/>
        <v>0</v>
      </c>
      <c r="T156" s="2">
        <f t="shared" si="98"/>
        <v>0</v>
      </c>
      <c r="U156" s="2">
        <f t="shared" si="99"/>
        <v>0</v>
      </c>
      <c r="V156" s="2">
        <f t="shared" si="100"/>
        <v>0</v>
      </c>
      <c r="W156" s="2">
        <f t="shared" si="101"/>
        <v>0</v>
      </c>
      <c r="X156" s="2">
        <f>(ROUND((((S156+ROUND((ROUND(((EU156)*AV156*I156),2)*BS156),2))*AT156)/100),2)+ROUND(((ROUND((ROUND(((AE156-(EU156))*AV156*I156),2)*BS156),2)*AT156)/100),2))</f>
        <v>0</v>
      </c>
      <c r="Y156" s="2">
        <f>(ROUND((((S156+ROUND((ROUND(((EU156)*AV156*I156),2)*BS156),2))*AU156)/100),2)+ROUND(((ROUND((ROUND(((AE156-(EU156))*AV156*I156),2)*BS156),2)*AU156)/100),2))</f>
        <v>0</v>
      </c>
      <c r="Z156" s="2"/>
      <c r="AA156" s="2">
        <v>57034452</v>
      </c>
      <c r="AB156" s="2">
        <f t="shared" si="102"/>
        <v>2385.0700000000002</v>
      </c>
      <c r="AC156" s="2">
        <f>ROUND((ES156),6)</f>
        <v>2385.0700000000002</v>
      </c>
      <c r="AD156" s="2">
        <f>ROUND((((ET156)-(EU156))+AE156),6)</f>
        <v>0</v>
      </c>
      <c r="AE156" s="2">
        <f>ROUND((EU156),6)</f>
        <v>0</v>
      </c>
      <c r="AF156" s="2">
        <f>ROUND((EV156),6)</f>
        <v>0</v>
      </c>
      <c r="AG156" s="2">
        <f t="shared" si="103"/>
        <v>0</v>
      </c>
      <c r="AH156" s="2">
        <f>(EW156)</f>
        <v>0</v>
      </c>
      <c r="AI156" s="2">
        <f>(EX156)</f>
        <v>0</v>
      </c>
      <c r="AJ156" s="2">
        <f t="shared" si="104"/>
        <v>0</v>
      </c>
      <c r="AK156" s="2">
        <v>2385.0700000000002</v>
      </c>
      <c r="AL156" s="2">
        <v>2385.0700000000002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1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3</v>
      </c>
      <c r="BI156" s="2">
        <v>3</v>
      </c>
      <c r="BJ156" s="2" t="s">
        <v>3</v>
      </c>
      <c r="BK156" s="2"/>
      <c r="BL156" s="2"/>
      <c r="BM156" s="2">
        <v>746</v>
      </c>
      <c r="BN156" s="2">
        <v>0</v>
      </c>
      <c r="BO156" s="2" t="s">
        <v>3</v>
      </c>
      <c r="BP156" s="2">
        <v>0</v>
      </c>
      <c r="BQ156" s="2">
        <v>130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90</v>
      </c>
      <c r="CA156" s="2">
        <v>46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615</v>
      </c>
      <c r="CO156" s="2">
        <v>0</v>
      </c>
      <c r="CP156" s="2">
        <f t="shared" si="105"/>
        <v>2385.0700000000002</v>
      </c>
      <c r="CQ156" s="2">
        <f>ROUND((ROUND((AC156*1),2)*BC156),2)</f>
        <v>2385.0700000000002</v>
      </c>
      <c r="CR156" s="2">
        <f>(ROUND((ROUND(((ET156)*AV156*1),2)*BB156),2)+ROUND((ROUND(((AE156-(EU156))*AV156*1),2)*BS156),2))</f>
        <v>0</v>
      </c>
      <c r="CS156" s="2">
        <f>(ROUND((ROUND(((EU156)*AV156*1),2)*BS156),2)+ROUND((ROUND(((AE156-(EU156))*AV156*1),2)*BS156),2))</f>
        <v>0</v>
      </c>
      <c r="CT156" s="2">
        <f t="shared" si="107"/>
        <v>0</v>
      </c>
      <c r="CU156" s="2">
        <f t="shared" si="108"/>
        <v>0</v>
      </c>
      <c r="CV156" s="2">
        <f t="shared" si="109"/>
        <v>0</v>
      </c>
      <c r="CW156" s="2">
        <f t="shared" si="110"/>
        <v>0</v>
      </c>
      <c r="CX156" s="2">
        <f t="shared" si="111"/>
        <v>0</v>
      </c>
      <c r="CY156" s="2">
        <f>(ROUND((((S156+ROUND((ROUND(((EU156)*AV156*1),2)*BS156),2))*AT156)/100),2)+ROUND(((ROUND((ROUND(((AE156-(EU156))*AV156*1),2)*BS156),2)*AT156)/100),2))</f>
        <v>0</v>
      </c>
      <c r="CZ156" s="2">
        <f>(ROUND((((S156+ROUND((ROUND(((EU156)*AV156*1),2)*BS156),2))*AU156)/100),2)+ROUND(((ROUND((ROUND(((AE156-(EU156))*AV156*1),2)*BS156),2)*AU156)/100),2))</f>
        <v>0</v>
      </c>
      <c r="DA156" s="2"/>
      <c r="DB156" s="2"/>
      <c r="DC156" s="2" t="s">
        <v>3</v>
      </c>
      <c r="DD156" s="2" t="s">
        <v>3</v>
      </c>
      <c r="DE156" s="2" t="s">
        <v>3</v>
      </c>
      <c r="DF156" s="2" t="s">
        <v>3</v>
      </c>
      <c r="DG156" s="2" t="s">
        <v>3</v>
      </c>
      <c r="DH156" s="2" t="s">
        <v>3</v>
      </c>
      <c r="DI156" s="2" t="s">
        <v>3</v>
      </c>
      <c r="DJ156" s="2" t="s">
        <v>3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1010</v>
      </c>
      <c r="DV156" s="2" t="s">
        <v>177</v>
      </c>
      <c r="DW156" s="2" t="s">
        <v>177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57043064</v>
      </c>
      <c r="EF156" s="2">
        <v>130</v>
      </c>
      <c r="EG156" s="2" t="s">
        <v>178</v>
      </c>
      <c r="EH156" s="2">
        <v>0</v>
      </c>
      <c r="EI156" s="2" t="s">
        <v>3</v>
      </c>
      <c r="EJ156" s="2">
        <v>3</v>
      </c>
      <c r="EK156" s="2">
        <v>746</v>
      </c>
      <c r="EL156" s="2" t="s">
        <v>179</v>
      </c>
      <c r="EM156" s="2" t="s">
        <v>180</v>
      </c>
      <c r="EN156" s="2"/>
      <c r="EO156" s="2" t="s">
        <v>109</v>
      </c>
      <c r="EP156" s="2"/>
      <c r="EQ156" s="2">
        <v>2097152</v>
      </c>
      <c r="ER156" s="2">
        <v>0</v>
      </c>
      <c r="ES156" s="2">
        <v>2385.0700000000002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f>P156</f>
        <v>2385.0700000000002</v>
      </c>
      <c r="FS156" s="2">
        <v>0</v>
      </c>
      <c r="FT156" s="2"/>
      <c r="FU156" s="2"/>
      <c r="FV156" s="2"/>
      <c r="FW156" s="2"/>
      <c r="FX156" s="2">
        <v>90</v>
      </c>
      <c r="FY156" s="2">
        <v>46</v>
      </c>
      <c r="FZ156" s="2"/>
      <c r="GA156" s="2" t="s">
        <v>202</v>
      </c>
      <c r="GB156" s="2"/>
      <c r="GC156" s="2"/>
      <c r="GD156" s="2">
        <v>1</v>
      </c>
      <c r="GE156" s="2"/>
      <c r="GF156" s="2">
        <v>-1801689682</v>
      </c>
      <c r="GG156" s="2">
        <v>2</v>
      </c>
      <c r="GH156" s="2">
        <v>4</v>
      </c>
      <c r="GI156" s="2">
        <v>-2</v>
      </c>
      <c r="GJ156" s="2">
        <v>0</v>
      </c>
      <c r="GK156" s="2">
        <v>0</v>
      </c>
      <c r="GL156" s="2">
        <f t="shared" si="112"/>
        <v>0</v>
      </c>
      <c r="GM156" s="2">
        <f t="shared" si="113"/>
        <v>2385.0700000000002</v>
      </c>
      <c r="GN156" s="2">
        <f t="shared" si="114"/>
        <v>0</v>
      </c>
      <c r="GO156" s="2">
        <f t="shared" si="115"/>
        <v>0</v>
      </c>
      <c r="GP156" s="2">
        <f t="shared" si="116"/>
        <v>0</v>
      </c>
      <c r="GQ156" s="2"/>
      <c r="GR156" s="2">
        <v>0</v>
      </c>
      <c r="GS156" s="2">
        <v>2</v>
      </c>
      <c r="GT156" s="2">
        <v>0</v>
      </c>
      <c r="GU156" s="2" t="s">
        <v>3</v>
      </c>
      <c r="GV156" s="2">
        <f t="shared" si="117"/>
        <v>0</v>
      </c>
      <c r="GW156" s="2">
        <v>1</v>
      </c>
      <c r="GX156" s="2">
        <f t="shared" si="118"/>
        <v>0</v>
      </c>
      <c r="GY156" s="2"/>
      <c r="GZ156" s="2"/>
      <c r="HA156" s="2">
        <v>0</v>
      </c>
      <c r="HB156" s="2">
        <v>0</v>
      </c>
      <c r="HC156" s="2">
        <f t="shared" si="119"/>
        <v>0</v>
      </c>
      <c r="HD156" s="2"/>
      <c r="HE156" s="2" t="s">
        <v>40</v>
      </c>
      <c r="HF156" s="2" t="s">
        <v>182</v>
      </c>
      <c r="HG156" s="2"/>
      <c r="HH156" s="2"/>
      <c r="HI156" s="2"/>
      <c r="HJ156" s="2"/>
      <c r="HK156" s="2"/>
      <c r="HL156" s="2"/>
      <c r="HM156" s="2" t="s">
        <v>104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5">
      <c r="A157" s="3">
        <v>18</v>
      </c>
      <c r="B157" s="3">
        <v>1</v>
      </c>
      <c r="C157" s="3">
        <v>130</v>
      </c>
      <c r="E157" s="3" t="s">
        <v>199</v>
      </c>
      <c r="F157" s="3" t="s">
        <v>200</v>
      </c>
      <c r="G157" s="3" t="s">
        <v>201</v>
      </c>
      <c r="H157" s="3" t="s">
        <v>177</v>
      </c>
      <c r="I157" s="3">
        <f>I155*J157</f>
        <v>1</v>
      </c>
      <c r="J157" s="3">
        <v>1</v>
      </c>
      <c r="K157" s="3">
        <v>1</v>
      </c>
      <c r="O157" s="3">
        <f t="shared" si="95"/>
        <v>18054.98</v>
      </c>
      <c r="P157" s="3">
        <f>ROUND((ROUND((AC157*I157),2)*BC157),2)</f>
        <v>18054.98</v>
      </c>
      <c r="Q157" s="3">
        <f>(ROUND((ROUND(((ET157)*AV157*I157),2)*BB157),2)+ROUND((ROUND(((AE157-(EU157))*AV157*I157),2)*BS157),2))</f>
        <v>0</v>
      </c>
      <c r="R157" s="3">
        <f>(ROUND((ROUND(((EU157)*AV157*I157),2)*BS157),2)+ROUND((ROUND(((AE157-(EU157))*AV157*I157),2)*BS157),2))</f>
        <v>0</v>
      </c>
      <c r="S157" s="3">
        <f t="shared" si="97"/>
        <v>0</v>
      </c>
      <c r="T157" s="3">
        <f t="shared" si="98"/>
        <v>0</v>
      </c>
      <c r="U157" s="3">
        <f t="shared" si="99"/>
        <v>0</v>
      </c>
      <c r="V157" s="3">
        <f t="shared" si="100"/>
        <v>0</v>
      </c>
      <c r="W157" s="3">
        <f t="shared" si="101"/>
        <v>0</v>
      </c>
      <c r="X157" s="3">
        <f>(ROUND((((S157+ROUND((ROUND(((EU157)*AV157*I157),2)*BS157),2))*AT157)/100),2)+ROUND(((ROUND((ROUND(((AE157-(EU157))*AV157*I157),2)*BS157),2)*AT157)/100),2))</f>
        <v>0</v>
      </c>
      <c r="Y157" s="3">
        <f>(ROUND((((S157+ROUND((ROUND(((EU157)*AV157*I157),2)*BS157),2))*AU157)/100),2)+ROUND(((ROUND((ROUND(((AE157-(EU157))*AV157*I157),2)*BS157),2)*AU157)/100),2))</f>
        <v>0</v>
      </c>
      <c r="AA157" s="3">
        <v>57034454</v>
      </c>
      <c r="AB157" s="3">
        <f t="shared" si="102"/>
        <v>2385.0700000000002</v>
      </c>
      <c r="AC157" s="3">
        <f>ROUND((ES157),6)</f>
        <v>2385.0700000000002</v>
      </c>
      <c r="AD157" s="3">
        <f>ROUND((((ET157)-(EU157))+AE157),6)</f>
        <v>0</v>
      </c>
      <c r="AE157" s="3">
        <f>ROUND((EU157),6)</f>
        <v>0</v>
      </c>
      <c r="AF157" s="3">
        <f>ROUND((EV157),6)</f>
        <v>0</v>
      </c>
      <c r="AG157" s="3">
        <f t="shared" si="103"/>
        <v>0</v>
      </c>
      <c r="AH157" s="3">
        <f>(EW157)</f>
        <v>0</v>
      </c>
      <c r="AI157" s="3">
        <f>(EX157)</f>
        <v>0</v>
      </c>
      <c r="AJ157" s="3">
        <f t="shared" si="104"/>
        <v>0</v>
      </c>
      <c r="AK157" s="3">
        <v>2385.0700000000002</v>
      </c>
      <c r="AL157" s="3">
        <v>2385.0700000000002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1</v>
      </c>
      <c r="AW157" s="3">
        <v>1</v>
      </c>
      <c r="AZ157" s="3">
        <v>1</v>
      </c>
      <c r="BA157" s="3">
        <v>1</v>
      </c>
      <c r="BB157" s="3">
        <v>1</v>
      </c>
      <c r="BC157" s="3">
        <v>7.57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3</v>
      </c>
      <c r="BI157" s="3">
        <v>3</v>
      </c>
      <c r="BJ157" s="3" t="s">
        <v>3</v>
      </c>
      <c r="BM157" s="3">
        <v>746</v>
      </c>
      <c r="BN157" s="3">
        <v>0</v>
      </c>
      <c r="BO157" s="3" t="s">
        <v>3</v>
      </c>
      <c r="BP157" s="3">
        <v>0</v>
      </c>
      <c r="BQ157" s="3">
        <v>130</v>
      </c>
      <c r="BR157" s="3">
        <v>0</v>
      </c>
      <c r="BS157" s="3">
        <v>1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90</v>
      </c>
      <c r="CA157" s="3">
        <v>46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615</v>
      </c>
      <c r="CO157" s="3">
        <v>0</v>
      </c>
      <c r="CP157" s="3">
        <f t="shared" si="105"/>
        <v>18054.98</v>
      </c>
      <c r="CQ157" s="3">
        <f>ROUND((ROUND((AC157*1),2)*BC157),2)</f>
        <v>18054.98</v>
      </c>
      <c r="CR157" s="3">
        <f>(ROUND((ROUND(((ET157)*AV157*1),2)*BB157),2)+ROUND((ROUND(((AE157-(EU157))*AV157*1),2)*BS157),2))</f>
        <v>0</v>
      </c>
      <c r="CS157" s="3">
        <f>(ROUND((ROUND(((EU157)*AV157*1),2)*BS157),2)+ROUND((ROUND(((AE157-(EU157))*AV157*1),2)*BS157),2))</f>
        <v>0</v>
      </c>
      <c r="CT157" s="3">
        <f t="shared" si="107"/>
        <v>0</v>
      </c>
      <c r="CU157" s="3">
        <f t="shared" si="108"/>
        <v>0</v>
      </c>
      <c r="CV157" s="3">
        <f t="shared" si="109"/>
        <v>0</v>
      </c>
      <c r="CW157" s="3">
        <f t="shared" si="110"/>
        <v>0</v>
      </c>
      <c r="CX157" s="3">
        <f t="shared" si="111"/>
        <v>0</v>
      </c>
      <c r="CY157" s="3">
        <f>(ROUND((((S157+ROUND((ROUND(((EU157)*AV157*1),2)*BS157),2))*AT157)/100),2)+ROUND(((ROUND((ROUND(((AE157-(EU157))*AV157*1),2)*BS157),2)*AT157)/100),2))</f>
        <v>0</v>
      </c>
      <c r="CZ157" s="3">
        <f>(ROUND((((S157+ROUND((ROUND(((EU157)*AV157*1),2)*BS157),2))*AU157)/100),2)+ROUND(((ROUND((ROUND(((AE157-(EU157))*AV157*1),2)*BS157),2)*AU157)/100),2))</f>
        <v>0</v>
      </c>
      <c r="DC157" s="3" t="s">
        <v>3</v>
      </c>
      <c r="DD157" s="3" t="s">
        <v>3</v>
      </c>
      <c r="DE157" s="3" t="s">
        <v>3</v>
      </c>
      <c r="DF157" s="3" t="s">
        <v>3</v>
      </c>
      <c r="DG157" s="3" t="s">
        <v>3</v>
      </c>
      <c r="DH157" s="3" t="s">
        <v>3</v>
      </c>
      <c r="DI157" s="3" t="s">
        <v>3</v>
      </c>
      <c r="DJ157" s="3" t="s">
        <v>3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1010</v>
      </c>
      <c r="DV157" s="3" t="s">
        <v>177</v>
      </c>
      <c r="DW157" s="3" t="s">
        <v>177</v>
      </c>
      <c r="DX157" s="3">
        <v>1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57043064</v>
      </c>
      <c r="EF157" s="3">
        <v>130</v>
      </c>
      <c r="EG157" s="3" t="s">
        <v>178</v>
      </c>
      <c r="EH157" s="3">
        <v>0</v>
      </c>
      <c r="EI157" s="3" t="s">
        <v>3</v>
      </c>
      <c r="EJ157" s="3">
        <v>3</v>
      </c>
      <c r="EK157" s="3">
        <v>746</v>
      </c>
      <c r="EL157" s="3" t="s">
        <v>179</v>
      </c>
      <c r="EM157" s="3" t="s">
        <v>180</v>
      </c>
      <c r="EO157" s="3" t="s">
        <v>109</v>
      </c>
      <c r="EQ157" s="3">
        <v>2097152</v>
      </c>
      <c r="ER157" s="3">
        <v>2385.0700000000002</v>
      </c>
      <c r="ES157" s="3">
        <v>2385.0700000000002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Z157" s="3">
        <v>5</v>
      </c>
      <c r="FC157" s="3">
        <v>1</v>
      </c>
      <c r="FD157" s="3">
        <v>18</v>
      </c>
      <c r="FF157" s="3">
        <v>21132</v>
      </c>
      <c r="FQ157" s="3">
        <v>0</v>
      </c>
      <c r="FR157" s="3">
        <f>P157</f>
        <v>18054.98</v>
      </c>
      <c r="FS157" s="3">
        <v>0</v>
      </c>
      <c r="FX157" s="3">
        <v>90</v>
      </c>
      <c r="FY157" s="3">
        <v>46</v>
      </c>
      <c r="GA157" s="3" t="s">
        <v>202</v>
      </c>
      <c r="GD157" s="3">
        <v>1</v>
      </c>
      <c r="GF157" s="3">
        <v>-1801689682</v>
      </c>
      <c r="GG157" s="3">
        <v>2</v>
      </c>
      <c r="GH157" s="3">
        <v>3</v>
      </c>
      <c r="GI157" s="3">
        <v>5</v>
      </c>
      <c r="GJ157" s="3">
        <v>0</v>
      </c>
      <c r="GK157" s="3">
        <v>0</v>
      </c>
      <c r="GL157" s="3">
        <f t="shared" si="112"/>
        <v>0</v>
      </c>
      <c r="GM157" s="3">
        <f t="shared" si="113"/>
        <v>18054.98</v>
      </c>
      <c r="GN157" s="3">
        <f t="shared" si="114"/>
        <v>0</v>
      </c>
      <c r="GO157" s="3">
        <f t="shared" si="115"/>
        <v>0</v>
      </c>
      <c r="GP157" s="3">
        <f t="shared" si="116"/>
        <v>0</v>
      </c>
      <c r="GR157" s="3">
        <v>1</v>
      </c>
      <c r="GS157" s="3">
        <v>1</v>
      </c>
      <c r="GT157" s="3">
        <v>0</v>
      </c>
      <c r="GU157" s="3" t="s">
        <v>3</v>
      </c>
      <c r="GV157" s="3">
        <f t="shared" si="117"/>
        <v>0</v>
      </c>
      <c r="GW157" s="3">
        <v>1</v>
      </c>
      <c r="GX157" s="3">
        <f t="shared" si="118"/>
        <v>0</v>
      </c>
      <c r="HA157" s="3">
        <v>0</v>
      </c>
      <c r="HB157" s="3">
        <v>0</v>
      </c>
      <c r="HC157" s="3">
        <f t="shared" si="119"/>
        <v>0</v>
      </c>
      <c r="HE157" s="3" t="s">
        <v>40</v>
      </c>
      <c r="HF157" s="3" t="s">
        <v>182</v>
      </c>
      <c r="HM157" s="3" t="s">
        <v>104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5">
      <c r="A158" s="2">
        <v>17</v>
      </c>
      <c r="B158" s="2">
        <v>1</v>
      </c>
      <c r="C158" s="2">
        <f>ROW(SmtRes!A139)</f>
        <v>139</v>
      </c>
      <c r="D158" s="2">
        <f>ROW(EtalonRes!A167)</f>
        <v>167</v>
      </c>
      <c r="E158" s="2" t="s">
        <v>203</v>
      </c>
      <c r="F158" s="2" t="s">
        <v>45</v>
      </c>
      <c r="G158" s="2" t="s">
        <v>204</v>
      </c>
      <c r="H158" s="2" t="s">
        <v>26</v>
      </c>
      <c r="I158" s="2">
        <f>ROUND(1+2+1,9)</f>
        <v>4</v>
      </c>
      <c r="J158" s="2">
        <v>0</v>
      </c>
      <c r="K158" s="2">
        <f>ROUND(1+2+1,9)</f>
        <v>4</v>
      </c>
      <c r="L158" s="2"/>
      <c r="M158" s="2"/>
      <c r="N158" s="2"/>
      <c r="O158" s="2">
        <f t="shared" si="95"/>
        <v>104.64</v>
      </c>
      <c r="P158" s="2">
        <f t="shared" ref="P158:P165" si="120">ROUND((ROUND((AC158*AW158*I158),2)*BC158),2)</f>
        <v>9.36</v>
      </c>
      <c r="Q158" s="2">
        <f>(ROUND((ROUND((((ET158*1.2))*AV158*I158),2)*BB158),2)+ROUND((ROUND(((AE158-((EU158*1.2)))*AV158*I158),2)*BS158),2))</f>
        <v>0.1</v>
      </c>
      <c r="R158" s="2">
        <f>(ROUND((ROUND((((EU158*1.2))*AV158*I158),2)*BS158),2)+ROUND((ROUND(((AE158-((EU158*1.2)))*AV158*I158),2)*BS158),2))</f>
        <v>0</v>
      </c>
      <c r="S158" s="2">
        <f t="shared" si="97"/>
        <v>95.18</v>
      </c>
      <c r="T158" s="2">
        <f t="shared" si="98"/>
        <v>0</v>
      </c>
      <c r="U158" s="2">
        <f t="shared" si="99"/>
        <v>6.834816</v>
      </c>
      <c r="V158" s="2">
        <f t="shared" si="100"/>
        <v>0</v>
      </c>
      <c r="W158" s="2">
        <f t="shared" si="101"/>
        <v>0</v>
      </c>
      <c r="X158" s="2">
        <f>(ROUND((((S158+ROUND((ROUND((((EU158*1.2))*AV158*I158),2)*BS158),2))*AT158)/100),2)+ROUND(((ROUND((ROUND(((AE158-((EU158*1.2)))*AV158*I158),2)*BS158),2)*AT158)/100),2))</f>
        <v>85.66</v>
      </c>
      <c r="Y158" s="2">
        <f>(ROUND((((S158+ROUND((ROUND((((EU158*1.2))*AV158*I158),2)*BS158),2))*AU158)/100),2)+ROUND(((ROUND((ROUND(((AE158-((EU158*1.2)))*AV158*I158),2)*BS158),2)*AU158)/100),2))</f>
        <v>43.78</v>
      </c>
      <c r="Z158" s="2"/>
      <c r="AA158" s="2">
        <v>57034452</v>
      </c>
      <c r="AB158" s="2">
        <f t="shared" si="102"/>
        <v>25.091999999999999</v>
      </c>
      <c r="AC158" s="2">
        <f>ROUND(((ES158*1)),6)</f>
        <v>2.34</v>
      </c>
      <c r="AD158" s="2">
        <f>ROUND(((((ET158*1.2))-((EU158*1.2)))+AE158),6)</f>
        <v>2.4E-2</v>
      </c>
      <c r="AE158" s="2">
        <f>ROUND(((EU158*1.2)),6)</f>
        <v>0</v>
      </c>
      <c r="AF158" s="2">
        <f>ROUND(((EV158*1.2)),6)</f>
        <v>22.728000000000002</v>
      </c>
      <c r="AG158" s="2">
        <f t="shared" si="103"/>
        <v>0</v>
      </c>
      <c r="AH158" s="2">
        <f>((EW158*1.2))</f>
        <v>1.6320000000000001</v>
      </c>
      <c r="AI158" s="2">
        <f>((EX158*1.2))</f>
        <v>0</v>
      </c>
      <c r="AJ158" s="2">
        <f t="shared" si="104"/>
        <v>0</v>
      </c>
      <c r="AK158" s="2">
        <v>21.3</v>
      </c>
      <c r="AL158" s="2">
        <v>2.34</v>
      </c>
      <c r="AM158" s="2">
        <v>0.02</v>
      </c>
      <c r="AN158" s="2">
        <v>0</v>
      </c>
      <c r="AO158" s="2">
        <v>18.940000000000001</v>
      </c>
      <c r="AP158" s="2">
        <v>0</v>
      </c>
      <c r="AQ158" s="2">
        <v>1.36</v>
      </c>
      <c r="AR158" s="2">
        <v>0</v>
      </c>
      <c r="AS158" s="2">
        <v>0</v>
      </c>
      <c r="AT158" s="2">
        <v>90</v>
      </c>
      <c r="AU158" s="2">
        <v>46</v>
      </c>
      <c r="AV158" s="2">
        <v>1.0469999999999999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0</v>
      </c>
      <c r="BI158" s="2">
        <v>2</v>
      </c>
      <c r="BJ158" s="2" t="s">
        <v>47</v>
      </c>
      <c r="BK158" s="2"/>
      <c r="BL158" s="2"/>
      <c r="BM158" s="2">
        <v>68</v>
      </c>
      <c r="BN158" s="2">
        <v>0</v>
      </c>
      <c r="BO158" s="2" t="s">
        <v>45</v>
      </c>
      <c r="BP158" s="2">
        <v>1</v>
      </c>
      <c r="BQ158" s="2">
        <v>40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90</v>
      </c>
      <c r="CA158" s="2">
        <v>46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614</v>
      </c>
      <c r="CO158" s="2">
        <v>0</v>
      </c>
      <c r="CP158" s="2">
        <f t="shared" si="105"/>
        <v>104.64</v>
      </c>
      <c r="CQ158" s="2">
        <f t="shared" ref="CQ158:CQ165" si="121">ROUND((ROUND((AC158*AW158*1),2)*BC158),2)</f>
        <v>2.34</v>
      </c>
      <c r="CR158" s="2">
        <f>(ROUND((ROUND((((ET158*1.2))*AV158*1),2)*BB158),2)+ROUND((ROUND(((AE158-((EU158*1.2)))*AV158*1),2)*BS158),2))</f>
        <v>0.03</v>
      </c>
      <c r="CS158" s="2">
        <f>(ROUND((ROUND((((EU158*1.2))*AV158*1),2)*BS158),2)+ROUND((ROUND(((AE158-((EU158*1.2)))*AV158*1),2)*BS158),2))</f>
        <v>0</v>
      </c>
      <c r="CT158" s="2">
        <f t="shared" si="107"/>
        <v>23.8</v>
      </c>
      <c r="CU158" s="2">
        <f t="shared" si="108"/>
        <v>0</v>
      </c>
      <c r="CV158" s="2">
        <f t="shared" si="109"/>
        <v>1.708704</v>
      </c>
      <c r="CW158" s="2">
        <f t="shared" si="110"/>
        <v>0</v>
      </c>
      <c r="CX158" s="2">
        <f t="shared" si="111"/>
        <v>0</v>
      </c>
      <c r="CY158" s="2">
        <f>(ROUND((((S158+ROUND((ROUND((((EU158*1.2))*AV158*1),2)*BS158),2))*AT158)/100),2)+ROUND(((ROUND((ROUND(((AE158-((EU158*1.2)))*AV158*1),2)*BS158),2)*AT158)/100),2))</f>
        <v>85.66</v>
      </c>
      <c r="CZ158" s="2">
        <f>(ROUND((((S158+ROUND((ROUND((((EU158*1.2))*AV158*1),2)*BS158),2))*AU158)/100),2)+ROUND(((ROUND((ROUND(((AE158-((EU158*1.2)))*AV158*1),2)*BS158),2)*AU158)/100),2))</f>
        <v>43.78</v>
      </c>
      <c r="DA158" s="2"/>
      <c r="DB158" s="2">
        <v>91</v>
      </c>
      <c r="DC158" s="2" t="s">
        <v>3</v>
      </c>
      <c r="DD158" s="2" t="s">
        <v>104</v>
      </c>
      <c r="DE158" s="2" t="s">
        <v>105</v>
      </c>
      <c r="DF158" s="2" t="s">
        <v>105</v>
      </c>
      <c r="DG158" s="2" t="s">
        <v>105</v>
      </c>
      <c r="DH158" s="2" t="s">
        <v>3</v>
      </c>
      <c r="DI158" s="2" t="s">
        <v>105</v>
      </c>
      <c r="DJ158" s="2" t="s">
        <v>105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1013</v>
      </c>
      <c r="DV158" s="2" t="s">
        <v>26</v>
      </c>
      <c r="DW158" s="2" t="s">
        <v>26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57042958</v>
      </c>
      <c r="EF158" s="2">
        <v>40</v>
      </c>
      <c r="EG158" s="2" t="s">
        <v>30</v>
      </c>
      <c r="EH158" s="2">
        <v>0</v>
      </c>
      <c r="EI158" s="2" t="s">
        <v>3</v>
      </c>
      <c r="EJ158" s="2">
        <v>2</v>
      </c>
      <c r="EK158" s="2">
        <v>68</v>
      </c>
      <c r="EL158" s="2" t="s">
        <v>38</v>
      </c>
      <c r="EM158" s="2" t="s">
        <v>39</v>
      </c>
      <c r="EN158" s="2"/>
      <c r="EO158" s="2" t="s">
        <v>109</v>
      </c>
      <c r="EP158" s="2"/>
      <c r="EQ158" s="2">
        <v>131072</v>
      </c>
      <c r="ER158" s="2">
        <v>21.3</v>
      </c>
      <c r="ES158" s="2">
        <v>2.34</v>
      </c>
      <c r="ET158" s="2">
        <v>0.02</v>
      </c>
      <c r="EU158" s="2">
        <v>0</v>
      </c>
      <c r="EV158" s="2">
        <v>18.940000000000001</v>
      </c>
      <c r="EW158" s="2">
        <v>1.36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0</v>
      </c>
      <c r="FT158" s="2"/>
      <c r="FU158" s="2"/>
      <c r="FV158" s="2"/>
      <c r="FW158" s="2"/>
      <c r="FX158" s="2">
        <v>90</v>
      </c>
      <c r="FY158" s="2">
        <v>46</v>
      </c>
      <c r="FZ158" s="2"/>
      <c r="GA158" s="2" t="s">
        <v>3</v>
      </c>
      <c r="GB158" s="2"/>
      <c r="GC158" s="2"/>
      <c r="GD158" s="2">
        <v>1</v>
      </c>
      <c r="GE158" s="2"/>
      <c r="GF158" s="2">
        <v>-635599801</v>
      </c>
      <c r="GG158" s="2">
        <v>2</v>
      </c>
      <c r="GH158" s="2">
        <v>1</v>
      </c>
      <c r="GI158" s="2">
        <v>2</v>
      </c>
      <c r="GJ158" s="2">
        <v>0</v>
      </c>
      <c r="GK158" s="2">
        <v>0</v>
      </c>
      <c r="GL158" s="2">
        <f t="shared" si="112"/>
        <v>0</v>
      </c>
      <c r="GM158" s="2">
        <f t="shared" si="113"/>
        <v>234.08</v>
      </c>
      <c r="GN158" s="2">
        <f t="shared" si="114"/>
        <v>0</v>
      </c>
      <c r="GO158" s="2">
        <f t="shared" si="115"/>
        <v>234.08</v>
      </c>
      <c r="GP158" s="2">
        <f t="shared" si="116"/>
        <v>0</v>
      </c>
      <c r="GQ158" s="2"/>
      <c r="GR158" s="2">
        <v>0</v>
      </c>
      <c r="GS158" s="2">
        <v>3</v>
      </c>
      <c r="GT158" s="2">
        <v>0</v>
      </c>
      <c r="GU158" s="2" t="s">
        <v>3</v>
      </c>
      <c r="GV158" s="2">
        <f t="shared" si="117"/>
        <v>0</v>
      </c>
      <c r="GW158" s="2">
        <v>1</v>
      </c>
      <c r="GX158" s="2">
        <f t="shared" si="118"/>
        <v>0</v>
      </c>
      <c r="GY158" s="2"/>
      <c r="GZ158" s="2"/>
      <c r="HA158" s="2">
        <v>0</v>
      </c>
      <c r="HB158" s="2">
        <v>0</v>
      </c>
      <c r="HC158" s="2">
        <f t="shared" si="119"/>
        <v>0</v>
      </c>
      <c r="HD158" s="2"/>
      <c r="HE158" s="2" t="s">
        <v>3</v>
      </c>
      <c r="HF158" s="2" t="s">
        <v>3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5">
      <c r="A159" s="3">
        <v>17</v>
      </c>
      <c r="B159" s="3">
        <v>1</v>
      </c>
      <c r="C159" s="3">
        <f>ROW(SmtRes!A148)</f>
        <v>148</v>
      </c>
      <c r="D159" s="3">
        <f>ROW(EtalonRes!A174)</f>
        <v>174</v>
      </c>
      <c r="E159" s="3" t="s">
        <v>203</v>
      </c>
      <c r="F159" s="3" t="s">
        <v>45</v>
      </c>
      <c r="G159" s="3" t="s">
        <v>204</v>
      </c>
      <c r="H159" s="3" t="s">
        <v>26</v>
      </c>
      <c r="I159" s="3">
        <f>ROUND(1+2+1,9)</f>
        <v>4</v>
      </c>
      <c r="J159" s="3">
        <v>0</v>
      </c>
      <c r="K159" s="3">
        <f>ROUND(1+2+1,9)</f>
        <v>4</v>
      </c>
      <c r="O159" s="3">
        <f t="shared" si="95"/>
        <v>5460.34</v>
      </c>
      <c r="P159" s="3">
        <f t="shared" si="120"/>
        <v>95.85</v>
      </c>
      <c r="Q159" s="3">
        <f>(ROUND((ROUND((((ET159*1.2))*AV159*I159),2)*BB159),2)+ROUND((ROUND(((AE159-((EU159*1.2)))*AV159*I159),2)*BS159),2))</f>
        <v>1.1000000000000001</v>
      </c>
      <c r="R159" s="3">
        <f>(ROUND((ROUND((((EU159*1.2))*AV159*I159),2)*BS159),2)+ROUND((ROUND(((AE159-((EU159*1.2)))*AV159*I159),2)*BS159),2))</f>
        <v>0</v>
      </c>
      <c r="S159" s="3">
        <f t="shared" si="97"/>
        <v>5363.39</v>
      </c>
      <c r="T159" s="3">
        <f t="shared" si="98"/>
        <v>0</v>
      </c>
      <c r="U159" s="3">
        <f t="shared" si="99"/>
        <v>6.834816</v>
      </c>
      <c r="V159" s="3">
        <f t="shared" si="100"/>
        <v>0</v>
      </c>
      <c r="W159" s="3">
        <f t="shared" si="101"/>
        <v>0</v>
      </c>
      <c r="X159" s="3">
        <f>(ROUND((((S159+ROUND((ROUND((((EU159*1.2))*AV159*I159),2)*BS159),2))*AT159)/100),2)+ROUND(((ROUND((ROUND(((AE159-((EU159*1.2)))*AV159*I159),2)*BS159),2)*AT159)/100),2))</f>
        <v>4827.05</v>
      </c>
      <c r="Y159" s="3">
        <f>(ROUND((((S159+ROUND((ROUND((((EU159*1.2))*AV159*I159),2)*BS159),2))*AU159)/100),2)+ROUND(((ROUND((ROUND(((AE159-((EU159*1.2)))*AV159*I159),2)*BS159),2)*AU159)/100),2))</f>
        <v>2467.16</v>
      </c>
      <c r="AA159" s="3">
        <v>57034454</v>
      </c>
      <c r="AB159" s="3">
        <f t="shared" si="102"/>
        <v>25.091999999999999</v>
      </c>
      <c r="AC159" s="3">
        <f>ROUND(((ES159*1)),6)</f>
        <v>2.34</v>
      </c>
      <c r="AD159" s="3">
        <f>ROUND(((((ET159*1.2))-((EU159*1.2)))+AE159),6)</f>
        <v>2.4E-2</v>
      </c>
      <c r="AE159" s="3">
        <f>ROUND(((EU159*1.2)),6)</f>
        <v>0</v>
      </c>
      <c r="AF159" s="3">
        <f>ROUND(((EV159*1.2)),6)</f>
        <v>22.728000000000002</v>
      </c>
      <c r="AG159" s="3">
        <f t="shared" si="103"/>
        <v>0</v>
      </c>
      <c r="AH159" s="3">
        <f>((EW159*1.2))</f>
        <v>1.6320000000000001</v>
      </c>
      <c r="AI159" s="3">
        <f>((EX159*1.2))</f>
        <v>0</v>
      </c>
      <c r="AJ159" s="3">
        <f t="shared" si="104"/>
        <v>0</v>
      </c>
      <c r="AK159" s="3">
        <v>21.3</v>
      </c>
      <c r="AL159" s="3">
        <v>2.34</v>
      </c>
      <c r="AM159" s="3">
        <v>0.02</v>
      </c>
      <c r="AN159" s="3">
        <v>0</v>
      </c>
      <c r="AO159" s="3">
        <v>18.940000000000001</v>
      </c>
      <c r="AP159" s="3">
        <v>0</v>
      </c>
      <c r="AQ159" s="3">
        <v>1.36</v>
      </c>
      <c r="AR159" s="3">
        <v>0</v>
      </c>
      <c r="AS159" s="3">
        <v>0</v>
      </c>
      <c r="AT159" s="3">
        <v>90</v>
      </c>
      <c r="AU159" s="3">
        <v>46</v>
      </c>
      <c r="AV159" s="3">
        <v>1.0469999999999999</v>
      </c>
      <c r="AW159" s="3">
        <v>1</v>
      </c>
      <c r="AZ159" s="3">
        <v>1</v>
      </c>
      <c r="BA159" s="3">
        <v>56.35</v>
      </c>
      <c r="BB159" s="3">
        <v>11</v>
      </c>
      <c r="BC159" s="3">
        <v>10.24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0</v>
      </c>
      <c r="BI159" s="3">
        <v>2</v>
      </c>
      <c r="BJ159" s="3" t="s">
        <v>47</v>
      </c>
      <c r="BM159" s="3">
        <v>68</v>
      </c>
      <c r="BN159" s="3">
        <v>0</v>
      </c>
      <c r="BO159" s="3" t="s">
        <v>45</v>
      </c>
      <c r="BP159" s="3">
        <v>1</v>
      </c>
      <c r="BQ159" s="3">
        <v>40</v>
      </c>
      <c r="BR159" s="3">
        <v>0</v>
      </c>
      <c r="BS159" s="3">
        <v>56.35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90</v>
      </c>
      <c r="CA159" s="3">
        <v>46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614</v>
      </c>
      <c r="CO159" s="3">
        <v>0</v>
      </c>
      <c r="CP159" s="3">
        <f t="shared" si="105"/>
        <v>5460.34</v>
      </c>
      <c r="CQ159" s="3">
        <f t="shared" si="121"/>
        <v>23.96</v>
      </c>
      <c r="CR159" s="3">
        <f>(ROUND((ROUND((((ET159*1.2))*AV159*1),2)*BB159),2)+ROUND((ROUND(((AE159-((EU159*1.2)))*AV159*1),2)*BS159),2))</f>
        <v>0.33</v>
      </c>
      <c r="CS159" s="3">
        <f>(ROUND((ROUND((((EU159*1.2))*AV159*1),2)*BS159),2)+ROUND((ROUND(((AE159-((EU159*1.2)))*AV159*1),2)*BS159),2))</f>
        <v>0</v>
      </c>
      <c r="CT159" s="3">
        <f t="shared" si="107"/>
        <v>1341.13</v>
      </c>
      <c r="CU159" s="3">
        <f t="shared" si="108"/>
        <v>0</v>
      </c>
      <c r="CV159" s="3">
        <f t="shared" si="109"/>
        <v>1.708704</v>
      </c>
      <c r="CW159" s="3">
        <f t="shared" si="110"/>
        <v>0</v>
      </c>
      <c r="CX159" s="3">
        <f t="shared" si="111"/>
        <v>0</v>
      </c>
      <c r="CY159" s="3">
        <f>(ROUND((((S159+ROUND((ROUND((((EU159*1.2))*AV159*1),2)*BS159),2))*AT159)/100),2)+ROUND(((ROUND((ROUND(((AE159-((EU159*1.2)))*AV159*1),2)*BS159),2)*AT159)/100),2))</f>
        <v>4827.05</v>
      </c>
      <c r="CZ159" s="3">
        <f>(ROUND((((S159+ROUND((ROUND((((EU159*1.2))*AV159*1),2)*BS159),2))*AU159)/100),2)+ROUND(((ROUND((ROUND(((AE159-((EU159*1.2)))*AV159*1),2)*BS159),2)*AU159)/100),2))</f>
        <v>2467.16</v>
      </c>
      <c r="DB159" s="3">
        <v>92</v>
      </c>
      <c r="DC159" s="3" t="s">
        <v>3</v>
      </c>
      <c r="DD159" s="3" t="s">
        <v>104</v>
      </c>
      <c r="DE159" s="3" t="s">
        <v>105</v>
      </c>
      <c r="DF159" s="3" t="s">
        <v>105</v>
      </c>
      <c r="DG159" s="3" t="s">
        <v>105</v>
      </c>
      <c r="DH159" s="3" t="s">
        <v>3</v>
      </c>
      <c r="DI159" s="3" t="s">
        <v>105</v>
      </c>
      <c r="DJ159" s="3" t="s">
        <v>105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1013</v>
      </c>
      <c r="DV159" s="3" t="s">
        <v>26</v>
      </c>
      <c r="DW159" s="3" t="s">
        <v>26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57042958</v>
      </c>
      <c r="EF159" s="3">
        <v>40</v>
      </c>
      <c r="EG159" s="3" t="s">
        <v>30</v>
      </c>
      <c r="EH159" s="3">
        <v>0</v>
      </c>
      <c r="EI159" s="3" t="s">
        <v>3</v>
      </c>
      <c r="EJ159" s="3">
        <v>2</v>
      </c>
      <c r="EK159" s="3">
        <v>68</v>
      </c>
      <c r="EL159" s="3" t="s">
        <v>38</v>
      </c>
      <c r="EM159" s="3" t="s">
        <v>39</v>
      </c>
      <c r="EO159" s="3" t="s">
        <v>109</v>
      </c>
      <c r="EQ159" s="3">
        <v>131072</v>
      </c>
      <c r="ER159" s="3">
        <v>21.3</v>
      </c>
      <c r="ES159" s="3">
        <v>2.34</v>
      </c>
      <c r="ET159" s="3">
        <v>0.02</v>
      </c>
      <c r="EU159" s="3">
        <v>0</v>
      </c>
      <c r="EV159" s="3">
        <v>18.940000000000001</v>
      </c>
      <c r="EW159" s="3">
        <v>1.36</v>
      </c>
      <c r="EX159" s="3">
        <v>0</v>
      </c>
      <c r="EY159" s="3">
        <v>0</v>
      </c>
      <c r="FQ159" s="3">
        <v>0</v>
      </c>
      <c r="FR159" s="3">
        <v>0</v>
      </c>
      <c r="FS159" s="3">
        <v>0</v>
      </c>
      <c r="FX159" s="3">
        <v>90</v>
      </c>
      <c r="FY159" s="3">
        <v>46</v>
      </c>
      <c r="GA159" s="3" t="s">
        <v>3</v>
      </c>
      <c r="GD159" s="3">
        <v>1</v>
      </c>
      <c r="GF159" s="3">
        <v>-635599801</v>
      </c>
      <c r="GG159" s="3">
        <v>2</v>
      </c>
      <c r="GH159" s="3">
        <v>1</v>
      </c>
      <c r="GI159" s="3">
        <v>2</v>
      </c>
      <c r="GJ159" s="3">
        <v>0</v>
      </c>
      <c r="GK159" s="3">
        <v>0</v>
      </c>
      <c r="GL159" s="3">
        <f t="shared" si="112"/>
        <v>0</v>
      </c>
      <c r="GM159" s="3">
        <f t="shared" si="113"/>
        <v>12754.55</v>
      </c>
      <c r="GN159" s="3">
        <f t="shared" si="114"/>
        <v>0</v>
      </c>
      <c r="GO159" s="3">
        <f t="shared" si="115"/>
        <v>12754.55</v>
      </c>
      <c r="GP159" s="3">
        <f t="shared" si="116"/>
        <v>0</v>
      </c>
      <c r="GR159" s="3">
        <v>0</v>
      </c>
      <c r="GS159" s="3">
        <v>3</v>
      </c>
      <c r="GT159" s="3">
        <v>0</v>
      </c>
      <c r="GU159" s="3" t="s">
        <v>3</v>
      </c>
      <c r="GV159" s="3">
        <f t="shared" si="117"/>
        <v>0</v>
      </c>
      <c r="GW159" s="3">
        <v>1</v>
      </c>
      <c r="GX159" s="3">
        <f t="shared" si="118"/>
        <v>0</v>
      </c>
      <c r="HA159" s="3">
        <v>0</v>
      </c>
      <c r="HB159" s="3">
        <v>0</v>
      </c>
      <c r="HC159" s="3">
        <f t="shared" si="119"/>
        <v>0</v>
      </c>
      <c r="HE159" s="3" t="s">
        <v>3</v>
      </c>
      <c r="HF159" s="3" t="s">
        <v>3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0" spans="1:255" x14ac:dyDescent="0.25">
      <c r="A160" s="2">
        <v>18</v>
      </c>
      <c r="B160" s="2">
        <v>1</v>
      </c>
      <c r="C160" s="2">
        <v>137</v>
      </c>
      <c r="D160" s="2"/>
      <c r="E160" s="2" t="s">
        <v>205</v>
      </c>
      <c r="F160" s="2" t="s">
        <v>206</v>
      </c>
      <c r="G160" s="2" t="s">
        <v>207</v>
      </c>
      <c r="H160" s="2" t="s">
        <v>177</v>
      </c>
      <c r="I160" s="2">
        <f>I158*J160</f>
        <v>1</v>
      </c>
      <c r="J160" s="2">
        <v>0.25</v>
      </c>
      <c r="K160" s="2">
        <v>0.25</v>
      </c>
      <c r="L160" s="2"/>
      <c r="M160" s="2"/>
      <c r="N160" s="2"/>
      <c r="O160" s="2">
        <f t="shared" si="95"/>
        <v>861.62</v>
      </c>
      <c r="P160" s="2">
        <f t="shared" si="120"/>
        <v>861.62</v>
      </c>
      <c r="Q160" s="2">
        <f t="shared" ref="Q160:Q165" si="122">(ROUND((ROUND(((ET160)*AV160*I160),2)*BB160),2)+ROUND((ROUND(((AE160-(EU160))*AV160*I160),2)*BS160),2))</f>
        <v>0</v>
      </c>
      <c r="R160" s="2">
        <f t="shared" ref="R160:R165" si="123">(ROUND((ROUND(((EU160)*AV160*I160),2)*BS160),2)+ROUND((ROUND(((AE160-(EU160))*AV160*I160),2)*BS160),2))</f>
        <v>0</v>
      </c>
      <c r="S160" s="2">
        <f t="shared" si="97"/>
        <v>0</v>
      </c>
      <c r="T160" s="2">
        <f t="shared" si="98"/>
        <v>0</v>
      </c>
      <c r="U160" s="2">
        <f t="shared" si="99"/>
        <v>0</v>
      </c>
      <c r="V160" s="2">
        <f t="shared" si="100"/>
        <v>0</v>
      </c>
      <c r="W160" s="2">
        <f t="shared" si="101"/>
        <v>0</v>
      </c>
      <c r="X160" s="2">
        <f t="shared" ref="X160:X165" si="124">(ROUND((((S160+ROUND((ROUND(((EU160)*AV160*I160),2)*BS160),2))*AT160)/100),2)+ROUND(((ROUND((ROUND(((AE160-(EU160))*AV160*I160),2)*BS160),2)*AT160)/100),2))</f>
        <v>0</v>
      </c>
      <c r="Y160" s="2">
        <f t="shared" ref="Y160:Y165" si="125">(ROUND((((S160+ROUND((ROUND(((EU160)*AV160*I160),2)*BS160),2))*AU160)/100),2)+ROUND(((ROUND((ROUND(((AE160-(EU160))*AV160*I160),2)*BS160),2)*AU160)/100),2))</f>
        <v>0</v>
      </c>
      <c r="Z160" s="2"/>
      <c r="AA160" s="2">
        <v>57034452</v>
      </c>
      <c r="AB160" s="2">
        <f t="shared" si="102"/>
        <v>861.62</v>
      </c>
      <c r="AC160" s="2">
        <f t="shared" ref="AC160:AC165" si="126">ROUND((ES160),6)</f>
        <v>861.62</v>
      </c>
      <c r="AD160" s="2">
        <f t="shared" ref="AD160:AD165" si="127">ROUND((((ET160)-(EU160))+AE160),6)</f>
        <v>0</v>
      </c>
      <c r="AE160" s="2">
        <f t="shared" ref="AE160:AF165" si="128">ROUND((EU160),6)</f>
        <v>0</v>
      </c>
      <c r="AF160" s="2">
        <f t="shared" si="128"/>
        <v>0</v>
      </c>
      <c r="AG160" s="2">
        <f t="shared" si="103"/>
        <v>0</v>
      </c>
      <c r="AH160" s="2">
        <f t="shared" ref="AH160:AI165" si="129">(EW160)</f>
        <v>0</v>
      </c>
      <c r="AI160" s="2">
        <f t="shared" si="129"/>
        <v>0</v>
      </c>
      <c r="AJ160" s="2">
        <f t="shared" si="104"/>
        <v>0</v>
      </c>
      <c r="AK160" s="2">
        <v>861.62</v>
      </c>
      <c r="AL160" s="2">
        <v>861.62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90</v>
      </c>
      <c r="AU160" s="2">
        <v>46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3</v>
      </c>
      <c r="BJ160" s="2" t="s">
        <v>3</v>
      </c>
      <c r="BK160" s="2"/>
      <c r="BL160" s="2"/>
      <c r="BM160" s="2">
        <v>68</v>
      </c>
      <c r="BN160" s="2">
        <v>0</v>
      </c>
      <c r="BO160" s="2" t="s">
        <v>3</v>
      </c>
      <c r="BP160" s="2">
        <v>0</v>
      </c>
      <c r="BQ160" s="2">
        <v>40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90</v>
      </c>
      <c r="CA160" s="2">
        <v>46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105"/>
        <v>861.62</v>
      </c>
      <c r="CQ160" s="2">
        <f t="shared" si="121"/>
        <v>861.62</v>
      </c>
      <c r="CR160" s="2">
        <f t="shared" ref="CR160:CR165" si="130">(ROUND((ROUND(((ET160)*AV160*1),2)*BB160),2)+ROUND((ROUND(((AE160-(EU160))*AV160*1),2)*BS160),2))</f>
        <v>0</v>
      </c>
      <c r="CS160" s="2">
        <f t="shared" ref="CS160:CS165" si="131">(ROUND((ROUND(((EU160)*AV160*1),2)*BS160),2)+ROUND((ROUND(((AE160-(EU160))*AV160*1),2)*BS160),2))</f>
        <v>0</v>
      </c>
      <c r="CT160" s="2">
        <f t="shared" si="107"/>
        <v>0</v>
      </c>
      <c r="CU160" s="2">
        <f t="shared" si="108"/>
        <v>0</v>
      </c>
      <c r="CV160" s="2">
        <f t="shared" si="109"/>
        <v>0</v>
      </c>
      <c r="CW160" s="2">
        <f t="shared" si="110"/>
        <v>0</v>
      </c>
      <c r="CX160" s="2">
        <f t="shared" si="111"/>
        <v>0</v>
      </c>
      <c r="CY160" s="2">
        <f t="shared" ref="CY160:CY165" si="132">(ROUND((((S160+ROUND((ROUND(((EU160)*AV160*1),2)*BS160),2))*AT160)/100),2)+ROUND(((ROUND((ROUND(((AE160-(EU160))*AV160*1),2)*BS160),2)*AT160)/100),2))</f>
        <v>0</v>
      </c>
      <c r="CZ160" s="2">
        <f t="shared" ref="CZ160:CZ165" si="133">(ROUND((((S160+ROUND((ROUND(((EU160)*AV160*1),2)*BS160),2))*AU160)/100),2)+ROUND(((ROUND((ROUND(((AE160-(EU160))*AV160*1),2)*BS160),2)*AU160)/100),2))</f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1010</v>
      </c>
      <c r="DV160" s="2" t="s">
        <v>177</v>
      </c>
      <c r="DW160" s="2" t="s">
        <v>177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57042958</v>
      </c>
      <c r="EF160" s="2">
        <v>40</v>
      </c>
      <c r="EG160" s="2" t="s">
        <v>30</v>
      </c>
      <c r="EH160" s="2">
        <v>0</v>
      </c>
      <c r="EI160" s="2" t="s">
        <v>3</v>
      </c>
      <c r="EJ160" s="2">
        <v>2</v>
      </c>
      <c r="EK160" s="2">
        <v>68</v>
      </c>
      <c r="EL160" s="2" t="s">
        <v>38</v>
      </c>
      <c r="EM160" s="2" t="s">
        <v>39</v>
      </c>
      <c r="EN160" s="2"/>
      <c r="EO160" s="2" t="s">
        <v>3</v>
      </c>
      <c r="EP160" s="2"/>
      <c r="EQ160" s="2">
        <v>2097152</v>
      </c>
      <c r="ER160" s="2">
        <v>0</v>
      </c>
      <c r="ES160" s="2">
        <v>861.62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f t="shared" ref="FR160:FR165" si="134">P160</f>
        <v>861.62</v>
      </c>
      <c r="FS160" s="2">
        <v>0</v>
      </c>
      <c r="FT160" s="2"/>
      <c r="FU160" s="2"/>
      <c r="FV160" s="2"/>
      <c r="FW160" s="2"/>
      <c r="FX160" s="2">
        <v>90</v>
      </c>
      <c r="FY160" s="2">
        <v>46</v>
      </c>
      <c r="FZ160" s="2"/>
      <c r="GA160" s="2" t="s">
        <v>208</v>
      </c>
      <c r="GB160" s="2"/>
      <c r="GC160" s="2"/>
      <c r="GD160" s="2">
        <v>1</v>
      </c>
      <c r="GE160" s="2"/>
      <c r="GF160" s="2">
        <v>1796599771</v>
      </c>
      <c r="GG160" s="2">
        <v>2</v>
      </c>
      <c r="GH160" s="2">
        <v>4</v>
      </c>
      <c r="GI160" s="2">
        <v>-2</v>
      </c>
      <c r="GJ160" s="2">
        <v>0</v>
      </c>
      <c r="GK160" s="2">
        <v>0</v>
      </c>
      <c r="GL160" s="2">
        <f t="shared" si="112"/>
        <v>0</v>
      </c>
      <c r="GM160" s="2">
        <f t="shared" si="113"/>
        <v>861.62</v>
      </c>
      <c r="GN160" s="2">
        <f t="shared" si="114"/>
        <v>0</v>
      </c>
      <c r="GO160" s="2">
        <f t="shared" si="115"/>
        <v>0</v>
      </c>
      <c r="GP160" s="2">
        <f t="shared" si="116"/>
        <v>0</v>
      </c>
      <c r="GQ160" s="2"/>
      <c r="GR160" s="2">
        <v>0</v>
      </c>
      <c r="GS160" s="2">
        <v>2</v>
      </c>
      <c r="GT160" s="2">
        <v>0</v>
      </c>
      <c r="GU160" s="2" t="s">
        <v>3</v>
      </c>
      <c r="GV160" s="2">
        <f t="shared" si="117"/>
        <v>0</v>
      </c>
      <c r="GW160" s="2">
        <v>1</v>
      </c>
      <c r="GX160" s="2">
        <f t="shared" si="118"/>
        <v>0</v>
      </c>
      <c r="GY160" s="2"/>
      <c r="GZ160" s="2"/>
      <c r="HA160" s="2">
        <v>0</v>
      </c>
      <c r="HB160" s="2">
        <v>0</v>
      </c>
      <c r="HC160" s="2">
        <f t="shared" si="119"/>
        <v>0</v>
      </c>
      <c r="HD160" s="2"/>
      <c r="HE160" s="2" t="s">
        <v>40</v>
      </c>
      <c r="HF160" s="2" t="s">
        <v>182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5">
      <c r="A161" s="3">
        <v>18</v>
      </c>
      <c r="B161" s="3">
        <v>1</v>
      </c>
      <c r="C161" s="3">
        <v>146</v>
      </c>
      <c r="E161" s="3" t="s">
        <v>205</v>
      </c>
      <c r="F161" s="3" t="s">
        <v>206</v>
      </c>
      <c r="G161" s="3" t="s">
        <v>207</v>
      </c>
      <c r="H161" s="3" t="s">
        <v>177</v>
      </c>
      <c r="I161" s="3">
        <f>I159*J161</f>
        <v>1</v>
      </c>
      <c r="J161" s="3">
        <v>0.25</v>
      </c>
      <c r="K161" s="3">
        <v>0.25</v>
      </c>
      <c r="O161" s="3">
        <f t="shared" si="95"/>
        <v>6522.46</v>
      </c>
      <c r="P161" s="3">
        <f t="shared" si="120"/>
        <v>6522.46</v>
      </c>
      <c r="Q161" s="3">
        <f t="shared" si="122"/>
        <v>0</v>
      </c>
      <c r="R161" s="3">
        <f t="shared" si="123"/>
        <v>0</v>
      </c>
      <c r="S161" s="3">
        <f t="shared" si="97"/>
        <v>0</v>
      </c>
      <c r="T161" s="3">
        <f t="shared" si="98"/>
        <v>0</v>
      </c>
      <c r="U161" s="3">
        <f t="shared" si="99"/>
        <v>0</v>
      </c>
      <c r="V161" s="3">
        <f t="shared" si="100"/>
        <v>0</v>
      </c>
      <c r="W161" s="3">
        <f t="shared" si="101"/>
        <v>0</v>
      </c>
      <c r="X161" s="3">
        <f t="shared" si="124"/>
        <v>0</v>
      </c>
      <c r="Y161" s="3">
        <f t="shared" si="125"/>
        <v>0</v>
      </c>
      <c r="AA161" s="3">
        <v>57034454</v>
      </c>
      <c r="AB161" s="3">
        <f t="shared" si="102"/>
        <v>861.62</v>
      </c>
      <c r="AC161" s="3">
        <f t="shared" si="126"/>
        <v>861.62</v>
      </c>
      <c r="AD161" s="3">
        <f t="shared" si="127"/>
        <v>0</v>
      </c>
      <c r="AE161" s="3">
        <f t="shared" si="128"/>
        <v>0</v>
      </c>
      <c r="AF161" s="3">
        <f t="shared" si="128"/>
        <v>0</v>
      </c>
      <c r="AG161" s="3">
        <f t="shared" si="103"/>
        <v>0</v>
      </c>
      <c r="AH161" s="3">
        <f t="shared" si="129"/>
        <v>0</v>
      </c>
      <c r="AI161" s="3">
        <f t="shared" si="129"/>
        <v>0</v>
      </c>
      <c r="AJ161" s="3">
        <f t="shared" si="104"/>
        <v>0</v>
      </c>
      <c r="AK161" s="3">
        <v>861.62</v>
      </c>
      <c r="AL161" s="3">
        <v>861.62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90</v>
      </c>
      <c r="AU161" s="3">
        <v>46</v>
      </c>
      <c r="AV161" s="3">
        <v>1</v>
      </c>
      <c r="AW161" s="3">
        <v>1</v>
      </c>
      <c r="AZ161" s="3">
        <v>1</v>
      </c>
      <c r="BA161" s="3">
        <v>1</v>
      </c>
      <c r="BB161" s="3">
        <v>1</v>
      </c>
      <c r="BC161" s="3">
        <v>7.57</v>
      </c>
      <c r="BD161" s="3" t="s">
        <v>3</v>
      </c>
      <c r="BE161" s="3" t="s">
        <v>3</v>
      </c>
      <c r="BF161" s="3" t="s">
        <v>3</v>
      </c>
      <c r="BG161" s="3" t="s">
        <v>3</v>
      </c>
      <c r="BH161" s="3">
        <v>3</v>
      </c>
      <c r="BI161" s="3">
        <v>3</v>
      </c>
      <c r="BJ161" s="3" t="s">
        <v>3</v>
      </c>
      <c r="BM161" s="3">
        <v>68</v>
      </c>
      <c r="BN161" s="3">
        <v>0</v>
      </c>
      <c r="BO161" s="3" t="s">
        <v>3</v>
      </c>
      <c r="BP161" s="3">
        <v>0</v>
      </c>
      <c r="BQ161" s="3">
        <v>40</v>
      </c>
      <c r="BR161" s="3">
        <v>0</v>
      </c>
      <c r="BS161" s="3">
        <v>1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 t="s">
        <v>3</v>
      </c>
      <c r="BZ161" s="3">
        <v>90</v>
      </c>
      <c r="CA161" s="3">
        <v>46</v>
      </c>
      <c r="CB161" s="3" t="s">
        <v>3</v>
      </c>
      <c r="CE161" s="3">
        <v>1566</v>
      </c>
      <c r="CF161" s="3">
        <v>0</v>
      </c>
      <c r="CG161" s="3">
        <v>0</v>
      </c>
      <c r="CM161" s="3">
        <v>0</v>
      </c>
      <c r="CN161" s="3" t="s">
        <v>3</v>
      </c>
      <c r="CO161" s="3">
        <v>0</v>
      </c>
      <c r="CP161" s="3">
        <f t="shared" si="105"/>
        <v>6522.46</v>
      </c>
      <c r="CQ161" s="3">
        <f t="shared" si="121"/>
        <v>6522.46</v>
      </c>
      <c r="CR161" s="3">
        <f t="shared" si="130"/>
        <v>0</v>
      </c>
      <c r="CS161" s="3">
        <f t="shared" si="131"/>
        <v>0</v>
      </c>
      <c r="CT161" s="3">
        <f t="shared" si="107"/>
        <v>0</v>
      </c>
      <c r="CU161" s="3">
        <f t="shared" si="108"/>
        <v>0</v>
      </c>
      <c r="CV161" s="3">
        <f t="shared" si="109"/>
        <v>0</v>
      </c>
      <c r="CW161" s="3">
        <f t="shared" si="110"/>
        <v>0</v>
      </c>
      <c r="CX161" s="3">
        <f t="shared" si="111"/>
        <v>0</v>
      </c>
      <c r="CY161" s="3">
        <f t="shared" si="132"/>
        <v>0</v>
      </c>
      <c r="CZ161" s="3">
        <f t="shared" si="133"/>
        <v>0</v>
      </c>
      <c r="DC161" s="3" t="s">
        <v>3</v>
      </c>
      <c r="DD161" s="3" t="s">
        <v>3</v>
      </c>
      <c r="DE161" s="3" t="s">
        <v>3</v>
      </c>
      <c r="DF161" s="3" t="s">
        <v>3</v>
      </c>
      <c r="DG161" s="3" t="s">
        <v>3</v>
      </c>
      <c r="DH161" s="3" t="s">
        <v>3</v>
      </c>
      <c r="DI161" s="3" t="s">
        <v>3</v>
      </c>
      <c r="DJ161" s="3" t="s">
        <v>3</v>
      </c>
      <c r="DK161" s="3" t="s">
        <v>3</v>
      </c>
      <c r="DL161" s="3" t="s">
        <v>3</v>
      </c>
      <c r="DM161" s="3" t="s">
        <v>3</v>
      </c>
      <c r="DN161" s="3">
        <v>0</v>
      </c>
      <c r="DO161" s="3">
        <v>0</v>
      </c>
      <c r="DP161" s="3">
        <v>1</v>
      </c>
      <c r="DQ161" s="3">
        <v>1</v>
      </c>
      <c r="DU161" s="3">
        <v>1010</v>
      </c>
      <c r="DV161" s="3" t="s">
        <v>177</v>
      </c>
      <c r="DW161" s="3" t="s">
        <v>177</v>
      </c>
      <c r="DX161" s="3">
        <v>1</v>
      </c>
      <c r="DZ161" s="3" t="s">
        <v>3</v>
      </c>
      <c r="EA161" s="3" t="s">
        <v>3</v>
      </c>
      <c r="EB161" s="3" t="s">
        <v>3</v>
      </c>
      <c r="EC161" s="3" t="s">
        <v>3</v>
      </c>
      <c r="EE161" s="3">
        <v>57042958</v>
      </c>
      <c r="EF161" s="3">
        <v>40</v>
      </c>
      <c r="EG161" s="3" t="s">
        <v>30</v>
      </c>
      <c r="EH161" s="3">
        <v>0</v>
      </c>
      <c r="EI161" s="3" t="s">
        <v>3</v>
      </c>
      <c r="EJ161" s="3">
        <v>2</v>
      </c>
      <c r="EK161" s="3">
        <v>68</v>
      </c>
      <c r="EL161" s="3" t="s">
        <v>38</v>
      </c>
      <c r="EM161" s="3" t="s">
        <v>39</v>
      </c>
      <c r="EO161" s="3" t="s">
        <v>3</v>
      </c>
      <c r="EQ161" s="3">
        <v>2097152</v>
      </c>
      <c r="ER161" s="3">
        <v>648.63</v>
      </c>
      <c r="ES161" s="3">
        <v>861.62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Z161" s="3">
        <v>5</v>
      </c>
      <c r="FC161" s="3">
        <v>1</v>
      </c>
      <c r="FD161" s="3">
        <v>18</v>
      </c>
      <c r="FF161" s="3">
        <v>7634</v>
      </c>
      <c r="FQ161" s="3">
        <v>0</v>
      </c>
      <c r="FR161" s="3">
        <f t="shared" si="134"/>
        <v>6522.46</v>
      </c>
      <c r="FS161" s="3">
        <v>0</v>
      </c>
      <c r="FX161" s="3">
        <v>90</v>
      </c>
      <c r="FY161" s="3">
        <v>46</v>
      </c>
      <c r="GA161" s="3" t="s">
        <v>208</v>
      </c>
      <c r="GD161" s="3">
        <v>1</v>
      </c>
      <c r="GF161" s="3">
        <v>1796599771</v>
      </c>
      <c r="GG161" s="3">
        <v>2</v>
      </c>
      <c r="GH161" s="3">
        <v>3</v>
      </c>
      <c r="GI161" s="3">
        <v>5</v>
      </c>
      <c r="GJ161" s="3">
        <v>0</v>
      </c>
      <c r="GK161" s="3">
        <v>0</v>
      </c>
      <c r="GL161" s="3">
        <f t="shared" si="112"/>
        <v>0</v>
      </c>
      <c r="GM161" s="3">
        <f t="shared" si="113"/>
        <v>6522.46</v>
      </c>
      <c r="GN161" s="3">
        <f t="shared" si="114"/>
        <v>0</v>
      </c>
      <c r="GO161" s="3">
        <f t="shared" si="115"/>
        <v>0</v>
      </c>
      <c r="GP161" s="3">
        <f t="shared" si="116"/>
        <v>0</v>
      </c>
      <c r="GR161" s="3">
        <v>1</v>
      </c>
      <c r="GS161" s="3">
        <v>1</v>
      </c>
      <c r="GT161" s="3">
        <v>0</v>
      </c>
      <c r="GU161" s="3" t="s">
        <v>3</v>
      </c>
      <c r="GV161" s="3">
        <f t="shared" si="117"/>
        <v>0</v>
      </c>
      <c r="GW161" s="3">
        <v>1</v>
      </c>
      <c r="GX161" s="3">
        <f t="shared" si="118"/>
        <v>0</v>
      </c>
      <c r="HA161" s="3">
        <v>0</v>
      </c>
      <c r="HB161" s="3">
        <v>0</v>
      </c>
      <c r="HC161" s="3">
        <f t="shared" si="119"/>
        <v>0</v>
      </c>
      <c r="HE161" s="3" t="s">
        <v>40</v>
      </c>
      <c r="HF161" s="3" t="s">
        <v>182</v>
      </c>
      <c r="HM161" s="3" t="s">
        <v>3</v>
      </c>
      <c r="HN161" s="3" t="s">
        <v>3</v>
      </c>
      <c r="HO161" s="3" t="s">
        <v>3</v>
      </c>
      <c r="HP161" s="3" t="s">
        <v>3</v>
      </c>
      <c r="HQ161" s="3" t="s">
        <v>3</v>
      </c>
      <c r="HS161" s="3">
        <v>0</v>
      </c>
      <c r="IK161" s="3">
        <v>0</v>
      </c>
    </row>
    <row r="162" spans="1:255" x14ac:dyDescent="0.25">
      <c r="A162" s="2">
        <v>18</v>
      </c>
      <c r="B162" s="2">
        <v>1</v>
      </c>
      <c r="C162" s="2">
        <v>138</v>
      </c>
      <c r="D162" s="2"/>
      <c r="E162" s="2" t="s">
        <v>209</v>
      </c>
      <c r="F162" s="2" t="s">
        <v>210</v>
      </c>
      <c r="G162" s="2" t="s">
        <v>211</v>
      </c>
      <c r="H162" s="2" t="s">
        <v>177</v>
      </c>
      <c r="I162" s="2">
        <f>I158*J162</f>
        <v>2</v>
      </c>
      <c r="J162" s="2">
        <v>0.5</v>
      </c>
      <c r="K162" s="2">
        <v>0.5</v>
      </c>
      <c r="L162" s="2"/>
      <c r="M162" s="2"/>
      <c r="N162" s="2"/>
      <c r="O162" s="2">
        <f t="shared" si="95"/>
        <v>1874.94</v>
      </c>
      <c r="P162" s="2">
        <f t="shared" si="120"/>
        <v>1874.94</v>
      </c>
      <c r="Q162" s="2">
        <f t="shared" si="122"/>
        <v>0</v>
      </c>
      <c r="R162" s="2">
        <f t="shared" si="123"/>
        <v>0</v>
      </c>
      <c r="S162" s="2">
        <f t="shared" si="97"/>
        <v>0</v>
      </c>
      <c r="T162" s="2">
        <f t="shared" si="98"/>
        <v>0</v>
      </c>
      <c r="U162" s="2">
        <f t="shared" si="99"/>
        <v>0</v>
      </c>
      <c r="V162" s="2">
        <f t="shared" si="100"/>
        <v>0</v>
      </c>
      <c r="W162" s="2">
        <f t="shared" si="101"/>
        <v>0</v>
      </c>
      <c r="X162" s="2">
        <f t="shared" si="124"/>
        <v>0</v>
      </c>
      <c r="Y162" s="2">
        <f t="shared" si="125"/>
        <v>0</v>
      </c>
      <c r="Z162" s="2"/>
      <c r="AA162" s="2">
        <v>57034452</v>
      </c>
      <c r="AB162" s="2">
        <f t="shared" si="102"/>
        <v>937.47</v>
      </c>
      <c r="AC162" s="2">
        <f t="shared" si="126"/>
        <v>937.47</v>
      </c>
      <c r="AD162" s="2">
        <f t="shared" si="127"/>
        <v>0</v>
      </c>
      <c r="AE162" s="2">
        <f t="shared" si="128"/>
        <v>0</v>
      </c>
      <c r="AF162" s="2">
        <f t="shared" si="128"/>
        <v>0</v>
      </c>
      <c r="AG162" s="2">
        <f t="shared" si="103"/>
        <v>0</v>
      </c>
      <c r="AH162" s="2">
        <f t="shared" si="129"/>
        <v>0</v>
      </c>
      <c r="AI162" s="2">
        <f t="shared" si="129"/>
        <v>0</v>
      </c>
      <c r="AJ162" s="2">
        <f t="shared" si="104"/>
        <v>0</v>
      </c>
      <c r="AK162" s="2">
        <v>937.47</v>
      </c>
      <c r="AL162" s="2">
        <v>937.47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90</v>
      </c>
      <c r="AU162" s="2">
        <v>46</v>
      </c>
      <c r="AV162" s="2">
        <v>1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3</v>
      </c>
      <c r="BI162" s="2">
        <v>3</v>
      </c>
      <c r="BJ162" s="2" t="s">
        <v>3</v>
      </c>
      <c r="BK162" s="2"/>
      <c r="BL162" s="2"/>
      <c r="BM162" s="2">
        <v>68</v>
      </c>
      <c r="BN162" s="2">
        <v>0</v>
      </c>
      <c r="BO162" s="2" t="s">
        <v>3</v>
      </c>
      <c r="BP162" s="2">
        <v>0</v>
      </c>
      <c r="BQ162" s="2">
        <v>40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90</v>
      </c>
      <c r="CA162" s="2">
        <v>46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3</v>
      </c>
      <c r="CO162" s="2">
        <v>0</v>
      </c>
      <c r="CP162" s="2">
        <f t="shared" si="105"/>
        <v>1874.94</v>
      </c>
      <c r="CQ162" s="2">
        <f t="shared" si="121"/>
        <v>937.47</v>
      </c>
      <c r="CR162" s="2">
        <f t="shared" si="130"/>
        <v>0</v>
      </c>
      <c r="CS162" s="2">
        <f t="shared" si="131"/>
        <v>0</v>
      </c>
      <c r="CT162" s="2">
        <f t="shared" si="107"/>
        <v>0</v>
      </c>
      <c r="CU162" s="2">
        <f t="shared" si="108"/>
        <v>0</v>
      </c>
      <c r="CV162" s="2">
        <f t="shared" si="109"/>
        <v>0</v>
      </c>
      <c r="CW162" s="2">
        <f t="shared" si="110"/>
        <v>0</v>
      </c>
      <c r="CX162" s="2">
        <f t="shared" si="111"/>
        <v>0</v>
      </c>
      <c r="CY162" s="2">
        <f t="shared" si="132"/>
        <v>0</v>
      </c>
      <c r="CZ162" s="2">
        <f t="shared" si="133"/>
        <v>0</v>
      </c>
      <c r="DA162" s="2"/>
      <c r="DB162" s="2"/>
      <c r="DC162" s="2" t="s">
        <v>3</v>
      </c>
      <c r="DD162" s="2" t="s">
        <v>3</v>
      </c>
      <c r="DE162" s="2" t="s">
        <v>3</v>
      </c>
      <c r="DF162" s="2" t="s">
        <v>3</v>
      </c>
      <c r="DG162" s="2" t="s">
        <v>3</v>
      </c>
      <c r="DH162" s="2" t="s">
        <v>3</v>
      </c>
      <c r="DI162" s="2" t="s">
        <v>3</v>
      </c>
      <c r="DJ162" s="2" t="s">
        <v>3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1010</v>
      </c>
      <c r="DV162" s="2" t="s">
        <v>177</v>
      </c>
      <c r="DW162" s="2" t="s">
        <v>177</v>
      </c>
      <c r="DX162" s="2">
        <v>1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57042958</v>
      </c>
      <c r="EF162" s="2">
        <v>40</v>
      </c>
      <c r="EG162" s="2" t="s">
        <v>30</v>
      </c>
      <c r="EH162" s="2">
        <v>0</v>
      </c>
      <c r="EI162" s="2" t="s">
        <v>3</v>
      </c>
      <c r="EJ162" s="2">
        <v>2</v>
      </c>
      <c r="EK162" s="2">
        <v>68</v>
      </c>
      <c r="EL162" s="2" t="s">
        <v>38</v>
      </c>
      <c r="EM162" s="2" t="s">
        <v>39</v>
      </c>
      <c r="EN162" s="2"/>
      <c r="EO162" s="2" t="s">
        <v>3</v>
      </c>
      <c r="EP162" s="2"/>
      <c r="EQ162" s="2">
        <v>2097152</v>
      </c>
      <c r="ER162" s="2">
        <v>0</v>
      </c>
      <c r="ES162" s="2">
        <v>937.47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f t="shared" si="134"/>
        <v>1874.94</v>
      </c>
      <c r="FS162" s="2">
        <v>0</v>
      </c>
      <c r="FT162" s="2"/>
      <c r="FU162" s="2"/>
      <c r="FV162" s="2"/>
      <c r="FW162" s="2"/>
      <c r="FX162" s="2">
        <v>90</v>
      </c>
      <c r="FY162" s="2">
        <v>46</v>
      </c>
      <c r="FZ162" s="2"/>
      <c r="GA162" s="2" t="s">
        <v>212</v>
      </c>
      <c r="GB162" s="2"/>
      <c r="GC162" s="2"/>
      <c r="GD162" s="2">
        <v>1</v>
      </c>
      <c r="GE162" s="2"/>
      <c r="GF162" s="2">
        <v>1195178825</v>
      </c>
      <c r="GG162" s="2">
        <v>2</v>
      </c>
      <c r="GH162" s="2">
        <v>4</v>
      </c>
      <c r="GI162" s="2">
        <v>-2</v>
      </c>
      <c r="GJ162" s="2">
        <v>0</v>
      </c>
      <c r="GK162" s="2">
        <v>0</v>
      </c>
      <c r="GL162" s="2">
        <f t="shared" si="112"/>
        <v>0</v>
      </c>
      <c r="GM162" s="2">
        <f t="shared" si="113"/>
        <v>1874.94</v>
      </c>
      <c r="GN162" s="2">
        <f t="shared" si="114"/>
        <v>0</v>
      </c>
      <c r="GO162" s="2">
        <f t="shared" si="115"/>
        <v>0</v>
      </c>
      <c r="GP162" s="2">
        <f t="shared" si="116"/>
        <v>0</v>
      </c>
      <c r="GQ162" s="2"/>
      <c r="GR162" s="2">
        <v>0</v>
      </c>
      <c r="GS162" s="2">
        <v>2</v>
      </c>
      <c r="GT162" s="2">
        <v>0</v>
      </c>
      <c r="GU162" s="2" t="s">
        <v>3</v>
      </c>
      <c r="GV162" s="2">
        <f t="shared" si="117"/>
        <v>0</v>
      </c>
      <c r="GW162" s="2">
        <v>1</v>
      </c>
      <c r="GX162" s="2">
        <f t="shared" si="118"/>
        <v>0</v>
      </c>
      <c r="GY162" s="2"/>
      <c r="GZ162" s="2"/>
      <c r="HA162" s="2">
        <v>0</v>
      </c>
      <c r="HB162" s="2">
        <v>0</v>
      </c>
      <c r="HC162" s="2">
        <f t="shared" si="119"/>
        <v>0</v>
      </c>
      <c r="HD162" s="2"/>
      <c r="HE162" s="2" t="s">
        <v>40</v>
      </c>
      <c r="HF162" s="2" t="s">
        <v>182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5">
      <c r="A163" s="3">
        <v>18</v>
      </c>
      <c r="B163" s="3">
        <v>1</v>
      </c>
      <c r="C163" s="3">
        <v>147</v>
      </c>
      <c r="E163" s="3" t="s">
        <v>209</v>
      </c>
      <c r="F163" s="3" t="s">
        <v>210</v>
      </c>
      <c r="G163" s="3" t="s">
        <v>211</v>
      </c>
      <c r="H163" s="3" t="s">
        <v>177</v>
      </c>
      <c r="I163" s="3">
        <f>I159*J163</f>
        <v>2</v>
      </c>
      <c r="J163" s="3">
        <v>0.5</v>
      </c>
      <c r="K163" s="3">
        <v>0.5</v>
      </c>
      <c r="O163" s="3">
        <f t="shared" si="95"/>
        <v>14193.3</v>
      </c>
      <c r="P163" s="3">
        <f t="shared" si="120"/>
        <v>14193.3</v>
      </c>
      <c r="Q163" s="3">
        <f t="shared" si="122"/>
        <v>0</v>
      </c>
      <c r="R163" s="3">
        <f t="shared" si="123"/>
        <v>0</v>
      </c>
      <c r="S163" s="3">
        <f t="shared" si="97"/>
        <v>0</v>
      </c>
      <c r="T163" s="3">
        <f t="shared" si="98"/>
        <v>0</v>
      </c>
      <c r="U163" s="3">
        <f t="shared" si="99"/>
        <v>0</v>
      </c>
      <c r="V163" s="3">
        <f t="shared" si="100"/>
        <v>0</v>
      </c>
      <c r="W163" s="3">
        <f t="shared" si="101"/>
        <v>0</v>
      </c>
      <c r="X163" s="3">
        <f t="shared" si="124"/>
        <v>0</v>
      </c>
      <c r="Y163" s="3">
        <f t="shared" si="125"/>
        <v>0</v>
      </c>
      <c r="AA163" s="3">
        <v>57034454</v>
      </c>
      <c r="AB163" s="3">
        <f t="shared" si="102"/>
        <v>937.47</v>
      </c>
      <c r="AC163" s="3">
        <f t="shared" si="126"/>
        <v>937.47</v>
      </c>
      <c r="AD163" s="3">
        <f t="shared" si="127"/>
        <v>0</v>
      </c>
      <c r="AE163" s="3">
        <f t="shared" si="128"/>
        <v>0</v>
      </c>
      <c r="AF163" s="3">
        <f t="shared" si="128"/>
        <v>0</v>
      </c>
      <c r="AG163" s="3">
        <f t="shared" si="103"/>
        <v>0</v>
      </c>
      <c r="AH163" s="3">
        <f t="shared" si="129"/>
        <v>0</v>
      </c>
      <c r="AI163" s="3">
        <f t="shared" si="129"/>
        <v>0</v>
      </c>
      <c r="AJ163" s="3">
        <f t="shared" si="104"/>
        <v>0</v>
      </c>
      <c r="AK163" s="3">
        <v>937.47</v>
      </c>
      <c r="AL163" s="3">
        <v>937.47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90</v>
      </c>
      <c r="AU163" s="3">
        <v>46</v>
      </c>
      <c r="AV163" s="3">
        <v>1</v>
      </c>
      <c r="AW163" s="3">
        <v>1</v>
      </c>
      <c r="AZ163" s="3">
        <v>1</v>
      </c>
      <c r="BA163" s="3">
        <v>1</v>
      </c>
      <c r="BB163" s="3">
        <v>1</v>
      </c>
      <c r="BC163" s="3">
        <v>7.57</v>
      </c>
      <c r="BD163" s="3" t="s">
        <v>3</v>
      </c>
      <c r="BE163" s="3" t="s">
        <v>3</v>
      </c>
      <c r="BF163" s="3" t="s">
        <v>3</v>
      </c>
      <c r="BG163" s="3" t="s">
        <v>3</v>
      </c>
      <c r="BH163" s="3">
        <v>3</v>
      </c>
      <c r="BI163" s="3">
        <v>3</v>
      </c>
      <c r="BJ163" s="3" t="s">
        <v>3</v>
      </c>
      <c r="BM163" s="3">
        <v>68</v>
      </c>
      <c r="BN163" s="3">
        <v>0</v>
      </c>
      <c r="BO163" s="3" t="s">
        <v>3</v>
      </c>
      <c r="BP163" s="3">
        <v>0</v>
      </c>
      <c r="BQ163" s="3">
        <v>40</v>
      </c>
      <c r="BR163" s="3">
        <v>0</v>
      </c>
      <c r="BS163" s="3">
        <v>1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 t="s">
        <v>3</v>
      </c>
      <c r="BZ163" s="3">
        <v>90</v>
      </c>
      <c r="CA163" s="3">
        <v>46</v>
      </c>
      <c r="CB163" s="3" t="s">
        <v>3</v>
      </c>
      <c r="CE163" s="3">
        <v>1566</v>
      </c>
      <c r="CF163" s="3">
        <v>0</v>
      </c>
      <c r="CG163" s="3">
        <v>0</v>
      </c>
      <c r="CM163" s="3">
        <v>0</v>
      </c>
      <c r="CN163" s="3" t="s">
        <v>3</v>
      </c>
      <c r="CO163" s="3">
        <v>0</v>
      </c>
      <c r="CP163" s="3">
        <f t="shared" si="105"/>
        <v>14193.3</v>
      </c>
      <c r="CQ163" s="3">
        <f t="shared" si="121"/>
        <v>7096.65</v>
      </c>
      <c r="CR163" s="3">
        <f t="shared" si="130"/>
        <v>0</v>
      </c>
      <c r="CS163" s="3">
        <f t="shared" si="131"/>
        <v>0</v>
      </c>
      <c r="CT163" s="3">
        <f t="shared" si="107"/>
        <v>0</v>
      </c>
      <c r="CU163" s="3">
        <f t="shared" si="108"/>
        <v>0</v>
      </c>
      <c r="CV163" s="3">
        <f t="shared" si="109"/>
        <v>0</v>
      </c>
      <c r="CW163" s="3">
        <f t="shared" si="110"/>
        <v>0</v>
      </c>
      <c r="CX163" s="3">
        <f t="shared" si="111"/>
        <v>0</v>
      </c>
      <c r="CY163" s="3">
        <f t="shared" si="132"/>
        <v>0</v>
      </c>
      <c r="CZ163" s="3">
        <f t="shared" si="133"/>
        <v>0</v>
      </c>
      <c r="DC163" s="3" t="s">
        <v>3</v>
      </c>
      <c r="DD163" s="3" t="s">
        <v>3</v>
      </c>
      <c r="DE163" s="3" t="s">
        <v>3</v>
      </c>
      <c r="DF163" s="3" t="s">
        <v>3</v>
      </c>
      <c r="DG163" s="3" t="s">
        <v>3</v>
      </c>
      <c r="DH163" s="3" t="s">
        <v>3</v>
      </c>
      <c r="DI163" s="3" t="s">
        <v>3</v>
      </c>
      <c r="DJ163" s="3" t="s">
        <v>3</v>
      </c>
      <c r="DK163" s="3" t="s">
        <v>3</v>
      </c>
      <c r="DL163" s="3" t="s">
        <v>3</v>
      </c>
      <c r="DM163" s="3" t="s">
        <v>3</v>
      </c>
      <c r="DN163" s="3">
        <v>0</v>
      </c>
      <c r="DO163" s="3">
        <v>0</v>
      </c>
      <c r="DP163" s="3">
        <v>1</v>
      </c>
      <c r="DQ163" s="3">
        <v>1</v>
      </c>
      <c r="DU163" s="3">
        <v>1010</v>
      </c>
      <c r="DV163" s="3" t="s">
        <v>177</v>
      </c>
      <c r="DW163" s="3" t="s">
        <v>177</v>
      </c>
      <c r="DX163" s="3">
        <v>1</v>
      </c>
      <c r="DZ163" s="3" t="s">
        <v>3</v>
      </c>
      <c r="EA163" s="3" t="s">
        <v>3</v>
      </c>
      <c r="EB163" s="3" t="s">
        <v>3</v>
      </c>
      <c r="EC163" s="3" t="s">
        <v>3</v>
      </c>
      <c r="EE163" s="3">
        <v>57042958</v>
      </c>
      <c r="EF163" s="3">
        <v>40</v>
      </c>
      <c r="EG163" s="3" t="s">
        <v>30</v>
      </c>
      <c r="EH163" s="3">
        <v>0</v>
      </c>
      <c r="EI163" s="3" t="s">
        <v>3</v>
      </c>
      <c r="EJ163" s="3">
        <v>2</v>
      </c>
      <c r="EK163" s="3">
        <v>68</v>
      </c>
      <c r="EL163" s="3" t="s">
        <v>38</v>
      </c>
      <c r="EM163" s="3" t="s">
        <v>39</v>
      </c>
      <c r="EO163" s="3" t="s">
        <v>3</v>
      </c>
      <c r="EQ163" s="3">
        <v>2097152</v>
      </c>
      <c r="ER163" s="3">
        <v>705.73</v>
      </c>
      <c r="ES163" s="3">
        <v>937.47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Z163" s="3">
        <v>5</v>
      </c>
      <c r="FC163" s="3">
        <v>1</v>
      </c>
      <c r="FD163" s="3">
        <v>18</v>
      </c>
      <c r="FF163" s="3">
        <v>8306</v>
      </c>
      <c r="FQ163" s="3">
        <v>0</v>
      </c>
      <c r="FR163" s="3">
        <f t="shared" si="134"/>
        <v>14193.3</v>
      </c>
      <c r="FS163" s="3">
        <v>0</v>
      </c>
      <c r="FX163" s="3">
        <v>90</v>
      </c>
      <c r="FY163" s="3">
        <v>46</v>
      </c>
      <c r="GA163" s="3" t="s">
        <v>212</v>
      </c>
      <c r="GD163" s="3">
        <v>1</v>
      </c>
      <c r="GF163" s="3">
        <v>1195178825</v>
      </c>
      <c r="GG163" s="3">
        <v>2</v>
      </c>
      <c r="GH163" s="3">
        <v>3</v>
      </c>
      <c r="GI163" s="3">
        <v>5</v>
      </c>
      <c r="GJ163" s="3">
        <v>0</v>
      </c>
      <c r="GK163" s="3">
        <v>0</v>
      </c>
      <c r="GL163" s="3">
        <f t="shared" si="112"/>
        <v>0</v>
      </c>
      <c r="GM163" s="3">
        <f t="shared" si="113"/>
        <v>14193.3</v>
      </c>
      <c r="GN163" s="3">
        <f t="shared" si="114"/>
        <v>0</v>
      </c>
      <c r="GO163" s="3">
        <f t="shared" si="115"/>
        <v>0</v>
      </c>
      <c r="GP163" s="3">
        <f t="shared" si="116"/>
        <v>0</v>
      </c>
      <c r="GR163" s="3">
        <v>1</v>
      </c>
      <c r="GS163" s="3">
        <v>1</v>
      </c>
      <c r="GT163" s="3">
        <v>0</v>
      </c>
      <c r="GU163" s="3" t="s">
        <v>3</v>
      </c>
      <c r="GV163" s="3">
        <f t="shared" si="117"/>
        <v>0</v>
      </c>
      <c r="GW163" s="3">
        <v>1</v>
      </c>
      <c r="GX163" s="3">
        <f t="shared" si="118"/>
        <v>0</v>
      </c>
      <c r="HA163" s="3">
        <v>0</v>
      </c>
      <c r="HB163" s="3">
        <v>0</v>
      </c>
      <c r="HC163" s="3">
        <f t="shared" si="119"/>
        <v>0</v>
      </c>
      <c r="HE163" s="3" t="s">
        <v>40</v>
      </c>
      <c r="HF163" s="3" t="s">
        <v>182</v>
      </c>
      <c r="HM163" s="3" t="s">
        <v>3</v>
      </c>
      <c r="HN163" s="3" t="s">
        <v>3</v>
      </c>
      <c r="HO163" s="3" t="s">
        <v>3</v>
      </c>
      <c r="HP163" s="3" t="s">
        <v>3</v>
      </c>
      <c r="HQ163" s="3" t="s">
        <v>3</v>
      </c>
      <c r="HS163" s="3">
        <v>0</v>
      </c>
      <c r="IK163" s="3">
        <v>0</v>
      </c>
    </row>
    <row r="164" spans="1:255" x14ac:dyDescent="0.25">
      <c r="A164" s="2">
        <v>18</v>
      </c>
      <c r="B164" s="2">
        <v>1</v>
      </c>
      <c r="C164" s="2">
        <v>139</v>
      </c>
      <c r="D164" s="2"/>
      <c r="E164" s="2" t="s">
        <v>213</v>
      </c>
      <c r="F164" s="2" t="s">
        <v>214</v>
      </c>
      <c r="G164" s="2" t="s">
        <v>215</v>
      </c>
      <c r="H164" s="2" t="s">
        <v>177</v>
      </c>
      <c r="I164" s="2">
        <f>I158*J164</f>
        <v>1</v>
      </c>
      <c r="J164" s="2">
        <v>0.25</v>
      </c>
      <c r="K164" s="2">
        <v>0.25</v>
      </c>
      <c r="L164" s="2"/>
      <c r="M164" s="2"/>
      <c r="N164" s="2"/>
      <c r="O164" s="2">
        <f t="shared" si="95"/>
        <v>1470.07</v>
      </c>
      <c r="P164" s="2">
        <f t="shared" si="120"/>
        <v>1470.07</v>
      </c>
      <c r="Q164" s="2">
        <f t="shared" si="122"/>
        <v>0</v>
      </c>
      <c r="R164" s="2">
        <f t="shared" si="123"/>
        <v>0</v>
      </c>
      <c r="S164" s="2">
        <f t="shared" si="97"/>
        <v>0</v>
      </c>
      <c r="T164" s="2">
        <f t="shared" si="98"/>
        <v>0</v>
      </c>
      <c r="U164" s="2">
        <f t="shared" si="99"/>
        <v>0</v>
      </c>
      <c r="V164" s="2">
        <f t="shared" si="100"/>
        <v>0</v>
      </c>
      <c r="W164" s="2">
        <f t="shared" si="101"/>
        <v>0</v>
      </c>
      <c r="X164" s="2">
        <f t="shared" si="124"/>
        <v>0</v>
      </c>
      <c r="Y164" s="2">
        <f t="shared" si="125"/>
        <v>0</v>
      </c>
      <c r="Z164" s="2"/>
      <c r="AA164" s="2">
        <v>57034452</v>
      </c>
      <c r="AB164" s="2">
        <f t="shared" si="102"/>
        <v>1470.07</v>
      </c>
      <c r="AC164" s="2">
        <f t="shared" si="126"/>
        <v>1470.07</v>
      </c>
      <c r="AD164" s="2">
        <f t="shared" si="127"/>
        <v>0</v>
      </c>
      <c r="AE164" s="2">
        <f t="shared" si="128"/>
        <v>0</v>
      </c>
      <c r="AF164" s="2">
        <f t="shared" si="128"/>
        <v>0</v>
      </c>
      <c r="AG164" s="2">
        <f t="shared" si="103"/>
        <v>0</v>
      </c>
      <c r="AH164" s="2">
        <f t="shared" si="129"/>
        <v>0</v>
      </c>
      <c r="AI164" s="2">
        <f t="shared" si="129"/>
        <v>0</v>
      </c>
      <c r="AJ164" s="2">
        <f t="shared" si="104"/>
        <v>0</v>
      </c>
      <c r="AK164" s="2">
        <v>1470.07</v>
      </c>
      <c r="AL164" s="2">
        <v>1470.07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90</v>
      </c>
      <c r="AU164" s="2">
        <v>46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3</v>
      </c>
      <c r="BJ164" s="2" t="s">
        <v>3</v>
      </c>
      <c r="BK164" s="2"/>
      <c r="BL164" s="2"/>
      <c r="BM164" s="2">
        <v>68</v>
      </c>
      <c r="BN164" s="2">
        <v>0</v>
      </c>
      <c r="BO164" s="2" t="s">
        <v>3</v>
      </c>
      <c r="BP164" s="2">
        <v>0</v>
      </c>
      <c r="BQ164" s="2">
        <v>40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90</v>
      </c>
      <c r="CA164" s="2">
        <v>46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105"/>
        <v>1470.07</v>
      </c>
      <c r="CQ164" s="2">
        <f t="shared" si="121"/>
        <v>1470.07</v>
      </c>
      <c r="CR164" s="2">
        <f t="shared" si="130"/>
        <v>0</v>
      </c>
      <c r="CS164" s="2">
        <f t="shared" si="131"/>
        <v>0</v>
      </c>
      <c r="CT164" s="2">
        <f t="shared" si="107"/>
        <v>0</v>
      </c>
      <c r="CU164" s="2">
        <f t="shared" si="108"/>
        <v>0</v>
      </c>
      <c r="CV164" s="2">
        <f t="shared" si="109"/>
        <v>0</v>
      </c>
      <c r="CW164" s="2">
        <f t="shared" si="110"/>
        <v>0</v>
      </c>
      <c r="CX164" s="2">
        <f t="shared" si="111"/>
        <v>0</v>
      </c>
      <c r="CY164" s="2">
        <f t="shared" si="132"/>
        <v>0</v>
      </c>
      <c r="CZ164" s="2">
        <f t="shared" si="133"/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1010</v>
      </c>
      <c r="DV164" s="2" t="s">
        <v>177</v>
      </c>
      <c r="DW164" s="2" t="s">
        <v>177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57042958</v>
      </c>
      <c r="EF164" s="2">
        <v>40</v>
      </c>
      <c r="EG164" s="2" t="s">
        <v>30</v>
      </c>
      <c r="EH164" s="2">
        <v>0</v>
      </c>
      <c r="EI164" s="2" t="s">
        <v>3</v>
      </c>
      <c r="EJ164" s="2">
        <v>2</v>
      </c>
      <c r="EK164" s="2">
        <v>68</v>
      </c>
      <c r="EL164" s="2" t="s">
        <v>38</v>
      </c>
      <c r="EM164" s="2" t="s">
        <v>39</v>
      </c>
      <c r="EN164" s="2"/>
      <c r="EO164" s="2" t="s">
        <v>3</v>
      </c>
      <c r="EP164" s="2"/>
      <c r="EQ164" s="2">
        <v>2097152</v>
      </c>
      <c r="ER164" s="2">
        <v>0</v>
      </c>
      <c r="ES164" s="2">
        <v>1470.07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f t="shared" si="134"/>
        <v>1470.07</v>
      </c>
      <c r="FS164" s="2">
        <v>0</v>
      </c>
      <c r="FT164" s="2"/>
      <c r="FU164" s="2"/>
      <c r="FV164" s="2"/>
      <c r="FW164" s="2"/>
      <c r="FX164" s="2">
        <v>90</v>
      </c>
      <c r="FY164" s="2">
        <v>46</v>
      </c>
      <c r="FZ164" s="2"/>
      <c r="GA164" s="2" t="s">
        <v>216</v>
      </c>
      <c r="GB164" s="2"/>
      <c r="GC164" s="2"/>
      <c r="GD164" s="2">
        <v>1</v>
      </c>
      <c r="GE164" s="2"/>
      <c r="GF164" s="2">
        <v>-345999053</v>
      </c>
      <c r="GG164" s="2">
        <v>2</v>
      </c>
      <c r="GH164" s="2">
        <v>4</v>
      </c>
      <c r="GI164" s="2">
        <v>-2</v>
      </c>
      <c r="GJ164" s="2">
        <v>0</v>
      </c>
      <c r="GK164" s="2">
        <v>0</v>
      </c>
      <c r="GL164" s="2">
        <f t="shared" si="112"/>
        <v>0</v>
      </c>
      <c r="GM164" s="2">
        <f t="shared" si="113"/>
        <v>1470.07</v>
      </c>
      <c r="GN164" s="2">
        <f t="shared" si="114"/>
        <v>0</v>
      </c>
      <c r="GO164" s="2">
        <f t="shared" si="115"/>
        <v>0</v>
      </c>
      <c r="GP164" s="2">
        <f t="shared" si="116"/>
        <v>0</v>
      </c>
      <c r="GQ164" s="2"/>
      <c r="GR164" s="2">
        <v>0</v>
      </c>
      <c r="GS164" s="2">
        <v>2</v>
      </c>
      <c r="GT164" s="2">
        <v>0</v>
      </c>
      <c r="GU164" s="2" t="s">
        <v>3</v>
      </c>
      <c r="GV164" s="2">
        <f t="shared" si="117"/>
        <v>0</v>
      </c>
      <c r="GW164" s="2">
        <v>1</v>
      </c>
      <c r="GX164" s="2">
        <f t="shared" si="118"/>
        <v>0</v>
      </c>
      <c r="GY164" s="2"/>
      <c r="GZ164" s="2"/>
      <c r="HA164" s="2">
        <v>0</v>
      </c>
      <c r="HB164" s="2">
        <v>0</v>
      </c>
      <c r="HC164" s="2">
        <f t="shared" si="119"/>
        <v>0</v>
      </c>
      <c r="HD164" s="2"/>
      <c r="HE164" s="2" t="s">
        <v>40</v>
      </c>
      <c r="HF164" s="2" t="s">
        <v>182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5">
      <c r="A165" s="3">
        <v>18</v>
      </c>
      <c r="B165" s="3">
        <v>1</v>
      </c>
      <c r="C165" s="3">
        <v>148</v>
      </c>
      <c r="E165" s="3" t="s">
        <v>213</v>
      </c>
      <c r="F165" s="3" t="s">
        <v>214</v>
      </c>
      <c r="G165" s="3" t="s">
        <v>215</v>
      </c>
      <c r="H165" s="3" t="s">
        <v>177</v>
      </c>
      <c r="I165" s="3">
        <f>I159*J165</f>
        <v>1</v>
      </c>
      <c r="J165" s="3">
        <v>0.25</v>
      </c>
      <c r="K165" s="3">
        <v>0.25</v>
      </c>
      <c r="O165" s="3">
        <f t="shared" si="95"/>
        <v>11128.43</v>
      </c>
      <c r="P165" s="3">
        <f t="shared" si="120"/>
        <v>11128.43</v>
      </c>
      <c r="Q165" s="3">
        <f t="shared" si="122"/>
        <v>0</v>
      </c>
      <c r="R165" s="3">
        <f t="shared" si="123"/>
        <v>0</v>
      </c>
      <c r="S165" s="3">
        <f t="shared" si="97"/>
        <v>0</v>
      </c>
      <c r="T165" s="3">
        <f t="shared" si="98"/>
        <v>0</v>
      </c>
      <c r="U165" s="3">
        <f t="shared" si="99"/>
        <v>0</v>
      </c>
      <c r="V165" s="3">
        <f t="shared" si="100"/>
        <v>0</v>
      </c>
      <c r="W165" s="3">
        <f t="shared" si="101"/>
        <v>0</v>
      </c>
      <c r="X165" s="3">
        <f t="shared" si="124"/>
        <v>0</v>
      </c>
      <c r="Y165" s="3">
        <f t="shared" si="125"/>
        <v>0</v>
      </c>
      <c r="AA165" s="3">
        <v>57034454</v>
      </c>
      <c r="AB165" s="3">
        <f t="shared" si="102"/>
        <v>1470.07</v>
      </c>
      <c r="AC165" s="3">
        <f t="shared" si="126"/>
        <v>1470.07</v>
      </c>
      <c r="AD165" s="3">
        <f t="shared" si="127"/>
        <v>0</v>
      </c>
      <c r="AE165" s="3">
        <f t="shared" si="128"/>
        <v>0</v>
      </c>
      <c r="AF165" s="3">
        <f t="shared" si="128"/>
        <v>0</v>
      </c>
      <c r="AG165" s="3">
        <f t="shared" si="103"/>
        <v>0</v>
      </c>
      <c r="AH165" s="3">
        <f t="shared" si="129"/>
        <v>0</v>
      </c>
      <c r="AI165" s="3">
        <f t="shared" si="129"/>
        <v>0</v>
      </c>
      <c r="AJ165" s="3">
        <f t="shared" si="104"/>
        <v>0</v>
      </c>
      <c r="AK165" s="3">
        <v>1470.07</v>
      </c>
      <c r="AL165" s="3">
        <v>1470.07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90</v>
      </c>
      <c r="AU165" s="3">
        <v>46</v>
      </c>
      <c r="AV165" s="3">
        <v>1</v>
      </c>
      <c r="AW165" s="3">
        <v>1</v>
      </c>
      <c r="AZ165" s="3">
        <v>1</v>
      </c>
      <c r="BA165" s="3">
        <v>1</v>
      </c>
      <c r="BB165" s="3">
        <v>1</v>
      </c>
      <c r="BC165" s="3">
        <v>7.57</v>
      </c>
      <c r="BD165" s="3" t="s">
        <v>3</v>
      </c>
      <c r="BE165" s="3" t="s">
        <v>3</v>
      </c>
      <c r="BF165" s="3" t="s">
        <v>3</v>
      </c>
      <c r="BG165" s="3" t="s">
        <v>3</v>
      </c>
      <c r="BH165" s="3">
        <v>3</v>
      </c>
      <c r="BI165" s="3">
        <v>3</v>
      </c>
      <c r="BJ165" s="3" t="s">
        <v>3</v>
      </c>
      <c r="BM165" s="3">
        <v>68</v>
      </c>
      <c r="BN165" s="3">
        <v>0</v>
      </c>
      <c r="BO165" s="3" t="s">
        <v>3</v>
      </c>
      <c r="BP165" s="3">
        <v>0</v>
      </c>
      <c r="BQ165" s="3">
        <v>40</v>
      </c>
      <c r="BR165" s="3">
        <v>0</v>
      </c>
      <c r="BS165" s="3">
        <v>1</v>
      </c>
      <c r="BT165" s="3">
        <v>1</v>
      </c>
      <c r="BU165" s="3">
        <v>1</v>
      </c>
      <c r="BV165" s="3">
        <v>1</v>
      </c>
      <c r="BW165" s="3">
        <v>1</v>
      </c>
      <c r="BX165" s="3">
        <v>1</v>
      </c>
      <c r="BY165" s="3" t="s">
        <v>3</v>
      </c>
      <c r="BZ165" s="3">
        <v>90</v>
      </c>
      <c r="CA165" s="3">
        <v>46</v>
      </c>
      <c r="CB165" s="3" t="s">
        <v>3</v>
      </c>
      <c r="CE165" s="3">
        <v>1566</v>
      </c>
      <c r="CF165" s="3">
        <v>0</v>
      </c>
      <c r="CG165" s="3">
        <v>0</v>
      </c>
      <c r="CM165" s="3">
        <v>0</v>
      </c>
      <c r="CN165" s="3" t="s">
        <v>3</v>
      </c>
      <c r="CO165" s="3">
        <v>0</v>
      </c>
      <c r="CP165" s="3">
        <f t="shared" si="105"/>
        <v>11128.43</v>
      </c>
      <c r="CQ165" s="3">
        <f t="shared" si="121"/>
        <v>11128.43</v>
      </c>
      <c r="CR165" s="3">
        <f t="shared" si="130"/>
        <v>0</v>
      </c>
      <c r="CS165" s="3">
        <f t="shared" si="131"/>
        <v>0</v>
      </c>
      <c r="CT165" s="3">
        <f t="shared" si="107"/>
        <v>0</v>
      </c>
      <c r="CU165" s="3">
        <f t="shared" si="108"/>
        <v>0</v>
      </c>
      <c r="CV165" s="3">
        <f t="shared" si="109"/>
        <v>0</v>
      </c>
      <c r="CW165" s="3">
        <f t="shared" si="110"/>
        <v>0</v>
      </c>
      <c r="CX165" s="3">
        <f t="shared" si="111"/>
        <v>0</v>
      </c>
      <c r="CY165" s="3">
        <f t="shared" si="132"/>
        <v>0</v>
      </c>
      <c r="CZ165" s="3">
        <f t="shared" si="133"/>
        <v>0</v>
      </c>
      <c r="DC165" s="3" t="s">
        <v>3</v>
      </c>
      <c r="DD165" s="3" t="s">
        <v>3</v>
      </c>
      <c r="DE165" s="3" t="s">
        <v>3</v>
      </c>
      <c r="DF165" s="3" t="s">
        <v>3</v>
      </c>
      <c r="DG165" s="3" t="s">
        <v>3</v>
      </c>
      <c r="DH165" s="3" t="s">
        <v>3</v>
      </c>
      <c r="DI165" s="3" t="s">
        <v>3</v>
      </c>
      <c r="DJ165" s="3" t="s">
        <v>3</v>
      </c>
      <c r="DK165" s="3" t="s">
        <v>3</v>
      </c>
      <c r="DL165" s="3" t="s">
        <v>3</v>
      </c>
      <c r="DM165" s="3" t="s">
        <v>3</v>
      </c>
      <c r="DN165" s="3">
        <v>0</v>
      </c>
      <c r="DO165" s="3">
        <v>0</v>
      </c>
      <c r="DP165" s="3">
        <v>1</v>
      </c>
      <c r="DQ165" s="3">
        <v>1</v>
      </c>
      <c r="DU165" s="3">
        <v>1010</v>
      </c>
      <c r="DV165" s="3" t="s">
        <v>177</v>
      </c>
      <c r="DW165" s="3" t="s">
        <v>177</v>
      </c>
      <c r="DX165" s="3">
        <v>1</v>
      </c>
      <c r="DZ165" s="3" t="s">
        <v>3</v>
      </c>
      <c r="EA165" s="3" t="s">
        <v>3</v>
      </c>
      <c r="EB165" s="3" t="s">
        <v>3</v>
      </c>
      <c r="EC165" s="3" t="s">
        <v>3</v>
      </c>
      <c r="EE165" s="3">
        <v>57042958</v>
      </c>
      <c r="EF165" s="3">
        <v>40</v>
      </c>
      <c r="EG165" s="3" t="s">
        <v>30</v>
      </c>
      <c r="EH165" s="3">
        <v>0</v>
      </c>
      <c r="EI165" s="3" t="s">
        <v>3</v>
      </c>
      <c r="EJ165" s="3">
        <v>2</v>
      </c>
      <c r="EK165" s="3">
        <v>68</v>
      </c>
      <c r="EL165" s="3" t="s">
        <v>38</v>
      </c>
      <c r="EM165" s="3" t="s">
        <v>39</v>
      </c>
      <c r="EO165" s="3" t="s">
        <v>3</v>
      </c>
      <c r="EQ165" s="3">
        <v>2097152</v>
      </c>
      <c r="ER165" s="3">
        <v>1106.68</v>
      </c>
      <c r="ES165" s="3">
        <v>1470.07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Z165" s="3">
        <v>5</v>
      </c>
      <c r="FC165" s="3">
        <v>1</v>
      </c>
      <c r="FD165" s="3">
        <v>18</v>
      </c>
      <c r="FF165" s="3">
        <v>13025</v>
      </c>
      <c r="FQ165" s="3">
        <v>0</v>
      </c>
      <c r="FR165" s="3">
        <f t="shared" si="134"/>
        <v>11128.43</v>
      </c>
      <c r="FS165" s="3">
        <v>0</v>
      </c>
      <c r="FX165" s="3">
        <v>90</v>
      </c>
      <c r="FY165" s="3">
        <v>46</v>
      </c>
      <c r="GA165" s="3" t="s">
        <v>216</v>
      </c>
      <c r="GD165" s="3">
        <v>1</v>
      </c>
      <c r="GF165" s="3">
        <v>-345999053</v>
      </c>
      <c r="GG165" s="3">
        <v>2</v>
      </c>
      <c r="GH165" s="3">
        <v>3</v>
      </c>
      <c r="GI165" s="3">
        <v>5</v>
      </c>
      <c r="GJ165" s="3">
        <v>0</v>
      </c>
      <c r="GK165" s="3">
        <v>0</v>
      </c>
      <c r="GL165" s="3">
        <f t="shared" si="112"/>
        <v>0</v>
      </c>
      <c r="GM165" s="3">
        <f t="shared" si="113"/>
        <v>11128.43</v>
      </c>
      <c r="GN165" s="3">
        <f t="shared" si="114"/>
        <v>0</v>
      </c>
      <c r="GO165" s="3">
        <f t="shared" si="115"/>
        <v>0</v>
      </c>
      <c r="GP165" s="3">
        <f t="shared" si="116"/>
        <v>0</v>
      </c>
      <c r="GR165" s="3">
        <v>1</v>
      </c>
      <c r="GS165" s="3">
        <v>1</v>
      </c>
      <c r="GT165" s="3">
        <v>0</v>
      </c>
      <c r="GU165" s="3" t="s">
        <v>3</v>
      </c>
      <c r="GV165" s="3">
        <f t="shared" si="117"/>
        <v>0</v>
      </c>
      <c r="GW165" s="3">
        <v>1</v>
      </c>
      <c r="GX165" s="3">
        <f t="shared" si="118"/>
        <v>0</v>
      </c>
      <c r="HA165" s="3">
        <v>0</v>
      </c>
      <c r="HB165" s="3">
        <v>0</v>
      </c>
      <c r="HC165" s="3">
        <f t="shared" si="119"/>
        <v>0</v>
      </c>
      <c r="HE165" s="3" t="s">
        <v>40</v>
      </c>
      <c r="HF165" s="3" t="s">
        <v>182</v>
      </c>
      <c r="HM165" s="3" t="s">
        <v>3</v>
      </c>
      <c r="HN165" s="3" t="s">
        <v>3</v>
      </c>
      <c r="HO165" s="3" t="s">
        <v>3</v>
      </c>
      <c r="HP165" s="3" t="s">
        <v>3</v>
      </c>
      <c r="HQ165" s="3" t="s">
        <v>3</v>
      </c>
      <c r="HS165" s="3">
        <v>0</v>
      </c>
      <c r="IK165" s="3">
        <v>0</v>
      </c>
    </row>
    <row r="167" spans="1:255" ht="13" x14ac:dyDescent="0.3">
      <c r="A167" s="11">
        <v>51</v>
      </c>
      <c r="B167" s="11">
        <f>B142</f>
        <v>1</v>
      </c>
      <c r="C167" s="11">
        <f>A142</f>
        <v>4</v>
      </c>
      <c r="D167" s="11">
        <f>ROW(A142)</f>
        <v>142</v>
      </c>
      <c r="E167" s="11"/>
      <c r="F167" s="11" t="str">
        <f>IF(F142&lt;&gt;"",F142,"")</f>
        <v>Новый раздел</v>
      </c>
      <c r="G167" s="11" t="str">
        <f>IF(G142&lt;&gt;"",G142,"")</f>
        <v>Базовое оборудование СПС.</v>
      </c>
      <c r="H167" s="11">
        <v>0</v>
      </c>
      <c r="I167" s="11"/>
      <c r="J167" s="11"/>
      <c r="K167" s="11"/>
      <c r="L167" s="11"/>
      <c r="M167" s="11"/>
      <c r="N167" s="11"/>
      <c r="O167" s="11">
        <f t="shared" ref="O167:T167" si="135">ROUND(AB167,2)</f>
        <v>21690.01</v>
      </c>
      <c r="P167" s="11">
        <f t="shared" si="135"/>
        <v>21194.23</v>
      </c>
      <c r="Q167" s="11">
        <f t="shared" si="135"/>
        <v>0.33</v>
      </c>
      <c r="R167" s="11">
        <f t="shared" si="135"/>
        <v>0.04</v>
      </c>
      <c r="S167" s="11">
        <f t="shared" si="135"/>
        <v>495.45</v>
      </c>
      <c r="T167" s="11">
        <f t="shared" si="135"/>
        <v>0</v>
      </c>
      <c r="U167" s="11">
        <f>AH167</f>
        <v>37.302515999999997</v>
      </c>
      <c r="V167" s="11">
        <f>AI167</f>
        <v>0</v>
      </c>
      <c r="W167" s="11">
        <f>ROUND(AJ167,2)</f>
        <v>0</v>
      </c>
      <c r="X167" s="11">
        <f>ROUND(AK167,2)</f>
        <v>445.94</v>
      </c>
      <c r="Y167" s="11">
        <f>ROUND(AL167,2)</f>
        <v>227.92</v>
      </c>
      <c r="Z167" s="11"/>
      <c r="AA167" s="11"/>
      <c r="AB167" s="11">
        <f>ROUND(SUMIF(AA146:AA165,"=57034452",O146:O165),2)</f>
        <v>21690.01</v>
      </c>
      <c r="AC167" s="11">
        <f>ROUND(SUMIF(AA146:AA165,"=57034452",P146:P165),2)</f>
        <v>21194.23</v>
      </c>
      <c r="AD167" s="11">
        <f>ROUND(SUMIF(AA146:AA165,"=57034452",Q146:Q165),2)</f>
        <v>0.33</v>
      </c>
      <c r="AE167" s="11">
        <f>ROUND(SUMIF(AA146:AA165,"=57034452",R146:R165),2)</f>
        <v>0.04</v>
      </c>
      <c r="AF167" s="11">
        <f>ROUND(SUMIF(AA146:AA165,"=57034452",S146:S165),2)</f>
        <v>495.45</v>
      </c>
      <c r="AG167" s="11">
        <f>ROUND(SUMIF(AA146:AA165,"=57034452",T146:T165),2)</f>
        <v>0</v>
      </c>
      <c r="AH167" s="11">
        <f>SUMIF(AA146:AA165,"=57034452",U146:U165)</f>
        <v>37.302515999999997</v>
      </c>
      <c r="AI167" s="11">
        <f>SUMIF(AA146:AA165,"=57034452",V146:V165)</f>
        <v>0</v>
      </c>
      <c r="AJ167" s="11">
        <f>ROUND(SUMIF(AA146:AA165,"=57034452",W146:W165),2)</f>
        <v>0</v>
      </c>
      <c r="AK167" s="11">
        <f>ROUND(SUMIF(AA146:AA165,"=57034452",X146:X165),2)</f>
        <v>445.94</v>
      </c>
      <c r="AL167" s="11">
        <f>ROUND(SUMIF(AA146:AA165,"=57034452",Y146:Y165),2)</f>
        <v>227.92</v>
      </c>
      <c r="AM167" s="11"/>
      <c r="AN167" s="11"/>
      <c r="AO167" s="11">
        <f t="shared" ref="AO167:BD167" si="136">ROUND(BX167,2)</f>
        <v>0</v>
      </c>
      <c r="AP167" s="11">
        <f t="shared" si="136"/>
        <v>21144.94</v>
      </c>
      <c r="AQ167" s="11">
        <f t="shared" si="136"/>
        <v>0</v>
      </c>
      <c r="AR167" s="11">
        <f t="shared" si="136"/>
        <v>22363.87</v>
      </c>
      <c r="AS167" s="11">
        <f t="shared" si="136"/>
        <v>0</v>
      </c>
      <c r="AT167" s="11">
        <f t="shared" si="136"/>
        <v>1218.93</v>
      </c>
      <c r="AU167" s="11">
        <f t="shared" si="136"/>
        <v>0</v>
      </c>
      <c r="AV167" s="11">
        <f t="shared" si="136"/>
        <v>21194.23</v>
      </c>
      <c r="AW167" s="11">
        <f t="shared" si="136"/>
        <v>49.29</v>
      </c>
      <c r="AX167" s="11">
        <f t="shared" si="136"/>
        <v>0</v>
      </c>
      <c r="AY167" s="11">
        <f t="shared" si="136"/>
        <v>49.29</v>
      </c>
      <c r="AZ167" s="11">
        <f t="shared" si="136"/>
        <v>21144.94</v>
      </c>
      <c r="BA167" s="11">
        <f t="shared" si="136"/>
        <v>0</v>
      </c>
      <c r="BB167" s="11">
        <f t="shared" si="136"/>
        <v>0</v>
      </c>
      <c r="BC167" s="11">
        <f t="shared" si="136"/>
        <v>0</v>
      </c>
      <c r="BD167" s="11">
        <f t="shared" si="136"/>
        <v>0</v>
      </c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>
        <f>ROUND(SUMIF(AA146:AA165,"=57034452",FQ146:FQ165),2)</f>
        <v>0</v>
      </c>
      <c r="BY167" s="11">
        <f>ROUND(SUMIF(AA146:AA165,"=57034452",FR146:FR165),2)</f>
        <v>21144.94</v>
      </c>
      <c r="BZ167" s="11">
        <f>ROUND(SUMIF(AA146:AA165,"=57034452",GL146:GL165),2)</f>
        <v>0</v>
      </c>
      <c r="CA167" s="11">
        <f>ROUND(SUMIF(AA146:AA165,"=57034452",GM146:GM165),2)</f>
        <v>22363.87</v>
      </c>
      <c r="CB167" s="11">
        <f>ROUND(SUMIF(AA146:AA165,"=57034452",GN146:GN165),2)</f>
        <v>0</v>
      </c>
      <c r="CC167" s="11">
        <f>ROUND(SUMIF(AA146:AA165,"=57034452",GO146:GO165),2)</f>
        <v>1218.93</v>
      </c>
      <c r="CD167" s="11">
        <f>ROUND(SUMIF(AA146:AA165,"=57034452",GP146:GP165),2)</f>
        <v>0</v>
      </c>
      <c r="CE167" s="11">
        <f>AC167-BX167</f>
        <v>21194.23</v>
      </c>
      <c r="CF167" s="11">
        <f>AC167-BY167</f>
        <v>49.290000000000873</v>
      </c>
      <c r="CG167" s="11">
        <f>BX167-BZ167</f>
        <v>0</v>
      </c>
      <c r="CH167" s="11">
        <f>AC167-BX167-BY167+BZ167</f>
        <v>49.290000000000873</v>
      </c>
      <c r="CI167" s="11">
        <f>BY167-BZ167</f>
        <v>21144.94</v>
      </c>
      <c r="CJ167" s="11">
        <f>ROUND(SUMIF(AA146:AA165,"=57034452",GX146:GX165),2)</f>
        <v>0</v>
      </c>
      <c r="CK167" s="11">
        <f>ROUND(SUMIF(AA146:AA165,"=57034452",GY146:GY165),2)</f>
        <v>0</v>
      </c>
      <c r="CL167" s="11">
        <f>ROUND(SUMIF(AA146:AA165,"=57034452",GZ146:GZ165),2)</f>
        <v>0</v>
      </c>
      <c r="CM167" s="11">
        <f>ROUND(SUMIF(AA146:AA165,"=57034452",HD146:HD165),2)</f>
        <v>0</v>
      </c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2">
        <f t="shared" ref="DG167:DL167" si="137">ROUND(DT167,2)</f>
        <v>188480.87</v>
      </c>
      <c r="DH167" s="12">
        <f t="shared" si="137"/>
        <v>160556.9</v>
      </c>
      <c r="DI167" s="12">
        <f t="shared" si="137"/>
        <v>5.36</v>
      </c>
      <c r="DJ167" s="12">
        <f t="shared" si="137"/>
        <v>2.25</v>
      </c>
      <c r="DK167" s="12">
        <f t="shared" si="137"/>
        <v>27918.61</v>
      </c>
      <c r="DL167" s="12">
        <f t="shared" si="137"/>
        <v>0</v>
      </c>
      <c r="DM167" s="12">
        <f>DZ167</f>
        <v>37.302515999999997</v>
      </c>
      <c r="DN167" s="12">
        <f>EA167</f>
        <v>0</v>
      </c>
      <c r="DO167" s="12">
        <f>ROUND(EB167,2)</f>
        <v>0</v>
      </c>
      <c r="DP167" s="12">
        <f>ROUND(EC167,2)</f>
        <v>25128.78</v>
      </c>
      <c r="DQ167" s="12">
        <f>ROUND(ED167,2)</f>
        <v>12843.6</v>
      </c>
      <c r="DR167" s="12"/>
      <c r="DS167" s="12"/>
      <c r="DT167" s="12">
        <f>ROUND(SUMIF(AA146:AA165,"=57034454",O146:O165),2)</f>
        <v>188480.87</v>
      </c>
      <c r="DU167" s="12">
        <f>ROUND(SUMIF(AA146:AA165,"=57034454",P146:P165),2)</f>
        <v>160556.9</v>
      </c>
      <c r="DV167" s="12">
        <f>ROUND(SUMIF(AA146:AA165,"=57034454",Q146:Q165),2)</f>
        <v>5.36</v>
      </c>
      <c r="DW167" s="12">
        <f>ROUND(SUMIF(AA146:AA165,"=57034454",R146:R165),2)</f>
        <v>2.25</v>
      </c>
      <c r="DX167" s="12">
        <f>ROUND(SUMIF(AA146:AA165,"=57034454",S146:S165),2)</f>
        <v>27918.61</v>
      </c>
      <c r="DY167" s="12">
        <f>ROUND(SUMIF(AA146:AA165,"=57034454",T146:T165),2)</f>
        <v>0</v>
      </c>
      <c r="DZ167" s="12">
        <f>SUMIF(AA146:AA165,"=57034454",U146:U165)</f>
        <v>37.302515999999997</v>
      </c>
      <c r="EA167" s="12">
        <f>SUMIF(AA146:AA165,"=57034454",V146:V165)</f>
        <v>0</v>
      </c>
      <c r="EB167" s="12">
        <f>ROUND(SUMIF(AA146:AA165,"=57034454",W146:W165),2)</f>
        <v>0</v>
      </c>
      <c r="EC167" s="12">
        <f>ROUND(SUMIF(AA146:AA165,"=57034454",X146:X165),2)</f>
        <v>25128.78</v>
      </c>
      <c r="ED167" s="12">
        <f>ROUND(SUMIF(AA146:AA165,"=57034454",Y146:Y165),2)</f>
        <v>12843.6</v>
      </c>
      <c r="EE167" s="12"/>
      <c r="EF167" s="12"/>
      <c r="EG167" s="12">
        <f t="shared" ref="EG167:EV167" si="138">ROUND(FP167,2)</f>
        <v>0</v>
      </c>
      <c r="EH167" s="12">
        <f t="shared" si="138"/>
        <v>160067.20000000001</v>
      </c>
      <c r="EI167" s="12">
        <f t="shared" si="138"/>
        <v>0</v>
      </c>
      <c r="EJ167" s="12">
        <f t="shared" si="138"/>
        <v>226453.25</v>
      </c>
      <c r="EK167" s="12">
        <f t="shared" si="138"/>
        <v>0</v>
      </c>
      <c r="EL167" s="12">
        <f t="shared" si="138"/>
        <v>66386.05</v>
      </c>
      <c r="EM167" s="12">
        <f t="shared" si="138"/>
        <v>0</v>
      </c>
      <c r="EN167" s="12">
        <f t="shared" si="138"/>
        <v>160556.9</v>
      </c>
      <c r="EO167" s="12">
        <f t="shared" si="138"/>
        <v>489.7</v>
      </c>
      <c r="EP167" s="12">
        <f t="shared" si="138"/>
        <v>0</v>
      </c>
      <c r="EQ167" s="12">
        <f t="shared" si="138"/>
        <v>489.7</v>
      </c>
      <c r="ER167" s="12">
        <f t="shared" si="138"/>
        <v>160067.20000000001</v>
      </c>
      <c r="ES167" s="12">
        <f t="shared" si="138"/>
        <v>0</v>
      </c>
      <c r="ET167" s="12">
        <f t="shared" si="138"/>
        <v>0</v>
      </c>
      <c r="EU167" s="12">
        <f t="shared" si="138"/>
        <v>0</v>
      </c>
      <c r="EV167" s="12">
        <f t="shared" si="138"/>
        <v>0</v>
      </c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>
        <f>ROUND(SUMIF(AA146:AA165,"=57034454",FQ146:FQ165),2)</f>
        <v>0</v>
      </c>
      <c r="FQ167" s="12">
        <f>ROUND(SUMIF(AA146:AA165,"=57034454",FR146:FR165),2)</f>
        <v>160067.20000000001</v>
      </c>
      <c r="FR167" s="12">
        <f>ROUND(SUMIF(AA146:AA165,"=57034454",GL146:GL165),2)</f>
        <v>0</v>
      </c>
      <c r="FS167" s="12">
        <f>ROUND(SUMIF(AA146:AA165,"=57034454",GM146:GM165),2)</f>
        <v>226453.25</v>
      </c>
      <c r="FT167" s="12">
        <f>ROUND(SUMIF(AA146:AA165,"=57034454",GN146:GN165),2)</f>
        <v>0</v>
      </c>
      <c r="FU167" s="12">
        <f>ROUND(SUMIF(AA146:AA165,"=57034454",GO146:GO165),2)</f>
        <v>66386.05</v>
      </c>
      <c r="FV167" s="12">
        <f>ROUND(SUMIF(AA146:AA165,"=57034454",GP146:GP165),2)</f>
        <v>0</v>
      </c>
      <c r="FW167" s="12">
        <f>DU167-FP167</f>
        <v>160556.9</v>
      </c>
      <c r="FX167" s="12">
        <f>DU167-FQ167</f>
        <v>489.69999999998254</v>
      </c>
      <c r="FY167" s="12">
        <f>FP167-FR167</f>
        <v>0</v>
      </c>
      <c r="FZ167" s="12">
        <f>DU167-FP167-FQ167+FR167</f>
        <v>489.69999999998254</v>
      </c>
      <c r="GA167" s="12">
        <f>FQ167-FR167</f>
        <v>160067.20000000001</v>
      </c>
      <c r="GB167" s="12">
        <f>ROUND(SUMIF(AA146:AA165,"=57034454",GX146:GX165),2)</f>
        <v>0</v>
      </c>
      <c r="GC167" s="12">
        <f>ROUND(SUMIF(AA146:AA165,"=57034454",GY146:GY165),2)</f>
        <v>0</v>
      </c>
      <c r="GD167" s="12">
        <f>ROUND(SUMIF(AA146:AA165,"=57034454",GZ146:GZ165),2)</f>
        <v>0</v>
      </c>
      <c r="GE167" s="12">
        <f>ROUND(SUMIF(AA146:AA165,"=57034454",HD146:HD165),2)</f>
        <v>0</v>
      </c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>
        <v>0</v>
      </c>
    </row>
    <row r="169" spans="1:255" ht="13" x14ac:dyDescent="0.3">
      <c r="A169" s="13">
        <v>50</v>
      </c>
      <c r="B169" s="13">
        <v>0</v>
      </c>
      <c r="C169" s="13">
        <v>0</v>
      </c>
      <c r="D169" s="13">
        <v>1</v>
      </c>
      <c r="E169" s="13">
        <v>201</v>
      </c>
      <c r="F169" s="13">
        <f>ROUND(Source!O167,O169)</f>
        <v>21690.01</v>
      </c>
      <c r="G169" s="13" t="s">
        <v>117</v>
      </c>
      <c r="H169" s="13" t="s">
        <v>118</v>
      </c>
      <c r="I169" s="13"/>
      <c r="J169" s="13"/>
      <c r="K169" s="13">
        <v>201</v>
      </c>
      <c r="L169" s="13">
        <v>1</v>
      </c>
      <c r="M169" s="13">
        <v>3</v>
      </c>
      <c r="N169" s="13" t="s">
        <v>3</v>
      </c>
      <c r="O169" s="13">
        <v>2</v>
      </c>
      <c r="P169" s="13">
        <f>ROUND(Source!DG167,O169)</f>
        <v>188480.87</v>
      </c>
      <c r="Q169" s="13"/>
      <c r="R169" s="13"/>
      <c r="S169" s="13"/>
      <c r="T169" s="13"/>
      <c r="U169" s="13"/>
      <c r="V169" s="13"/>
      <c r="W169" s="13">
        <v>21690.01</v>
      </c>
      <c r="X169" s="13">
        <v>1</v>
      </c>
      <c r="Y169" s="13">
        <v>21690.01</v>
      </c>
      <c r="Z169" s="13">
        <v>188480.87</v>
      </c>
      <c r="AA169" s="13">
        <v>1</v>
      </c>
      <c r="AB169" s="13">
        <v>188480.87</v>
      </c>
    </row>
    <row r="170" spans="1:255" ht="13" x14ac:dyDescent="0.3">
      <c r="A170" s="13">
        <v>50</v>
      </c>
      <c r="B170" s="13">
        <v>0</v>
      </c>
      <c r="C170" s="13">
        <v>0</v>
      </c>
      <c r="D170" s="13">
        <v>1</v>
      </c>
      <c r="E170" s="13">
        <v>202</v>
      </c>
      <c r="F170" s="13">
        <f>ROUND(Source!P167,O170)</f>
        <v>21194.23</v>
      </c>
      <c r="G170" s="13" t="s">
        <v>119</v>
      </c>
      <c r="H170" s="13" t="s">
        <v>120</v>
      </c>
      <c r="I170" s="13"/>
      <c r="J170" s="13"/>
      <c r="K170" s="13">
        <v>202</v>
      </c>
      <c r="L170" s="13">
        <v>2</v>
      </c>
      <c r="M170" s="13">
        <v>3</v>
      </c>
      <c r="N170" s="13" t="s">
        <v>3</v>
      </c>
      <c r="O170" s="13">
        <v>2</v>
      </c>
      <c r="P170" s="13">
        <f>ROUND(Source!DH167,O170)</f>
        <v>160556.9</v>
      </c>
      <c r="Q170" s="13"/>
      <c r="R170" s="13"/>
      <c r="S170" s="13"/>
      <c r="T170" s="13"/>
      <c r="U170" s="13"/>
      <c r="V170" s="13"/>
      <c r="W170" s="13">
        <v>21194.23</v>
      </c>
      <c r="X170" s="13">
        <v>1</v>
      </c>
      <c r="Y170" s="13">
        <v>21194.23</v>
      </c>
      <c r="Z170" s="13">
        <v>160556.9</v>
      </c>
      <c r="AA170" s="13">
        <v>1</v>
      </c>
      <c r="AB170" s="13">
        <v>160556.9</v>
      </c>
    </row>
    <row r="171" spans="1:255" ht="13" x14ac:dyDescent="0.3">
      <c r="A171" s="13">
        <v>50</v>
      </c>
      <c r="B171" s="13">
        <v>0</v>
      </c>
      <c r="C171" s="13">
        <v>0</v>
      </c>
      <c r="D171" s="13">
        <v>1</v>
      </c>
      <c r="E171" s="13">
        <v>222</v>
      </c>
      <c r="F171" s="13">
        <f>ROUND(Source!AO167,O171)</f>
        <v>0</v>
      </c>
      <c r="G171" s="13" t="s">
        <v>121</v>
      </c>
      <c r="H171" s="13" t="s">
        <v>122</v>
      </c>
      <c r="I171" s="13"/>
      <c r="J171" s="13"/>
      <c r="K171" s="13">
        <v>222</v>
      </c>
      <c r="L171" s="13">
        <v>3</v>
      </c>
      <c r="M171" s="13">
        <v>3</v>
      </c>
      <c r="N171" s="13" t="s">
        <v>3</v>
      </c>
      <c r="O171" s="13">
        <v>2</v>
      </c>
      <c r="P171" s="13">
        <f>ROUND(Source!EG167,O171)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55" ht="13" x14ac:dyDescent="0.3">
      <c r="A172" s="13">
        <v>50</v>
      </c>
      <c r="B172" s="13">
        <v>0</v>
      </c>
      <c r="C172" s="13">
        <v>0</v>
      </c>
      <c r="D172" s="13">
        <v>1</v>
      </c>
      <c r="E172" s="13">
        <v>225</v>
      </c>
      <c r="F172" s="13">
        <f>ROUND(Source!AV167,O172)</f>
        <v>21194.23</v>
      </c>
      <c r="G172" s="13" t="s">
        <v>123</v>
      </c>
      <c r="H172" s="13" t="s">
        <v>124</v>
      </c>
      <c r="I172" s="13"/>
      <c r="J172" s="13"/>
      <c r="K172" s="13">
        <v>225</v>
      </c>
      <c r="L172" s="13">
        <v>4</v>
      </c>
      <c r="M172" s="13">
        <v>3</v>
      </c>
      <c r="N172" s="13" t="s">
        <v>3</v>
      </c>
      <c r="O172" s="13">
        <v>2</v>
      </c>
      <c r="P172" s="13">
        <f>ROUND(Source!EN167,O172)</f>
        <v>160556.9</v>
      </c>
      <c r="Q172" s="13"/>
      <c r="R172" s="13"/>
      <c r="S172" s="13"/>
      <c r="T172" s="13"/>
      <c r="U172" s="13"/>
      <c r="V172" s="13"/>
      <c r="W172" s="13">
        <v>21194.23</v>
      </c>
      <c r="X172" s="13">
        <v>1</v>
      </c>
      <c r="Y172" s="13">
        <v>21194.23</v>
      </c>
      <c r="Z172" s="13">
        <v>160556.9</v>
      </c>
      <c r="AA172" s="13">
        <v>1</v>
      </c>
      <c r="AB172" s="13">
        <v>160556.9</v>
      </c>
    </row>
    <row r="173" spans="1:255" ht="13" x14ac:dyDescent="0.3">
      <c r="A173" s="13">
        <v>50</v>
      </c>
      <c r="B173" s="13">
        <v>0</v>
      </c>
      <c r="C173" s="13">
        <v>0</v>
      </c>
      <c r="D173" s="13">
        <v>1</v>
      </c>
      <c r="E173" s="13">
        <v>226</v>
      </c>
      <c r="F173" s="13">
        <f>ROUND(Source!AW167,O173)</f>
        <v>49.29</v>
      </c>
      <c r="G173" s="13" t="s">
        <v>125</v>
      </c>
      <c r="H173" s="13" t="s">
        <v>126</v>
      </c>
      <c r="I173" s="13"/>
      <c r="J173" s="13"/>
      <c r="K173" s="13">
        <v>226</v>
      </c>
      <c r="L173" s="13">
        <v>5</v>
      </c>
      <c r="M173" s="13">
        <v>3</v>
      </c>
      <c r="N173" s="13" t="s">
        <v>3</v>
      </c>
      <c r="O173" s="13">
        <v>2</v>
      </c>
      <c r="P173" s="13">
        <f>ROUND(Source!EO167,O173)</f>
        <v>489.7</v>
      </c>
      <c r="Q173" s="13"/>
      <c r="R173" s="13"/>
      <c r="S173" s="13"/>
      <c r="T173" s="13"/>
      <c r="U173" s="13"/>
      <c r="V173" s="13"/>
      <c r="W173" s="13">
        <v>49.29</v>
      </c>
      <c r="X173" s="13">
        <v>1</v>
      </c>
      <c r="Y173" s="13">
        <v>49.29</v>
      </c>
      <c r="Z173" s="13">
        <v>489.7</v>
      </c>
      <c r="AA173" s="13">
        <v>1</v>
      </c>
      <c r="AB173" s="13">
        <v>489.7</v>
      </c>
    </row>
    <row r="174" spans="1:255" ht="13" x14ac:dyDescent="0.3">
      <c r="A174" s="13">
        <v>50</v>
      </c>
      <c r="B174" s="13">
        <v>0</v>
      </c>
      <c r="C174" s="13">
        <v>0</v>
      </c>
      <c r="D174" s="13">
        <v>1</v>
      </c>
      <c r="E174" s="13">
        <v>227</v>
      </c>
      <c r="F174" s="13">
        <f>ROUND(Source!AX167,O174)</f>
        <v>0</v>
      </c>
      <c r="G174" s="13" t="s">
        <v>127</v>
      </c>
      <c r="H174" s="13" t="s">
        <v>128</v>
      </c>
      <c r="I174" s="13"/>
      <c r="J174" s="13"/>
      <c r="K174" s="13">
        <v>227</v>
      </c>
      <c r="L174" s="13">
        <v>6</v>
      </c>
      <c r="M174" s="13">
        <v>3</v>
      </c>
      <c r="N174" s="13" t="s">
        <v>3</v>
      </c>
      <c r="O174" s="13">
        <v>2</v>
      </c>
      <c r="P174" s="13">
        <f>ROUND(Source!EP167,O174)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55" ht="13" x14ac:dyDescent="0.3">
      <c r="A175" s="13">
        <v>50</v>
      </c>
      <c r="B175" s="13">
        <v>0</v>
      </c>
      <c r="C175" s="13">
        <v>0</v>
      </c>
      <c r="D175" s="13">
        <v>1</v>
      </c>
      <c r="E175" s="13">
        <v>228</v>
      </c>
      <c r="F175" s="13">
        <f>ROUND(Source!AY167,O175)</f>
        <v>49.29</v>
      </c>
      <c r="G175" s="13" t="s">
        <v>129</v>
      </c>
      <c r="H175" s="13" t="s">
        <v>130</v>
      </c>
      <c r="I175" s="13"/>
      <c r="J175" s="13"/>
      <c r="K175" s="13">
        <v>228</v>
      </c>
      <c r="L175" s="13">
        <v>7</v>
      </c>
      <c r="M175" s="13">
        <v>3</v>
      </c>
      <c r="N175" s="13" t="s">
        <v>3</v>
      </c>
      <c r="O175" s="13">
        <v>2</v>
      </c>
      <c r="P175" s="13">
        <f>ROUND(Source!EQ167,O175)</f>
        <v>489.7</v>
      </c>
      <c r="Q175" s="13"/>
      <c r="R175" s="13"/>
      <c r="S175" s="13"/>
      <c r="T175" s="13"/>
      <c r="U175" s="13"/>
      <c r="V175" s="13"/>
      <c r="W175" s="13">
        <v>49.29</v>
      </c>
      <c r="X175" s="13">
        <v>1</v>
      </c>
      <c r="Y175" s="13">
        <v>49.29</v>
      </c>
      <c r="Z175" s="13">
        <v>489.7</v>
      </c>
      <c r="AA175" s="13">
        <v>1</v>
      </c>
      <c r="AB175" s="13">
        <v>489.7</v>
      </c>
    </row>
    <row r="176" spans="1:255" ht="13" x14ac:dyDescent="0.3">
      <c r="A176" s="13">
        <v>50</v>
      </c>
      <c r="B176" s="13">
        <v>0</v>
      </c>
      <c r="C176" s="13">
        <v>0</v>
      </c>
      <c r="D176" s="13">
        <v>1</v>
      </c>
      <c r="E176" s="13">
        <v>216</v>
      </c>
      <c r="F176" s="13">
        <f>ROUND(Source!AP167,O176)</f>
        <v>21144.94</v>
      </c>
      <c r="G176" s="13" t="s">
        <v>131</v>
      </c>
      <c r="H176" s="13" t="s">
        <v>132</v>
      </c>
      <c r="I176" s="13"/>
      <c r="J176" s="13"/>
      <c r="K176" s="13">
        <v>216</v>
      </c>
      <c r="L176" s="13">
        <v>8</v>
      </c>
      <c r="M176" s="13">
        <v>3</v>
      </c>
      <c r="N176" s="13" t="s">
        <v>3</v>
      </c>
      <c r="O176" s="13">
        <v>2</v>
      </c>
      <c r="P176" s="13">
        <f>ROUND(Source!EH167,O176)</f>
        <v>160067.20000000001</v>
      </c>
      <c r="Q176" s="13"/>
      <c r="R176" s="13"/>
      <c r="S176" s="13"/>
      <c r="T176" s="13"/>
      <c r="U176" s="13"/>
      <c r="V176" s="13"/>
      <c r="W176" s="13">
        <v>21144.94</v>
      </c>
      <c r="X176" s="13">
        <v>1</v>
      </c>
      <c r="Y176" s="13">
        <v>21144.94</v>
      </c>
      <c r="Z176" s="13">
        <v>160067.20000000001</v>
      </c>
      <c r="AA176" s="13">
        <v>1</v>
      </c>
      <c r="AB176" s="13">
        <v>160067.20000000001</v>
      </c>
    </row>
    <row r="177" spans="1:28" ht="13" x14ac:dyDescent="0.3">
      <c r="A177" s="13">
        <v>50</v>
      </c>
      <c r="B177" s="13">
        <v>0</v>
      </c>
      <c r="C177" s="13">
        <v>0</v>
      </c>
      <c r="D177" s="13">
        <v>1</v>
      </c>
      <c r="E177" s="13">
        <v>223</v>
      </c>
      <c r="F177" s="13">
        <f>ROUND(Source!AQ167,O177)</f>
        <v>0</v>
      </c>
      <c r="G177" s="13" t="s">
        <v>133</v>
      </c>
      <c r="H177" s="13" t="s">
        <v>134</v>
      </c>
      <c r="I177" s="13"/>
      <c r="J177" s="13"/>
      <c r="K177" s="13">
        <v>223</v>
      </c>
      <c r="L177" s="13">
        <v>9</v>
      </c>
      <c r="M177" s="13">
        <v>3</v>
      </c>
      <c r="N177" s="13" t="s">
        <v>3</v>
      </c>
      <c r="O177" s="13">
        <v>2</v>
      </c>
      <c r="P177" s="13">
        <f>ROUND(Source!EI167,O177)</f>
        <v>0</v>
      </c>
      <c r="Q177" s="13"/>
      <c r="R177" s="13"/>
      <c r="S177" s="13"/>
      <c r="T177" s="13"/>
      <c r="U177" s="13"/>
      <c r="V177" s="13"/>
      <c r="W177" s="13">
        <v>0</v>
      </c>
      <c r="X177" s="13">
        <v>1</v>
      </c>
      <c r="Y177" s="13">
        <v>0</v>
      </c>
      <c r="Z177" s="13">
        <v>0</v>
      </c>
      <c r="AA177" s="13">
        <v>1</v>
      </c>
      <c r="AB177" s="13">
        <v>0</v>
      </c>
    </row>
    <row r="178" spans="1:28" ht="13" x14ac:dyDescent="0.3">
      <c r="A178" s="13">
        <v>50</v>
      </c>
      <c r="B178" s="13">
        <v>0</v>
      </c>
      <c r="C178" s="13">
        <v>0</v>
      </c>
      <c r="D178" s="13">
        <v>1</v>
      </c>
      <c r="E178" s="13">
        <v>229</v>
      </c>
      <c r="F178" s="13">
        <f>ROUND(Source!AZ167,O178)</f>
        <v>21144.94</v>
      </c>
      <c r="G178" s="13" t="s">
        <v>135</v>
      </c>
      <c r="H178" s="13" t="s">
        <v>136</v>
      </c>
      <c r="I178" s="13"/>
      <c r="J178" s="13"/>
      <c r="K178" s="13">
        <v>229</v>
      </c>
      <c r="L178" s="13">
        <v>10</v>
      </c>
      <c r="M178" s="13">
        <v>3</v>
      </c>
      <c r="N178" s="13" t="s">
        <v>3</v>
      </c>
      <c r="O178" s="13">
        <v>2</v>
      </c>
      <c r="P178" s="13">
        <f>ROUND(Source!ER167,O178)</f>
        <v>160067.20000000001</v>
      </c>
      <c r="Q178" s="13"/>
      <c r="R178" s="13"/>
      <c r="S178" s="13"/>
      <c r="T178" s="13"/>
      <c r="U178" s="13"/>
      <c r="V178" s="13"/>
      <c r="W178" s="13">
        <v>21144.94</v>
      </c>
      <c r="X178" s="13">
        <v>1</v>
      </c>
      <c r="Y178" s="13">
        <v>21144.94</v>
      </c>
      <c r="Z178" s="13">
        <v>160067.20000000001</v>
      </c>
      <c r="AA178" s="13">
        <v>1</v>
      </c>
      <c r="AB178" s="13">
        <v>160067.20000000001</v>
      </c>
    </row>
    <row r="179" spans="1:28" ht="13" x14ac:dyDescent="0.3">
      <c r="A179" s="13">
        <v>50</v>
      </c>
      <c r="B179" s="13">
        <v>0</v>
      </c>
      <c r="C179" s="13">
        <v>0</v>
      </c>
      <c r="D179" s="13">
        <v>1</v>
      </c>
      <c r="E179" s="13">
        <v>203</v>
      </c>
      <c r="F179" s="13">
        <f>ROUND(Source!Q167,O179)</f>
        <v>0.33</v>
      </c>
      <c r="G179" s="13" t="s">
        <v>137</v>
      </c>
      <c r="H179" s="13" t="s">
        <v>138</v>
      </c>
      <c r="I179" s="13"/>
      <c r="J179" s="13"/>
      <c r="K179" s="13">
        <v>203</v>
      </c>
      <c r="L179" s="13">
        <v>11</v>
      </c>
      <c r="M179" s="13">
        <v>3</v>
      </c>
      <c r="N179" s="13" t="s">
        <v>3</v>
      </c>
      <c r="O179" s="13">
        <v>2</v>
      </c>
      <c r="P179" s="13">
        <f>ROUND(Source!DI167,O179)</f>
        <v>5.36</v>
      </c>
      <c r="Q179" s="13"/>
      <c r="R179" s="13"/>
      <c r="S179" s="13"/>
      <c r="T179" s="13"/>
      <c r="U179" s="13"/>
      <c r="V179" s="13"/>
      <c r="W179" s="13">
        <v>0.33</v>
      </c>
      <c r="X179" s="13">
        <v>1</v>
      </c>
      <c r="Y179" s="13">
        <v>0.33</v>
      </c>
      <c r="Z179" s="13">
        <v>5.36</v>
      </c>
      <c r="AA179" s="13">
        <v>1</v>
      </c>
      <c r="AB179" s="13">
        <v>5.36</v>
      </c>
    </row>
    <row r="180" spans="1:28" ht="13" x14ac:dyDescent="0.3">
      <c r="A180" s="13">
        <v>50</v>
      </c>
      <c r="B180" s="13">
        <v>0</v>
      </c>
      <c r="C180" s="13">
        <v>0</v>
      </c>
      <c r="D180" s="13">
        <v>1</v>
      </c>
      <c r="E180" s="13">
        <v>231</v>
      </c>
      <c r="F180" s="13">
        <f>ROUND(Source!BB167,O180)</f>
        <v>0</v>
      </c>
      <c r="G180" s="13" t="s">
        <v>139</v>
      </c>
      <c r="H180" s="13" t="s">
        <v>140</v>
      </c>
      <c r="I180" s="13"/>
      <c r="J180" s="13"/>
      <c r="K180" s="13">
        <v>231</v>
      </c>
      <c r="L180" s="13">
        <v>12</v>
      </c>
      <c r="M180" s="13">
        <v>3</v>
      </c>
      <c r="N180" s="13" t="s">
        <v>3</v>
      </c>
      <c r="O180" s="13">
        <v>2</v>
      </c>
      <c r="P180" s="13">
        <f>ROUND(Source!ET167,O180)</f>
        <v>0</v>
      </c>
      <c r="Q180" s="13"/>
      <c r="R180" s="13"/>
      <c r="S180" s="13"/>
      <c r="T180" s="13"/>
      <c r="U180" s="13"/>
      <c r="V180" s="13"/>
      <c r="W180" s="13">
        <v>0</v>
      </c>
      <c r="X180" s="13">
        <v>1</v>
      </c>
      <c r="Y180" s="13">
        <v>0</v>
      </c>
      <c r="Z180" s="13">
        <v>0</v>
      </c>
      <c r="AA180" s="13">
        <v>1</v>
      </c>
      <c r="AB180" s="13">
        <v>0</v>
      </c>
    </row>
    <row r="181" spans="1:28" ht="13" x14ac:dyDescent="0.3">
      <c r="A181" s="13">
        <v>50</v>
      </c>
      <c r="B181" s="13">
        <v>0</v>
      </c>
      <c r="C181" s="13">
        <v>0</v>
      </c>
      <c r="D181" s="13">
        <v>1</v>
      </c>
      <c r="E181" s="13">
        <v>204</v>
      </c>
      <c r="F181" s="13">
        <f>ROUND(Source!R167,O181)</f>
        <v>0.04</v>
      </c>
      <c r="G181" s="13" t="s">
        <v>141</v>
      </c>
      <c r="H181" s="13" t="s">
        <v>142</v>
      </c>
      <c r="I181" s="13"/>
      <c r="J181" s="13"/>
      <c r="K181" s="13">
        <v>204</v>
      </c>
      <c r="L181" s="13">
        <v>13</v>
      </c>
      <c r="M181" s="13">
        <v>3</v>
      </c>
      <c r="N181" s="13" t="s">
        <v>3</v>
      </c>
      <c r="O181" s="13">
        <v>2</v>
      </c>
      <c r="P181" s="13">
        <f>ROUND(Source!DJ167,O181)</f>
        <v>2.25</v>
      </c>
      <c r="Q181" s="13"/>
      <c r="R181" s="13"/>
      <c r="S181" s="13"/>
      <c r="T181" s="13"/>
      <c r="U181" s="13"/>
      <c r="V181" s="13"/>
      <c r="W181" s="13">
        <v>0.04</v>
      </c>
      <c r="X181" s="13">
        <v>1</v>
      </c>
      <c r="Y181" s="13">
        <v>0.04</v>
      </c>
      <c r="Z181" s="13">
        <v>2.25</v>
      </c>
      <c r="AA181" s="13">
        <v>1</v>
      </c>
      <c r="AB181" s="13">
        <v>2.25</v>
      </c>
    </row>
    <row r="182" spans="1:28" ht="13" x14ac:dyDescent="0.3">
      <c r="A182" s="13">
        <v>50</v>
      </c>
      <c r="B182" s="13">
        <v>0</v>
      </c>
      <c r="C182" s="13">
        <v>0</v>
      </c>
      <c r="D182" s="13">
        <v>1</v>
      </c>
      <c r="E182" s="13">
        <v>205</v>
      </c>
      <c r="F182" s="13">
        <f>ROUND(Source!S167,O182)</f>
        <v>495.45</v>
      </c>
      <c r="G182" s="13" t="s">
        <v>143</v>
      </c>
      <c r="H182" s="13" t="s">
        <v>144</v>
      </c>
      <c r="I182" s="13"/>
      <c r="J182" s="13"/>
      <c r="K182" s="13">
        <v>205</v>
      </c>
      <c r="L182" s="13">
        <v>14</v>
      </c>
      <c r="M182" s="13">
        <v>3</v>
      </c>
      <c r="N182" s="13" t="s">
        <v>3</v>
      </c>
      <c r="O182" s="13">
        <v>2</v>
      </c>
      <c r="P182" s="13">
        <f>ROUND(Source!DK167,O182)</f>
        <v>27918.61</v>
      </c>
      <c r="Q182" s="13"/>
      <c r="R182" s="13"/>
      <c r="S182" s="13"/>
      <c r="T182" s="13"/>
      <c r="U182" s="13"/>
      <c r="V182" s="13"/>
      <c r="W182" s="13">
        <v>495.45</v>
      </c>
      <c r="X182" s="13">
        <v>1</v>
      </c>
      <c r="Y182" s="13">
        <v>495.45</v>
      </c>
      <c r="Z182" s="13">
        <v>27918.61</v>
      </c>
      <c r="AA182" s="13">
        <v>1</v>
      </c>
      <c r="AB182" s="13">
        <v>27918.61</v>
      </c>
    </row>
    <row r="183" spans="1:28" ht="13" x14ac:dyDescent="0.3">
      <c r="A183" s="13">
        <v>50</v>
      </c>
      <c r="B183" s="13">
        <v>0</v>
      </c>
      <c r="C183" s="13">
        <v>0</v>
      </c>
      <c r="D183" s="13">
        <v>1</v>
      </c>
      <c r="E183" s="13">
        <v>232</v>
      </c>
      <c r="F183" s="13">
        <f>ROUND(Source!BC167,O183)</f>
        <v>0</v>
      </c>
      <c r="G183" s="13" t="s">
        <v>145</v>
      </c>
      <c r="H183" s="13" t="s">
        <v>146</v>
      </c>
      <c r="I183" s="13"/>
      <c r="J183" s="13"/>
      <c r="K183" s="13">
        <v>232</v>
      </c>
      <c r="L183" s="13">
        <v>15</v>
      </c>
      <c r="M183" s="13">
        <v>3</v>
      </c>
      <c r="N183" s="13" t="s">
        <v>3</v>
      </c>
      <c r="O183" s="13">
        <v>2</v>
      </c>
      <c r="P183" s="13">
        <f>ROUND(Source!EU167,O183)</f>
        <v>0</v>
      </c>
      <c r="Q183" s="13"/>
      <c r="R183" s="13"/>
      <c r="S183" s="13"/>
      <c r="T183" s="13"/>
      <c r="U183" s="13"/>
      <c r="V183" s="13"/>
      <c r="W183" s="13">
        <v>0</v>
      </c>
      <c r="X183" s="13">
        <v>1</v>
      </c>
      <c r="Y183" s="13">
        <v>0</v>
      </c>
      <c r="Z183" s="13">
        <v>0</v>
      </c>
      <c r="AA183" s="13">
        <v>1</v>
      </c>
      <c r="AB183" s="13">
        <v>0</v>
      </c>
    </row>
    <row r="184" spans="1:28" ht="13" x14ac:dyDescent="0.3">
      <c r="A184" s="13">
        <v>50</v>
      </c>
      <c r="B184" s="13">
        <v>0</v>
      </c>
      <c r="C184" s="13">
        <v>0</v>
      </c>
      <c r="D184" s="13">
        <v>1</v>
      </c>
      <c r="E184" s="13">
        <v>214</v>
      </c>
      <c r="F184" s="13">
        <f>ROUND(Source!AS167,O184)</f>
        <v>0</v>
      </c>
      <c r="G184" s="13" t="s">
        <v>147</v>
      </c>
      <c r="H184" s="13" t="s">
        <v>148</v>
      </c>
      <c r="I184" s="13"/>
      <c r="J184" s="13"/>
      <c r="K184" s="13">
        <v>214</v>
      </c>
      <c r="L184" s="13">
        <v>16</v>
      </c>
      <c r="M184" s="13">
        <v>3</v>
      </c>
      <c r="N184" s="13" t="s">
        <v>3</v>
      </c>
      <c r="O184" s="13">
        <v>2</v>
      </c>
      <c r="P184" s="13">
        <f>ROUND(Source!EK167,O184)</f>
        <v>0</v>
      </c>
      <c r="Q184" s="13"/>
      <c r="R184" s="13"/>
      <c r="S184" s="13"/>
      <c r="T184" s="13"/>
      <c r="U184" s="13"/>
      <c r="V184" s="13"/>
      <c r="W184" s="13">
        <v>0</v>
      </c>
      <c r="X184" s="13">
        <v>1</v>
      </c>
      <c r="Y184" s="13">
        <v>0</v>
      </c>
      <c r="Z184" s="13">
        <v>0</v>
      </c>
      <c r="AA184" s="13">
        <v>1</v>
      </c>
      <c r="AB184" s="13">
        <v>0</v>
      </c>
    </row>
    <row r="185" spans="1:28" ht="13" x14ac:dyDescent="0.3">
      <c r="A185" s="13">
        <v>50</v>
      </c>
      <c r="B185" s="13">
        <v>0</v>
      </c>
      <c r="C185" s="13">
        <v>0</v>
      </c>
      <c r="D185" s="13">
        <v>1</v>
      </c>
      <c r="E185" s="13">
        <v>215</v>
      </c>
      <c r="F185" s="13">
        <f>ROUND(Source!AT167,O185)</f>
        <v>1218.93</v>
      </c>
      <c r="G185" s="13" t="s">
        <v>149</v>
      </c>
      <c r="H185" s="13" t="s">
        <v>150</v>
      </c>
      <c r="I185" s="13"/>
      <c r="J185" s="13"/>
      <c r="K185" s="13">
        <v>215</v>
      </c>
      <c r="L185" s="13">
        <v>17</v>
      </c>
      <c r="M185" s="13">
        <v>3</v>
      </c>
      <c r="N185" s="13" t="s">
        <v>3</v>
      </c>
      <c r="O185" s="13">
        <v>2</v>
      </c>
      <c r="P185" s="13">
        <f>ROUND(Source!EL167,O185)</f>
        <v>66386.05</v>
      </c>
      <c r="Q185" s="13"/>
      <c r="R185" s="13"/>
      <c r="S185" s="13"/>
      <c r="T185" s="13"/>
      <c r="U185" s="13"/>
      <c r="V185" s="13"/>
      <c r="W185" s="13">
        <v>1218.93</v>
      </c>
      <c r="X185" s="13">
        <v>1</v>
      </c>
      <c r="Y185" s="13">
        <v>1218.93</v>
      </c>
      <c r="Z185" s="13">
        <v>66386.05</v>
      </c>
      <c r="AA185" s="13">
        <v>1</v>
      </c>
      <c r="AB185" s="13">
        <v>66386.05</v>
      </c>
    </row>
    <row r="186" spans="1:28" ht="13" x14ac:dyDescent="0.3">
      <c r="A186" s="13">
        <v>50</v>
      </c>
      <c r="B186" s="13">
        <v>0</v>
      </c>
      <c r="C186" s="13">
        <v>0</v>
      </c>
      <c r="D186" s="13">
        <v>1</v>
      </c>
      <c r="E186" s="13">
        <v>217</v>
      </c>
      <c r="F186" s="13">
        <f>ROUND(Source!AU167,O186)</f>
        <v>0</v>
      </c>
      <c r="G186" s="13" t="s">
        <v>151</v>
      </c>
      <c r="H186" s="13" t="s">
        <v>152</v>
      </c>
      <c r="I186" s="13"/>
      <c r="J186" s="13"/>
      <c r="K186" s="13">
        <v>217</v>
      </c>
      <c r="L186" s="13">
        <v>18</v>
      </c>
      <c r="M186" s="13">
        <v>3</v>
      </c>
      <c r="N186" s="13" t="s">
        <v>3</v>
      </c>
      <c r="O186" s="13">
        <v>2</v>
      </c>
      <c r="P186" s="13">
        <f>ROUND(Source!EM167,O186)</f>
        <v>0</v>
      </c>
      <c r="Q186" s="13"/>
      <c r="R186" s="13"/>
      <c r="S186" s="13"/>
      <c r="T186" s="13"/>
      <c r="U186" s="13"/>
      <c r="V186" s="13"/>
      <c r="W186" s="13">
        <v>0</v>
      </c>
      <c r="X186" s="13">
        <v>1</v>
      </c>
      <c r="Y186" s="13">
        <v>0</v>
      </c>
      <c r="Z186" s="13">
        <v>0</v>
      </c>
      <c r="AA186" s="13">
        <v>1</v>
      </c>
      <c r="AB186" s="13">
        <v>0</v>
      </c>
    </row>
    <row r="187" spans="1:28" ht="13" x14ac:dyDescent="0.3">
      <c r="A187" s="13">
        <v>50</v>
      </c>
      <c r="B187" s="13">
        <v>0</v>
      </c>
      <c r="C187" s="13">
        <v>0</v>
      </c>
      <c r="D187" s="13">
        <v>1</v>
      </c>
      <c r="E187" s="13">
        <v>230</v>
      </c>
      <c r="F187" s="13">
        <f>ROUND(Source!BA167,O187)</f>
        <v>0</v>
      </c>
      <c r="G187" s="13" t="s">
        <v>153</v>
      </c>
      <c r="H187" s="13" t="s">
        <v>154</v>
      </c>
      <c r="I187" s="13"/>
      <c r="J187" s="13"/>
      <c r="K187" s="13">
        <v>230</v>
      </c>
      <c r="L187" s="13">
        <v>19</v>
      </c>
      <c r="M187" s="13">
        <v>3</v>
      </c>
      <c r="N187" s="13" t="s">
        <v>3</v>
      </c>
      <c r="O187" s="13">
        <v>2</v>
      </c>
      <c r="P187" s="13">
        <f>ROUND(Source!ES167,O187)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8" ht="13" x14ac:dyDescent="0.3">
      <c r="A188" s="13">
        <v>50</v>
      </c>
      <c r="B188" s="13">
        <v>0</v>
      </c>
      <c r="C188" s="13">
        <v>0</v>
      </c>
      <c r="D188" s="13">
        <v>1</v>
      </c>
      <c r="E188" s="13">
        <v>206</v>
      </c>
      <c r="F188" s="13">
        <f>ROUND(Source!T167,O188)</f>
        <v>0</v>
      </c>
      <c r="G188" s="13" t="s">
        <v>155</v>
      </c>
      <c r="H188" s="13" t="s">
        <v>156</v>
      </c>
      <c r="I188" s="13"/>
      <c r="J188" s="13"/>
      <c r="K188" s="13">
        <v>206</v>
      </c>
      <c r="L188" s="13">
        <v>20</v>
      </c>
      <c r="M188" s="13">
        <v>3</v>
      </c>
      <c r="N188" s="13" t="s">
        <v>3</v>
      </c>
      <c r="O188" s="13">
        <v>2</v>
      </c>
      <c r="P188" s="13">
        <f>ROUND(Source!DL167,O188)</f>
        <v>0</v>
      </c>
      <c r="Q188" s="13"/>
      <c r="R188" s="13"/>
      <c r="S188" s="13"/>
      <c r="T188" s="13"/>
      <c r="U188" s="13"/>
      <c r="V188" s="13"/>
      <c r="W188" s="13">
        <v>0</v>
      </c>
      <c r="X188" s="13">
        <v>1</v>
      </c>
      <c r="Y188" s="13">
        <v>0</v>
      </c>
      <c r="Z188" s="13">
        <v>0</v>
      </c>
      <c r="AA188" s="13">
        <v>1</v>
      </c>
      <c r="AB188" s="13">
        <v>0</v>
      </c>
    </row>
    <row r="189" spans="1:28" ht="13" x14ac:dyDescent="0.3">
      <c r="A189" s="13">
        <v>50</v>
      </c>
      <c r="B189" s="13">
        <v>0</v>
      </c>
      <c r="C189" s="13">
        <v>0</v>
      </c>
      <c r="D189" s="13">
        <v>1</v>
      </c>
      <c r="E189" s="13">
        <v>207</v>
      </c>
      <c r="F189" s="13">
        <f>Source!U167</f>
        <v>37.302515999999997</v>
      </c>
      <c r="G189" s="13" t="s">
        <v>157</v>
      </c>
      <c r="H189" s="13" t="s">
        <v>158</v>
      </c>
      <c r="I189" s="13"/>
      <c r="J189" s="13"/>
      <c r="K189" s="13">
        <v>207</v>
      </c>
      <c r="L189" s="13">
        <v>21</v>
      </c>
      <c r="M189" s="13">
        <v>3</v>
      </c>
      <c r="N189" s="13" t="s">
        <v>3</v>
      </c>
      <c r="O189" s="13">
        <v>-1</v>
      </c>
      <c r="P189" s="13">
        <f>Source!DM167</f>
        <v>37.302515999999997</v>
      </c>
      <c r="Q189" s="13"/>
      <c r="R189" s="13"/>
      <c r="S189" s="13"/>
      <c r="T189" s="13"/>
      <c r="U189" s="13"/>
      <c r="V189" s="13"/>
      <c r="W189" s="13">
        <v>37.302515999999997</v>
      </c>
      <c r="X189" s="13">
        <v>1</v>
      </c>
      <c r="Y189" s="13">
        <v>37.302515999999997</v>
      </c>
      <c r="Z189" s="13">
        <v>37.302515999999997</v>
      </c>
      <c r="AA189" s="13">
        <v>1</v>
      </c>
      <c r="AB189" s="13">
        <v>37.302515999999997</v>
      </c>
    </row>
    <row r="190" spans="1:28" ht="13" x14ac:dyDescent="0.3">
      <c r="A190" s="13">
        <v>50</v>
      </c>
      <c r="B190" s="13">
        <v>0</v>
      </c>
      <c r="C190" s="13">
        <v>0</v>
      </c>
      <c r="D190" s="13">
        <v>1</v>
      </c>
      <c r="E190" s="13">
        <v>208</v>
      </c>
      <c r="F190" s="13">
        <f>Source!V167</f>
        <v>0</v>
      </c>
      <c r="G190" s="13" t="s">
        <v>159</v>
      </c>
      <c r="H190" s="13" t="s">
        <v>160</v>
      </c>
      <c r="I190" s="13"/>
      <c r="J190" s="13"/>
      <c r="K190" s="13">
        <v>208</v>
      </c>
      <c r="L190" s="13">
        <v>22</v>
      </c>
      <c r="M190" s="13">
        <v>3</v>
      </c>
      <c r="N190" s="13" t="s">
        <v>3</v>
      </c>
      <c r="O190" s="13">
        <v>-1</v>
      </c>
      <c r="P190" s="13">
        <f>Source!DN167</f>
        <v>0</v>
      </c>
      <c r="Q190" s="13"/>
      <c r="R190" s="13"/>
      <c r="S190" s="13"/>
      <c r="T190" s="13"/>
      <c r="U190" s="13"/>
      <c r="V190" s="13"/>
      <c r="W190" s="13">
        <v>0</v>
      </c>
      <c r="X190" s="13">
        <v>1</v>
      </c>
      <c r="Y190" s="13">
        <v>0</v>
      </c>
      <c r="Z190" s="13">
        <v>0</v>
      </c>
      <c r="AA190" s="13">
        <v>1</v>
      </c>
      <c r="AB190" s="13">
        <v>0</v>
      </c>
    </row>
    <row r="191" spans="1:28" ht="13" x14ac:dyDescent="0.3">
      <c r="A191" s="13">
        <v>50</v>
      </c>
      <c r="B191" s="13">
        <v>0</v>
      </c>
      <c r="C191" s="13">
        <v>0</v>
      </c>
      <c r="D191" s="13">
        <v>1</v>
      </c>
      <c r="E191" s="13">
        <v>209</v>
      </c>
      <c r="F191" s="13">
        <f>ROUND(Source!W167,O191)</f>
        <v>0</v>
      </c>
      <c r="G191" s="13" t="s">
        <v>161</v>
      </c>
      <c r="H191" s="13" t="s">
        <v>162</v>
      </c>
      <c r="I191" s="13"/>
      <c r="J191" s="13"/>
      <c r="K191" s="13">
        <v>209</v>
      </c>
      <c r="L191" s="13">
        <v>23</v>
      </c>
      <c r="M191" s="13">
        <v>3</v>
      </c>
      <c r="N191" s="13" t="s">
        <v>3</v>
      </c>
      <c r="O191" s="13">
        <v>2</v>
      </c>
      <c r="P191" s="13">
        <f>ROUND(Source!DO167,O191)</f>
        <v>0</v>
      </c>
      <c r="Q191" s="13"/>
      <c r="R191" s="13"/>
      <c r="S191" s="13"/>
      <c r="T191" s="13"/>
      <c r="U191" s="13"/>
      <c r="V191" s="13"/>
      <c r="W191" s="13">
        <v>0</v>
      </c>
      <c r="X191" s="13">
        <v>1</v>
      </c>
      <c r="Y191" s="13">
        <v>0</v>
      </c>
      <c r="Z191" s="13">
        <v>0</v>
      </c>
      <c r="AA191" s="13">
        <v>1</v>
      </c>
      <c r="AB191" s="13">
        <v>0</v>
      </c>
    </row>
    <row r="192" spans="1:28" ht="13" x14ac:dyDescent="0.3">
      <c r="A192" s="13">
        <v>50</v>
      </c>
      <c r="B192" s="13">
        <v>0</v>
      </c>
      <c r="C192" s="13">
        <v>0</v>
      </c>
      <c r="D192" s="13">
        <v>1</v>
      </c>
      <c r="E192" s="13">
        <v>233</v>
      </c>
      <c r="F192" s="13">
        <f>ROUND(Source!BD167,O192)</f>
        <v>0</v>
      </c>
      <c r="G192" s="13" t="s">
        <v>163</v>
      </c>
      <c r="H192" s="13" t="s">
        <v>164</v>
      </c>
      <c r="I192" s="13"/>
      <c r="J192" s="13"/>
      <c r="K192" s="13">
        <v>233</v>
      </c>
      <c r="L192" s="13">
        <v>24</v>
      </c>
      <c r="M192" s="13">
        <v>3</v>
      </c>
      <c r="N192" s="13" t="s">
        <v>3</v>
      </c>
      <c r="O192" s="13">
        <v>2</v>
      </c>
      <c r="P192" s="13">
        <f>ROUND(Source!EV167,O192)</f>
        <v>0</v>
      </c>
      <c r="Q192" s="13"/>
      <c r="R192" s="13"/>
      <c r="S192" s="13"/>
      <c r="T192" s="13"/>
      <c r="U192" s="13"/>
      <c r="V192" s="13"/>
      <c r="W192" s="13">
        <v>0</v>
      </c>
      <c r="X192" s="13">
        <v>1</v>
      </c>
      <c r="Y192" s="13">
        <v>0</v>
      </c>
      <c r="Z192" s="13">
        <v>0</v>
      </c>
      <c r="AA192" s="13">
        <v>1</v>
      </c>
      <c r="AB192" s="13">
        <v>0</v>
      </c>
    </row>
    <row r="193" spans="1:255" ht="13" x14ac:dyDescent="0.3">
      <c r="A193" s="13">
        <v>50</v>
      </c>
      <c r="B193" s="13">
        <v>0</v>
      </c>
      <c r="C193" s="13">
        <v>0</v>
      </c>
      <c r="D193" s="13">
        <v>1</v>
      </c>
      <c r="E193" s="13">
        <v>210</v>
      </c>
      <c r="F193" s="13">
        <f>ROUND(Source!X167,O193)</f>
        <v>445.94</v>
      </c>
      <c r="G193" s="13" t="s">
        <v>165</v>
      </c>
      <c r="H193" s="13" t="s">
        <v>166</v>
      </c>
      <c r="I193" s="13"/>
      <c r="J193" s="13"/>
      <c r="K193" s="13">
        <v>210</v>
      </c>
      <c r="L193" s="13">
        <v>25</v>
      </c>
      <c r="M193" s="13">
        <v>3</v>
      </c>
      <c r="N193" s="13" t="s">
        <v>3</v>
      </c>
      <c r="O193" s="13">
        <v>2</v>
      </c>
      <c r="P193" s="13">
        <f>ROUND(Source!DP167,O193)</f>
        <v>25128.78</v>
      </c>
      <c r="Q193" s="13"/>
      <c r="R193" s="13"/>
      <c r="S193" s="13"/>
      <c r="T193" s="13"/>
      <c r="U193" s="13"/>
      <c r="V193" s="13"/>
      <c r="W193" s="13">
        <v>445.94</v>
      </c>
      <c r="X193" s="13">
        <v>1</v>
      </c>
      <c r="Y193" s="13">
        <v>445.94</v>
      </c>
      <c r="Z193" s="13">
        <v>25128.78</v>
      </c>
      <c r="AA193" s="13">
        <v>1</v>
      </c>
      <c r="AB193" s="13">
        <v>25128.78</v>
      </c>
    </row>
    <row r="194" spans="1:255" ht="13" x14ac:dyDescent="0.3">
      <c r="A194" s="13">
        <v>50</v>
      </c>
      <c r="B194" s="13">
        <v>0</v>
      </c>
      <c r="C194" s="13">
        <v>0</v>
      </c>
      <c r="D194" s="13">
        <v>1</v>
      </c>
      <c r="E194" s="13">
        <v>211</v>
      </c>
      <c r="F194" s="13">
        <f>ROUND(Source!Y167,O194)</f>
        <v>227.92</v>
      </c>
      <c r="G194" s="13" t="s">
        <v>167</v>
      </c>
      <c r="H194" s="13" t="s">
        <v>168</v>
      </c>
      <c r="I194" s="13"/>
      <c r="J194" s="13"/>
      <c r="K194" s="13">
        <v>211</v>
      </c>
      <c r="L194" s="13">
        <v>26</v>
      </c>
      <c r="M194" s="13">
        <v>3</v>
      </c>
      <c r="N194" s="13" t="s">
        <v>3</v>
      </c>
      <c r="O194" s="13">
        <v>2</v>
      </c>
      <c r="P194" s="13">
        <f>ROUND(Source!DQ167,O194)</f>
        <v>12843.6</v>
      </c>
      <c r="Q194" s="13"/>
      <c r="R194" s="13"/>
      <c r="S194" s="13"/>
      <c r="T194" s="13"/>
      <c r="U194" s="13"/>
      <c r="V194" s="13"/>
      <c r="W194" s="13">
        <v>227.92</v>
      </c>
      <c r="X194" s="13">
        <v>1</v>
      </c>
      <c r="Y194" s="13">
        <v>227.92</v>
      </c>
      <c r="Z194" s="13">
        <v>12843.6</v>
      </c>
      <c r="AA194" s="13">
        <v>1</v>
      </c>
      <c r="AB194" s="13">
        <v>12843.6</v>
      </c>
    </row>
    <row r="195" spans="1:255" ht="13" x14ac:dyDescent="0.3">
      <c r="A195" s="13">
        <v>50</v>
      </c>
      <c r="B195" s="13">
        <v>0</v>
      </c>
      <c r="C195" s="13">
        <v>0</v>
      </c>
      <c r="D195" s="13">
        <v>1</v>
      </c>
      <c r="E195" s="13">
        <v>224</v>
      </c>
      <c r="F195" s="13">
        <f>ROUND(Source!AR167,O195)</f>
        <v>22363.87</v>
      </c>
      <c r="G195" s="13" t="s">
        <v>169</v>
      </c>
      <c r="H195" s="13" t="s">
        <v>170</v>
      </c>
      <c r="I195" s="13"/>
      <c r="J195" s="13"/>
      <c r="K195" s="13">
        <v>224</v>
      </c>
      <c r="L195" s="13">
        <v>27</v>
      </c>
      <c r="M195" s="13">
        <v>3</v>
      </c>
      <c r="N195" s="13" t="s">
        <v>3</v>
      </c>
      <c r="O195" s="13">
        <v>2</v>
      </c>
      <c r="P195" s="13">
        <f>ROUND(Source!EJ167,O195)</f>
        <v>226453.25</v>
      </c>
      <c r="Q195" s="13"/>
      <c r="R195" s="13"/>
      <c r="S195" s="13"/>
      <c r="T195" s="13"/>
      <c r="U195" s="13"/>
      <c r="V195" s="13"/>
      <c r="W195" s="13">
        <v>22363.87</v>
      </c>
      <c r="X195" s="13">
        <v>1</v>
      </c>
      <c r="Y195" s="13">
        <v>22363.87</v>
      </c>
      <c r="Z195" s="13">
        <v>226453.25</v>
      </c>
      <c r="AA195" s="13">
        <v>1</v>
      </c>
      <c r="AB195" s="13">
        <v>226453.25</v>
      </c>
    </row>
    <row r="197" spans="1:255" ht="13" x14ac:dyDescent="0.3">
      <c r="A197" s="10">
        <v>4</v>
      </c>
      <c r="B197" s="10">
        <v>1</v>
      </c>
      <c r="C197" s="10"/>
      <c r="D197" s="10">
        <f>ROW(A240)</f>
        <v>240</v>
      </c>
      <c r="E197" s="10"/>
      <c r="F197" s="10" t="s">
        <v>21</v>
      </c>
      <c r="G197" s="10" t="s">
        <v>217</v>
      </c>
      <c r="H197" s="10" t="s">
        <v>3</v>
      </c>
      <c r="I197" s="10">
        <v>0</v>
      </c>
      <c r="J197" s="10"/>
      <c r="K197" s="10">
        <v>-1</v>
      </c>
      <c r="L197" s="10"/>
      <c r="M197" s="10" t="s">
        <v>3</v>
      </c>
      <c r="N197" s="10"/>
      <c r="O197" s="10"/>
      <c r="P197" s="10"/>
      <c r="Q197" s="10"/>
      <c r="R197" s="10"/>
      <c r="S197" s="10">
        <v>0</v>
      </c>
      <c r="T197" s="10">
        <v>0</v>
      </c>
      <c r="U197" s="10" t="s">
        <v>3</v>
      </c>
      <c r="V197" s="10">
        <v>2</v>
      </c>
      <c r="W197" s="10"/>
      <c r="X197" s="10"/>
      <c r="Y197" s="10"/>
      <c r="Z197" s="10"/>
      <c r="AA197" s="10"/>
      <c r="AB197" s="10" t="s">
        <v>3</v>
      </c>
      <c r="AC197" s="10" t="s">
        <v>3</v>
      </c>
      <c r="AD197" s="10" t="s">
        <v>3</v>
      </c>
      <c r="AE197" s="10" t="s">
        <v>3</v>
      </c>
      <c r="AF197" s="10" t="s">
        <v>3</v>
      </c>
      <c r="AG197" s="10" t="s">
        <v>3</v>
      </c>
      <c r="AH197" s="10"/>
      <c r="AI197" s="10"/>
      <c r="AJ197" s="10"/>
      <c r="AK197" s="10"/>
      <c r="AL197" s="10"/>
      <c r="AM197" s="10"/>
      <c r="AN197" s="10"/>
      <c r="AO197" s="10"/>
      <c r="AP197" s="10" t="s">
        <v>3</v>
      </c>
      <c r="AQ197" s="10" t="s">
        <v>3</v>
      </c>
      <c r="AR197" s="10" t="s">
        <v>3</v>
      </c>
      <c r="AS197" s="10"/>
      <c r="AT197" s="10"/>
      <c r="AU197" s="10"/>
      <c r="AV197" s="10"/>
      <c r="AW197" s="10"/>
      <c r="AX197" s="10"/>
      <c r="AY197" s="10"/>
      <c r="AZ197" s="10" t="s">
        <v>3</v>
      </c>
      <c r="BA197" s="10"/>
      <c r="BB197" s="10" t="s">
        <v>3</v>
      </c>
      <c r="BC197" s="10" t="s">
        <v>3</v>
      </c>
      <c r="BD197" s="10" t="s">
        <v>3</v>
      </c>
      <c r="BE197" s="10" t="s">
        <v>3</v>
      </c>
      <c r="BF197" s="10" t="s">
        <v>3</v>
      </c>
      <c r="BG197" s="10" t="s">
        <v>3</v>
      </c>
      <c r="BH197" s="10" t="s">
        <v>3</v>
      </c>
      <c r="BI197" s="10" t="s">
        <v>3</v>
      </c>
      <c r="BJ197" s="10" t="s">
        <v>3</v>
      </c>
      <c r="BK197" s="10" t="s">
        <v>3</v>
      </c>
      <c r="BL197" s="10" t="s">
        <v>3</v>
      </c>
      <c r="BM197" s="10" t="s">
        <v>3</v>
      </c>
      <c r="BN197" s="10" t="s">
        <v>3</v>
      </c>
      <c r="BO197" s="10" t="s">
        <v>3</v>
      </c>
      <c r="BP197" s="10" t="s">
        <v>3</v>
      </c>
      <c r="BQ197" s="10"/>
      <c r="BR197" s="10"/>
      <c r="BS197" s="10"/>
      <c r="BT197" s="10"/>
      <c r="BU197" s="10"/>
      <c r="BV197" s="10"/>
      <c r="BW197" s="10"/>
      <c r="BX197" s="10">
        <v>0</v>
      </c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>
        <v>0</v>
      </c>
    </row>
    <row r="199" spans="1:255" ht="13" x14ac:dyDescent="0.3">
      <c r="A199" s="11">
        <v>52</v>
      </c>
      <c r="B199" s="11">
        <f t="shared" ref="B199:G199" si="139">B240</f>
        <v>1</v>
      </c>
      <c r="C199" s="11">
        <f t="shared" si="139"/>
        <v>4</v>
      </c>
      <c r="D199" s="11">
        <f t="shared" si="139"/>
        <v>197</v>
      </c>
      <c r="E199" s="11">
        <f t="shared" si="139"/>
        <v>0</v>
      </c>
      <c r="F199" s="11" t="str">
        <f t="shared" si="139"/>
        <v>Новый раздел</v>
      </c>
      <c r="G199" s="11" t="str">
        <f t="shared" si="139"/>
        <v>Оконечное оборудование СПС. Автоматические и ручные пожарные и охранные извещатели.</v>
      </c>
      <c r="H199" s="11"/>
      <c r="I199" s="11"/>
      <c r="J199" s="11"/>
      <c r="K199" s="11"/>
      <c r="L199" s="11"/>
      <c r="M199" s="11"/>
      <c r="N199" s="11"/>
      <c r="O199" s="11">
        <f t="shared" ref="O199:AT199" si="140">O240</f>
        <v>140225.26999999999</v>
      </c>
      <c r="P199" s="11">
        <f t="shared" si="140"/>
        <v>122423.15</v>
      </c>
      <c r="Q199" s="11">
        <f t="shared" si="140"/>
        <v>378.7</v>
      </c>
      <c r="R199" s="11">
        <f t="shared" si="140"/>
        <v>28.29</v>
      </c>
      <c r="S199" s="11">
        <f t="shared" si="140"/>
        <v>17423.419999999998</v>
      </c>
      <c r="T199" s="11">
        <f t="shared" si="140"/>
        <v>0</v>
      </c>
      <c r="U199" s="11">
        <f t="shared" si="140"/>
        <v>1375.5318479999999</v>
      </c>
      <c r="V199" s="11">
        <f t="shared" si="140"/>
        <v>0</v>
      </c>
      <c r="W199" s="11">
        <f t="shared" si="140"/>
        <v>0</v>
      </c>
      <c r="X199" s="11">
        <f t="shared" si="140"/>
        <v>15752.1</v>
      </c>
      <c r="Y199" s="11">
        <f t="shared" si="140"/>
        <v>8091.57</v>
      </c>
      <c r="Z199" s="11">
        <f t="shared" si="140"/>
        <v>0</v>
      </c>
      <c r="AA199" s="11">
        <f t="shared" si="140"/>
        <v>0</v>
      </c>
      <c r="AB199" s="11">
        <f t="shared" si="140"/>
        <v>140225.26999999999</v>
      </c>
      <c r="AC199" s="11">
        <f t="shared" si="140"/>
        <v>122423.15</v>
      </c>
      <c r="AD199" s="11">
        <f t="shared" si="140"/>
        <v>378.7</v>
      </c>
      <c r="AE199" s="11">
        <f t="shared" si="140"/>
        <v>28.29</v>
      </c>
      <c r="AF199" s="11">
        <f t="shared" si="140"/>
        <v>17423.419999999998</v>
      </c>
      <c r="AG199" s="11">
        <f t="shared" si="140"/>
        <v>0</v>
      </c>
      <c r="AH199" s="11">
        <f t="shared" si="140"/>
        <v>1375.5318479999999</v>
      </c>
      <c r="AI199" s="11">
        <f t="shared" si="140"/>
        <v>0</v>
      </c>
      <c r="AJ199" s="11">
        <f t="shared" si="140"/>
        <v>0</v>
      </c>
      <c r="AK199" s="11">
        <f t="shared" si="140"/>
        <v>15752.1</v>
      </c>
      <c r="AL199" s="11">
        <f t="shared" si="140"/>
        <v>8091.57</v>
      </c>
      <c r="AM199" s="11">
        <f t="shared" si="140"/>
        <v>0</v>
      </c>
      <c r="AN199" s="11">
        <f t="shared" si="140"/>
        <v>0</v>
      </c>
      <c r="AO199" s="11">
        <f t="shared" si="140"/>
        <v>0</v>
      </c>
      <c r="AP199" s="11">
        <f t="shared" si="140"/>
        <v>120492.28</v>
      </c>
      <c r="AQ199" s="11">
        <f t="shared" si="140"/>
        <v>0</v>
      </c>
      <c r="AR199" s="11">
        <f t="shared" si="140"/>
        <v>164068.94</v>
      </c>
      <c r="AS199" s="11">
        <f t="shared" si="140"/>
        <v>0</v>
      </c>
      <c r="AT199" s="11">
        <f t="shared" si="140"/>
        <v>43576.66</v>
      </c>
      <c r="AU199" s="11">
        <f t="shared" ref="AU199:BZ199" si="141">AU240</f>
        <v>0</v>
      </c>
      <c r="AV199" s="11">
        <f t="shared" si="141"/>
        <v>122423.15</v>
      </c>
      <c r="AW199" s="11">
        <f t="shared" si="141"/>
        <v>1930.87</v>
      </c>
      <c r="AX199" s="11">
        <f t="shared" si="141"/>
        <v>0</v>
      </c>
      <c r="AY199" s="11">
        <f t="shared" si="141"/>
        <v>1930.87</v>
      </c>
      <c r="AZ199" s="11">
        <f t="shared" si="141"/>
        <v>120492.28</v>
      </c>
      <c r="BA199" s="11">
        <f t="shared" si="141"/>
        <v>0</v>
      </c>
      <c r="BB199" s="11">
        <f t="shared" si="141"/>
        <v>0</v>
      </c>
      <c r="BC199" s="11">
        <f t="shared" si="141"/>
        <v>0</v>
      </c>
      <c r="BD199" s="11">
        <f t="shared" si="141"/>
        <v>0</v>
      </c>
      <c r="BE199" s="11">
        <f t="shared" si="141"/>
        <v>0</v>
      </c>
      <c r="BF199" s="11">
        <f t="shared" si="141"/>
        <v>0</v>
      </c>
      <c r="BG199" s="11">
        <f t="shared" si="141"/>
        <v>0</v>
      </c>
      <c r="BH199" s="11">
        <f t="shared" si="141"/>
        <v>0</v>
      </c>
      <c r="BI199" s="11">
        <f t="shared" si="141"/>
        <v>0</v>
      </c>
      <c r="BJ199" s="11">
        <f t="shared" si="141"/>
        <v>0</v>
      </c>
      <c r="BK199" s="11">
        <f t="shared" si="141"/>
        <v>0</v>
      </c>
      <c r="BL199" s="11">
        <f t="shared" si="141"/>
        <v>0</v>
      </c>
      <c r="BM199" s="11">
        <f t="shared" si="141"/>
        <v>0</v>
      </c>
      <c r="BN199" s="11">
        <f t="shared" si="141"/>
        <v>0</v>
      </c>
      <c r="BO199" s="11">
        <f t="shared" si="141"/>
        <v>0</v>
      </c>
      <c r="BP199" s="11">
        <f t="shared" si="141"/>
        <v>0</v>
      </c>
      <c r="BQ199" s="11">
        <f t="shared" si="141"/>
        <v>0</v>
      </c>
      <c r="BR199" s="11">
        <f t="shared" si="141"/>
        <v>0</v>
      </c>
      <c r="BS199" s="11">
        <f t="shared" si="141"/>
        <v>0</v>
      </c>
      <c r="BT199" s="11">
        <f t="shared" si="141"/>
        <v>0</v>
      </c>
      <c r="BU199" s="11">
        <f t="shared" si="141"/>
        <v>0</v>
      </c>
      <c r="BV199" s="11">
        <f t="shared" si="141"/>
        <v>0</v>
      </c>
      <c r="BW199" s="11">
        <f t="shared" si="141"/>
        <v>0</v>
      </c>
      <c r="BX199" s="11">
        <f t="shared" si="141"/>
        <v>0</v>
      </c>
      <c r="BY199" s="11">
        <f t="shared" si="141"/>
        <v>120492.28</v>
      </c>
      <c r="BZ199" s="11">
        <f t="shared" si="141"/>
        <v>0</v>
      </c>
      <c r="CA199" s="11">
        <f t="shared" ref="CA199:DF199" si="142">CA240</f>
        <v>164068.94</v>
      </c>
      <c r="CB199" s="11">
        <f t="shared" si="142"/>
        <v>0</v>
      </c>
      <c r="CC199" s="11">
        <f t="shared" si="142"/>
        <v>43576.66</v>
      </c>
      <c r="CD199" s="11">
        <f t="shared" si="142"/>
        <v>0</v>
      </c>
      <c r="CE199" s="11">
        <f t="shared" si="142"/>
        <v>122423.15</v>
      </c>
      <c r="CF199" s="11">
        <f t="shared" si="142"/>
        <v>1930.8699999999953</v>
      </c>
      <c r="CG199" s="11">
        <f t="shared" si="142"/>
        <v>0</v>
      </c>
      <c r="CH199" s="11">
        <f t="shared" si="142"/>
        <v>1930.8699999999953</v>
      </c>
      <c r="CI199" s="11">
        <f t="shared" si="142"/>
        <v>120492.28</v>
      </c>
      <c r="CJ199" s="11">
        <f t="shared" si="142"/>
        <v>0</v>
      </c>
      <c r="CK199" s="11">
        <f t="shared" si="142"/>
        <v>0</v>
      </c>
      <c r="CL199" s="11">
        <f t="shared" si="142"/>
        <v>0</v>
      </c>
      <c r="CM199" s="11">
        <f t="shared" si="142"/>
        <v>0</v>
      </c>
      <c r="CN199" s="11">
        <f t="shared" si="142"/>
        <v>0</v>
      </c>
      <c r="CO199" s="11">
        <f t="shared" si="142"/>
        <v>0</v>
      </c>
      <c r="CP199" s="11">
        <f t="shared" si="142"/>
        <v>0</v>
      </c>
      <c r="CQ199" s="11">
        <f t="shared" si="142"/>
        <v>0</v>
      </c>
      <c r="CR199" s="11">
        <f t="shared" si="142"/>
        <v>0</v>
      </c>
      <c r="CS199" s="11">
        <f t="shared" si="142"/>
        <v>0</v>
      </c>
      <c r="CT199" s="11">
        <f t="shared" si="142"/>
        <v>0</v>
      </c>
      <c r="CU199" s="11">
        <f t="shared" si="142"/>
        <v>0</v>
      </c>
      <c r="CV199" s="11">
        <f t="shared" si="142"/>
        <v>0</v>
      </c>
      <c r="CW199" s="11">
        <f t="shared" si="142"/>
        <v>0</v>
      </c>
      <c r="CX199" s="11">
        <f t="shared" si="142"/>
        <v>0</v>
      </c>
      <c r="CY199" s="11">
        <f t="shared" si="142"/>
        <v>0</v>
      </c>
      <c r="CZ199" s="11">
        <f t="shared" si="142"/>
        <v>0</v>
      </c>
      <c r="DA199" s="11">
        <f t="shared" si="142"/>
        <v>0</v>
      </c>
      <c r="DB199" s="11">
        <f t="shared" si="142"/>
        <v>0</v>
      </c>
      <c r="DC199" s="11">
        <f t="shared" si="142"/>
        <v>0</v>
      </c>
      <c r="DD199" s="11">
        <f t="shared" si="142"/>
        <v>0</v>
      </c>
      <c r="DE199" s="11">
        <f t="shared" si="142"/>
        <v>0</v>
      </c>
      <c r="DF199" s="11">
        <f t="shared" si="142"/>
        <v>0</v>
      </c>
      <c r="DG199" s="12">
        <f t="shared" ref="DG199:EL199" si="143">DG240</f>
        <v>1940858.61</v>
      </c>
      <c r="DH199" s="12">
        <f t="shared" si="143"/>
        <v>953614.37</v>
      </c>
      <c r="DI199" s="12">
        <f t="shared" si="143"/>
        <v>5434.52</v>
      </c>
      <c r="DJ199" s="12">
        <f t="shared" si="143"/>
        <v>1594.14</v>
      </c>
      <c r="DK199" s="12">
        <f t="shared" si="143"/>
        <v>981809.72</v>
      </c>
      <c r="DL199" s="12">
        <f t="shared" si="143"/>
        <v>0</v>
      </c>
      <c r="DM199" s="12">
        <f t="shared" si="143"/>
        <v>1375.5318479999999</v>
      </c>
      <c r="DN199" s="12">
        <f t="shared" si="143"/>
        <v>0</v>
      </c>
      <c r="DO199" s="12">
        <f t="shared" si="143"/>
        <v>0</v>
      </c>
      <c r="DP199" s="12">
        <f t="shared" si="143"/>
        <v>887630.92</v>
      </c>
      <c r="DQ199" s="12">
        <f t="shared" si="143"/>
        <v>455960.2</v>
      </c>
      <c r="DR199" s="12">
        <f t="shared" si="143"/>
        <v>0</v>
      </c>
      <c r="DS199" s="12">
        <f t="shared" si="143"/>
        <v>0</v>
      </c>
      <c r="DT199" s="12">
        <f t="shared" si="143"/>
        <v>1940858.61</v>
      </c>
      <c r="DU199" s="12">
        <f t="shared" si="143"/>
        <v>953614.37</v>
      </c>
      <c r="DV199" s="12">
        <f t="shared" si="143"/>
        <v>5434.52</v>
      </c>
      <c r="DW199" s="12">
        <f t="shared" si="143"/>
        <v>1594.14</v>
      </c>
      <c r="DX199" s="12">
        <f t="shared" si="143"/>
        <v>981809.72</v>
      </c>
      <c r="DY199" s="12">
        <f t="shared" si="143"/>
        <v>0</v>
      </c>
      <c r="DZ199" s="12">
        <f t="shared" si="143"/>
        <v>1375.5318479999999</v>
      </c>
      <c r="EA199" s="12">
        <f t="shared" si="143"/>
        <v>0</v>
      </c>
      <c r="EB199" s="12">
        <f t="shared" si="143"/>
        <v>0</v>
      </c>
      <c r="EC199" s="12">
        <f t="shared" si="143"/>
        <v>887630.92</v>
      </c>
      <c r="ED199" s="12">
        <f t="shared" si="143"/>
        <v>455960.2</v>
      </c>
      <c r="EE199" s="12">
        <f t="shared" si="143"/>
        <v>0</v>
      </c>
      <c r="EF199" s="12">
        <f t="shared" si="143"/>
        <v>0</v>
      </c>
      <c r="EG199" s="12">
        <f t="shared" si="143"/>
        <v>0</v>
      </c>
      <c r="EH199" s="12">
        <f t="shared" si="143"/>
        <v>936527.78</v>
      </c>
      <c r="EI199" s="12">
        <f t="shared" si="143"/>
        <v>0</v>
      </c>
      <c r="EJ199" s="12">
        <f t="shared" si="143"/>
        <v>3284449.73</v>
      </c>
      <c r="EK199" s="12">
        <f t="shared" si="143"/>
        <v>0</v>
      </c>
      <c r="EL199" s="12">
        <f t="shared" si="143"/>
        <v>2347921.9500000002</v>
      </c>
      <c r="EM199" s="12">
        <f t="shared" ref="EM199:FR199" si="144">EM240</f>
        <v>0</v>
      </c>
      <c r="EN199" s="12">
        <f t="shared" si="144"/>
        <v>953614.37</v>
      </c>
      <c r="EO199" s="12">
        <f t="shared" si="144"/>
        <v>17086.59</v>
      </c>
      <c r="EP199" s="12">
        <f t="shared" si="144"/>
        <v>0</v>
      </c>
      <c r="EQ199" s="12">
        <f t="shared" si="144"/>
        <v>17086.59</v>
      </c>
      <c r="ER199" s="12">
        <f t="shared" si="144"/>
        <v>936527.78</v>
      </c>
      <c r="ES199" s="12">
        <f t="shared" si="144"/>
        <v>0</v>
      </c>
      <c r="ET199" s="12">
        <f t="shared" si="144"/>
        <v>0</v>
      </c>
      <c r="EU199" s="12">
        <f t="shared" si="144"/>
        <v>0</v>
      </c>
      <c r="EV199" s="12">
        <f t="shared" si="144"/>
        <v>0</v>
      </c>
      <c r="EW199" s="12">
        <f t="shared" si="144"/>
        <v>0</v>
      </c>
      <c r="EX199" s="12">
        <f t="shared" si="144"/>
        <v>0</v>
      </c>
      <c r="EY199" s="12">
        <f t="shared" si="144"/>
        <v>0</v>
      </c>
      <c r="EZ199" s="12">
        <f t="shared" si="144"/>
        <v>0</v>
      </c>
      <c r="FA199" s="12">
        <f t="shared" si="144"/>
        <v>0</v>
      </c>
      <c r="FB199" s="12">
        <f t="shared" si="144"/>
        <v>0</v>
      </c>
      <c r="FC199" s="12">
        <f t="shared" si="144"/>
        <v>0</v>
      </c>
      <c r="FD199" s="12">
        <f t="shared" si="144"/>
        <v>0</v>
      </c>
      <c r="FE199" s="12">
        <f t="shared" si="144"/>
        <v>0</v>
      </c>
      <c r="FF199" s="12">
        <f t="shared" si="144"/>
        <v>0</v>
      </c>
      <c r="FG199" s="12">
        <f t="shared" si="144"/>
        <v>0</v>
      </c>
      <c r="FH199" s="12">
        <f t="shared" si="144"/>
        <v>0</v>
      </c>
      <c r="FI199" s="12">
        <f t="shared" si="144"/>
        <v>0</v>
      </c>
      <c r="FJ199" s="12">
        <f t="shared" si="144"/>
        <v>0</v>
      </c>
      <c r="FK199" s="12">
        <f t="shared" si="144"/>
        <v>0</v>
      </c>
      <c r="FL199" s="12">
        <f t="shared" si="144"/>
        <v>0</v>
      </c>
      <c r="FM199" s="12">
        <f t="shared" si="144"/>
        <v>0</v>
      </c>
      <c r="FN199" s="12">
        <f t="shared" si="144"/>
        <v>0</v>
      </c>
      <c r="FO199" s="12">
        <f t="shared" si="144"/>
        <v>0</v>
      </c>
      <c r="FP199" s="12">
        <f t="shared" si="144"/>
        <v>0</v>
      </c>
      <c r="FQ199" s="12">
        <f t="shared" si="144"/>
        <v>936527.78</v>
      </c>
      <c r="FR199" s="12">
        <f t="shared" si="144"/>
        <v>0</v>
      </c>
      <c r="FS199" s="12">
        <f t="shared" ref="FS199:GX199" si="145">FS240</f>
        <v>3284449.73</v>
      </c>
      <c r="FT199" s="12">
        <f t="shared" si="145"/>
        <v>0</v>
      </c>
      <c r="FU199" s="12">
        <f t="shared" si="145"/>
        <v>2347921.9500000002</v>
      </c>
      <c r="FV199" s="12">
        <f t="shared" si="145"/>
        <v>0</v>
      </c>
      <c r="FW199" s="12">
        <f t="shared" si="145"/>
        <v>953614.37</v>
      </c>
      <c r="FX199" s="12">
        <f t="shared" si="145"/>
        <v>17086.589999999967</v>
      </c>
      <c r="FY199" s="12">
        <f t="shared" si="145"/>
        <v>0</v>
      </c>
      <c r="FZ199" s="12">
        <f t="shared" si="145"/>
        <v>17086.589999999967</v>
      </c>
      <c r="GA199" s="12">
        <f t="shared" si="145"/>
        <v>936527.78</v>
      </c>
      <c r="GB199" s="12">
        <f t="shared" si="145"/>
        <v>0</v>
      </c>
      <c r="GC199" s="12">
        <f t="shared" si="145"/>
        <v>0</v>
      </c>
      <c r="GD199" s="12">
        <f t="shared" si="145"/>
        <v>0</v>
      </c>
      <c r="GE199" s="12">
        <f t="shared" si="145"/>
        <v>0</v>
      </c>
      <c r="GF199" s="12">
        <f t="shared" si="145"/>
        <v>0</v>
      </c>
      <c r="GG199" s="12">
        <f t="shared" si="145"/>
        <v>0</v>
      </c>
      <c r="GH199" s="12">
        <f t="shared" si="145"/>
        <v>0</v>
      </c>
      <c r="GI199" s="12">
        <f t="shared" si="145"/>
        <v>0</v>
      </c>
      <c r="GJ199" s="12">
        <f t="shared" si="145"/>
        <v>0</v>
      </c>
      <c r="GK199" s="12">
        <f t="shared" si="145"/>
        <v>0</v>
      </c>
      <c r="GL199" s="12">
        <f t="shared" si="145"/>
        <v>0</v>
      </c>
      <c r="GM199" s="12">
        <f t="shared" si="145"/>
        <v>0</v>
      </c>
      <c r="GN199" s="12">
        <f t="shared" si="145"/>
        <v>0</v>
      </c>
      <c r="GO199" s="12">
        <f t="shared" si="145"/>
        <v>0</v>
      </c>
      <c r="GP199" s="12">
        <f t="shared" si="145"/>
        <v>0</v>
      </c>
      <c r="GQ199" s="12">
        <f t="shared" si="145"/>
        <v>0</v>
      </c>
      <c r="GR199" s="12">
        <f t="shared" si="145"/>
        <v>0</v>
      </c>
      <c r="GS199" s="12">
        <f t="shared" si="145"/>
        <v>0</v>
      </c>
      <c r="GT199" s="12">
        <f t="shared" si="145"/>
        <v>0</v>
      </c>
      <c r="GU199" s="12">
        <f t="shared" si="145"/>
        <v>0</v>
      </c>
      <c r="GV199" s="12">
        <f t="shared" si="145"/>
        <v>0</v>
      </c>
      <c r="GW199" s="12">
        <f t="shared" si="145"/>
        <v>0</v>
      </c>
      <c r="GX199" s="12">
        <f t="shared" si="145"/>
        <v>0</v>
      </c>
    </row>
    <row r="201" spans="1:255" x14ac:dyDescent="0.25">
      <c r="A201" s="2">
        <v>17</v>
      </c>
      <c r="B201" s="2">
        <v>1</v>
      </c>
      <c r="C201" s="2">
        <f>ROW(SmtRes!A151)</f>
        <v>151</v>
      </c>
      <c r="D201" s="2">
        <f>ROW(EtalonRes!A175)</f>
        <v>175</v>
      </c>
      <c r="E201" s="2" t="s">
        <v>3</v>
      </c>
      <c r="F201" s="2" t="s">
        <v>49</v>
      </c>
      <c r="G201" s="2" t="s">
        <v>218</v>
      </c>
      <c r="H201" s="2" t="s">
        <v>26</v>
      </c>
      <c r="I201" s="2">
        <f>ROUND(356+6+162,9)</f>
        <v>524</v>
      </c>
      <c r="J201" s="2">
        <v>0</v>
      </c>
      <c r="K201" s="2">
        <f>ROUND(356+6+162,9)</f>
        <v>524</v>
      </c>
      <c r="L201" s="2"/>
      <c r="M201" s="2"/>
      <c r="N201" s="2"/>
      <c r="O201" s="2">
        <f t="shared" ref="O201:O238" si="146">ROUND(CP201,2)</f>
        <v>14656.84</v>
      </c>
      <c r="P201" s="2">
        <f>ROUND((ROUND((AC201*AW201*I201),2)*BC201),2)</f>
        <v>660.24</v>
      </c>
      <c r="Q201" s="2">
        <f>(ROUND((ROUND((((ET201*1.2))*AV201*I201),2)*BB201),2)+ROUND((ROUND(((AE201-((EU201*1.2)))*AV201*I201),2)*BS201),2))</f>
        <v>39.5</v>
      </c>
      <c r="R201" s="2">
        <f>(ROUND((ROUND((((EU201*1.2))*AV201*I201),2)*BS201),2)+ROUND((ROUND(((AE201-((EU201*1.2)))*AV201*I201),2)*BS201),2))</f>
        <v>6.58</v>
      </c>
      <c r="S201" s="2">
        <f t="shared" ref="S201:S238" si="147">ROUND((ROUND((AF201*AV201*I201),2)*BA201),2)</f>
        <v>13957.1</v>
      </c>
      <c r="T201" s="2">
        <f t="shared" ref="T201:T238" si="148">ROUND(CU201*I201,2)</f>
        <v>0</v>
      </c>
      <c r="U201" s="2">
        <f t="shared" ref="U201:U238" si="149">CV201*I201</f>
        <v>1106.0340479999998</v>
      </c>
      <c r="V201" s="2">
        <f t="shared" ref="V201:V238" si="150">CW201*I201</f>
        <v>0</v>
      </c>
      <c r="W201" s="2">
        <f t="shared" ref="W201:W238" si="151">ROUND(CX201*I201,2)</f>
        <v>0</v>
      </c>
      <c r="X201" s="2">
        <f>(ROUND((((S201+ROUND((ROUND((((EU201*1.2))*AV201*I201),2)*BS201),2))*AT201)/100),2)+ROUND(((ROUND((ROUND(((AE201-((EU201*1.2)))*AV201*I201),2)*BS201),2)*AT201)/100),2))</f>
        <v>12567.31</v>
      </c>
      <c r="Y201" s="2">
        <f>(ROUND((((S201+ROUND((ROUND((((EU201*1.2))*AV201*I201),2)*BS201),2))*AU201)/100),2)+ROUND(((ROUND((ROUND(((AE201-((EU201*1.2)))*AV201*I201),2)*BS201),2)*AU201)/100),2))</f>
        <v>6423.29</v>
      </c>
      <c r="Z201" s="2"/>
      <c r="AA201" s="2">
        <v>-1</v>
      </c>
      <c r="AB201" s="2">
        <f t="shared" ref="AB201:AB238" si="152">ROUND((AC201+AD201+AF201),6)</f>
        <v>26.771999999999998</v>
      </c>
      <c r="AC201" s="2">
        <f>ROUND(((ES201*1)),6)</f>
        <v>1.26</v>
      </c>
      <c r="AD201" s="2">
        <f>ROUND(((((ET201*1.2))-((EU201*1.2)))+AE201),6)</f>
        <v>7.1999999999999995E-2</v>
      </c>
      <c r="AE201" s="2">
        <f>ROUND(((EU201*1.2)),6)</f>
        <v>1.2E-2</v>
      </c>
      <c r="AF201" s="2">
        <f>ROUND(((EV201*1.2)),6)</f>
        <v>25.44</v>
      </c>
      <c r="AG201" s="2">
        <f t="shared" ref="AG201:AG238" si="153">ROUND((AP201),6)</f>
        <v>0</v>
      </c>
      <c r="AH201" s="2">
        <f>((EW201*1.2))</f>
        <v>2.016</v>
      </c>
      <c r="AI201" s="2">
        <f>((EX201*1.2))</f>
        <v>0</v>
      </c>
      <c r="AJ201" s="2">
        <f t="shared" ref="AJ201:AJ238" si="154">(AS201)</f>
        <v>0</v>
      </c>
      <c r="AK201" s="2">
        <v>22.52</v>
      </c>
      <c r="AL201" s="2">
        <v>1.26</v>
      </c>
      <c r="AM201" s="2">
        <v>0.06</v>
      </c>
      <c r="AN201" s="2">
        <v>0.01</v>
      </c>
      <c r="AO201" s="2">
        <v>21.2</v>
      </c>
      <c r="AP201" s="2">
        <v>0</v>
      </c>
      <c r="AQ201" s="2">
        <v>1.68</v>
      </c>
      <c r="AR201" s="2">
        <v>0</v>
      </c>
      <c r="AS201" s="2">
        <v>0</v>
      </c>
      <c r="AT201" s="2">
        <v>90</v>
      </c>
      <c r="AU201" s="2">
        <v>46</v>
      </c>
      <c r="AV201" s="2">
        <v>1.0469999999999999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0</v>
      </c>
      <c r="BI201" s="2">
        <v>2</v>
      </c>
      <c r="BJ201" s="2" t="s">
        <v>51</v>
      </c>
      <c r="BK201" s="2"/>
      <c r="BL201" s="2"/>
      <c r="BM201" s="2">
        <v>68</v>
      </c>
      <c r="BN201" s="2">
        <v>0</v>
      </c>
      <c r="BO201" s="2" t="s">
        <v>49</v>
      </c>
      <c r="BP201" s="2">
        <v>1</v>
      </c>
      <c r="BQ201" s="2">
        <v>40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90</v>
      </c>
      <c r="CA201" s="2">
        <v>46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614</v>
      </c>
      <c r="CO201" s="2">
        <v>0</v>
      </c>
      <c r="CP201" s="2">
        <f t="shared" ref="CP201:CP238" si="155">(P201+Q201+S201)</f>
        <v>14656.84</v>
      </c>
      <c r="CQ201" s="2">
        <f>ROUND((ROUND((AC201*AW201*1),2)*BC201),2)</f>
        <v>1.26</v>
      </c>
      <c r="CR201" s="2">
        <f>(ROUND((ROUND((((ET201*1.2))*AV201*1),2)*BB201),2)+ROUND((ROUND(((AE201-((EU201*1.2)))*AV201*1),2)*BS201),2))</f>
        <v>0.08</v>
      </c>
      <c r="CS201" s="2">
        <f>(ROUND((ROUND((((EU201*1.2))*AV201*1),2)*BS201),2)+ROUND((ROUND(((AE201-((EU201*1.2)))*AV201*1),2)*BS201),2))</f>
        <v>0.01</v>
      </c>
      <c r="CT201" s="2">
        <f t="shared" ref="CT201:CT238" si="156">ROUND((ROUND((AF201*AV201*1),2)*BA201),2)</f>
        <v>26.64</v>
      </c>
      <c r="CU201" s="2">
        <f t="shared" ref="CU201:CU238" si="157">AG201</f>
        <v>0</v>
      </c>
      <c r="CV201" s="2">
        <f t="shared" ref="CV201:CV238" si="158">(AH201*AV201)</f>
        <v>2.1107519999999997</v>
      </c>
      <c r="CW201" s="2">
        <f t="shared" ref="CW201:CW238" si="159">AI201</f>
        <v>0</v>
      </c>
      <c r="CX201" s="2">
        <f t="shared" ref="CX201:CX238" si="160">AJ201</f>
        <v>0</v>
      </c>
      <c r="CY201" s="2">
        <f>(ROUND((((S201+ROUND((ROUND((((EU201*1.2))*AV201*1),2)*BS201),2))*AT201)/100),2)+ROUND(((ROUND((ROUND(((AE201-((EU201*1.2)))*AV201*1),2)*BS201),2)*AT201)/100),2))</f>
        <v>12561.4</v>
      </c>
      <c r="CZ201" s="2">
        <f>(ROUND((((S201+ROUND((ROUND((((EU201*1.2))*AV201*1),2)*BS201),2))*AU201)/100),2)+ROUND(((ROUND((ROUND(((AE201-((EU201*1.2)))*AV201*1),2)*BS201),2)*AU201)/100),2))</f>
        <v>6420.27</v>
      </c>
      <c r="DA201" s="2"/>
      <c r="DB201" s="2">
        <v>93</v>
      </c>
      <c r="DC201" s="2" t="s">
        <v>3</v>
      </c>
      <c r="DD201" s="2" t="s">
        <v>104</v>
      </c>
      <c r="DE201" s="2" t="s">
        <v>105</v>
      </c>
      <c r="DF201" s="2" t="s">
        <v>105</v>
      </c>
      <c r="DG201" s="2" t="s">
        <v>105</v>
      </c>
      <c r="DH201" s="2" t="s">
        <v>3</v>
      </c>
      <c r="DI201" s="2" t="s">
        <v>105</v>
      </c>
      <c r="DJ201" s="2" t="s">
        <v>105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1013</v>
      </c>
      <c r="DV201" s="2" t="s">
        <v>26</v>
      </c>
      <c r="DW201" s="2" t="s">
        <v>26</v>
      </c>
      <c r="DX201" s="2">
        <v>1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57042958</v>
      </c>
      <c r="EF201" s="2">
        <v>40</v>
      </c>
      <c r="EG201" s="2" t="s">
        <v>30</v>
      </c>
      <c r="EH201" s="2">
        <v>0</v>
      </c>
      <c r="EI201" s="2" t="s">
        <v>3</v>
      </c>
      <c r="EJ201" s="2">
        <v>2</v>
      </c>
      <c r="EK201" s="2">
        <v>68</v>
      </c>
      <c r="EL201" s="2" t="s">
        <v>38</v>
      </c>
      <c r="EM201" s="2" t="s">
        <v>39</v>
      </c>
      <c r="EN201" s="2"/>
      <c r="EO201" s="2" t="s">
        <v>109</v>
      </c>
      <c r="EP201" s="2"/>
      <c r="EQ201" s="2">
        <v>132096</v>
      </c>
      <c r="ER201" s="2">
        <v>22.52</v>
      </c>
      <c r="ES201" s="2">
        <v>1.26</v>
      </c>
      <c r="ET201" s="2">
        <v>0.06</v>
      </c>
      <c r="EU201" s="2">
        <v>0.01</v>
      </c>
      <c r="EV201" s="2">
        <v>21.2</v>
      </c>
      <c r="EW201" s="2">
        <v>1.68</v>
      </c>
      <c r="EX201" s="2">
        <v>0</v>
      </c>
      <c r="EY201" s="2">
        <v>0</v>
      </c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90</v>
      </c>
      <c r="FY201" s="2">
        <v>46</v>
      </c>
      <c r="FZ201" s="2"/>
      <c r="GA201" s="2" t="s">
        <v>3</v>
      </c>
      <c r="GB201" s="2"/>
      <c r="GC201" s="2"/>
      <c r="GD201" s="2">
        <v>1</v>
      </c>
      <c r="GE201" s="2"/>
      <c r="GF201" s="2">
        <v>-2112753472</v>
      </c>
      <c r="GG201" s="2">
        <v>2</v>
      </c>
      <c r="GH201" s="2">
        <v>1</v>
      </c>
      <c r="GI201" s="2">
        <v>2</v>
      </c>
      <c r="GJ201" s="2">
        <v>0</v>
      </c>
      <c r="GK201" s="2">
        <v>0</v>
      </c>
      <c r="GL201" s="2">
        <f t="shared" ref="GL201:GL238" si="161">ROUND(IF(AND(BH201=3,BI201=3,FS201&lt;&gt;0),P201,0),2)</f>
        <v>0</v>
      </c>
      <c r="GM201" s="2">
        <f t="shared" ref="GM201:GM238" si="162">ROUND(O201+X201+Y201,2)+GX201</f>
        <v>33647.440000000002</v>
      </c>
      <c r="GN201" s="2">
        <f t="shared" ref="GN201:GN238" si="163">IF(OR(BI201=0,BI201=1),GM201-GX201,0)</f>
        <v>0</v>
      </c>
      <c r="GO201" s="2">
        <f t="shared" ref="GO201:GO238" si="164">IF(BI201=2,GM201-GX201,0)</f>
        <v>33647.440000000002</v>
      </c>
      <c r="GP201" s="2">
        <f t="shared" ref="GP201:GP238" si="165">IF(BI201=4,GM201-GX201,0)</f>
        <v>0</v>
      </c>
      <c r="GQ201" s="2"/>
      <c r="GR201" s="2">
        <v>0</v>
      </c>
      <c r="GS201" s="2">
        <v>3</v>
      </c>
      <c r="GT201" s="2">
        <v>0</v>
      </c>
      <c r="GU201" s="2" t="s">
        <v>3</v>
      </c>
      <c r="GV201" s="2">
        <f t="shared" ref="GV201:GV238" si="166">ROUND((GT201),6)</f>
        <v>0</v>
      </c>
      <c r="GW201" s="2">
        <v>1</v>
      </c>
      <c r="GX201" s="2">
        <f t="shared" ref="GX201:GX238" si="167">ROUND(HC201*I201,2)</f>
        <v>0</v>
      </c>
      <c r="GY201" s="2"/>
      <c r="GZ201" s="2"/>
      <c r="HA201" s="2">
        <v>0</v>
      </c>
      <c r="HB201" s="2">
        <v>0</v>
      </c>
      <c r="HC201" s="2">
        <f t="shared" ref="HC201:HC238" si="168">GV201*GW201</f>
        <v>0</v>
      </c>
      <c r="HD201" s="2"/>
      <c r="HE201" s="2" t="s">
        <v>3</v>
      </c>
      <c r="HF201" s="2" t="s">
        <v>3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5">
      <c r="A202" s="3">
        <v>17</v>
      </c>
      <c r="B202" s="3">
        <v>1</v>
      </c>
      <c r="C202" s="3">
        <f>ROW(SmtRes!A154)</f>
        <v>154</v>
      </c>
      <c r="D202" s="3">
        <f>ROW(EtalonRes!A176)</f>
        <v>176</v>
      </c>
      <c r="E202" s="3" t="s">
        <v>3</v>
      </c>
      <c r="F202" s="3" t="s">
        <v>49</v>
      </c>
      <c r="G202" s="3" t="s">
        <v>218</v>
      </c>
      <c r="H202" s="3" t="s">
        <v>26</v>
      </c>
      <c r="I202" s="3">
        <f>ROUND(356+6+162,9)</f>
        <v>524</v>
      </c>
      <c r="J202" s="3">
        <v>0</v>
      </c>
      <c r="K202" s="3">
        <f>ROUND(356+6+162,9)</f>
        <v>524</v>
      </c>
      <c r="O202" s="3">
        <f t="shared" si="146"/>
        <v>793710.1</v>
      </c>
      <c r="P202" s="3">
        <f>ROUND((ROUND((AC202*AW202*I202),2)*BC202),2)</f>
        <v>6496.76</v>
      </c>
      <c r="Q202" s="3">
        <f>(ROUND((ROUND((((ET202*1.2))*AV202*I202),2)*BB202),2)+ROUND((ROUND(((AE202-((EU202*1.2)))*AV202*I202),2)*BS202),2))</f>
        <v>730.75</v>
      </c>
      <c r="R202" s="3">
        <f>(ROUND((ROUND((((EU202*1.2))*AV202*I202),2)*BS202),2)+ROUND((ROUND(((AE202-((EU202*1.2)))*AV202*I202),2)*BS202),2))</f>
        <v>370.78</v>
      </c>
      <c r="S202" s="3">
        <f t="shared" si="147"/>
        <v>786482.59</v>
      </c>
      <c r="T202" s="3">
        <f t="shared" si="148"/>
        <v>0</v>
      </c>
      <c r="U202" s="3">
        <f t="shared" si="149"/>
        <v>1106.0340479999998</v>
      </c>
      <c r="V202" s="3">
        <f t="shared" si="150"/>
        <v>0</v>
      </c>
      <c r="W202" s="3">
        <f t="shared" si="151"/>
        <v>0</v>
      </c>
      <c r="X202" s="3">
        <f>(ROUND((((S202+ROUND((ROUND((((EU202*1.2))*AV202*I202),2)*BS202),2))*AT202)/100),2)+ROUND(((ROUND((ROUND(((AE202-((EU202*1.2)))*AV202*I202),2)*BS202),2)*AT202)/100),2))</f>
        <v>708168.03</v>
      </c>
      <c r="Y202" s="3">
        <f>(ROUND((((S202+ROUND((ROUND((((EU202*1.2))*AV202*I202),2)*BS202),2))*AU202)/100),2)+ROUND(((ROUND((ROUND(((AE202-((EU202*1.2)))*AV202*I202),2)*BS202),2)*AU202)/100),2))</f>
        <v>361952.55</v>
      </c>
      <c r="AA202" s="3">
        <v>-1</v>
      </c>
      <c r="AB202" s="3">
        <f t="shared" si="152"/>
        <v>26.771999999999998</v>
      </c>
      <c r="AC202" s="3">
        <f>ROUND(((ES202*1)),6)</f>
        <v>1.26</v>
      </c>
      <c r="AD202" s="3">
        <f>ROUND(((((ET202*1.2))-((EU202*1.2)))+AE202),6)</f>
        <v>7.1999999999999995E-2</v>
      </c>
      <c r="AE202" s="3">
        <f>ROUND(((EU202*1.2)),6)</f>
        <v>1.2E-2</v>
      </c>
      <c r="AF202" s="3">
        <f>ROUND(((EV202*1.2)),6)</f>
        <v>25.44</v>
      </c>
      <c r="AG202" s="3">
        <f t="shared" si="153"/>
        <v>0</v>
      </c>
      <c r="AH202" s="3">
        <f>((EW202*1.2))</f>
        <v>2.016</v>
      </c>
      <c r="AI202" s="3">
        <f>((EX202*1.2))</f>
        <v>0</v>
      </c>
      <c r="AJ202" s="3">
        <f t="shared" si="154"/>
        <v>0</v>
      </c>
      <c r="AK202" s="3">
        <v>22.52</v>
      </c>
      <c r="AL202" s="3">
        <v>1.26</v>
      </c>
      <c r="AM202" s="3">
        <v>0.06</v>
      </c>
      <c r="AN202" s="3">
        <v>0.01</v>
      </c>
      <c r="AO202" s="3">
        <v>21.2</v>
      </c>
      <c r="AP202" s="3">
        <v>0</v>
      </c>
      <c r="AQ202" s="3">
        <v>1.68</v>
      </c>
      <c r="AR202" s="3">
        <v>0</v>
      </c>
      <c r="AS202" s="3">
        <v>0</v>
      </c>
      <c r="AT202" s="3">
        <v>90</v>
      </c>
      <c r="AU202" s="3">
        <v>46</v>
      </c>
      <c r="AV202" s="3">
        <v>1.0469999999999999</v>
      </c>
      <c r="AW202" s="3">
        <v>1</v>
      </c>
      <c r="AZ202" s="3">
        <v>1</v>
      </c>
      <c r="BA202" s="3">
        <v>56.35</v>
      </c>
      <c r="BB202" s="3">
        <v>18.5</v>
      </c>
      <c r="BC202" s="3">
        <v>9.84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0</v>
      </c>
      <c r="BI202" s="3">
        <v>2</v>
      </c>
      <c r="BJ202" s="3" t="s">
        <v>51</v>
      </c>
      <c r="BM202" s="3">
        <v>68</v>
      </c>
      <c r="BN202" s="3">
        <v>0</v>
      </c>
      <c r="BO202" s="3" t="s">
        <v>49</v>
      </c>
      <c r="BP202" s="3">
        <v>1</v>
      </c>
      <c r="BQ202" s="3">
        <v>40</v>
      </c>
      <c r="BR202" s="3">
        <v>0</v>
      </c>
      <c r="BS202" s="3">
        <v>56.35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90</v>
      </c>
      <c r="CA202" s="3">
        <v>46</v>
      </c>
      <c r="CB202" s="3" t="s">
        <v>3</v>
      </c>
      <c r="CE202" s="3">
        <v>1566</v>
      </c>
      <c r="CF202" s="3">
        <v>0</v>
      </c>
      <c r="CG202" s="3">
        <v>0</v>
      </c>
      <c r="CM202" s="3">
        <v>0</v>
      </c>
      <c r="CN202" s="3" t="s">
        <v>614</v>
      </c>
      <c r="CO202" s="3">
        <v>0</v>
      </c>
      <c r="CP202" s="3">
        <f t="shared" si="155"/>
        <v>793710.1</v>
      </c>
      <c r="CQ202" s="3">
        <f>ROUND((ROUND((AC202*AW202*1),2)*BC202),2)</f>
        <v>12.4</v>
      </c>
      <c r="CR202" s="3">
        <f>(ROUND((ROUND((((ET202*1.2))*AV202*1),2)*BB202),2)+ROUND((ROUND(((AE202-((EU202*1.2)))*AV202*1),2)*BS202),2))</f>
        <v>1.48</v>
      </c>
      <c r="CS202" s="3">
        <f>(ROUND((ROUND((((EU202*1.2))*AV202*1),2)*BS202),2)+ROUND((ROUND(((AE202-((EU202*1.2)))*AV202*1),2)*BS202),2))</f>
        <v>0.56000000000000005</v>
      </c>
      <c r="CT202" s="3">
        <f t="shared" si="156"/>
        <v>1501.16</v>
      </c>
      <c r="CU202" s="3">
        <f t="shared" si="157"/>
        <v>0</v>
      </c>
      <c r="CV202" s="3">
        <f t="shared" si="158"/>
        <v>2.1107519999999997</v>
      </c>
      <c r="CW202" s="3">
        <f t="shared" si="159"/>
        <v>0</v>
      </c>
      <c r="CX202" s="3">
        <f t="shared" si="160"/>
        <v>0</v>
      </c>
      <c r="CY202" s="3">
        <f>(ROUND((((S202+ROUND((ROUND((((EU202*1.2))*AV202*1),2)*BS202),2))*AT202)/100),2)+ROUND(((ROUND((ROUND(((AE202-((EU202*1.2)))*AV202*1),2)*BS202),2)*AT202)/100),2))</f>
        <v>707834.84</v>
      </c>
      <c r="CZ202" s="3">
        <f>(ROUND((((S202+ROUND((ROUND((((EU202*1.2))*AV202*1),2)*BS202),2))*AU202)/100),2)+ROUND(((ROUND((ROUND(((AE202-((EU202*1.2)))*AV202*1),2)*BS202),2)*AU202)/100),2))</f>
        <v>361782.25</v>
      </c>
      <c r="DB202" s="3">
        <v>94</v>
      </c>
      <c r="DC202" s="3" t="s">
        <v>3</v>
      </c>
      <c r="DD202" s="3" t="s">
        <v>104</v>
      </c>
      <c r="DE202" s="3" t="s">
        <v>105</v>
      </c>
      <c r="DF202" s="3" t="s">
        <v>105</v>
      </c>
      <c r="DG202" s="3" t="s">
        <v>105</v>
      </c>
      <c r="DH202" s="3" t="s">
        <v>3</v>
      </c>
      <c r="DI202" s="3" t="s">
        <v>105</v>
      </c>
      <c r="DJ202" s="3" t="s">
        <v>105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U202" s="3">
        <v>1013</v>
      </c>
      <c r="DV202" s="3" t="s">
        <v>26</v>
      </c>
      <c r="DW202" s="3" t="s">
        <v>26</v>
      </c>
      <c r="DX202" s="3">
        <v>1</v>
      </c>
      <c r="DZ202" s="3" t="s">
        <v>3</v>
      </c>
      <c r="EA202" s="3" t="s">
        <v>3</v>
      </c>
      <c r="EB202" s="3" t="s">
        <v>3</v>
      </c>
      <c r="EC202" s="3" t="s">
        <v>3</v>
      </c>
      <c r="EE202" s="3">
        <v>57042958</v>
      </c>
      <c r="EF202" s="3">
        <v>40</v>
      </c>
      <c r="EG202" s="3" t="s">
        <v>30</v>
      </c>
      <c r="EH202" s="3">
        <v>0</v>
      </c>
      <c r="EI202" s="3" t="s">
        <v>3</v>
      </c>
      <c r="EJ202" s="3">
        <v>2</v>
      </c>
      <c r="EK202" s="3">
        <v>68</v>
      </c>
      <c r="EL202" s="3" t="s">
        <v>38</v>
      </c>
      <c r="EM202" s="3" t="s">
        <v>39</v>
      </c>
      <c r="EO202" s="3" t="s">
        <v>109</v>
      </c>
      <c r="EQ202" s="3">
        <v>132096</v>
      </c>
      <c r="ER202" s="3">
        <v>22.52</v>
      </c>
      <c r="ES202" s="3">
        <v>1.26</v>
      </c>
      <c r="ET202" s="3">
        <v>0.06</v>
      </c>
      <c r="EU202" s="3">
        <v>0.01</v>
      </c>
      <c r="EV202" s="3">
        <v>21.2</v>
      </c>
      <c r="EW202" s="3">
        <v>1.68</v>
      </c>
      <c r="EX202" s="3">
        <v>0</v>
      </c>
      <c r="EY202" s="3">
        <v>0</v>
      </c>
      <c r="FQ202" s="3">
        <v>0</v>
      </c>
      <c r="FR202" s="3">
        <v>0</v>
      </c>
      <c r="FS202" s="3">
        <v>0</v>
      </c>
      <c r="FX202" s="3">
        <v>90</v>
      </c>
      <c r="FY202" s="3">
        <v>46</v>
      </c>
      <c r="GA202" s="3" t="s">
        <v>3</v>
      </c>
      <c r="GD202" s="3">
        <v>1</v>
      </c>
      <c r="GF202" s="3">
        <v>-2112753472</v>
      </c>
      <c r="GG202" s="3">
        <v>2</v>
      </c>
      <c r="GH202" s="3">
        <v>1</v>
      </c>
      <c r="GI202" s="3">
        <v>2</v>
      </c>
      <c r="GJ202" s="3">
        <v>0</v>
      </c>
      <c r="GK202" s="3">
        <v>0</v>
      </c>
      <c r="GL202" s="3">
        <f t="shared" si="161"/>
        <v>0</v>
      </c>
      <c r="GM202" s="3">
        <f t="shared" si="162"/>
        <v>1863830.68</v>
      </c>
      <c r="GN202" s="3">
        <f t="shared" si="163"/>
        <v>0</v>
      </c>
      <c r="GO202" s="3">
        <f t="shared" si="164"/>
        <v>1863830.68</v>
      </c>
      <c r="GP202" s="3">
        <f t="shared" si="165"/>
        <v>0</v>
      </c>
      <c r="GR202" s="3">
        <v>0</v>
      </c>
      <c r="GS202" s="3">
        <v>3</v>
      </c>
      <c r="GT202" s="3">
        <v>0</v>
      </c>
      <c r="GU202" s="3" t="s">
        <v>3</v>
      </c>
      <c r="GV202" s="3">
        <f t="shared" si="166"/>
        <v>0</v>
      </c>
      <c r="GW202" s="3">
        <v>1</v>
      </c>
      <c r="GX202" s="3">
        <f t="shared" si="167"/>
        <v>0</v>
      </c>
      <c r="HA202" s="3">
        <v>0</v>
      </c>
      <c r="HB202" s="3">
        <v>0</v>
      </c>
      <c r="HC202" s="3">
        <f t="shared" si="168"/>
        <v>0</v>
      </c>
      <c r="HE202" s="3" t="s">
        <v>3</v>
      </c>
      <c r="HF202" s="3" t="s">
        <v>3</v>
      </c>
      <c r="HM202" s="3" t="s">
        <v>3</v>
      </c>
      <c r="HN202" s="3" t="s">
        <v>3</v>
      </c>
      <c r="HO202" s="3" t="s">
        <v>3</v>
      </c>
      <c r="HP202" s="3" t="s">
        <v>3</v>
      </c>
      <c r="HQ202" s="3" t="s">
        <v>3</v>
      </c>
      <c r="HS202" s="3">
        <v>0</v>
      </c>
      <c r="IK202" s="3">
        <v>0</v>
      </c>
    </row>
    <row r="203" spans="1:255" x14ac:dyDescent="0.25">
      <c r="A203" s="2">
        <v>18</v>
      </c>
      <c r="B203" s="2">
        <v>1</v>
      </c>
      <c r="C203" s="2">
        <v>150</v>
      </c>
      <c r="D203" s="2"/>
      <c r="E203" s="2" t="s">
        <v>3</v>
      </c>
      <c r="F203" s="2" t="s">
        <v>219</v>
      </c>
      <c r="G203" s="2" t="s">
        <v>616</v>
      </c>
      <c r="H203" s="2" t="s">
        <v>177</v>
      </c>
      <c r="I203" s="2">
        <f>I201*J203</f>
        <v>518</v>
      </c>
      <c r="J203" s="2">
        <v>0.98854961832061072</v>
      </c>
      <c r="K203" s="2">
        <v>0.98854961799999996</v>
      </c>
      <c r="L203" s="2"/>
      <c r="M203" s="2"/>
      <c r="N203" s="2"/>
      <c r="O203" s="2">
        <f t="shared" si="146"/>
        <v>59445.68</v>
      </c>
      <c r="P203" s="2">
        <f>ROUND((ROUND((AC203*I203),2)*BC203),2)</f>
        <v>59445.68</v>
      </c>
      <c r="Q203" s="2">
        <f>(ROUND((ROUND(((ET203)*AV203*I203),2)*BB203),2)+ROUND((ROUND(((AE203-(EU203))*AV203*I203),2)*BS203),2))</f>
        <v>0</v>
      </c>
      <c r="R203" s="2">
        <f>(ROUND((ROUND(((EU203)*AV203*I203),2)*BS203),2)+ROUND((ROUND(((AE203-(EU203))*AV203*I203),2)*BS203),2))</f>
        <v>0</v>
      </c>
      <c r="S203" s="2">
        <f t="shared" si="147"/>
        <v>0</v>
      </c>
      <c r="T203" s="2">
        <f t="shared" si="148"/>
        <v>0</v>
      </c>
      <c r="U203" s="2">
        <f t="shared" si="149"/>
        <v>0</v>
      </c>
      <c r="V203" s="2">
        <f t="shared" si="150"/>
        <v>0</v>
      </c>
      <c r="W203" s="2">
        <f t="shared" si="151"/>
        <v>0</v>
      </c>
      <c r="X203" s="2">
        <f>(ROUND((((S203+ROUND((ROUND(((EU203)*AV203*I203),2)*BS203),2))*AT203)/100),2)+ROUND(((ROUND((ROUND(((AE203-(EU203))*AV203*I203),2)*BS203),2)*AT203)/100),2))</f>
        <v>0</v>
      </c>
      <c r="Y203" s="2">
        <f>(ROUND((((S203+ROUND((ROUND(((EU203)*AV203*I203),2)*BS203),2))*AU203)/100),2)+ROUND(((ROUND((ROUND(((AE203-(EU203))*AV203*I203),2)*BS203),2)*AU203)/100),2))</f>
        <v>0</v>
      </c>
      <c r="Z203" s="2"/>
      <c r="AA203" s="2">
        <v>-1</v>
      </c>
      <c r="AB203" s="2">
        <f t="shared" si="152"/>
        <v>114.76</v>
      </c>
      <c r="AC203" s="2">
        <f>ROUND((ES203),6)</f>
        <v>114.76</v>
      </c>
      <c r="AD203" s="2">
        <f>ROUND((((ET203)-(EU203))+AE203),6)</f>
        <v>0</v>
      </c>
      <c r="AE203" s="2">
        <f t="shared" ref="AE203:AF206" si="169">ROUND((EU203),6)</f>
        <v>0</v>
      </c>
      <c r="AF203" s="2">
        <f t="shared" si="169"/>
        <v>0</v>
      </c>
      <c r="AG203" s="2">
        <f t="shared" si="153"/>
        <v>0</v>
      </c>
      <c r="AH203" s="2">
        <f t="shared" ref="AH203:AI206" si="170">(EW203)</f>
        <v>0</v>
      </c>
      <c r="AI203" s="2">
        <f t="shared" si="170"/>
        <v>0</v>
      </c>
      <c r="AJ203" s="2">
        <f t="shared" si="154"/>
        <v>0</v>
      </c>
      <c r="AK203" s="2">
        <v>114.76</v>
      </c>
      <c r="AL203" s="2">
        <v>114.76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1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3</v>
      </c>
      <c r="BI203" s="2">
        <v>3</v>
      </c>
      <c r="BJ203" s="2" t="s">
        <v>220</v>
      </c>
      <c r="BK203" s="2"/>
      <c r="BL203" s="2"/>
      <c r="BM203" s="2">
        <v>746</v>
      </c>
      <c r="BN203" s="2">
        <v>0</v>
      </c>
      <c r="BO203" s="2" t="s">
        <v>3</v>
      </c>
      <c r="BP203" s="2">
        <v>0</v>
      </c>
      <c r="BQ203" s="2">
        <v>130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90</v>
      </c>
      <c r="CA203" s="2">
        <v>46</v>
      </c>
      <c r="CB203" s="2" t="s">
        <v>3</v>
      </c>
      <c r="CC203" s="2"/>
      <c r="CD203" s="2"/>
      <c r="CE203" s="2">
        <v>1566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615</v>
      </c>
      <c r="CO203" s="2">
        <v>0</v>
      </c>
      <c r="CP203" s="2">
        <f t="shared" si="155"/>
        <v>59445.68</v>
      </c>
      <c r="CQ203" s="2">
        <f>ROUND((ROUND((AC203*1),2)*BC203),2)</f>
        <v>114.76</v>
      </c>
      <c r="CR203" s="2">
        <f>(ROUND((ROUND(((ET203)*AV203*1),2)*BB203),2)+ROUND((ROUND(((AE203-(EU203))*AV203*1),2)*BS203),2))</f>
        <v>0</v>
      </c>
      <c r="CS203" s="2">
        <f>(ROUND((ROUND(((EU203)*AV203*1),2)*BS203),2)+ROUND((ROUND(((AE203-(EU203))*AV203*1),2)*BS203),2))</f>
        <v>0</v>
      </c>
      <c r="CT203" s="2">
        <f t="shared" si="156"/>
        <v>0</v>
      </c>
      <c r="CU203" s="2">
        <f t="shared" si="157"/>
        <v>0</v>
      </c>
      <c r="CV203" s="2">
        <f t="shared" si="158"/>
        <v>0</v>
      </c>
      <c r="CW203" s="2">
        <f t="shared" si="159"/>
        <v>0</v>
      </c>
      <c r="CX203" s="2">
        <f t="shared" si="160"/>
        <v>0</v>
      </c>
      <c r="CY203" s="2">
        <f>(ROUND((((S203+ROUND((ROUND(((EU203)*AV203*1),2)*BS203),2))*AT203)/100),2)+ROUND(((ROUND((ROUND(((AE203-(EU203))*AV203*1),2)*BS203),2)*AT203)/100),2))</f>
        <v>0</v>
      </c>
      <c r="CZ203" s="2">
        <f>(ROUND((((S203+ROUND((ROUND(((EU203)*AV203*1),2)*BS203),2))*AU203)/100),2)+ROUND(((ROUND((ROUND(((AE203-(EU203))*AV203*1),2)*BS203),2)*AU203)/100),2))</f>
        <v>0</v>
      </c>
      <c r="DA203" s="2"/>
      <c r="DB203" s="2"/>
      <c r="DC203" s="2" t="s">
        <v>3</v>
      </c>
      <c r="DD203" s="2" t="s">
        <v>3</v>
      </c>
      <c r="DE203" s="2" t="s">
        <v>3</v>
      </c>
      <c r="DF203" s="2" t="s">
        <v>3</v>
      </c>
      <c r="DG203" s="2" t="s">
        <v>3</v>
      </c>
      <c r="DH203" s="2" t="s">
        <v>3</v>
      </c>
      <c r="DI203" s="2" t="s">
        <v>3</v>
      </c>
      <c r="DJ203" s="2" t="s">
        <v>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1010</v>
      </c>
      <c r="DV203" s="2" t="s">
        <v>177</v>
      </c>
      <c r="DW203" s="2" t="s">
        <v>177</v>
      </c>
      <c r="DX203" s="2">
        <v>1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57043064</v>
      </c>
      <c r="EF203" s="2">
        <v>130</v>
      </c>
      <c r="EG203" s="2" t="s">
        <v>178</v>
      </c>
      <c r="EH203" s="2">
        <v>0</v>
      </c>
      <c r="EI203" s="2" t="s">
        <v>3</v>
      </c>
      <c r="EJ203" s="2">
        <v>3</v>
      </c>
      <c r="EK203" s="2">
        <v>746</v>
      </c>
      <c r="EL203" s="2" t="s">
        <v>179</v>
      </c>
      <c r="EM203" s="2" t="s">
        <v>180</v>
      </c>
      <c r="EN203" s="2"/>
      <c r="EO203" s="2" t="s">
        <v>109</v>
      </c>
      <c r="EP203" s="2"/>
      <c r="EQ203" s="2">
        <v>1024</v>
      </c>
      <c r="ER203" s="2">
        <v>114.76</v>
      </c>
      <c r="ES203" s="2">
        <v>114.76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f>P203</f>
        <v>59445.68</v>
      </c>
      <c r="FS203" s="2">
        <v>0</v>
      </c>
      <c r="FT203" s="2"/>
      <c r="FU203" s="2"/>
      <c r="FV203" s="2"/>
      <c r="FW203" s="2"/>
      <c r="FX203" s="2">
        <v>90</v>
      </c>
      <c r="FY203" s="2">
        <v>46</v>
      </c>
      <c r="FZ203" s="2"/>
      <c r="GA203" s="2" t="s">
        <v>3</v>
      </c>
      <c r="GB203" s="2"/>
      <c r="GC203" s="2"/>
      <c r="GD203" s="2">
        <v>1</v>
      </c>
      <c r="GE203" s="2"/>
      <c r="GF203" s="2">
        <v>771099119</v>
      </c>
      <c r="GG203" s="2">
        <v>2</v>
      </c>
      <c r="GH203" s="2">
        <v>1</v>
      </c>
      <c r="GI203" s="2">
        <v>-2</v>
      </c>
      <c r="GJ203" s="2">
        <v>0</v>
      </c>
      <c r="GK203" s="2">
        <v>0</v>
      </c>
      <c r="GL203" s="2">
        <f t="shared" si="161"/>
        <v>0</v>
      </c>
      <c r="GM203" s="2">
        <f t="shared" si="162"/>
        <v>59445.68</v>
      </c>
      <c r="GN203" s="2">
        <f t="shared" si="163"/>
        <v>0</v>
      </c>
      <c r="GO203" s="2">
        <f t="shared" si="164"/>
        <v>0</v>
      </c>
      <c r="GP203" s="2">
        <f t="shared" si="165"/>
        <v>0</v>
      </c>
      <c r="GQ203" s="2"/>
      <c r="GR203" s="2">
        <v>0</v>
      </c>
      <c r="GS203" s="2">
        <v>3</v>
      </c>
      <c r="GT203" s="2">
        <v>0</v>
      </c>
      <c r="GU203" s="2" t="s">
        <v>3</v>
      </c>
      <c r="GV203" s="2">
        <f t="shared" si="166"/>
        <v>0</v>
      </c>
      <c r="GW203" s="2">
        <v>1</v>
      </c>
      <c r="GX203" s="2">
        <f t="shared" si="167"/>
        <v>0</v>
      </c>
      <c r="GY203" s="2"/>
      <c r="GZ203" s="2"/>
      <c r="HA203" s="2">
        <v>0</v>
      </c>
      <c r="HB203" s="2">
        <v>0</v>
      </c>
      <c r="HC203" s="2">
        <f t="shared" si="168"/>
        <v>0</v>
      </c>
      <c r="HD203" s="2"/>
      <c r="HE203" s="2" t="s">
        <v>3</v>
      </c>
      <c r="HF203" s="2" t="s">
        <v>3</v>
      </c>
      <c r="HG203" s="2"/>
      <c r="HH203" s="2"/>
      <c r="HI203" s="2"/>
      <c r="HJ203" s="2"/>
      <c r="HK203" s="2"/>
      <c r="HL203" s="2"/>
      <c r="HM203" s="2" t="s">
        <v>104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5">
      <c r="A204" s="3">
        <v>18</v>
      </c>
      <c r="B204" s="3">
        <v>1</v>
      </c>
      <c r="C204" s="3">
        <v>153</v>
      </c>
      <c r="E204" s="3" t="s">
        <v>3</v>
      </c>
      <c r="F204" s="3" t="s">
        <v>219</v>
      </c>
      <c r="G204" s="3" t="s">
        <v>616</v>
      </c>
      <c r="H204" s="3" t="s">
        <v>177</v>
      </c>
      <c r="I204" s="3">
        <f>I202*J204</f>
        <v>518</v>
      </c>
      <c r="J204" s="3">
        <v>0.98854961832061072</v>
      </c>
      <c r="K204" s="3">
        <v>0.98854961799999996</v>
      </c>
      <c r="O204" s="3">
        <f t="shared" si="146"/>
        <v>599212.44999999995</v>
      </c>
      <c r="P204" s="3">
        <f>ROUND((ROUND((AC204*I204),2)*BC204),2)</f>
        <v>599212.44999999995</v>
      </c>
      <c r="Q204" s="3">
        <f>(ROUND((ROUND(((ET204)*AV204*I204),2)*BB204),2)+ROUND((ROUND(((AE204-(EU204))*AV204*I204),2)*BS204),2))</f>
        <v>0</v>
      </c>
      <c r="R204" s="3">
        <f>(ROUND((ROUND(((EU204)*AV204*I204),2)*BS204),2)+ROUND((ROUND(((AE204-(EU204))*AV204*I204),2)*BS204),2))</f>
        <v>0</v>
      </c>
      <c r="S204" s="3">
        <f t="shared" si="147"/>
        <v>0</v>
      </c>
      <c r="T204" s="3">
        <f t="shared" si="148"/>
        <v>0</v>
      </c>
      <c r="U204" s="3">
        <f t="shared" si="149"/>
        <v>0</v>
      </c>
      <c r="V204" s="3">
        <f t="shared" si="150"/>
        <v>0</v>
      </c>
      <c r="W204" s="3">
        <f t="shared" si="151"/>
        <v>0</v>
      </c>
      <c r="X204" s="3">
        <f>(ROUND((((S204+ROUND((ROUND(((EU204)*AV204*I204),2)*BS204),2))*AT204)/100),2)+ROUND(((ROUND((ROUND(((AE204-(EU204))*AV204*I204),2)*BS204),2)*AT204)/100),2))</f>
        <v>0</v>
      </c>
      <c r="Y204" s="3">
        <f>(ROUND((((S204+ROUND((ROUND(((EU204)*AV204*I204),2)*BS204),2))*AU204)/100),2)+ROUND(((ROUND((ROUND(((AE204-(EU204))*AV204*I204),2)*BS204),2)*AU204)/100),2))</f>
        <v>0</v>
      </c>
      <c r="AA204" s="3">
        <v>-1</v>
      </c>
      <c r="AB204" s="3">
        <f t="shared" si="152"/>
        <v>114.76</v>
      </c>
      <c r="AC204" s="3">
        <f>ROUND((ES204),6)</f>
        <v>114.76</v>
      </c>
      <c r="AD204" s="3">
        <f>ROUND((((ET204)-(EU204))+AE204),6)</f>
        <v>0</v>
      </c>
      <c r="AE204" s="3">
        <f t="shared" si="169"/>
        <v>0</v>
      </c>
      <c r="AF204" s="3">
        <f t="shared" si="169"/>
        <v>0</v>
      </c>
      <c r="AG204" s="3">
        <f t="shared" si="153"/>
        <v>0</v>
      </c>
      <c r="AH204" s="3">
        <f t="shared" si="170"/>
        <v>0</v>
      </c>
      <c r="AI204" s="3">
        <f t="shared" si="170"/>
        <v>0</v>
      </c>
      <c r="AJ204" s="3">
        <f t="shared" si="154"/>
        <v>0</v>
      </c>
      <c r="AK204" s="3">
        <v>114.76</v>
      </c>
      <c r="AL204" s="3">
        <v>114.76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1</v>
      </c>
      <c r="AW204" s="3">
        <v>1</v>
      </c>
      <c r="AZ204" s="3">
        <v>1</v>
      </c>
      <c r="BA204" s="3">
        <v>1</v>
      </c>
      <c r="BB204" s="3">
        <v>1</v>
      </c>
      <c r="BC204" s="3">
        <v>10.08</v>
      </c>
      <c r="BD204" s="3" t="s">
        <v>3</v>
      </c>
      <c r="BE204" s="3" t="s">
        <v>3</v>
      </c>
      <c r="BF204" s="3" t="s">
        <v>3</v>
      </c>
      <c r="BG204" s="3" t="s">
        <v>3</v>
      </c>
      <c r="BH204" s="3">
        <v>3</v>
      </c>
      <c r="BI204" s="3">
        <v>3</v>
      </c>
      <c r="BJ204" s="3" t="s">
        <v>220</v>
      </c>
      <c r="BM204" s="3">
        <v>746</v>
      </c>
      <c r="BN204" s="3">
        <v>0</v>
      </c>
      <c r="BO204" s="3" t="s">
        <v>3</v>
      </c>
      <c r="BP204" s="3">
        <v>0</v>
      </c>
      <c r="BQ204" s="3">
        <v>130</v>
      </c>
      <c r="BR204" s="3">
        <v>0</v>
      </c>
      <c r="BS204" s="3">
        <v>1</v>
      </c>
      <c r="BT204" s="3">
        <v>1</v>
      </c>
      <c r="BU204" s="3">
        <v>1</v>
      </c>
      <c r="BV204" s="3">
        <v>1</v>
      </c>
      <c r="BW204" s="3">
        <v>1</v>
      </c>
      <c r="BX204" s="3">
        <v>1</v>
      </c>
      <c r="BY204" s="3" t="s">
        <v>3</v>
      </c>
      <c r="BZ204" s="3">
        <v>90</v>
      </c>
      <c r="CA204" s="3">
        <v>46</v>
      </c>
      <c r="CB204" s="3" t="s">
        <v>3</v>
      </c>
      <c r="CE204" s="3">
        <v>1566</v>
      </c>
      <c r="CF204" s="3">
        <v>0</v>
      </c>
      <c r="CG204" s="3">
        <v>0</v>
      </c>
      <c r="CM204" s="3">
        <v>0</v>
      </c>
      <c r="CN204" s="3" t="s">
        <v>615</v>
      </c>
      <c r="CO204" s="3">
        <v>0</v>
      </c>
      <c r="CP204" s="3">
        <f t="shared" si="155"/>
        <v>599212.44999999995</v>
      </c>
      <c r="CQ204" s="3">
        <f>ROUND((ROUND((AC204*1),2)*BC204),2)</f>
        <v>1156.78</v>
      </c>
      <c r="CR204" s="3">
        <f>(ROUND((ROUND(((ET204)*AV204*1),2)*BB204),2)+ROUND((ROUND(((AE204-(EU204))*AV204*1),2)*BS204),2))</f>
        <v>0</v>
      </c>
      <c r="CS204" s="3">
        <f>(ROUND((ROUND(((EU204)*AV204*1),2)*BS204),2)+ROUND((ROUND(((AE204-(EU204))*AV204*1),2)*BS204),2))</f>
        <v>0</v>
      </c>
      <c r="CT204" s="3">
        <f t="shared" si="156"/>
        <v>0</v>
      </c>
      <c r="CU204" s="3">
        <f t="shared" si="157"/>
        <v>0</v>
      </c>
      <c r="CV204" s="3">
        <f t="shared" si="158"/>
        <v>0</v>
      </c>
      <c r="CW204" s="3">
        <f t="shared" si="159"/>
        <v>0</v>
      </c>
      <c r="CX204" s="3">
        <f t="shared" si="160"/>
        <v>0</v>
      </c>
      <c r="CY204" s="3">
        <f>(ROUND((((S204+ROUND((ROUND(((EU204)*AV204*1),2)*BS204),2))*AT204)/100),2)+ROUND(((ROUND((ROUND(((AE204-(EU204))*AV204*1),2)*BS204),2)*AT204)/100),2))</f>
        <v>0</v>
      </c>
      <c r="CZ204" s="3">
        <f>(ROUND((((S204+ROUND((ROUND(((EU204)*AV204*1),2)*BS204),2))*AU204)/100),2)+ROUND(((ROUND((ROUND(((AE204-(EU204))*AV204*1),2)*BS204),2)*AU204)/100),2))</f>
        <v>0</v>
      </c>
      <c r="DC204" s="3" t="s">
        <v>3</v>
      </c>
      <c r="DD204" s="3" t="s">
        <v>3</v>
      </c>
      <c r="DE204" s="3" t="s">
        <v>3</v>
      </c>
      <c r="DF204" s="3" t="s">
        <v>3</v>
      </c>
      <c r="DG204" s="3" t="s">
        <v>3</v>
      </c>
      <c r="DH204" s="3" t="s">
        <v>3</v>
      </c>
      <c r="DI204" s="3" t="s">
        <v>3</v>
      </c>
      <c r="DJ204" s="3" t="s">
        <v>3</v>
      </c>
      <c r="DK204" s="3" t="s">
        <v>3</v>
      </c>
      <c r="DL204" s="3" t="s">
        <v>3</v>
      </c>
      <c r="DM204" s="3" t="s">
        <v>3</v>
      </c>
      <c r="DN204" s="3">
        <v>0</v>
      </c>
      <c r="DO204" s="3">
        <v>0</v>
      </c>
      <c r="DP204" s="3">
        <v>1</v>
      </c>
      <c r="DQ204" s="3">
        <v>1</v>
      </c>
      <c r="DU204" s="3">
        <v>1010</v>
      </c>
      <c r="DV204" s="3" t="s">
        <v>177</v>
      </c>
      <c r="DW204" s="3" t="s">
        <v>177</v>
      </c>
      <c r="DX204" s="3">
        <v>1</v>
      </c>
      <c r="DZ204" s="3" t="s">
        <v>3</v>
      </c>
      <c r="EA204" s="3" t="s">
        <v>3</v>
      </c>
      <c r="EB204" s="3" t="s">
        <v>3</v>
      </c>
      <c r="EC204" s="3" t="s">
        <v>3</v>
      </c>
      <c r="EE204" s="3">
        <v>57043064</v>
      </c>
      <c r="EF204" s="3">
        <v>130</v>
      </c>
      <c r="EG204" s="3" t="s">
        <v>178</v>
      </c>
      <c r="EH204" s="3">
        <v>0</v>
      </c>
      <c r="EI204" s="3" t="s">
        <v>3</v>
      </c>
      <c r="EJ204" s="3">
        <v>3</v>
      </c>
      <c r="EK204" s="3">
        <v>746</v>
      </c>
      <c r="EL204" s="3" t="s">
        <v>179</v>
      </c>
      <c r="EM204" s="3" t="s">
        <v>180</v>
      </c>
      <c r="EO204" s="3" t="s">
        <v>109</v>
      </c>
      <c r="EQ204" s="3">
        <v>1024</v>
      </c>
      <c r="ER204" s="3">
        <v>114.76</v>
      </c>
      <c r="ES204" s="3">
        <v>114.76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FQ204" s="3">
        <v>0</v>
      </c>
      <c r="FR204" s="3">
        <f>P204</f>
        <v>599212.44999999995</v>
      </c>
      <c r="FS204" s="3">
        <v>0</v>
      </c>
      <c r="FX204" s="3">
        <v>90</v>
      </c>
      <c r="FY204" s="3">
        <v>46</v>
      </c>
      <c r="GA204" s="3" t="s">
        <v>3</v>
      </c>
      <c r="GD204" s="3">
        <v>1</v>
      </c>
      <c r="GF204" s="3">
        <v>771099119</v>
      </c>
      <c r="GG204" s="3">
        <v>2</v>
      </c>
      <c r="GH204" s="3">
        <v>1</v>
      </c>
      <c r="GI204" s="3">
        <v>2</v>
      </c>
      <c r="GJ204" s="3">
        <v>0</v>
      </c>
      <c r="GK204" s="3">
        <v>0</v>
      </c>
      <c r="GL204" s="3">
        <f t="shared" si="161"/>
        <v>0</v>
      </c>
      <c r="GM204" s="3">
        <f t="shared" si="162"/>
        <v>599212.44999999995</v>
      </c>
      <c r="GN204" s="3">
        <f t="shared" si="163"/>
        <v>0</v>
      </c>
      <c r="GO204" s="3">
        <f t="shared" si="164"/>
        <v>0</v>
      </c>
      <c r="GP204" s="3">
        <f t="shared" si="165"/>
        <v>0</v>
      </c>
      <c r="GR204" s="3">
        <v>0</v>
      </c>
      <c r="GS204" s="3">
        <v>3</v>
      </c>
      <c r="GT204" s="3">
        <v>0</v>
      </c>
      <c r="GU204" s="3" t="s">
        <v>3</v>
      </c>
      <c r="GV204" s="3">
        <f t="shared" si="166"/>
        <v>0</v>
      </c>
      <c r="GW204" s="3">
        <v>1</v>
      </c>
      <c r="GX204" s="3">
        <f t="shared" si="167"/>
        <v>0</v>
      </c>
      <c r="HA204" s="3">
        <v>0</v>
      </c>
      <c r="HB204" s="3">
        <v>0</v>
      </c>
      <c r="HC204" s="3">
        <f t="shared" si="168"/>
        <v>0</v>
      </c>
      <c r="HE204" s="3" t="s">
        <v>3</v>
      </c>
      <c r="HF204" s="3" t="s">
        <v>3</v>
      </c>
      <c r="HM204" s="3" t="s">
        <v>104</v>
      </c>
      <c r="HN204" s="3" t="s">
        <v>3</v>
      </c>
      <c r="HO204" s="3" t="s">
        <v>3</v>
      </c>
      <c r="HP204" s="3" t="s">
        <v>3</v>
      </c>
      <c r="HQ204" s="3" t="s">
        <v>3</v>
      </c>
      <c r="HS204" s="3">
        <v>0</v>
      </c>
      <c r="IK204" s="3">
        <v>0</v>
      </c>
    </row>
    <row r="205" spans="1:255" x14ac:dyDescent="0.25">
      <c r="A205" s="2">
        <v>18</v>
      </c>
      <c r="B205" s="2">
        <v>1</v>
      </c>
      <c r="C205" s="2">
        <v>151</v>
      </c>
      <c r="D205" s="2"/>
      <c r="E205" s="2" t="s">
        <v>3</v>
      </c>
      <c r="F205" s="2" t="s">
        <v>221</v>
      </c>
      <c r="G205" s="2" t="s">
        <v>617</v>
      </c>
      <c r="H205" s="2" t="s">
        <v>177</v>
      </c>
      <c r="I205" s="2">
        <f>I201*J205</f>
        <v>6</v>
      </c>
      <c r="J205" s="2">
        <v>1.1450381679389313E-2</v>
      </c>
      <c r="K205" s="2">
        <v>1.1450382E-2</v>
      </c>
      <c r="L205" s="2"/>
      <c r="M205" s="2"/>
      <c r="N205" s="2"/>
      <c r="O205" s="2">
        <f t="shared" si="146"/>
        <v>11758.86</v>
      </c>
      <c r="P205" s="2">
        <f>ROUND((ROUND((AC205*I205),2)*BC205),2)</f>
        <v>11758.86</v>
      </c>
      <c r="Q205" s="2">
        <f>(ROUND((ROUND(((ET205)*AV205*I205),2)*BB205),2)+ROUND((ROUND(((AE205-(EU205))*AV205*I205),2)*BS205),2))</f>
        <v>0</v>
      </c>
      <c r="R205" s="2">
        <f>(ROUND((ROUND(((EU205)*AV205*I205),2)*BS205),2)+ROUND((ROUND(((AE205-(EU205))*AV205*I205),2)*BS205),2))</f>
        <v>0</v>
      </c>
      <c r="S205" s="2">
        <f t="shared" si="147"/>
        <v>0</v>
      </c>
      <c r="T205" s="2">
        <f t="shared" si="148"/>
        <v>0</v>
      </c>
      <c r="U205" s="2">
        <f t="shared" si="149"/>
        <v>0</v>
      </c>
      <c r="V205" s="2">
        <f t="shared" si="150"/>
        <v>0</v>
      </c>
      <c r="W205" s="2">
        <f t="shared" si="151"/>
        <v>0</v>
      </c>
      <c r="X205" s="2">
        <f>(ROUND((((S205+ROUND((ROUND(((EU205)*AV205*I205),2)*BS205),2))*AT205)/100),2)+ROUND(((ROUND((ROUND(((AE205-(EU205))*AV205*I205),2)*BS205),2)*AT205)/100),2))</f>
        <v>0</v>
      </c>
      <c r="Y205" s="2">
        <f>(ROUND((((S205+ROUND((ROUND(((EU205)*AV205*I205),2)*BS205),2))*AU205)/100),2)+ROUND(((ROUND((ROUND(((AE205-(EU205))*AV205*I205),2)*BS205),2)*AU205)/100),2))</f>
        <v>0</v>
      </c>
      <c r="Z205" s="2"/>
      <c r="AA205" s="2">
        <v>-1</v>
      </c>
      <c r="AB205" s="2">
        <f t="shared" si="152"/>
        <v>1959.81</v>
      </c>
      <c r="AC205" s="2">
        <f>ROUND((ES205),6)</f>
        <v>1959.81</v>
      </c>
      <c r="AD205" s="2">
        <f>ROUND((((ET205)-(EU205))+AE205),6)</f>
        <v>0</v>
      </c>
      <c r="AE205" s="2">
        <f t="shared" si="169"/>
        <v>0</v>
      </c>
      <c r="AF205" s="2">
        <f t="shared" si="169"/>
        <v>0</v>
      </c>
      <c r="AG205" s="2">
        <f t="shared" si="153"/>
        <v>0</v>
      </c>
      <c r="AH205" s="2">
        <f t="shared" si="170"/>
        <v>0</v>
      </c>
      <c r="AI205" s="2">
        <f t="shared" si="170"/>
        <v>0</v>
      </c>
      <c r="AJ205" s="2">
        <f t="shared" si="154"/>
        <v>0</v>
      </c>
      <c r="AK205" s="2">
        <v>1959.81</v>
      </c>
      <c r="AL205" s="2">
        <v>1959.81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1</v>
      </c>
      <c r="AW205" s="2">
        <v>1</v>
      </c>
      <c r="AX205" s="2"/>
      <c r="AY205" s="2"/>
      <c r="AZ205" s="2">
        <v>1</v>
      </c>
      <c r="BA205" s="2">
        <v>1</v>
      </c>
      <c r="BB205" s="2">
        <v>1</v>
      </c>
      <c r="BC205" s="2">
        <v>1</v>
      </c>
      <c r="BD205" s="2" t="s">
        <v>3</v>
      </c>
      <c r="BE205" s="2" t="s">
        <v>3</v>
      </c>
      <c r="BF205" s="2" t="s">
        <v>3</v>
      </c>
      <c r="BG205" s="2" t="s">
        <v>3</v>
      </c>
      <c r="BH205" s="2">
        <v>3</v>
      </c>
      <c r="BI205" s="2">
        <v>3</v>
      </c>
      <c r="BJ205" s="2" t="s">
        <v>222</v>
      </c>
      <c r="BK205" s="2"/>
      <c r="BL205" s="2"/>
      <c r="BM205" s="2">
        <v>746</v>
      </c>
      <c r="BN205" s="2">
        <v>0</v>
      </c>
      <c r="BO205" s="2" t="s">
        <v>3</v>
      </c>
      <c r="BP205" s="2">
        <v>0</v>
      </c>
      <c r="BQ205" s="2">
        <v>130</v>
      </c>
      <c r="BR205" s="2">
        <v>0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 t="s">
        <v>3</v>
      </c>
      <c r="BZ205" s="2">
        <v>90</v>
      </c>
      <c r="CA205" s="2">
        <v>46</v>
      </c>
      <c r="CB205" s="2" t="s">
        <v>3</v>
      </c>
      <c r="CC205" s="2"/>
      <c r="CD205" s="2"/>
      <c r="CE205" s="2">
        <v>1566</v>
      </c>
      <c r="CF205" s="2">
        <v>0</v>
      </c>
      <c r="CG205" s="2">
        <v>0</v>
      </c>
      <c r="CH205" s="2"/>
      <c r="CI205" s="2"/>
      <c r="CJ205" s="2"/>
      <c r="CK205" s="2"/>
      <c r="CL205" s="2"/>
      <c r="CM205" s="2">
        <v>0</v>
      </c>
      <c r="CN205" s="2" t="s">
        <v>615</v>
      </c>
      <c r="CO205" s="2">
        <v>0</v>
      </c>
      <c r="CP205" s="2">
        <f t="shared" si="155"/>
        <v>11758.86</v>
      </c>
      <c r="CQ205" s="2">
        <f>ROUND((ROUND((AC205*1),2)*BC205),2)</f>
        <v>1959.81</v>
      </c>
      <c r="CR205" s="2">
        <f>(ROUND((ROUND(((ET205)*AV205*1),2)*BB205),2)+ROUND((ROUND(((AE205-(EU205))*AV205*1),2)*BS205),2))</f>
        <v>0</v>
      </c>
      <c r="CS205" s="2">
        <f>(ROUND((ROUND(((EU205)*AV205*1),2)*BS205),2)+ROUND((ROUND(((AE205-(EU205))*AV205*1),2)*BS205),2))</f>
        <v>0</v>
      </c>
      <c r="CT205" s="2">
        <f t="shared" si="156"/>
        <v>0</v>
      </c>
      <c r="CU205" s="2">
        <f t="shared" si="157"/>
        <v>0</v>
      </c>
      <c r="CV205" s="2">
        <f t="shared" si="158"/>
        <v>0</v>
      </c>
      <c r="CW205" s="2">
        <f t="shared" si="159"/>
        <v>0</v>
      </c>
      <c r="CX205" s="2">
        <f t="shared" si="160"/>
        <v>0</v>
      </c>
      <c r="CY205" s="2">
        <f>(ROUND((((S205+ROUND((ROUND(((EU205)*AV205*1),2)*BS205),2))*AT205)/100),2)+ROUND(((ROUND((ROUND(((AE205-(EU205))*AV205*1),2)*BS205),2)*AT205)/100),2))</f>
        <v>0</v>
      </c>
      <c r="CZ205" s="2">
        <f>(ROUND((((S205+ROUND((ROUND(((EU205)*AV205*1),2)*BS205),2))*AU205)/100),2)+ROUND(((ROUND((ROUND(((AE205-(EU205))*AV205*1),2)*BS205),2)*AU205)/100),2))</f>
        <v>0</v>
      </c>
      <c r="DA205" s="2"/>
      <c r="DB205" s="2"/>
      <c r="DC205" s="2" t="s">
        <v>3</v>
      </c>
      <c r="DD205" s="2" t="s">
        <v>3</v>
      </c>
      <c r="DE205" s="2" t="s">
        <v>3</v>
      </c>
      <c r="DF205" s="2" t="s">
        <v>3</v>
      </c>
      <c r="DG205" s="2" t="s">
        <v>3</v>
      </c>
      <c r="DH205" s="2" t="s">
        <v>3</v>
      </c>
      <c r="DI205" s="2" t="s">
        <v>3</v>
      </c>
      <c r="DJ205" s="2" t="s">
        <v>3</v>
      </c>
      <c r="DK205" s="2" t="s">
        <v>3</v>
      </c>
      <c r="DL205" s="2" t="s">
        <v>3</v>
      </c>
      <c r="DM205" s="2" t="s">
        <v>3</v>
      </c>
      <c r="DN205" s="2">
        <v>0</v>
      </c>
      <c r="DO205" s="2">
        <v>0</v>
      </c>
      <c r="DP205" s="2">
        <v>1</v>
      </c>
      <c r="DQ205" s="2">
        <v>1</v>
      </c>
      <c r="DR205" s="2"/>
      <c r="DS205" s="2"/>
      <c r="DT205" s="2"/>
      <c r="DU205" s="2">
        <v>1010</v>
      </c>
      <c r="DV205" s="2" t="s">
        <v>177</v>
      </c>
      <c r="DW205" s="2" t="s">
        <v>177</v>
      </c>
      <c r="DX205" s="2">
        <v>1</v>
      </c>
      <c r="DY205" s="2"/>
      <c r="DZ205" s="2" t="s">
        <v>3</v>
      </c>
      <c r="EA205" s="2" t="s">
        <v>3</v>
      </c>
      <c r="EB205" s="2" t="s">
        <v>3</v>
      </c>
      <c r="EC205" s="2" t="s">
        <v>3</v>
      </c>
      <c r="ED205" s="2"/>
      <c r="EE205" s="2">
        <v>57043064</v>
      </c>
      <c r="EF205" s="2">
        <v>130</v>
      </c>
      <c r="EG205" s="2" t="s">
        <v>178</v>
      </c>
      <c r="EH205" s="2">
        <v>0</v>
      </c>
      <c r="EI205" s="2" t="s">
        <v>3</v>
      </c>
      <c r="EJ205" s="2">
        <v>3</v>
      </c>
      <c r="EK205" s="2">
        <v>746</v>
      </c>
      <c r="EL205" s="2" t="s">
        <v>179</v>
      </c>
      <c r="EM205" s="2" t="s">
        <v>180</v>
      </c>
      <c r="EN205" s="2"/>
      <c r="EO205" s="2" t="s">
        <v>109</v>
      </c>
      <c r="EP205" s="2"/>
      <c r="EQ205" s="2">
        <v>1024</v>
      </c>
      <c r="ER205" s="2">
        <v>1959.81</v>
      </c>
      <c r="ES205" s="2">
        <v>1959.81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>
        <v>0</v>
      </c>
      <c r="FR205" s="2">
        <f>P205</f>
        <v>11758.86</v>
      </c>
      <c r="FS205" s="2">
        <v>0</v>
      </c>
      <c r="FT205" s="2"/>
      <c r="FU205" s="2"/>
      <c r="FV205" s="2"/>
      <c r="FW205" s="2"/>
      <c r="FX205" s="2">
        <v>90</v>
      </c>
      <c r="FY205" s="2">
        <v>46</v>
      </c>
      <c r="FZ205" s="2"/>
      <c r="GA205" s="2" t="s">
        <v>3</v>
      </c>
      <c r="GB205" s="2"/>
      <c r="GC205" s="2"/>
      <c r="GD205" s="2">
        <v>1</v>
      </c>
      <c r="GE205" s="2"/>
      <c r="GF205" s="2">
        <v>1014963930</v>
      </c>
      <c r="GG205" s="2">
        <v>2</v>
      </c>
      <c r="GH205" s="2">
        <v>1</v>
      </c>
      <c r="GI205" s="2">
        <v>-2</v>
      </c>
      <c r="GJ205" s="2">
        <v>0</v>
      </c>
      <c r="GK205" s="2">
        <v>0</v>
      </c>
      <c r="GL205" s="2">
        <f t="shared" si="161"/>
        <v>0</v>
      </c>
      <c r="GM205" s="2">
        <f t="shared" si="162"/>
        <v>11758.86</v>
      </c>
      <c r="GN205" s="2">
        <f t="shared" si="163"/>
        <v>0</v>
      </c>
      <c r="GO205" s="2">
        <f t="shared" si="164"/>
        <v>0</v>
      </c>
      <c r="GP205" s="2">
        <f t="shared" si="165"/>
        <v>0</v>
      </c>
      <c r="GQ205" s="2"/>
      <c r="GR205" s="2">
        <v>0</v>
      </c>
      <c r="GS205" s="2">
        <v>3</v>
      </c>
      <c r="GT205" s="2">
        <v>0</v>
      </c>
      <c r="GU205" s="2" t="s">
        <v>3</v>
      </c>
      <c r="GV205" s="2">
        <f t="shared" si="166"/>
        <v>0</v>
      </c>
      <c r="GW205" s="2">
        <v>1</v>
      </c>
      <c r="GX205" s="2">
        <f t="shared" si="167"/>
        <v>0</v>
      </c>
      <c r="GY205" s="2"/>
      <c r="GZ205" s="2"/>
      <c r="HA205" s="2">
        <v>0</v>
      </c>
      <c r="HB205" s="2">
        <v>0</v>
      </c>
      <c r="HC205" s="2">
        <f t="shared" si="168"/>
        <v>0</v>
      </c>
      <c r="HD205" s="2"/>
      <c r="HE205" s="2" t="s">
        <v>3</v>
      </c>
      <c r="HF205" s="2" t="s">
        <v>3</v>
      </c>
      <c r="HG205" s="2"/>
      <c r="HH205" s="2"/>
      <c r="HI205" s="2"/>
      <c r="HJ205" s="2"/>
      <c r="HK205" s="2"/>
      <c r="HL205" s="2"/>
      <c r="HM205" s="2" t="s">
        <v>104</v>
      </c>
      <c r="HN205" s="2" t="s">
        <v>3</v>
      </c>
      <c r="HO205" s="2" t="s">
        <v>3</v>
      </c>
      <c r="HP205" s="2" t="s">
        <v>3</v>
      </c>
      <c r="HQ205" s="2" t="s">
        <v>3</v>
      </c>
      <c r="HR205" s="2"/>
      <c r="HS205" s="2">
        <v>0</v>
      </c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>
        <v>0</v>
      </c>
      <c r="IL205" s="2"/>
      <c r="IM205" s="2"/>
      <c r="IN205" s="2"/>
      <c r="IO205" s="2"/>
      <c r="IP205" s="2"/>
      <c r="IQ205" s="2"/>
      <c r="IR205" s="2"/>
      <c r="IS205" s="2"/>
      <c r="IT205" s="2"/>
      <c r="IU205" s="2"/>
    </row>
    <row r="206" spans="1:255" x14ac:dyDescent="0.25">
      <c r="A206" s="3">
        <v>18</v>
      </c>
      <c r="B206" s="3">
        <v>1</v>
      </c>
      <c r="C206" s="3">
        <v>154</v>
      </c>
      <c r="E206" s="3" t="s">
        <v>3</v>
      </c>
      <c r="F206" s="3" t="s">
        <v>221</v>
      </c>
      <c r="G206" s="3" t="s">
        <v>617</v>
      </c>
      <c r="H206" s="3" t="s">
        <v>177</v>
      </c>
      <c r="I206" s="3">
        <f>I202*J206</f>
        <v>6</v>
      </c>
      <c r="J206" s="3">
        <v>1.1450381679389313E-2</v>
      </c>
      <c r="K206" s="3">
        <v>1.1450382E-2</v>
      </c>
      <c r="O206" s="3">
        <f t="shared" si="146"/>
        <v>118529.31</v>
      </c>
      <c r="P206" s="3">
        <f>ROUND((ROUND((AC206*I206),2)*BC206),2)</f>
        <v>118529.31</v>
      </c>
      <c r="Q206" s="3">
        <f>(ROUND((ROUND(((ET206)*AV206*I206),2)*BB206),2)+ROUND((ROUND(((AE206-(EU206))*AV206*I206),2)*BS206),2))</f>
        <v>0</v>
      </c>
      <c r="R206" s="3">
        <f>(ROUND((ROUND(((EU206)*AV206*I206),2)*BS206),2)+ROUND((ROUND(((AE206-(EU206))*AV206*I206),2)*BS206),2))</f>
        <v>0</v>
      </c>
      <c r="S206" s="3">
        <f t="shared" si="147"/>
        <v>0</v>
      </c>
      <c r="T206" s="3">
        <f t="shared" si="148"/>
        <v>0</v>
      </c>
      <c r="U206" s="3">
        <f t="shared" si="149"/>
        <v>0</v>
      </c>
      <c r="V206" s="3">
        <f t="shared" si="150"/>
        <v>0</v>
      </c>
      <c r="W206" s="3">
        <f t="shared" si="151"/>
        <v>0</v>
      </c>
      <c r="X206" s="3">
        <f>(ROUND((((S206+ROUND((ROUND(((EU206)*AV206*I206),2)*BS206),2))*AT206)/100),2)+ROUND(((ROUND((ROUND(((AE206-(EU206))*AV206*I206),2)*BS206),2)*AT206)/100),2))</f>
        <v>0</v>
      </c>
      <c r="Y206" s="3">
        <f>(ROUND((((S206+ROUND((ROUND(((EU206)*AV206*I206),2)*BS206),2))*AU206)/100),2)+ROUND(((ROUND((ROUND(((AE206-(EU206))*AV206*I206),2)*BS206),2)*AU206)/100),2))</f>
        <v>0</v>
      </c>
      <c r="AA206" s="3">
        <v>-1</v>
      </c>
      <c r="AB206" s="3">
        <f t="shared" si="152"/>
        <v>1959.81</v>
      </c>
      <c r="AC206" s="3">
        <f>ROUND((ES206),6)</f>
        <v>1959.81</v>
      </c>
      <c r="AD206" s="3">
        <f>ROUND((((ET206)-(EU206))+AE206),6)</f>
        <v>0</v>
      </c>
      <c r="AE206" s="3">
        <f t="shared" si="169"/>
        <v>0</v>
      </c>
      <c r="AF206" s="3">
        <f t="shared" si="169"/>
        <v>0</v>
      </c>
      <c r="AG206" s="3">
        <f t="shared" si="153"/>
        <v>0</v>
      </c>
      <c r="AH206" s="3">
        <f t="shared" si="170"/>
        <v>0</v>
      </c>
      <c r="AI206" s="3">
        <f t="shared" si="170"/>
        <v>0</v>
      </c>
      <c r="AJ206" s="3">
        <f t="shared" si="154"/>
        <v>0</v>
      </c>
      <c r="AK206" s="3">
        <v>1959.81</v>
      </c>
      <c r="AL206" s="3">
        <v>1959.81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1</v>
      </c>
      <c r="AW206" s="3">
        <v>1</v>
      </c>
      <c r="AZ206" s="3">
        <v>1</v>
      </c>
      <c r="BA206" s="3">
        <v>1</v>
      </c>
      <c r="BB206" s="3">
        <v>1</v>
      </c>
      <c r="BC206" s="3">
        <v>10.08</v>
      </c>
      <c r="BD206" s="3" t="s">
        <v>3</v>
      </c>
      <c r="BE206" s="3" t="s">
        <v>3</v>
      </c>
      <c r="BF206" s="3" t="s">
        <v>3</v>
      </c>
      <c r="BG206" s="3" t="s">
        <v>3</v>
      </c>
      <c r="BH206" s="3">
        <v>3</v>
      </c>
      <c r="BI206" s="3">
        <v>3</v>
      </c>
      <c r="BJ206" s="3" t="s">
        <v>222</v>
      </c>
      <c r="BM206" s="3">
        <v>746</v>
      </c>
      <c r="BN206" s="3">
        <v>0</v>
      </c>
      <c r="BO206" s="3" t="s">
        <v>3</v>
      </c>
      <c r="BP206" s="3">
        <v>0</v>
      </c>
      <c r="BQ206" s="3">
        <v>130</v>
      </c>
      <c r="BR206" s="3">
        <v>0</v>
      </c>
      <c r="BS206" s="3">
        <v>1</v>
      </c>
      <c r="BT206" s="3">
        <v>1</v>
      </c>
      <c r="BU206" s="3">
        <v>1</v>
      </c>
      <c r="BV206" s="3">
        <v>1</v>
      </c>
      <c r="BW206" s="3">
        <v>1</v>
      </c>
      <c r="BX206" s="3">
        <v>1</v>
      </c>
      <c r="BY206" s="3" t="s">
        <v>3</v>
      </c>
      <c r="BZ206" s="3">
        <v>90</v>
      </c>
      <c r="CA206" s="3">
        <v>46</v>
      </c>
      <c r="CB206" s="3" t="s">
        <v>3</v>
      </c>
      <c r="CE206" s="3">
        <v>1566</v>
      </c>
      <c r="CF206" s="3">
        <v>0</v>
      </c>
      <c r="CG206" s="3">
        <v>0</v>
      </c>
      <c r="CM206" s="3">
        <v>0</v>
      </c>
      <c r="CN206" s="3" t="s">
        <v>615</v>
      </c>
      <c r="CO206" s="3">
        <v>0</v>
      </c>
      <c r="CP206" s="3">
        <f t="shared" si="155"/>
        <v>118529.31</v>
      </c>
      <c r="CQ206" s="3">
        <f>ROUND((ROUND((AC206*1),2)*BC206),2)</f>
        <v>19754.88</v>
      </c>
      <c r="CR206" s="3">
        <f>(ROUND((ROUND(((ET206)*AV206*1),2)*BB206),2)+ROUND((ROUND(((AE206-(EU206))*AV206*1),2)*BS206),2))</f>
        <v>0</v>
      </c>
      <c r="CS206" s="3">
        <f>(ROUND((ROUND(((EU206)*AV206*1),2)*BS206),2)+ROUND((ROUND(((AE206-(EU206))*AV206*1),2)*BS206),2))</f>
        <v>0</v>
      </c>
      <c r="CT206" s="3">
        <f t="shared" si="156"/>
        <v>0</v>
      </c>
      <c r="CU206" s="3">
        <f t="shared" si="157"/>
        <v>0</v>
      </c>
      <c r="CV206" s="3">
        <f t="shared" si="158"/>
        <v>0</v>
      </c>
      <c r="CW206" s="3">
        <f t="shared" si="159"/>
        <v>0</v>
      </c>
      <c r="CX206" s="3">
        <f t="shared" si="160"/>
        <v>0</v>
      </c>
      <c r="CY206" s="3">
        <f>(ROUND((((S206+ROUND((ROUND(((EU206)*AV206*1),2)*BS206),2))*AT206)/100),2)+ROUND(((ROUND((ROUND(((AE206-(EU206))*AV206*1),2)*BS206),2)*AT206)/100),2))</f>
        <v>0</v>
      </c>
      <c r="CZ206" s="3">
        <f>(ROUND((((S206+ROUND((ROUND(((EU206)*AV206*1),2)*BS206),2))*AU206)/100),2)+ROUND(((ROUND((ROUND(((AE206-(EU206))*AV206*1),2)*BS206),2)*AU206)/100),2))</f>
        <v>0</v>
      </c>
      <c r="DC206" s="3" t="s">
        <v>3</v>
      </c>
      <c r="DD206" s="3" t="s">
        <v>3</v>
      </c>
      <c r="DE206" s="3" t="s">
        <v>3</v>
      </c>
      <c r="DF206" s="3" t="s">
        <v>3</v>
      </c>
      <c r="DG206" s="3" t="s">
        <v>3</v>
      </c>
      <c r="DH206" s="3" t="s">
        <v>3</v>
      </c>
      <c r="DI206" s="3" t="s">
        <v>3</v>
      </c>
      <c r="DJ206" s="3" t="s">
        <v>3</v>
      </c>
      <c r="DK206" s="3" t="s">
        <v>3</v>
      </c>
      <c r="DL206" s="3" t="s">
        <v>3</v>
      </c>
      <c r="DM206" s="3" t="s">
        <v>3</v>
      </c>
      <c r="DN206" s="3">
        <v>0</v>
      </c>
      <c r="DO206" s="3">
        <v>0</v>
      </c>
      <c r="DP206" s="3">
        <v>1</v>
      </c>
      <c r="DQ206" s="3">
        <v>1</v>
      </c>
      <c r="DU206" s="3">
        <v>1010</v>
      </c>
      <c r="DV206" s="3" t="s">
        <v>177</v>
      </c>
      <c r="DW206" s="3" t="s">
        <v>177</v>
      </c>
      <c r="DX206" s="3">
        <v>1</v>
      </c>
      <c r="DZ206" s="3" t="s">
        <v>3</v>
      </c>
      <c r="EA206" s="3" t="s">
        <v>3</v>
      </c>
      <c r="EB206" s="3" t="s">
        <v>3</v>
      </c>
      <c r="EC206" s="3" t="s">
        <v>3</v>
      </c>
      <c r="EE206" s="3">
        <v>57043064</v>
      </c>
      <c r="EF206" s="3">
        <v>130</v>
      </c>
      <c r="EG206" s="3" t="s">
        <v>178</v>
      </c>
      <c r="EH206" s="3">
        <v>0</v>
      </c>
      <c r="EI206" s="3" t="s">
        <v>3</v>
      </c>
      <c r="EJ206" s="3">
        <v>3</v>
      </c>
      <c r="EK206" s="3">
        <v>746</v>
      </c>
      <c r="EL206" s="3" t="s">
        <v>179</v>
      </c>
      <c r="EM206" s="3" t="s">
        <v>180</v>
      </c>
      <c r="EO206" s="3" t="s">
        <v>109</v>
      </c>
      <c r="EQ206" s="3">
        <v>1024</v>
      </c>
      <c r="ER206" s="3">
        <v>1959.81</v>
      </c>
      <c r="ES206" s="3">
        <v>1959.81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FQ206" s="3">
        <v>0</v>
      </c>
      <c r="FR206" s="3">
        <f>P206</f>
        <v>118529.31</v>
      </c>
      <c r="FS206" s="3">
        <v>0</v>
      </c>
      <c r="FX206" s="3">
        <v>90</v>
      </c>
      <c r="FY206" s="3">
        <v>46</v>
      </c>
      <c r="GA206" s="3" t="s">
        <v>3</v>
      </c>
      <c r="GD206" s="3">
        <v>1</v>
      </c>
      <c r="GF206" s="3">
        <v>1014963930</v>
      </c>
      <c r="GG206" s="3">
        <v>2</v>
      </c>
      <c r="GH206" s="3">
        <v>1</v>
      </c>
      <c r="GI206" s="3">
        <v>2</v>
      </c>
      <c r="GJ206" s="3">
        <v>0</v>
      </c>
      <c r="GK206" s="3">
        <v>0</v>
      </c>
      <c r="GL206" s="3">
        <f t="shared" si="161"/>
        <v>0</v>
      </c>
      <c r="GM206" s="3">
        <f t="shared" si="162"/>
        <v>118529.31</v>
      </c>
      <c r="GN206" s="3">
        <f t="shared" si="163"/>
        <v>0</v>
      </c>
      <c r="GO206" s="3">
        <f t="shared" si="164"/>
        <v>0</v>
      </c>
      <c r="GP206" s="3">
        <f t="shared" si="165"/>
        <v>0</v>
      </c>
      <c r="GR206" s="3">
        <v>0</v>
      </c>
      <c r="GS206" s="3">
        <v>3</v>
      </c>
      <c r="GT206" s="3">
        <v>0</v>
      </c>
      <c r="GU206" s="3" t="s">
        <v>3</v>
      </c>
      <c r="GV206" s="3">
        <f t="shared" si="166"/>
        <v>0</v>
      </c>
      <c r="GW206" s="3">
        <v>1</v>
      </c>
      <c r="GX206" s="3">
        <f t="shared" si="167"/>
        <v>0</v>
      </c>
      <c r="HA206" s="3">
        <v>0</v>
      </c>
      <c r="HB206" s="3">
        <v>0</v>
      </c>
      <c r="HC206" s="3">
        <f t="shared" si="168"/>
        <v>0</v>
      </c>
      <c r="HE206" s="3" t="s">
        <v>3</v>
      </c>
      <c r="HF206" s="3" t="s">
        <v>3</v>
      </c>
      <c r="HM206" s="3" t="s">
        <v>104</v>
      </c>
      <c r="HN206" s="3" t="s">
        <v>3</v>
      </c>
      <c r="HO206" s="3" t="s">
        <v>3</v>
      </c>
      <c r="HP206" s="3" t="s">
        <v>3</v>
      </c>
      <c r="HQ206" s="3" t="s">
        <v>3</v>
      </c>
      <c r="HS206" s="3">
        <v>0</v>
      </c>
      <c r="IK206" s="3">
        <v>0</v>
      </c>
    </row>
    <row r="207" spans="1:255" x14ac:dyDescent="0.25">
      <c r="A207" s="2">
        <v>17</v>
      </c>
      <c r="B207" s="2">
        <v>1</v>
      </c>
      <c r="C207" s="2">
        <f>ROW(SmtRes!A155)</f>
        <v>155</v>
      </c>
      <c r="D207" s="2">
        <f>ROW(EtalonRes!A177)</f>
        <v>177</v>
      </c>
      <c r="E207" s="2" t="s">
        <v>223</v>
      </c>
      <c r="F207" s="2" t="s">
        <v>49</v>
      </c>
      <c r="G207" s="2" t="s">
        <v>218</v>
      </c>
      <c r="H207" s="2" t="s">
        <v>26</v>
      </c>
      <c r="I207" s="2">
        <f>ROUND(356+6+162,9)</f>
        <v>524</v>
      </c>
      <c r="J207" s="2">
        <v>0</v>
      </c>
      <c r="K207" s="2">
        <f>ROUND(356+6+162,9)</f>
        <v>524</v>
      </c>
      <c r="L207" s="2"/>
      <c r="M207" s="2"/>
      <c r="N207" s="2"/>
      <c r="O207" s="2">
        <f t="shared" si="146"/>
        <v>14656.84</v>
      </c>
      <c r="P207" s="2">
        <f t="shared" ref="P207:P214" si="171">ROUND((ROUND((AC207*AW207*I207),2)*BC207),2)</f>
        <v>660.24</v>
      </c>
      <c r="Q207" s="2">
        <f>(ROUND((ROUND((((ET207*1.2))*AV207*I207),2)*BB207),2)+ROUND((ROUND(((AE207-((EU207*1.2)))*AV207*I207),2)*BS207),2))</f>
        <v>39.5</v>
      </c>
      <c r="R207" s="2">
        <f>(ROUND((ROUND((((EU207*1.2))*AV207*I207),2)*BS207),2)+ROUND((ROUND(((AE207-((EU207*1.2)))*AV207*I207),2)*BS207),2))</f>
        <v>6.58</v>
      </c>
      <c r="S207" s="2">
        <f t="shared" si="147"/>
        <v>13957.1</v>
      </c>
      <c r="T207" s="2">
        <f t="shared" si="148"/>
        <v>0</v>
      </c>
      <c r="U207" s="2">
        <f t="shared" si="149"/>
        <v>1106.0340479999998</v>
      </c>
      <c r="V207" s="2">
        <f t="shared" si="150"/>
        <v>0</v>
      </c>
      <c r="W207" s="2">
        <f t="shared" si="151"/>
        <v>0</v>
      </c>
      <c r="X207" s="2">
        <f>(ROUND((((S207+ROUND((ROUND((((EU207*1.2))*AV207*I207),2)*BS207),2))*AT207)/100),2)+ROUND(((ROUND((ROUND(((AE207-((EU207*1.2)))*AV207*I207),2)*BS207),2)*AT207)/100),2))</f>
        <v>12567.31</v>
      </c>
      <c r="Y207" s="2">
        <f>(ROUND((((S207+ROUND((ROUND((((EU207*1.2))*AV207*I207),2)*BS207),2))*AU207)/100),2)+ROUND(((ROUND((ROUND(((AE207-((EU207*1.2)))*AV207*I207),2)*BS207),2)*AU207)/100),2))</f>
        <v>6423.29</v>
      </c>
      <c r="Z207" s="2"/>
      <c r="AA207" s="2">
        <v>57034452</v>
      </c>
      <c r="AB207" s="2">
        <f t="shared" si="152"/>
        <v>26.771999999999998</v>
      </c>
      <c r="AC207" s="2">
        <f>ROUND(((ES207*1)),6)</f>
        <v>1.26</v>
      </c>
      <c r="AD207" s="2">
        <f>ROUND(((((ET207*1.2))-((EU207*1.2)))+AE207),6)</f>
        <v>7.1999999999999995E-2</v>
      </c>
      <c r="AE207" s="2">
        <f>ROUND(((EU207*1.2)),6)</f>
        <v>1.2E-2</v>
      </c>
      <c r="AF207" s="2">
        <f>ROUND(((EV207*1.2)),6)</f>
        <v>25.44</v>
      </c>
      <c r="AG207" s="2">
        <f t="shared" si="153"/>
        <v>0</v>
      </c>
      <c r="AH207" s="2">
        <f>((EW207*1.2))</f>
        <v>2.016</v>
      </c>
      <c r="AI207" s="2">
        <f>((EX207*1.2))</f>
        <v>0</v>
      </c>
      <c r="AJ207" s="2">
        <f t="shared" si="154"/>
        <v>0</v>
      </c>
      <c r="AK207" s="2">
        <v>22.52</v>
      </c>
      <c r="AL207" s="2">
        <v>1.26</v>
      </c>
      <c r="AM207" s="2">
        <v>0.06</v>
      </c>
      <c r="AN207" s="2">
        <v>0.01</v>
      </c>
      <c r="AO207" s="2">
        <v>21.2</v>
      </c>
      <c r="AP207" s="2">
        <v>0</v>
      </c>
      <c r="AQ207" s="2">
        <v>1.68</v>
      </c>
      <c r="AR207" s="2">
        <v>0</v>
      </c>
      <c r="AS207" s="2">
        <v>0</v>
      </c>
      <c r="AT207" s="2">
        <v>90</v>
      </c>
      <c r="AU207" s="2">
        <v>46</v>
      </c>
      <c r="AV207" s="2">
        <v>1.0469999999999999</v>
      </c>
      <c r="AW207" s="2">
        <v>1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0</v>
      </c>
      <c r="BI207" s="2">
        <v>2</v>
      </c>
      <c r="BJ207" s="2" t="s">
        <v>51</v>
      </c>
      <c r="BK207" s="2"/>
      <c r="BL207" s="2"/>
      <c r="BM207" s="2">
        <v>68</v>
      </c>
      <c r="BN207" s="2">
        <v>0</v>
      </c>
      <c r="BO207" s="2" t="s">
        <v>49</v>
      </c>
      <c r="BP207" s="2">
        <v>1</v>
      </c>
      <c r="BQ207" s="2">
        <v>40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90</v>
      </c>
      <c r="CA207" s="2">
        <v>46</v>
      </c>
      <c r="CB207" s="2" t="s">
        <v>3</v>
      </c>
      <c r="CC207" s="2"/>
      <c r="CD207" s="2"/>
      <c r="CE207" s="2">
        <v>1566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614</v>
      </c>
      <c r="CO207" s="2">
        <v>0</v>
      </c>
      <c r="CP207" s="2">
        <f t="shared" si="155"/>
        <v>14656.84</v>
      </c>
      <c r="CQ207" s="2">
        <f t="shared" ref="CQ207:CQ214" si="172">ROUND((ROUND((AC207*AW207*1),2)*BC207),2)</f>
        <v>1.26</v>
      </c>
      <c r="CR207" s="2">
        <f>(ROUND((ROUND((((ET207*1.2))*AV207*1),2)*BB207),2)+ROUND((ROUND(((AE207-((EU207*1.2)))*AV207*1),2)*BS207),2))</f>
        <v>0.08</v>
      </c>
      <c r="CS207" s="2">
        <f>(ROUND((ROUND((((EU207*1.2))*AV207*1),2)*BS207),2)+ROUND((ROUND(((AE207-((EU207*1.2)))*AV207*1),2)*BS207),2))</f>
        <v>0.01</v>
      </c>
      <c r="CT207" s="2">
        <f t="shared" si="156"/>
        <v>26.64</v>
      </c>
      <c r="CU207" s="2">
        <f t="shared" si="157"/>
        <v>0</v>
      </c>
      <c r="CV207" s="2">
        <f t="shared" si="158"/>
        <v>2.1107519999999997</v>
      </c>
      <c r="CW207" s="2">
        <f t="shared" si="159"/>
        <v>0</v>
      </c>
      <c r="CX207" s="2">
        <f t="shared" si="160"/>
        <v>0</v>
      </c>
      <c r="CY207" s="2">
        <f>(ROUND((((S207+ROUND((ROUND((((EU207*1.2))*AV207*1),2)*BS207),2))*AT207)/100),2)+ROUND(((ROUND((ROUND(((AE207-((EU207*1.2)))*AV207*1),2)*BS207),2)*AT207)/100),2))</f>
        <v>12561.4</v>
      </c>
      <c r="CZ207" s="2">
        <f>(ROUND((((S207+ROUND((ROUND((((EU207*1.2))*AV207*1),2)*BS207),2))*AU207)/100),2)+ROUND(((ROUND((ROUND(((AE207-((EU207*1.2)))*AV207*1),2)*BS207),2)*AU207)/100),2))</f>
        <v>6420.27</v>
      </c>
      <c r="DA207" s="2"/>
      <c r="DB207" s="2">
        <v>95</v>
      </c>
      <c r="DC207" s="2" t="s">
        <v>3</v>
      </c>
      <c r="DD207" s="2" t="s">
        <v>104</v>
      </c>
      <c r="DE207" s="2" t="s">
        <v>105</v>
      </c>
      <c r="DF207" s="2" t="s">
        <v>105</v>
      </c>
      <c r="DG207" s="2" t="s">
        <v>105</v>
      </c>
      <c r="DH207" s="2" t="s">
        <v>3</v>
      </c>
      <c r="DI207" s="2" t="s">
        <v>105</v>
      </c>
      <c r="DJ207" s="2" t="s">
        <v>105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1013</v>
      </c>
      <c r="DV207" s="2" t="s">
        <v>26</v>
      </c>
      <c r="DW207" s="2" t="s">
        <v>26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57042958</v>
      </c>
      <c r="EF207" s="2">
        <v>40</v>
      </c>
      <c r="EG207" s="2" t="s">
        <v>30</v>
      </c>
      <c r="EH207" s="2">
        <v>0</v>
      </c>
      <c r="EI207" s="2" t="s">
        <v>3</v>
      </c>
      <c r="EJ207" s="2">
        <v>2</v>
      </c>
      <c r="EK207" s="2">
        <v>68</v>
      </c>
      <c r="EL207" s="2" t="s">
        <v>38</v>
      </c>
      <c r="EM207" s="2" t="s">
        <v>39</v>
      </c>
      <c r="EN207" s="2"/>
      <c r="EO207" s="2" t="s">
        <v>109</v>
      </c>
      <c r="EP207" s="2"/>
      <c r="EQ207" s="2">
        <v>0</v>
      </c>
      <c r="ER207" s="2">
        <v>22.52</v>
      </c>
      <c r="ES207" s="2">
        <v>1.26</v>
      </c>
      <c r="ET207" s="2">
        <v>0.06</v>
      </c>
      <c r="EU207" s="2">
        <v>0.01</v>
      </c>
      <c r="EV207" s="2">
        <v>21.2</v>
      </c>
      <c r="EW207" s="2">
        <v>1.68</v>
      </c>
      <c r="EX207" s="2">
        <v>0</v>
      </c>
      <c r="EY207" s="2">
        <v>0</v>
      </c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v>0</v>
      </c>
      <c r="FS207" s="2">
        <v>0</v>
      </c>
      <c r="FT207" s="2"/>
      <c r="FU207" s="2"/>
      <c r="FV207" s="2"/>
      <c r="FW207" s="2"/>
      <c r="FX207" s="2">
        <v>90</v>
      </c>
      <c r="FY207" s="2">
        <v>46</v>
      </c>
      <c r="FZ207" s="2"/>
      <c r="GA207" s="2" t="s">
        <v>3</v>
      </c>
      <c r="GB207" s="2"/>
      <c r="GC207" s="2"/>
      <c r="GD207" s="2">
        <v>1</v>
      </c>
      <c r="GE207" s="2"/>
      <c r="GF207" s="2">
        <v>-2112753472</v>
      </c>
      <c r="GG207" s="2">
        <v>2</v>
      </c>
      <c r="GH207" s="2">
        <v>1</v>
      </c>
      <c r="GI207" s="2">
        <v>2</v>
      </c>
      <c r="GJ207" s="2">
        <v>0</v>
      </c>
      <c r="GK207" s="2">
        <v>0</v>
      </c>
      <c r="GL207" s="2">
        <f t="shared" si="161"/>
        <v>0</v>
      </c>
      <c r="GM207" s="2">
        <f t="shared" si="162"/>
        <v>33647.440000000002</v>
      </c>
      <c r="GN207" s="2">
        <f t="shared" si="163"/>
        <v>0</v>
      </c>
      <c r="GO207" s="2">
        <f t="shared" si="164"/>
        <v>33647.440000000002</v>
      </c>
      <c r="GP207" s="2">
        <f t="shared" si="165"/>
        <v>0</v>
      </c>
      <c r="GQ207" s="2"/>
      <c r="GR207" s="2">
        <v>0</v>
      </c>
      <c r="GS207" s="2">
        <v>3</v>
      </c>
      <c r="GT207" s="2">
        <v>0</v>
      </c>
      <c r="GU207" s="2" t="s">
        <v>3</v>
      </c>
      <c r="GV207" s="2">
        <f t="shared" si="166"/>
        <v>0</v>
      </c>
      <c r="GW207" s="2">
        <v>1</v>
      </c>
      <c r="GX207" s="2">
        <f t="shared" si="167"/>
        <v>0</v>
      </c>
      <c r="GY207" s="2"/>
      <c r="GZ207" s="2"/>
      <c r="HA207" s="2">
        <v>0</v>
      </c>
      <c r="HB207" s="2">
        <v>0</v>
      </c>
      <c r="HC207" s="2">
        <f t="shared" si="168"/>
        <v>0</v>
      </c>
      <c r="HD207" s="2"/>
      <c r="HE207" s="2" t="s">
        <v>3</v>
      </c>
      <c r="HF207" s="2" t="s">
        <v>3</v>
      </c>
      <c r="HG207" s="2"/>
      <c r="HH207" s="2"/>
      <c r="HI207" s="2"/>
      <c r="HJ207" s="2"/>
      <c r="HK207" s="2"/>
      <c r="HL207" s="2"/>
      <c r="HM207" s="2" t="s">
        <v>3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25">
      <c r="A208" s="3">
        <v>17</v>
      </c>
      <c r="B208" s="3">
        <v>1</v>
      </c>
      <c r="C208" s="3">
        <f>ROW(SmtRes!A156)</f>
        <v>156</v>
      </c>
      <c r="D208" s="3">
        <f>ROW(EtalonRes!A178)</f>
        <v>178</v>
      </c>
      <c r="E208" s="3" t="s">
        <v>223</v>
      </c>
      <c r="F208" s="3" t="s">
        <v>49</v>
      </c>
      <c r="G208" s="3" t="s">
        <v>218</v>
      </c>
      <c r="H208" s="3" t="s">
        <v>26</v>
      </c>
      <c r="I208" s="3">
        <f>ROUND(356+6+162,9)</f>
        <v>524</v>
      </c>
      <c r="J208" s="3">
        <v>0</v>
      </c>
      <c r="K208" s="3">
        <f>ROUND(356+6+162,9)</f>
        <v>524</v>
      </c>
      <c r="O208" s="3">
        <f t="shared" si="146"/>
        <v>793710.1</v>
      </c>
      <c r="P208" s="3">
        <f t="shared" si="171"/>
        <v>6496.76</v>
      </c>
      <c r="Q208" s="3">
        <f>(ROUND((ROUND((((ET208*1.2))*AV208*I208),2)*BB208),2)+ROUND((ROUND(((AE208-((EU208*1.2)))*AV208*I208),2)*BS208),2))</f>
        <v>730.75</v>
      </c>
      <c r="R208" s="3">
        <f>(ROUND((ROUND((((EU208*1.2))*AV208*I208),2)*BS208),2)+ROUND((ROUND(((AE208-((EU208*1.2)))*AV208*I208),2)*BS208),2))</f>
        <v>370.78</v>
      </c>
      <c r="S208" s="3">
        <f t="shared" si="147"/>
        <v>786482.59</v>
      </c>
      <c r="T208" s="3">
        <f t="shared" si="148"/>
        <v>0</v>
      </c>
      <c r="U208" s="3">
        <f t="shared" si="149"/>
        <v>1106.0340479999998</v>
      </c>
      <c r="V208" s="3">
        <f t="shared" si="150"/>
        <v>0</v>
      </c>
      <c r="W208" s="3">
        <f t="shared" si="151"/>
        <v>0</v>
      </c>
      <c r="X208" s="3">
        <f>(ROUND((((S208+ROUND((ROUND((((EU208*1.2))*AV208*I208),2)*BS208),2))*AT208)/100),2)+ROUND(((ROUND((ROUND(((AE208-((EU208*1.2)))*AV208*I208),2)*BS208),2)*AT208)/100),2))</f>
        <v>708168.03</v>
      </c>
      <c r="Y208" s="3">
        <f>(ROUND((((S208+ROUND((ROUND((((EU208*1.2))*AV208*I208),2)*BS208),2))*AU208)/100),2)+ROUND(((ROUND((ROUND(((AE208-((EU208*1.2)))*AV208*I208),2)*BS208),2)*AU208)/100),2))</f>
        <v>361952.55</v>
      </c>
      <c r="AA208" s="3">
        <v>57034454</v>
      </c>
      <c r="AB208" s="3">
        <f t="shared" si="152"/>
        <v>26.771999999999998</v>
      </c>
      <c r="AC208" s="3">
        <f>ROUND(((ES208*1)),6)</f>
        <v>1.26</v>
      </c>
      <c r="AD208" s="3">
        <f>ROUND(((((ET208*1.2))-((EU208*1.2)))+AE208),6)</f>
        <v>7.1999999999999995E-2</v>
      </c>
      <c r="AE208" s="3">
        <f>ROUND(((EU208*1.2)),6)</f>
        <v>1.2E-2</v>
      </c>
      <c r="AF208" s="3">
        <f>ROUND(((EV208*1.2)),6)</f>
        <v>25.44</v>
      </c>
      <c r="AG208" s="3">
        <f t="shared" si="153"/>
        <v>0</v>
      </c>
      <c r="AH208" s="3">
        <f>((EW208*1.2))</f>
        <v>2.016</v>
      </c>
      <c r="AI208" s="3">
        <f>((EX208*1.2))</f>
        <v>0</v>
      </c>
      <c r="AJ208" s="3">
        <f t="shared" si="154"/>
        <v>0</v>
      </c>
      <c r="AK208" s="3">
        <v>22.52</v>
      </c>
      <c r="AL208" s="3">
        <v>1.26</v>
      </c>
      <c r="AM208" s="3">
        <v>0.06</v>
      </c>
      <c r="AN208" s="3">
        <v>0.01</v>
      </c>
      <c r="AO208" s="3">
        <v>21.2</v>
      </c>
      <c r="AP208" s="3">
        <v>0</v>
      </c>
      <c r="AQ208" s="3">
        <v>1.68</v>
      </c>
      <c r="AR208" s="3">
        <v>0</v>
      </c>
      <c r="AS208" s="3">
        <v>0</v>
      </c>
      <c r="AT208" s="3">
        <v>90</v>
      </c>
      <c r="AU208" s="3">
        <v>46</v>
      </c>
      <c r="AV208" s="3">
        <v>1.0469999999999999</v>
      </c>
      <c r="AW208" s="3">
        <v>1</v>
      </c>
      <c r="AZ208" s="3">
        <v>1</v>
      </c>
      <c r="BA208" s="3">
        <v>56.35</v>
      </c>
      <c r="BB208" s="3">
        <v>18.5</v>
      </c>
      <c r="BC208" s="3">
        <v>9.84</v>
      </c>
      <c r="BD208" s="3" t="s">
        <v>3</v>
      </c>
      <c r="BE208" s="3" t="s">
        <v>3</v>
      </c>
      <c r="BF208" s="3" t="s">
        <v>3</v>
      </c>
      <c r="BG208" s="3" t="s">
        <v>3</v>
      </c>
      <c r="BH208" s="3">
        <v>0</v>
      </c>
      <c r="BI208" s="3">
        <v>2</v>
      </c>
      <c r="BJ208" s="3" t="s">
        <v>51</v>
      </c>
      <c r="BM208" s="3">
        <v>68</v>
      </c>
      <c r="BN208" s="3">
        <v>0</v>
      </c>
      <c r="BO208" s="3" t="s">
        <v>49</v>
      </c>
      <c r="BP208" s="3">
        <v>1</v>
      </c>
      <c r="BQ208" s="3">
        <v>40</v>
      </c>
      <c r="BR208" s="3">
        <v>0</v>
      </c>
      <c r="BS208" s="3">
        <v>56.35</v>
      </c>
      <c r="BT208" s="3">
        <v>1</v>
      </c>
      <c r="BU208" s="3">
        <v>1</v>
      </c>
      <c r="BV208" s="3">
        <v>1</v>
      </c>
      <c r="BW208" s="3">
        <v>1</v>
      </c>
      <c r="BX208" s="3">
        <v>1</v>
      </c>
      <c r="BY208" s="3" t="s">
        <v>3</v>
      </c>
      <c r="BZ208" s="3">
        <v>90</v>
      </c>
      <c r="CA208" s="3">
        <v>46</v>
      </c>
      <c r="CB208" s="3" t="s">
        <v>3</v>
      </c>
      <c r="CE208" s="3">
        <v>1566</v>
      </c>
      <c r="CF208" s="3">
        <v>0</v>
      </c>
      <c r="CG208" s="3">
        <v>0</v>
      </c>
      <c r="CM208" s="3">
        <v>0</v>
      </c>
      <c r="CN208" s="3" t="s">
        <v>614</v>
      </c>
      <c r="CO208" s="3">
        <v>0</v>
      </c>
      <c r="CP208" s="3">
        <f t="shared" si="155"/>
        <v>793710.1</v>
      </c>
      <c r="CQ208" s="3">
        <f t="shared" si="172"/>
        <v>12.4</v>
      </c>
      <c r="CR208" s="3">
        <f>(ROUND((ROUND((((ET208*1.2))*AV208*1),2)*BB208),2)+ROUND((ROUND(((AE208-((EU208*1.2)))*AV208*1),2)*BS208),2))</f>
        <v>1.48</v>
      </c>
      <c r="CS208" s="3">
        <f>(ROUND((ROUND((((EU208*1.2))*AV208*1),2)*BS208),2)+ROUND((ROUND(((AE208-((EU208*1.2)))*AV208*1),2)*BS208),2))</f>
        <v>0.56000000000000005</v>
      </c>
      <c r="CT208" s="3">
        <f t="shared" si="156"/>
        <v>1501.16</v>
      </c>
      <c r="CU208" s="3">
        <f t="shared" si="157"/>
        <v>0</v>
      </c>
      <c r="CV208" s="3">
        <f t="shared" si="158"/>
        <v>2.1107519999999997</v>
      </c>
      <c r="CW208" s="3">
        <f t="shared" si="159"/>
        <v>0</v>
      </c>
      <c r="CX208" s="3">
        <f t="shared" si="160"/>
        <v>0</v>
      </c>
      <c r="CY208" s="3">
        <f>(ROUND((((S208+ROUND((ROUND((((EU208*1.2))*AV208*1),2)*BS208),2))*AT208)/100),2)+ROUND(((ROUND((ROUND(((AE208-((EU208*1.2)))*AV208*1),2)*BS208),2)*AT208)/100),2))</f>
        <v>707834.84</v>
      </c>
      <c r="CZ208" s="3">
        <f>(ROUND((((S208+ROUND((ROUND((((EU208*1.2))*AV208*1),2)*BS208),2))*AU208)/100),2)+ROUND(((ROUND((ROUND(((AE208-((EU208*1.2)))*AV208*1),2)*BS208),2)*AU208)/100),2))</f>
        <v>361782.25</v>
      </c>
      <c r="DB208" s="3">
        <v>96</v>
      </c>
      <c r="DC208" s="3" t="s">
        <v>3</v>
      </c>
      <c r="DD208" s="3" t="s">
        <v>104</v>
      </c>
      <c r="DE208" s="3" t="s">
        <v>105</v>
      </c>
      <c r="DF208" s="3" t="s">
        <v>105</v>
      </c>
      <c r="DG208" s="3" t="s">
        <v>105</v>
      </c>
      <c r="DH208" s="3" t="s">
        <v>3</v>
      </c>
      <c r="DI208" s="3" t="s">
        <v>105</v>
      </c>
      <c r="DJ208" s="3" t="s">
        <v>105</v>
      </c>
      <c r="DK208" s="3" t="s">
        <v>3</v>
      </c>
      <c r="DL208" s="3" t="s">
        <v>3</v>
      </c>
      <c r="DM208" s="3" t="s">
        <v>3</v>
      </c>
      <c r="DN208" s="3">
        <v>0</v>
      </c>
      <c r="DO208" s="3">
        <v>0</v>
      </c>
      <c r="DP208" s="3">
        <v>1</v>
      </c>
      <c r="DQ208" s="3">
        <v>1</v>
      </c>
      <c r="DU208" s="3">
        <v>1013</v>
      </c>
      <c r="DV208" s="3" t="s">
        <v>26</v>
      </c>
      <c r="DW208" s="3" t="s">
        <v>26</v>
      </c>
      <c r="DX208" s="3">
        <v>1</v>
      </c>
      <c r="DZ208" s="3" t="s">
        <v>3</v>
      </c>
      <c r="EA208" s="3" t="s">
        <v>3</v>
      </c>
      <c r="EB208" s="3" t="s">
        <v>3</v>
      </c>
      <c r="EC208" s="3" t="s">
        <v>3</v>
      </c>
      <c r="EE208" s="3">
        <v>57042958</v>
      </c>
      <c r="EF208" s="3">
        <v>40</v>
      </c>
      <c r="EG208" s="3" t="s">
        <v>30</v>
      </c>
      <c r="EH208" s="3">
        <v>0</v>
      </c>
      <c r="EI208" s="3" t="s">
        <v>3</v>
      </c>
      <c r="EJ208" s="3">
        <v>2</v>
      </c>
      <c r="EK208" s="3">
        <v>68</v>
      </c>
      <c r="EL208" s="3" t="s">
        <v>38</v>
      </c>
      <c r="EM208" s="3" t="s">
        <v>39</v>
      </c>
      <c r="EO208" s="3" t="s">
        <v>109</v>
      </c>
      <c r="EQ208" s="3">
        <v>0</v>
      </c>
      <c r="ER208" s="3">
        <v>22.52</v>
      </c>
      <c r="ES208" s="3">
        <v>1.26</v>
      </c>
      <c r="ET208" s="3">
        <v>0.06</v>
      </c>
      <c r="EU208" s="3">
        <v>0.01</v>
      </c>
      <c r="EV208" s="3">
        <v>21.2</v>
      </c>
      <c r="EW208" s="3">
        <v>1.68</v>
      </c>
      <c r="EX208" s="3">
        <v>0</v>
      </c>
      <c r="EY208" s="3">
        <v>0</v>
      </c>
      <c r="FQ208" s="3">
        <v>0</v>
      </c>
      <c r="FR208" s="3">
        <v>0</v>
      </c>
      <c r="FS208" s="3">
        <v>0</v>
      </c>
      <c r="FX208" s="3">
        <v>90</v>
      </c>
      <c r="FY208" s="3">
        <v>46</v>
      </c>
      <c r="GA208" s="3" t="s">
        <v>3</v>
      </c>
      <c r="GD208" s="3">
        <v>1</v>
      </c>
      <c r="GF208" s="3">
        <v>-2112753472</v>
      </c>
      <c r="GG208" s="3">
        <v>2</v>
      </c>
      <c r="GH208" s="3">
        <v>1</v>
      </c>
      <c r="GI208" s="3">
        <v>2</v>
      </c>
      <c r="GJ208" s="3">
        <v>0</v>
      </c>
      <c r="GK208" s="3">
        <v>0</v>
      </c>
      <c r="GL208" s="3">
        <f t="shared" si="161"/>
        <v>0</v>
      </c>
      <c r="GM208" s="3">
        <f t="shared" si="162"/>
        <v>1863830.68</v>
      </c>
      <c r="GN208" s="3">
        <f t="shared" si="163"/>
        <v>0</v>
      </c>
      <c r="GO208" s="3">
        <f t="shared" si="164"/>
        <v>1863830.68</v>
      </c>
      <c r="GP208" s="3">
        <f t="shared" si="165"/>
        <v>0</v>
      </c>
      <c r="GR208" s="3">
        <v>0</v>
      </c>
      <c r="GS208" s="3">
        <v>3</v>
      </c>
      <c r="GT208" s="3">
        <v>0</v>
      </c>
      <c r="GU208" s="3" t="s">
        <v>3</v>
      </c>
      <c r="GV208" s="3">
        <f t="shared" si="166"/>
        <v>0</v>
      </c>
      <c r="GW208" s="3">
        <v>1</v>
      </c>
      <c r="GX208" s="3">
        <f t="shared" si="167"/>
        <v>0</v>
      </c>
      <c r="HA208" s="3">
        <v>0</v>
      </c>
      <c r="HB208" s="3">
        <v>0</v>
      </c>
      <c r="HC208" s="3">
        <f t="shared" si="168"/>
        <v>0</v>
      </c>
      <c r="HE208" s="3" t="s">
        <v>3</v>
      </c>
      <c r="HF208" s="3" t="s">
        <v>3</v>
      </c>
      <c r="HM208" s="3" t="s">
        <v>3</v>
      </c>
      <c r="HN208" s="3" t="s">
        <v>3</v>
      </c>
      <c r="HO208" s="3" t="s">
        <v>3</v>
      </c>
      <c r="HP208" s="3" t="s">
        <v>3</v>
      </c>
      <c r="HQ208" s="3" t="s">
        <v>3</v>
      </c>
      <c r="HS208" s="3">
        <v>0</v>
      </c>
      <c r="IK208" s="3">
        <v>0</v>
      </c>
    </row>
    <row r="209" spans="1:255" x14ac:dyDescent="0.25">
      <c r="A209" s="2">
        <v>17</v>
      </c>
      <c r="B209" s="2">
        <v>1</v>
      </c>
      <c r="C209" s="2"/>
      <c r="D209" s="2"/>
      <c r="E209" s="2" t="s">
        <v>224</v>
      </c>
      <c r="F209" s="2" t="s">
        <v>225</v>
      </c>
      <c r="G209" s="2" t="s">
        <v>226</v>
      </c>
      <c r="H209" s="2" t="s">
        <v>177</v>
      </c>
      <c r="I209" s="2">
        <v>518</v>
      </c>
      <c r="J209" s="2">
        <v>0</v>
      </c>
      <c r="K209" s="2">
        <v>518</v>
      </c>
      <c r="L209" s="2"/>
      <c r="M209" s="2"/>
      <c r="N209" s="2"/>
      <c r="O209" s="2">
        <f t="shared" si="146"/>
        <v>90763.96</v>
      </c>
      <c r="P209" s="2">
        <f t="shared" si="171"/>
        <v>90763.96</v>
      </c>
      <c r="Q209" s="2">
        <f>(ROUND((ROUND(((ET209)*AV209*I209),2)*BB209),2)+ROUND((ROUND(((AE209-(EU209))*AV209*I209),2)*BS209),2))</f>
        <v>0</v>
      </c>
      <c r="R209" s="2">
        <f>(ROUND((ROUND(((EU209)*AV209*I209),2)*BS209),2)+ROUND((ROUND(((AE209-(EU209))*AV209*I209),2)*BS209),2))</f>
        <v>0</v>
      </c>
      <c r="S209" s="2">
        <f t="shared" si="147"/>
        <v>0</v>
      </c>
      <c r="T209" s="2">
        <f t="shared" si="148"/>
        <v>0</v>
      </c>
      <c r="U209" s="2">
        <f t="shared" si="149"/>
        <v>0</v>
      </c>
      <c r="V209" s="2">
        <f t="shared" si="150"/>
        <v>0</v>
      </c>
      <c r="W209" s="2">
        <f t="shared" si="151"/>
        <v>0</v>
      </c>
      <c r="X209" s="2">
        <f>(ROUND((((S209+ROUND((ROUND(((EU209)*AV209*I209),2)*BS209),2))*AT209)/100),2)+ROUND(((ROUND((ROUND(((AE209-(EU209))*AV209*I209),2)*BS209),2)*AT209)/100),2))</f>
        <v>0</v>
      </c>
      <c r="Y209" s="2">
        <f>(ROUND((((S209+ROUND((ROUND(((EU209)*AV209*I209),2)*BS209),2))*AU209)/100),2)+ROUND(((ROUND((ROUND(((AE209-(EU209))*AV209*I209),2)*BS209),2)*AU209)/100),2))</f>
        <v>0</v>
      </c>
      <c r="Z209" s="2"/>
      <c r="AA209" s="2">
        <v>57034452</v>
      </c>
      <c r="AB209" s="2">
        <f t="shared" si="152"/>
        <v>175.22</v>
      </c>
      <c r="AC209" s="2">
        <f>ROUND((ES209),6)</f>
        <v>175.22</v>
      </c>
      <c r="AD209" s="2">
        <f>ROUND((((ET209)-(EU209))+AE209),6)</f>
        <v>0</v>
      </c>
      <c r="AE209" s="2">
        <f t="shared" ref="AE209:AF212" si="173">ROUND((EU209),6)</f>
        <v>0</v>
      </c>
      <c r="AF209" s="2">
        <f t="shared" si="173"/>
        <v>0</v>
      </c>
      <c r="AG209" s="2">
        <f t="shared" si="153"/>
        <v>0</v>
      </c>
      <c r="AH209" s="2">
        <f t="shared" ref="AH209:AI212" si="174">(EW209)</f>
        <v>0</v>
      </c>
      <c r="AI209" s="2">
        <f t="shared" si="174"/>
        <v>0</v>
      </c>
      <c r="AJ209" s="2">
        <f t="shared" si="154"/>
        <v>0</v>
      </c>
      <c r="AK209" s="2">
        <v>175.22</v>
      </c>
      <c r="AL209" s="2">
        <v>175.22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90</v>
      </c>
      <c r="AU209" s="2">
        <v>46</v>
      </c>
      <c r="AV209" s="2">
        <v>1</v>
      </c>
      <c r="AW209" s="2">
        <v>1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3</v>
      </c>
      <c r="BI209" s="2">
        <v>3</v>
      </c>
      <c r="BJ209" s="2" t="s">
        <v>3</v>
      </c>
      <c r="BK209" s="2"/>
      <c r="BL209" s="2"/>
      <c r="BM209" s="2">
        <v>68</v>
      </c>
      <c r="BN209" s="2">
        <v>0</v>
      </c>
      <c r="BO209" s="2" t="s">
        <v>3</v>
      </c>
      <c r="BP209" s="2">
        <v>0</v>
      </c>
      <c r="BQ209" s="2">
        <v>40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90</v>
      </c>
      <c r="CA209" s="2">
        <v>46</v>
      </c>
      <c r="CB209" s="2" t="s">
        <v>3</v>
      </c>
      <c r="CC209" s="2"/>
      <c r="CD209" s="2"/>
      <c r="CE209" s="2">
        <v>1566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3</v>
      </c>
      <c r="CO209" s="2">
        <v>0</v>
      </c>
      <c r="CP209" s="2">
        <f t="shared" si="155"/>
        <v>90763.96</v>
      </c>
      <c r="CQ209" s="2">
        <f t="shared" si="172"/>
        <v>175.22</v>
      </c>
      <c r="CR209" s="2">
        <f>(ROUND((ROUND(((ET209)*AV209*1),2)*BB209),2)+ROUND((ROUND(((AE209-(EU209))*AV209*1),2)*BS209),2))</f>
        <v>0</v>
      </c>
      <c r="CS209" s="2">
        <f>(ROUND((ROUND(((EU209)*AV209*1),2)*BS209),2)+ROUND((ROUND(((AE209-(EU209))*AV209*1),2)*BS209),2))</f>
        <v>0</v>
      </c>
      <c r="CT209" s="2">
        <f t="shared" si="156"/>
        <v>0</v>
      </c>
      <c r="CU209" s="2">
        <f t="shared" si="157"/>
        <v>0</v>
      </c>
      <c r="CV209" s="2">
        <f t="shared" si="158"/>
        <v>0</v>
      </c>
      <c r="CW209" s="2">
        <f t="shared" si="159"/>
        <v>0</v>
      </c>
      <c r="CX209" s="2">
        <f t="shared" si="160"/>
        <v>0</v>
      </c>
      <c r="CY209" s="2">
        <f>(ROUND((((S209+ROUND((ROUND(((EU209)*AV209*1),2)*BS209),2))*AT209)/100),2)+ROUND(((ROUND((ROUND(((AE209-(EU209))*AV209*1),2)*BS209),2)*AT209)/100),2))</f>
        <v>0</v>
      </c>
      <c r="CZ209" s="2">
        <f>(ROUND((((S209+ROUND((ROUND(((EU209)*AV209*1),2)*BS209),2))*AU209)/100),2)+ROUND(((ROUND((ROUND(((AE209-(EU209))*AV209*1),2)*BS209),2)*AU209)/100),2))</f>
        <v>0</v>
      </c>
      <c r="DA209" s="2"/>
      <c r="DB209" s="2"/>
      <c r="DC209" s="2" t="s">
        <v>3</v>
      </c>
      <c r="DD209" s="2" t="s">
        <v>3</v>
      </c>
      <c r="DE209" s="2" t="s">
        <v>3</v>
      </c>
      <c r="DF209" s="2" t="s">
        <v>3</v>
      </c>
      <c r="DG209" s="2" t="s">
        <v>3</v>
      </c>
      <c r="DH209" s="2" t="s">
        <v>3</v>
      </c>
      <c r="DI209" s="2" t="s">
        <v>3</v>
      </c>
      <c r="DJ209" s="2" t="s">
        <v>3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1010</v>
      </c>
      <c r="DV209" s="2" t="s">
        <v>177</v>
      </c>
      <c r="DW209" s="2" t="s">
        <v>177</v>
      </c>
      <c r="DX209" s="2">
        <v>1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57042958</v>
      </c>
      <c r="EF209" s="2">
        <v>40</v>
      </c>
      <c r="EG209" s="2" t="s">
        <v>30</v>
      </c>
      <c r="EH209" s="2">
        <v>0</v>
      </c>
      <c r="EI209" s="2" t="s">
        <v>3</v>
      </c>
      <c r="EJ209" s="2">
        <v>2</v>
      </c>
      <c r="EK209" s="2">
        <v>68</v>
      </c>
      <c r="EL209" s="2" t="s">
        <v>38</v>
      </c>
      <c r="EM209" s="2" t="s">
        <v>39</v>
      </c>
      <c r="EN209" s="2"/>
      <c r="EO209" s="2" t="s">
        <v>3</v>
      </c>
      <c r="EP209" s="2"/>
      <c r="EQ209" s="2">
        <v>2097152</v>
      </c>
      <c r="ER209" s="2">
        <v>0</v>
      </c>
      <c r="ES209" s="2">
        <v>175.22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f>P209</f>
        <v>90763.96</v>
      </c>
      <c r="FS209" s="2">
        <v>0</v>
      </c>
      <c r="FT209" s="2"/>
      <c r="FU209" s="2"/>
      <c r="FV209" s="2"/>
      <c r="FW209" s="2"/>
      <c r="FX209" s="2">
        <v>90</v>
      </c>
      <c r="FY209" s="2">
        <v>46</v>
      </c>
      <c r="FZ209" s="2"/>
      <c r="GA209" s="2" t="s">
        <v>227</v>
      </c>
      <c r="GB209" s="2"/>
      <c r="GC209" s="2"/>
      <c r="GD209" s="2">
        <v>1</v>
      </c>
      <c r="GE209" s="2"/>
      <c r="GF209" s="2">
        <v>-1187215625</v>
      </c>
      <c r="GG209" s="2">
        <v>2</v>
      </c>
      <c r="GH209" s="2">
        <v>4</v>
      </c>
      <c r="GI209" s="2">
        <v>-2</v>
      </c>
      <c r="GJ209" s="2">
        <v>0</v>
      </c>
      <c r="GK209" s="2">
        <v>0</v>
      </c>
      <c r="GL209" s="2">
        <f t="shared" si="161"/>
        <v>0</v>
      </c>
      <c r="GM209" s="2">
        <f t="shared" si="162"/>
        <v>90763.96</v>
      </c>
      <c r="GN209" s="2">
        <f t="shared" si="163"/>
        <v>0</v>
      </c>
      <c r="GO209" s="2">
        <f t="shared" si="164"/>
        <v>0</v>
      </c>
      <c r="GP209" s="2">
        <f t="shared" si="165"/>
        <v>0</v>
      </c>
      <c r="GQ209" s="2"/>
      <c r="GR209" s="2">
        <v>0</v>
      </c>
      <c r="GS209" s="2">
        <v>2</v>
      </c>
      <c r="GT209" s="2">
        <v>0</v>
      </c>
      <c r="GU209" s="2" t="s">
        <v>3</v>
      </c>
      <c r="GV209" s="2">
        <f t="shared" si="166"/>
        <v>0</v>
      </c>
      <c r="GW209" s="2">
        <v>1</v>
      </c>
      <c r="GX209" s="2">
        <f t="shared" si="167"/>
        <v>0</v>
      </c>
      <c r="GY209" s="2"/>
      <c r="GZ209" s="2"/>
      <c r="HA209" s="2">
        <v>0</v>
      </c>
      <c r="HB209" s="2">
        <v>0</v>
      </c>
      <c r="HC209" s="2">
        <f t="shared" si="168"/>
        <v>0</v>
      </c>
      <c r="HD209" s="2"/>
      <c r="HE209" s="2" t="s">
        <v>40</v>
      </c>
      <c r="HF209" s="2" t="s">
        <v>182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25">
      <c r="A210" s="3">
        <v>17</v>
      </c>
      <c r="B210" s="3">
        <v>1</v>
      </c>
      <c r="E210" s="3" t="s">
        <v>224</v>
      </c>
      <c r="F210" s="3" t="s">
        <v>225</v>
      </c>
      <c r="G210" s="3" t="s">
        <v>226</v>
      </c>
      <c r="H210" s="3" t="s">
        <v>177</v>
      </c>
      <c r="I210" s="3">
        <v>518</v>
      </c>
      <c r="J210" s="3">
        <v>0</v>
      </c>
      <c r="K210" s="3">
        <v>518</v>
      </c>
      <c r="O210" s="3">
        <f t="shared" si="146"/>
        <v>687083.18</v>
      </c>
      <c r="P210" s="3">
        <f t="shared" si="171"/>
        <v>687083.18</v>
      </c>
      <c r="Q210" s="3">
        <f>(ROUND((ROUND(((ET210)*AV210*I210),2)*BB210),2)+ROUND((ROUND(((AE210-(EU210))*AV210*I210),2)*BS210),2))</f>
        <v>0</v>
      </c>
      <c r="R210" s="3">
        <f>(ROUND((ROUND(((EU210)*AV210*I210),2)*BS210),2)+ROUND((ROUND(((AE210-(EU210))*AV210*I210),2)*BS210),2))</f>
        <v>0</v>
      </c>
      <c r="S210" s="3">
        <f t="shared" si="147"/>
        <v>0</v>
      </c>
      <c r="T210" s="3">
        <f t="shared" si="148"/>
        <v>0</v>
      </c>
      <c r="U210" s="3">
        <f t="shared" si="149"/>
        <v>0</v>
      </c>
      <c r="V210" s="3">
        <f t="shared" si="150"/>
        <v>0</v>
      </c>
      <c r="W210" s="3">
        <f t="shared" si="151"/>
        <v>0</v>
      </c>
      <c r="X210" s="3">
        <f>(ROUND((((S210+ROUND((ROUND(((EU210)*AV210*I210),2)*BS210),2))*AT210)/100),2)+ROUND(((ROUND((ROUND(((AE210-(EU210))*AV210*I210),2)*BS210),2)*AT210)/100),2))</f>
        <v>0</v>
      </c>
      <c r="Y210" s="3">
        <f>(ROUND((((S210+ROUND((ROUND(((EU210)*AV210*I210),2)*BS210),2))*AU210)/100),2)+ROUND(((ROUND((ROUND(((AE210-(EU210))*AV210*I210),2)*BS210),2)*AU210)/100),2))</f>
        <v>0</v>
      </c>
      <c r="AA210" s="3">
        <v>57034454</v>
      </c>
      <c r="AB210" s="3">
        <f t="shared" si="152"/>
        <v>175.22</v>
      </c>
      <c r="AC210" s="3">
        <f>ROUND((ES210),6)</f>
        <v>175.22</v>
      </c>
      <c r="AD210" s="3">
        <f>ROUND((((ET210)-(EU210))+AE210),6)</f>
        <v>0</v>
      </c>
      <c r="AE210" s="3">
        <f t="shared" si="173"/>
        <v>0</v>
      </c>
      <c r="AF210" s="3">
        <f t="shared" si="173"/>
        <v>0</v>
      </c>
      <c r="AG210" s="3">
        <f t="shared" si="153"/>
        <v>0</v>
      </c>
      <c r="AH210" s="3">
        <f t="shared" si="174"/>
        <v>0</v>
      </c>
      <c r="AI210" s="3">
        <f t="shared" si="174"/>
        <v>0</v>
      </c>
      <c r="AJ210" s="3">
        <f t="shared" si="154"/>
        <v>0</v>
      </c>
      <c r="AK210" s="3">
        <v>175.22</v>
      </c>
      <c r="AL210" s="3">
        <v>175.22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90</v>
      </c>
      <c r="AU210" s="3">
        <v>46</v>
      </c>
      <c r="AV210" s="3">
        <v>1</v>
      </c>
      <c r="AW210" s="3">
        <v>1</v>
      </c>
      <c r="AZ210" s="3">
        <v>1</v>
      </c>
      <c r="BA210" s="3">
        <v>1</v>
      </c>
      <c r="BB210" s="3">
        <v>1</v>
      </c>
      <c r="BC210" s="3">
        <v>7.57</v>
      </c>
      <c r="BD210" s="3" t="s">
        <v>3</v>
      </c>
      <c r="BE210" s="3" t="s">
        <v>3</v>
      </c>
      <c r="BF210" s="3" t="s">
        <v>3</v>
      </c>
      <c r="BG210" s="3" t="s">
        <v>3</v>
      </c>
      <c r="BH210" s="3">
        <v>3</v>
      </c>
      <c r="BI210" s="3">
        <v>3</v>
      </c>
      <c r="BJ210" s="3" t="s">
        <v>3</v>
      </c>
      <c r="BM210" s="3">
        <v>68</v>
      </c>
      <c r="BN210" s="3">
        <v>0</v>
      </c>
      <c r="BO210" s="3" t="s">
        <v>3</v>
      </c>
      <c r="BP210" s="3">
        <v>0</v>
      </c>
      <c r="BQ210" s="3">
        <v>40</v>
      </c>
      <c r="BR210" s="3">
        <v>0</v>
      </c>
      <c r="BS210" s="3">
        <v>1</v>
      </c>
      <c r="BT210" s="3">
        <v>1</v>
      </c>
      <c r="BU210" s="3">
        <v>1</v>
      </c>
      <c r="BV210" s="3">
        <v>1</v>
      </c>
      <c r="BW210" s="3">
        <v>1</v>
      </c>
      <c r="BX210" s="3">
        <v>1</v>
      </c>
      <c r="BY210" s="3" t="s">
        <v>3</v>
      </c>
      <c r="BZ210" s="3">
        <v>90</v>
      </c>
      <c r="CA210" s="3">
        <v>46</v>
      </c>
      <c r="CB210" s="3" t="s">
        <v>3</v>
      </c>
      <c r="CE210" s="3">
        <v>1566</v>
      </c>
      <c r="CF210" s="3">
        <v>0</v>
      </c>
      <c r="CG210" s="3">
        <v>0</v>
      </c>
      <c r="CM210" s="3">
        <v>0</v>
      </c>
      <c r="CN210" s="3" t="s">
        <v>3</v>
      </c>
      <c r="CO210" s="3">
        <v>0</v>
      </c>
      <c r="CP210" s="3">
        <f t="shared" si="155"/>
        <v>687083.18</v>
      </c>
      <c r="CQ210" s="3">
        <f t="shared" si="172"/>
        <v>1326.42</v>
      </c>
      <c r="CR210" s="3">
        <f>(ROUND((ROUND(((ET210)*AV210*1),2)*BB210),2)+ROUND((ROUND(((AE210-(EU210))*AV210*1),2)*BS210),2))</f>
        <v>0</v>
      </c>
      <c r="CS210" s="3">
        <f>(ROUND((ROUND(((EU210)*AV210*1),2)*BS210),2)+ROUND((ROUND(((AE210-(EU210))*AV210*1),2)*BS210),2))</f>
        <v>0</v>
      </c>
      <c r="CT210" s="3">
        <f t="shared" si="156"/>
        <v>0</v>
      </c>
      <c r="CU210" s="3">
        <f t="shared" si="157"/>
        <v>0</v>
      </c>
      <c r="CV210" s="3">
        <f t="shared" si="158"/>
        <v>0</v>
      </c>
      <c r="CW210" s="3">
        <f t="shared" si="159"/>
        <v>0</v>
      </c>
      <c r="CX210" s="3">
        <f t="shared" si="160"/>
        <v>0</v>
      </c>
      <c r="CY210" s="3">
        <f>(ROUND((((S210+ROUND((ROUND(((EU210)*AV210*1),2)*BS210),2))*AT210)/100),2)+ROUND(((ROUND((ROUND(((AE210-(EU210))*AV210*1),2)*BS210),2)*AT210)/100),2))</f>
        <v>0</v>
      </c>
      <c r="CZ210" s="3">
        <f>(ROUND((((S210+ROUND((ROUND(((EU210)*AV210*1),2)*BS210),2))*AU210)/100),2)+ROUND(((ROUND((ROUND(((AE210-(EU210))*AV210*1),2)*BS210),2)*AU210)/100),2))</f>
        <v>0</v>
      </c>
      <c r="DC210" s="3" t="s">
        <v>3</v>
      </c>
      <c r="DD210" s="3" t="s">
        <v>3</v>
      </c>
      <c r="DE210" s="3" t="s">
        <v>3</v>
      </c>
      <c r="DF210" s="3" t="s">
        <v>3</v>
      </c>
      <c r="DG210" s="3" t="s">
        <v>3</v>
      </c>
      <c r="DH210" s="3" t="s">
        <v>3</v>
      </c>
      <c r="DI210" s="3" t="s">
        <v>3</v>
      </c>
      <c r="DJ210" s="3" t="s">
        <v>3</v>
      </c>
      <c r="DK210" s="3" t="s">
        <v>3</v>
      </c>
      <c r="DL210" s="3" t="s">
        <v>3</v>
      </c>
      <c r="DM210" s="3" t="s">
        <v>3</v>
      </c>
      <c r="DN210" s="3">
        <v>0</v>
      </c>
      <c r="DO210" s="3">
        <v>0</v>
      </c>
      <c r="DP210" s="3">
        <v>1</v>
      </c>
      <c r="DQ210" s="3">
        <v>1</v>
      </c>
      <c r="DU210" s="3">
        <v>1010</v>
      </c>
      <c r="DV210" s="3" t="s">
        <v>177</v>
      </c>
      <c r="DW210" s="3" t="s">
        <v>177</v>
      </c>
      <c r="DX210" s="3">
        <v>1</v>
      </c>
      <c r="DZ210" s="3" t="s">
        <v>3</v>
      </c>
      <c r="EA210" s="3" t="s">
        <v>3</v>
      </c>
      <c r="EB210" s="3" t="s">
        <v>3</v>
      </c>
      <c r="EC210" s="3" t="s">
        <v>3</v>
      </c>
      <c r="EE210" s="3">
        <v>57042958</v>
      </c>
      <c r="EF210" s="3">
        <v>40</v>
      </c>
      <c r="EG210" s="3" t="s">
        <v>30</v>
      </c>
      <c r="EH210" s="3">
        <v>0</v>
      </c>
      <c r="EI210" s="3" t="s">
        <v>3</v>
      </c>
      <c r="EJ210" s="3">
        <v>2</v>
      </c>
      <c r="EK210" s="3">
        <v>68</v>
      </c>
      <c r="EL210" s="3" t="s">
        <v>38</v>
      </c>
      <c r="EM210" s="3" t="s">
        <v>39</v>
      </c>
      <c r="EO210" s="3" t="s">
        <v>3</v>
      </c>
      <c r="EQ210" s="3">
        <v>2097152</v>
      </c>
      <c r="ER210" s="3">
        <v>175.22</v>
      </c>
      <c r="ES210" s="3">
        <v>175.22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5</v>
      </c>
      <c r="FC210" s="3">
        <v>1</v>
      </c>
      <c r="FD210" s="3">
        <v>18</v>
      </c>
      <c r="FF210" s="3">
        <v>1552.45</v>
      </c>
      <c r="FQ210" s="3">
        <v>0</v>
      </c>
      <c r="FR210" s="3">
        <f>P210</f>
        <v>687083.18</v>
      </c>
      <c r="FS210" s="3">
        <v>0</v>
      </c>
      <c r="FX210" s="3">
        <v>90</v>
      </c>
      <c r="FY210" s="3">
        <v>46</v>
      </c>
      <c r="GA210" s="3" t="s">
        <v>227</v>
      </c>
      <c r="GD210" s="3">
        <v>1</v>
      </c>
      <c r="GF210" s="3">
        <v>-1187215625</v>
      </c>
      <c r="GG210" s="3">
        <v>2</v>
      </c>
      <c r="GH210" s="3">
        <v>3</v>
      </c>
      <c r="GI210" s="3">
        <v>5</v>
      </c>
      <c r="GJ210" s="3">
        <v>0</v>
      </c>
      <c r="GK210" s="3">
        <v>0</v>
      </c>
      <c r="GL210" s="3">
        <f t="shared" si="161"/>
        <v>0</v>
      </c>
      <c r="GM210" s="3">
        <f t="shared" si="162"/>
        <v>687083.18</v>
      </c>
      <c r="GN210" s="3">
        <f t="shared" si="163"/>
        <v>0</v>
      </c>
      <c r="GO210" s="3">
        <f t="shared" si="164"/>
        <v>0</v>
      </c>
      <c r="GP210" s="3">
        <f t="shared" si="165"/>
        <v>0</v>
      </c>
      <c r="GR210" s="3">
        <v>1</v>
      </c>
      <c r="GS210" s="3">
        <v>1</v>
      </c>
      <c r="GT210" s="3">
        <v>0</v>
      </c>
      <c r="GU210" s="3" t="s">
        <v>3</v>
      </c>
      <c r="GV210" s="3">
        <f t="shared" si="166"/>
        <v>0</v>
      </c>
      <c r="GW210" s="3">
        <v>1</v>
      </c>
      <c r="GX210" s="3">
        <f t="shared" si="167"/>
        <v>0</v>
      </c>
      <c r="HA210" s="3">
        <v>0</v>
      </c>
      <c r="HB210" s="3">
        <v>0</v>
      </c>
      <c r="HC210" s="3">
        <f t="shared" si="168"/>
        <v>0</v>
      </c>
      <c r="HE210" s="3" t="s">
        <v>40</v>
      </c>
      <c r="HF210" s="3" t="s">
        <v>182</v>
      </c>
      <c r="HM210" s="3" t="s">
        <v>3</v>
      </c>
      <c r="HN210" s="3" t="s">
        <v>3</v>
      </c>
      <c r="HO210" s="3" t="s">
        <v>3</v>
      </c>
      <c r="HP210" s="3" t="s">
        <v>3</v>
      </c>
      <c r="HQ210" s="3" t="s">
        <v>3</v>
      </c>
      <c r="HS210" s="3">
        <v>0</v>
      </c>
      <c r="IK210" s="3">
        <v>0</v>
      </c>
    </row>
    <row r="211" spans="1:255" x14ac:dyDescent="0.25">
      <c r="A211" s="2">
        <v>17</v>
      </c>
      <c r="B211" s="2">
        <v>1</v>
      </c>
      <c r="C211" s="2"/>
      <c r="D211" s="2"/>
      <c r="E211" s="2" t="s">
        <v>228</v>
      </c>
      <c r="F211" s="2" t="s">
        <v>229</v>
      </c>
      <c r="G211" s="2" t="s">
        <v>230</v>
      </c>
      <c r="H211" s="2" t="s">
        <v>177</v>
      </c>
      <c r="I211" s="2">
        <v>6</v>
      </c>
      <c r="J211" s="2">
        <v>0</v>
      </c>
      <c r="K211" s="2">
        <v>6</v>
      </c>
      <c r="L211" s="2"/>
      <c r="M211" s="2"/>
      <c r="N211" s="2"/>
      <c r="O211" s="2">
        <f t="shared" si="146"/>
        <v>16982.64</v>
      </c>
      <c r="P211" s="2">
        <f t="shared" si="171"/>
        <v>16982.64</v>
      </c>
      <c r="Q211" s="2">
        <f>(ROUND((ROUND(((ET211)*AV211*I211),2)*BB211),2)+ROUND((ROUND(((AE211-(EU211))*AV211*I211),2)*BS211),2))</f>
        <v>0</v>
      </c>
      <c r="R211" s="2">
        <f>(ROUND((ROUND(((EU211)*AV211*I211),2)*BS211),2)+ROUND((ROUND(((AE211-(EU211))*AV211*I211),2)*BS211),2))</f>
        <v>0</v>
      </c>
      <c r="S211" s="2">
        <f t="shared" si="147"/>
        <v>0</v>
      </c>
      <c r="T211" s="2">
        <f t="shared" si="148"/>
        <v>0</v>
      </c>
      <c r="U211" s="2">
        <f t="shared" si="149"/>
        <v>0</v>
      </c>
      <c r="V211" s="2">
        <f t="shared" si="150"/>
        <v>0</v>
      </c>
      <c r="W211" s="2">
        <f t="shared" si="151"/>
        <v>0</v>
      </c>
      <c r="X211" s="2">
        <f>(ROUND((((S211+ROUND((ROUND(((EU211)*AV211*I211),2)*BS211),2))*AT211)/100),2)+ROUND(((ROUND((ROUND(((AE211-(EU211))*AV211*I211),2)*BS211),2)*AT211)/100),2))</f>
        <v>0</v>
      </c>
      <c r="Y211" s="2">
        <f>(ROUND((((S211+ROUND((ROUND(((EU211)*AV211*I211),2)*BS211),2))*AU211)/100),2)+ROUND(((ROUND((ROUND(((AE211-(EU211))*AV211*I211),2)*BS211),2)*AU211)/100),2))</f>
        <v>0</v>
      </c>
      <c r="Z211" s="2"/>
      <c r="AA211" s="2">
        <v>57034452</v>
      </c>
      <c r="AB211" s="2">
        <f t="shared" si="152"/>
        <v>2830.44</v>
      </c>
      <c r="AC211" s="2">
        <f>ROUND((ES211),6)</f>
        <v>2830.44</v>
      </c>
      <c r="AD211" s="2">
        <f>ROUND((((ET211)-(EU211))+AE211),6)</f>
        <v>0</v>
      </c>
      <c r="AE211" s="2">
        <f t="shared" si="173"/>
        <v>0</v>
      </c>
      <c r="AF211" s="2">
        <f t="shared" si="173"/>
        <v>0</v>
      </c>
      <c r="AG211" s="2">
        <f t="shared" si="153"/>
        <v>0</v>
      </c>
      <c r="AH211" s="2">
        <f t="shared" si="174"/>
        <v>0</v>
      </c>
      <c r="AI211" s="2">
        <f t="shared" si="174"/>
        <v>0</v>
      </c>
      <c r="AJ211" s="2">
        <f t="shared" si="154"/>
        <v>0</v>
      </c>
      <c r="AK211" s="2">
        <v>2830.44</v>
      </c>
      <c r="AL211" s="2">
        <v>2830.44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90</v>
      </c>
      <c r="AU211" s="2">
        <v>46</v>
      </c>
      <c r="AV211" s="2">
        <v>1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3</v>
      </c>
      <c r="BI211" s="2">
        <v>3</v>
      </c>
      <c r="BJ211" s="2" t="s">
        <v>3</v>
      </c>
      <c r="BK211" s="2"/>
      <c r="BL211" s="2"/>
      <c r="BM211" s="2">
        <v>68</v>
      </c>
      <c r="BN211" s="2">
        <v>0</v>
      </c>
      <c r="BO211" s="2" t="s">
        <v>3</v>
      </c>
      <c r="BP211" s="2">
        <v>0</v>
      </c>
      <c r="BQ211" s="2">
        <v>40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90</v>
      </c>
      <c r="CA211" s="2">
        <v>46</v>
      </c>
      <c r="CB211" s="2" t="s">
        <v>3</v>
      </c>
      <c r="CC211" s="2"/>
      <c r="CD211" s="2"/>
      <c r="CE211" s="2">
        <v>1566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3</v>
      </c>
      <c r="CO211" s="2">
        <v>0</v>
      </c>
      <c r="CP211" s="2">
        <f t="shared" si="155"/>
        <v>16982.64</v>
      </c>
      <c r="CQ211" s="2">
        <f t="shared" si="172"/>
        <v>2830.44</v>
      </c>
      <c r="CR211" s="2">
        <f>(ROUND((ROUND(((ET211)*AV211*1),2)*BB211),2)+ROUND((ROUND(((AE211-(EU211))*AV211*1),2)*BS211),2))</f>
        <v>0</v>
      </c>
      <c r="CS211" s="2">
        <f>(ROUND((ROUND(((EU211)*AV211*1),2)*BS211),2)+ROUND((ROUND(((AE211-(EU211))*AV211*1),2)*BS211),2))</f>
        <v>0</v>
      </c>
      <c r="CT211" s="2">
        <f t="shared" si="156"/>
        <v>0</v>
      </c>
      <c r="CU211" s="2">
        <f t="shared" si="157"/>
        <v>0</v>
      </c>
      <c r="CV211" s="2">
        <f t="shared" si="158"/>
        <v>0</v>
      </c>
      <c r="CW211" s="2">
        <f t="shared" si="159"/>
        <v>0</v>
      </c>
      <c r="CX211" s="2">
        <f t="shared" si="160"/>
        <v>0</v>
      </c>
      <c r="CY211" s="2">
        <f>(ROUND((((S211+ROUND((ROUND(((EU211)*AV211*1),2)*BS211),2))*AT211)/100),2)+ROUND(((ROUND((ROUND(((AE211-(EU211))*AV211*1),2)*BS211),2)*AT211)/100),2))</f>
        <v>0</v>
      </c>
      <c r="CZ211" s="2">
        <f>(ROUND((((S211+ROUND((ROUND(((EU211)*AV211*1),2)*BS211),2))*AU211)/100),2)+ROUND(((ROUND((ROUND(((AE211-(EU211))*AV211*1),2)*BS211),2)*AU211)/100),2))</f>
        <v>0</v>
      </c>
      <c r="DA211" s="2"/>
      <c r="DB211" s="2"/>
      <c r="DC211" s="2" t="s">
        <v>3</v>
      </c>
      <c r="DD211" s="2" t="s">
        <v>3</v>
      </c>
      <c r="DE211" s="2" t="s">
        <v>3</v>
      </c>
      <c r="DF211" s="2" t="s">
        <v>3</v>
      </c>
      <c r="DG211" s="2" t="s">
        <v>3</v>
      </c>
      <c r="DH211" s="2" t="s">
        <v>3</v>
      </c>
      <c r="DI211" s="2" t="s">
        <v>3</v>
      </c>
      <c r="DJ211" s="2" t="s">
        <v>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1010</v>
      </c>
      <c r="DV211" s="2" t="s">
        <v>177</v>
      </c>
      <c r="DW211" s="2" t="s">
        <v>177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57042958</v>
      </c>
      <c r="EF211" s="2">
        <v>40</v>
      </c>
      <c r="EG211" s="2" t="s">
        <v>30</v>
      </c>
      <c r="EH211" s="2">
        <v>0</v>
      </c>
      <c r="EI211" s="2" t="s">
        <v>3</v>
      </c>
      <c r="EJ211" s="2">
        <v>2</v>
      </c>
      <c r="EK211" s="2">
        <v>68</v>
      </c>
      <c r="EL211" s="2" t="s">
        <v>38</v>
      </c>
      <c r="EM211" s="2" t="s">
        <v>39</v>
      </c>
      <c r="EN211" s="2"/>
      <c r="EO211" s="2" t="s">
        <v>3</v>
      </c>
      <c r="EP211" s="2"/>
      <c r="EQ211" s="2">
        <v>2097152</v>
      </c>
      <c r="ER211" s="2">
        <v>0</v>
      </c>
      <c r="ES211" s="2">
        <v>2830.44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f>P211</f>
        <v>16982.64</v>
      </c>
      <c r="FS211" s="2">
        <v>0</v>
      </c>
      <c r="FT211" s="2"/>
      <c r="FU211" s="2"/>
      <c r="FV211" s="2"/>
      <c r="FW211" s="2"/>
      <c r="FX211" s="2">
        <v>90</v>
      </c>
      <c r="FY211" s="2">
        <v>46</v>
      </c>
      <c r="FZ211" s="2"/>
      <c r="GA211" s="2" t="s">
        <v>231</v>
      </c>
      <c r="GB211" s="2"/>
      <c r="GC211" s="2"/>
      <c r="GD211" s="2">
        <v>1</v>
      </c>
      <c r="GE211" s="2"/>
      <c r="GF211" s="2">
        <v>1466565330</v>
      </c>
      <c r="GG211" s="2">
        <v>2</v>
      </c>
      <c r="GH211" s="2">
        <v>4</v>
      </c>
      <c r="GI211" s="2">
        <v>-2</v>
      </c>
      <c r="GJ211" s="2">
        <v>0</v>
      </c>
      <c r="GK211" s="2">
        <v>0</v>
      </c>
      <c r="GL211" s="2">
        <f t="shared" si="161"/>
        <v>0</v>
      </c>
      <c r="GM211" s="2">
        <f t="shared" si="162"/>
        <v>16982.64</v>
      </c>
      <c r="GN211" s="2">
        <f t="shared" si="163"/>
        <v>0</v>
      </c>
      <c r="GO211" s="2">
        <f t="shared" si="164"/>
        <v>0</v>
      </c>
      <c r="GP211" s="2">
        <f t="shared" si="165"/>
        <v>0</v>
      </c>
      <c r="GQ211" s="2"/>
      <c r="GR211" s="2">
        <v>0</v>
      </c>
      <c r="GS211" s="2">
        <v>2</v>
      </c>
      <c r="GT211" s="2">
        <v>0</v>
      </c>
      <c r="GU211" s="2" t="s">
        <v>3</v>
      </c>
      <c r="GV211" s="2">
        <f t="shared" si="166"/>
        <v>0</v>
      </c>
      <c r="GW211" s="2">
        <v>1</v>
      </c>
      <c r="GX211" s="2">
        <f t="shared" si="167"/>
        <v>0</v>
      </c>
      <c r="GY211" s="2"/>
      <c r="GZ211" s="2"/>
      <c r="HA211" s="2">
        <v>0</v>
      </c>
      <c r="HB211" s="2">
        <v>0</v>
      </c>
      <c r="HC211" s="2">
        <f t="shared" si="168"/>
        <v>0</v>
      </c>
      <c r="HD211" s="2"/>
      <c r="HE211" s="2" t="s">
        <v>40</v>
      </c>
      <c r="HF211" s="2" t="s">
        <v>182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5">
      <c r="A212" s="3">
        <v>17</v>
      </c>
      <c r="B212" s="3">
        <v>1</v>
      </c>
      <c r="E212" s="3" t="s">
        <v>228</v>
      </c>
      <c r="F212" s="3" t="s">
        <v>229</v>
      </c>
      <c r="G212" s="3" t="s">
        <v>230</v>
      </c>
      <c r="H212" s="3" t="s">
        <v>177</v>
      </c>
      <c r="I212" s="3">
        <v>6</v>
      </c>
      <c r="J212" s="3">
        <v>0</v>
      </c>
      <c r="K212" s="3">
        <v>6</v>
      </c>
      <c r="O212" s="3">
        <f t="shared" si="146"/>
        <v>128558.58</v>
      </c>
      <c r="P212" s="3">
        <f t="shared" si="171"/>
        <v>128558.58</v>
      </c>
      <c r="Q212" s="3">
        <f>(ROUND((ROUND(((ET212)*AV212*I212),2)*BB212),2)+ROUND((ROUND(((AE212-(EU212))*AV212*I212),2)*BS212),2))</f>
        <v>0</v>
      </c>
      <c r="R212" s="3">
        <f>(ROUND((ROUND(((EU212)*AV212*I212),2)*BS212),2)+ROUND((ROUND(((AE212-(EU212))*AV212*I212),2)*BS212),2))</f>
        <v>0</v>
      </c>
      <c r="S212" s="3">
        <f t="shared" si="147"/>
        <v>0</v>
      </c>
      <c r="T212" s="3">
        <f t="shared" si="148"/>
        <v>0</v>
      </c>
      <c r="U212" s="3">
        <f t="shared" si="149"/>
        <v>0</v>
      </c>
      <c r="V212" s="3">
        <f t="shared" si="150"/>
        <v>0</v>
      </c>
      <c r="W212" s="3">
        <f t="shared" si="151"/>
        <v>0</v>
      </c>
      <c r="X212" s="3">
        <f>(ROUND((((S212+ROUND((ROUND(((EU212)*AV212*I212),2)*BS212),2))*AT212)/100),2)+ROUND(((ROUND((ROUND(((AE212-(EU212))*AV212*I212),2)*BS212),2)*AT212)/100),2))</f>
        <v>0</v>
      </c>
      <c r="Y212" s="3">
        <f>(ROUND((((S212+ROUND((ROUND(((EU212)*AV212*I212),2)*BS212),2))*AU212)/100),2)+ROUND(((ROUND((ROUND(((AE212-(EU212))*AV212*I212),2)*BS212),2)*AU212)/100),2))</f>
        <v>0</v>
      </c>
      <c r="AA212" s="3">
        <v>57034454</v>
      </c>
      <c r="AB212" s="3">
        <f t="shared" si="152"/>
        <v>2830.44</v>
      </c>
      <c r="AC212" s="3">
        <f>ROUND((ES212),6)</f>
        <v>2830.44</v>
      </c>
      <c r="AD212" s="3">
        <f>ROUND((((ET212)-(EU212))+AE212),6)</f>
        <v>0</v>
      </c>
      <c r="AE212" s="3">
        <f t="shared" si="173"/>
        <v>0</v>
      </c>
      <c r="AF212" s="3">
        <f t="shared" si="173"/>
        <v>0</v>
      </c>
      <c r="AG212" s="3">
        <f t="shared" si="153"/>
        <v>0</v>
      </c>
      <c r="AH212" s="3">
        <f t="shared" si="174"/>
        <v>0</v>
      </c>
      <c r="AI212" s="3">
        <f t="shared" si="174"/>
        <v>0</v>
      </c>
      <c r="AJ212" s="3">
        <f t="shared" si="154"/>
        <v>0</v>
      </c>
      <c r="AK212" s="3">
        <v>2830.44</v>
      </c>
      <c r="AL212" s="3">
        <v>2830.44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90</v>
      </c>
      <c r="AU212" s="3">
        <v>46</v>
      </c>
      <c r="AV212" s="3">
        <v>1</v>
      </c>
      <c r="AW212" s="3">
        <v>1</v>
      </c>
      <c r="AZ212" s="3">
        <v>1</v>
      </c>
      <c r="BA212" s="3">
        <v>1</v>
      </c>
      <c r="BB212" s="3">
        <v>1</v>
      </c>
      <c r="BC212" s="3">
        <v>7.57</v>
      </c>
      <c r="BD212" s="3" t="s">
        <v>3</v>
      </c>
      <c r="BE212" s="3" t="s">
        <v>3</v>
      </c>
      <c r="BF212" s="3" t="s">
        <v>3</v>
      </c>
      <c r="BG212" s="3" t="s">
        <v>3</v>
      </c>
      <c r="BH212" s="3">
        <v>3</v>
      </c>
      <c r="BI212" s="3">
        <v>3</v>
      </c>
      <c r="BJ212" s="3" t="s">
        <v>3</v>
      </c>
      <c r="BM212" s="3">
        <v>68</v>
      </c>
      <c r="BN212" s="3">
        <v>0</v>
      </c>
      <c r="BO212" s="3" t="s">
        <v>3</v>
      </c>
      <c r="BP212" s="3">
        <v>0</v>
      </c>
      <c r="BQ212" s="3">
        <v>40</v>
      </c>
      <c r="BR212" s="3">
        <v>0</v>
      </c>
      <c r="BS212" s="3">
        <v>1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 t="s">
        <v>3</v>
      </c>
      <c r="BZ212" s="3">
        <v>90</v>
      </c>
      <c r="CA212" s="3">
        <v>46</v>
      </c>
      <c r="CB212" s="3" t="s">
        <v>3</v>
      </c>
      <c r="CE212" s="3">
        <v>1566</v>
      </c>
      <c r="CF212" s="3">
        <v>0</v>
      </c>
      <c r="CG212" s="3">
        <v>0</v>
      </c>
      <c r="CM212" s="3">
        <v>0</v>
      </c>
      <c r="CN212" s="3" t="s">
        <v>3</v>
      </c>
      <c r="CO212" s="3">
        <v>0</v>
      </c>
      <c r="CP212" s="3">
        <f t="shared" si="155"/>
        <v>128558.58</v>
      </c>
      <c r="CQ212" s="3">
        <f t="shared" si="172"/>
        <v>21426.43</v>
      </c>
      <c r="CR212" s="3">
        <f>(ROUND((ROUND(((ET212)*AV212*1),2)*BB212),2)+ROUND((ROUND(((AE212-(EU212))*AV212*1),2)*BS212),2))</f>
        <v>0</v>
      </c>
      <c r="CS212" s="3">
        <f>(ROUND((ROUND(((EU212)*AV212*1),2)*BS212),2)+ROUND((ROUND(((AE212-(EU212))*AV212*1),2)*BS212),2))</f>
        <v>0</v>
      </c>
      <c r="CT212" s="3">
        <f t="shared" si="156"/>
        <v>0</v>
      </c>
      <c r="CU212" s="3">
        <f t="shared" si="157"/>
        <v>0</v>
      </c>
      <c r="CV212" s="3">
        <f t="shared" si="158"/>
        <v>0</v>
      </c>
      <c r="CW212" s="3">
        <f t="shared" si="159"/>
        <v>0</v>
      </c>
      <c r="CX212" s="3">
        <f t="shared" si="160"/>
        <v>0</v>
      </c>
      <c r="CY212" s="3">
        <f>(ROUND((((S212+ROUND((ROUND(((EU212)*AV212*1),2)*BS212),2))*AT212)/100),2)+ROUND(((ROUND((ROUND(((AE212-(EU212))*AV212*1),2)*BS212),2)*AT212)/100),2))</f>
        <v>0</v>
      </c>
      <c r="CZ212" s="3">
        <f>(ROUND((((S212+ROUND((ROUND(((EU212)*AV212*1),2)*BS212),2))*AU212)/100),2)+ROUND(((ROUND((ROUND(((AE212-(EU212))*AV212*1),2)*BS212),2)*AU212)/100),2))</f>
        <v>0</v>
      </c>
      <c r="DC212" s="3" t="s">
        <v>3</v>
      </c>
      <c r="DD212" s="3" t="s">
        <v>3</v>
      </c>
      <c r="DE212" s="3" t="s">
        <v>3</v>
      </c>
      <c r="DF212" s="3" t="s">
        <v>3</v>
      </c>
      <c r="DG212" s="3" t="s">
        <v>3</v>
      </c>
      <c r="DH212" s="3" t="s">
        <v>3</v>
      </c>
      <c r="DI212" s="3" t="s">
        <v>3</v>
      </c>
      <c r="DJ212" s="3" t="s">
        <v>3</v>
      </c>
      <c r="DK212" s="3" t="s">
        <v>3</v>
      </c>
      <c r="DL212" s="3" t="s">
        <v>3</v>
      </c>
      <c r="DM212" s="3" t="s">
        <v>3</v>
      </c>
      <c r="DN212" s="3">
        <v>0</v>
      </c>
      <c r="DO212" s="3">
        <v>0</v>
      </c>
      <c r="DP212" s="3">
        <v>1</v>
      </c>
      <c r="DQ212" s="3">
        <v>1</v>
      </c>
      <c r="DU212" s="3">
        <v>1010</v>
      </c>
      <c r="DV212" s="3" t="s">
        <v>177</v>
      </c>
      <c r="DW212" s="3" t="s">
        <v>177</v>
      </c>
      <c r="DX212" s="3">
        <v>1</v>
      </c>
      <c r="DZ212" s="3" t="s">
        <v>3</v>
      </c>
      <c r="EA212" s="3" t="s">
        <v>3</v>
      </c>
      <c r="EB212" s="3" t="s">
        <v>3</v>
      </c>
      <c r="EC212" s="3" t="s">
        <v>3</v>
      </c>
      <c r="EE212" s="3">
        <v>57042958</v>
      </c>
      <c r="EF212" s="3">
        <v>40</v>
      </c>
      <c r="EG212" s="3" t="s">
        <v>30</v>
      </c>
      <c r="EH212" s="3">
        <v>0</v>
      </c>
      <c r="EI212" s="3" t="s">
        <v>3</v>
      </c>
      <c r="EJ212" s="3">
        <v>2</v>
      </c>
      <c r="EK212" s="3">
        <v>68</v>
      </c>
      <c r="EL212" s="3" t="s">
        <v>38</v>
      </c>
      <c r="EM212" s="3" t="s">
        <v>39</v>
      </c>
      <c r="EO212" s="3" t="s">
        <v>3</v>
      </c>
      <c r="EQ212" s="3">
        <v>2097152</v>
      </c>
      <c r="ER212" s="3">
        <v>2830.44</v>
      </c>
      <c r="ES212" s="3">
        <v>2830.44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5</v>
      </c>
      <c r="FC212" s="3">
        <v>1</v>
      </c>
      <c r="FD212" s="3">
        <v>18</v>
      </c>
      <c r="FF212" s="3">
        <v>25078</v>
      </c>
      <c r="FQ212" s="3">
        <v>0</v>
      </c>
      <c r="FR212" s="3">
        <f>P212</f>
        <v>128558.58</v>
      </c>
      <c r="FS212" s="3">
        <v>0</v>
      </c>
      <c r="FX212" s="3">
        <v>90</v>
      </c>
      <c r="FY212" s="3">
        <v>46</v>
      </c>
      <c r="GA212" s="3" t="s">
        <v>231</v>
      </c>
      <c r="GD212" s="3">
        <v>1</v>
      </c>
      <c r="GF212" s="3">
        <v>1466565330</v>
      </c>
      <c r="GG212" s="3">
        <v>2</v>
      </c>
      <c r="GH212" s="3">
        <v>3</v>
      </c>
      <c r="GI212" s="3">
        <v>5</v>
      </c>
      <c r="GJ212" s="3">
        <v>0</v>
      </c>
      <c r="GK212" s="3">
        <v>0</v>
      </c>
      <c r="GL212" s="3">
        <f t="shared" si="161"/>
        <v>0</v>
      </c>
      <c r="GM212" s="3">
        <f t="shared" si="162"/>
        <v>128558.58</v>
      </c>
      <c r="GN212" s="3">
        <f t="shared" si="163"/>
        <v>0</v>
      </c>
      <c r="GO212" s="3">
        <f t="shared" si="164"/>
        <v>0</v>
      </c>
      <c r="GP212" s="3">
        <f t="shared" si="165"/>
        <v>0</v>
      </c>
      <c r="GR212" s="3">
        <v>1</v>
      </c>
      <c r="GS212" s="3">
        <v>1</v>
      </c>
      <c r="GT212" s="3">
        <v>0</v>
      </c>
      <c r="GU212" s="3" t="s">
        <v>3</v>
      </c>
      <c r="GV212" s="3">
        <f t="shared" si="166"/>
        <v>0</v>
      </c>
      <c r="GW212" s="3">
        <v>1</v>
      </c>
      <c r="GX212" s="3">
        <f t="shared" si="167"/>
        <v>0</v>
      </c>
      <c r="HA212" s="3">
        <v>0</v>
      </c>
      <c r="HB212" s="3">
        <v>0</v>
      </c>
      <c r="HC212" s="3">
        <f t="shared" si="168"/>
        <v>0</v>
      </c>
      <c r="HE212" s="3" t="s">
        <v>40</v>
      </c>
      <c r="HF212" s="3" t="s">
        <v>182</v>
      </c>
      <c r="HM212" s="3" t="s">
        <v>3</v>
      </c>
      <c r="HN212" s="3" t="s">
        <v>3</v>
      </c>
      <c r="HO212" s="3" t="s">
        <v>3</v>
      </c>
      <c r="HP212" s="3" t="s">
        <v>3</v>
      </c>
      <c r="HQ212" s="3" t="s">
        <v>3</v>
      </c>
      <c r="HS212" s="3">
        <v>0</v>
      </c>
      <c r="IK212" s="3">
        <v>0</v>
      </c>
    </row>
    <row r="213" spans="1:255" x14ac:dyDescent="0.25">
      <c r="A213" s="2">
        <v>17</v>
      </c>
      <c r="B213" s="2">
        <v>1</v>
      </c>
      <c r="C213" s="2">
        <f>ROW(SmtRes!A158)</f>
        <v>158</v>
      </c>
      <c r="D213" s="2">
        <f>ROW(EtalonRes!A179)</f>
        <v>179</v>
      </c>
      <c r="E213" s="2" t="s">
        <v>3</v>
      </c>
      <c r="F213" s="2" t="s">
        <v>53</v>
      </c>
      <c r="G213" s="2" t="s">
        <v>232</v>
      </c>
      <c r="H213" s="2" t="s">
        <v>26</v>
      </c>
      <c r="I213" s="2">
        <f>ROUND(10,9)</f>
        <v>10</v>
      </c>
      <c r="J213" s="2">
        <v>0</v>
      </c>
      <c r="K213" s="2">
        <f>ROUND(10,9)</f>
        <v>10</v>
      </c>
      <c r="L213" s="2"/>
      <c r="M213" s="2"/>
      <c r="N213" s="2"/>
      <c r="O213" s="2">
        <f t="shared" si="146"/>
        <v>139.16</v>
      </c>
      <c r="P213" s="2">
        <f t="shared" si="171"/>
        <v>5.6</v>
      </c>
      <c r="Q213" s="2">
        <f>(ROUND((ROUND((((ET213*1.2))*AV213*I213),2)*BB213),2)+ROUND((ROUND(((AE213-((EU213*1.2)))*AV213*I213),2)*BS213),2))</f>
        <v>0.38</v>
      </c>
      <c r="R213" s="2">
        <f>(ROUND((ROUND((((EU213*1.2))*AV213*I213),2)*BS213),2)+ROUND((ROUND(((AE213-((EU213*1.2)))*AV213*I213),2)*BS213),2))</f>
        <v>0</v>
      </c>
      <c r="S213" s="2">
        <f t="shared" si="147"/>
        <v>133.18</v>
      </c>
      <c r="T213" s="2">
        <f t="shared" si="148"/>
        <v>0</v>
      </c>
      <c r="U213" s="2">
        <f t="shared" si="149"/>
        <v>10.553759999999999</v>
      </c>
      <c r="V213" s="2">
        <f t="shared" si="150"/>
        <v>0</v>
      </c>
      <c r="W213" s="2">
        <f t="shared" si="151"/>
        <v>0</v>
      </c>
      <c r="X213" s="2">
        <f>(ROUND((((S213+ROUND((ROUND((((EU213*1.2))*AV213*I213),2)*BS213),2))*AT213)/100),2)+ROUND(((ROUND((ROUND(((AE213-((EU213*1.2)))*AV213*I213),2)*BS213),2)*AT213)/100),2))</f>
        <v>119.86</v>
      </c>
      <c r="Y213" s="2">
        <f>(ROUND((((S213+ROUND((ROUND((((EU213*1.2))*AV213*I213),2)*BS213),2))*AU213)/100),2)+ROUND(((ROUND((ROUND(((AE213-((EU213*1.2)))*AV213*I213),2)*BS213),2)*AU213)/100),2))</f>
        <v>61.26</v>
      </c>
      <c r="Z213" s="2"/>
      <c r="AA213" s="2">
        <v>-1</v>
      </c>
      <c r="AB213" s="2">
        <f t="shared" si="152"/>
        <v>13.316000000000001</v>
      </c>
      <c r="AC213" s="2">
        <f>ROUND(((ES213*1)),6)</f>
        <v>0.56000000000000005</v>
      </c>
      <c r="AD213" s="2">
        <f>ROUND(((((ET213*1.2))-((EU213*1.2)))+AE213),6)</f>
        <v>3.5999999999999997E-2</v>
      </c>
      <c r="AE213" s="2">
        <f>ROUND(((EU213*1.2)),6)</f>
        <v>0</v>
      </c>
      <c r="AF213" s="2">
        <f>ROUND(((EV213*1.2)),6)</f>
        <v>12.72</v>
      </c>
      <c r="AG213" s="2">
        <f t="shared" si="153"/>
        <v>0</v>
      </c>
      <c r="AH213" s="2">
        <f>((EW213*1.2))</f>
        <v>1.008</v>
      </c>
      <c r="AI213" s="2">
        <f>((EX213*1.2))</f>
        <v>0</v>
      </c>
      <c r="AJ213" s="2">
        <f t="shared" si="154"/>
        <v>0</v>
      </c>
      <c r="AK213" s="2">
        <v>11.19</v>
      </c>
      <c r="AL213" s="2">
        <v>0.56000000000000005</v>
      </c>
      <c r="AM213" s="2">
        <v>0.03</v>
      </c>
      <c r="AN213" s="2">
        <v>0</v>
      </c>
      <c r="AO213" s="2">
        <v>10.6</v>
      </c>
      <c r="AP213" s="2">
        <v>0</v>
      </c>
      <c r="AQ213" s="2">
        <v>0.84</v>
      </c>
      <c r="AR213" s="2">
        <v>0</v>
      </c>
      <c r="AS213" s="2">
        <v>0</v>
      </c>
      <c r="AT213" s="2">
        <v>90</v>
      </c>
      <c r="AU213" s="2">
        <v>46</v>
      </c>
      <c r="AV213" s="2">
        <v>1.0469999999999999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0</v>
      </c>
      <c r="BI213" s="2">
        <v>2</v>
      </c>
      <c r="BJ213" s="2" t="s">
        <v>55</v>
      </c>
      <c r="BK213" s="2"/>
      <c r="BL213" s="2"/>
      <c r="BM213" s="2">
        <v>68</v>
      </c>
      <c r="BN213" s="2">
        <v>0</v>
      </c>
      <c r="BO213" s="2" t="s">
        <v>53</v>
      </c>
      <c r="BP213" s="2">
        <v>1</v>
      </c>
      <c r="BQ213" s="2">
        <v>40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90</v>
      </c>
      <c r="CA213" s="2">
        <v>46</v>
      </c>
      <c r="CB213" s="2" t="s">
        <v>3</v>
      </c>
      <c r="CC213" s="2"/>
      <c r="CD213" s="2"/>
      <c r="CE213" s="2">
        <v>1566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614</v>
      </c>
      <c r="CO213" s="2">
        <v>0</v>
      </c>
      <c r="CP213" s="2">
        <f t="shared" si="155"/>
        <v>139.16</v>
      </c>
      <c r="CQ213" s="2">
        <f t="shared" si="172"/>
        <v>0.56000000000000005</v>
      </c>
      <c r="CR213" s="2">
        <f>(ROUND((ROUND((((ET213*1.2))*AV213*1),2)*BB213),2)+ROUND((ROUND(((AE213-((EU213*1.2)))*AV213*1),2)*BS213),2))</f>
        <v>0.04</v>
      </c>
      <c r="CS213" s="2">
        <f>(ROUND((ROUND((((EU213*1.2))*AV213*1),2)*BS213),2)+ROUND((ROUND(((AE213-((EU213*1.2)))*AV213*1),2)*BS213),2))</f>
        <v>0</v>
      </c>
      <c r="CT213" s="2">
        <f t="shared" si="156"/>
        <v>13.32</v>
      </c>
      <c r="CU213" s="2">
        <f t="shared" si="157"/>
        <v>0</v>
      </c>
      <c r="CV213" s="2">
        <f t="shared" si="158"/>
        <v>1.0553759999999999</v>
      </c>
      <c r="CW213" s="2">
        <f t="shared" si="159"/>
        <v>0</v>
      </c>
      <c r="CX213" s="2">
        <f t="shared" si="160"/>
        <v>0</v>
      </c>
      <c r="CY213" s="2">
        <f>(ROUND((((S213+ROUND((ROUND((((EU213*1.2))*AV213*1),2)*BS213),2))*AT213)/100),2)+ROUND(((ROUND((ROUND(((AE213-((EU213*1.2)))*AV213*1),2)*BS213),2)*AT213)/100),2))</f>
        <v>119.86</v>
      </c>
      <c r="CZ213" s="2">
        <f>(ROUND((((S213+ROUND((ROUND((((EU213*1.2))*AV213*1),2)*BS213),2))*AU213)/100),2)+ROUND(((ROUND((ROUND(((AE213-((EU213*1.2)))*AV213*1),2)*BS213),2)*AU213)/100),2))</f>
        <v>61.26</v>
      </c>
      <c r="DA213" s="2"/>
      <c r="DB213" s="2">
        <v>97</v>
      </c>
      <c r="DC213" s="2" t="s">
        <v>3</v>
      </c>
      <c r="DD213" s="2" t="s">
        <v>104</v>
      </c>
      <c r="DE213" s="2" t="s">
        <v>105</v>
      </c>
      <c r="DF213" s="2" t="s">
        <v>105</v>
      </c>
      <c r="DG213" s="2" t="s">
        <v>105</v>
      </c>
      <c r="DH213" s="2" t="s">
        <v>3</v>
      </c>
      <c r="DI213" s="2" t="s">
        <v>105</v>
      </c>
      <c r="DJ213" s="2" t="s">
        <v>105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1013</v>
      </c>
      <c r="DV213" s="2" t="s">
        <v>26</v>
      </c>
      <c r="DW213" s="2" t="s">
        <v>26</v>
      </c>
      <c r="DX213" s="2">
        <v>1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57042958</v>
      </c>
      <c r="EF213" s="2">
        <v>40</v>
      </c>
      <c r="EG213" s="2" t="s">
        <v>30</v>
      </c>
      <c r="EH213" s="2">
        <v>0</v>
      </c>
      <c r="EI213" s="2" t="s">
        <v>3</v>
      </c>
      <c r="EJ213" s="2">
        <v>2</v>
      </c>
      <c r="EK213" s="2">
        <v>68</v>
      </c>
      <c r="EL213" s="2" t="s">
        <v>38</v>
      </c>
      <c r="EM213" s="2" t="s">
        <v>39</v>
      </c>
      <c r="EN213" s="2"/>
      <c r="EO213" s="2" t="s">
        <v>109</v>
      </c>
      <c r="EP213" s="2"/>
      <c r="EQ213" s="2">
        <v>132096</v>
      </c>
      <c r="ER213" s="2">
        <v>11.19</v>
      </c>
      <c r="ES213" s="2">
        <v>0.56000000000000005</v>
      </c>
      <c r="ET213" s="2">
        <v>0.03</v>
      </c>
      <c r="EU213" s="2">
        <v>0</v>
      </c>
      <c r="EV213" s="2">
        <v>10.6</v>
      </c>
      <c r="EW213" s="2">
        <v>0.84</v>
      </c>
      <c r="EX213" s="2">
        <v>0</v>
      </c>
      <c r="EY213" s="2">
        <v>0</v>
      </c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v>0</v>
      </c>
      <c r="FS213" s="2">
        <v>0</v>
      </c>
      <c r="FT213" s="2"/>
      <c r="FU213" s="2"/>
      <c r="FV213" s="2"/>
      <c r="FW213" s="2"/>
      <c r="FX213" s="2">
        <v>90</v>
      </c>
      <c r="FY213" s="2">
        <v>46</v>
      </c>
      <c r="FZ213" s="2"/>
      <c r="GA213" s="2" t="s">
        <v>3</v>
      </c>
      <c r="GB213" s="2"/>
      <c r="GC213" s="2"/>
      <c r="GD213" s="2">
        <v>1</v>
      </c>
      <c r="GE213" s="2"/>
      <c r="GF213" s="2">
        <v>-1159166061</v>
      </c>
      <c r="GG213" s="2">
        <v>2</v>
      </c>
      <c r="GH213" s="2">
        <v>1</v>
      </c>
      <c r="GI213" s="2">
        <v>2</v>
      </c>
      <c r="GJ213" s="2">
        <v>0</v>
      </c>
      <c r="GK213" s="2">
        <v>0</v>
      </c>
      <c r="GL213" s="2">
        <f t="shared" si="161"/>
        <v>0</v>
      </c>
      <c r="GM213" s="2">
        <f t="shared" si="162"/>
        <v>320.27999999999997</v>
      </c>
      <c r="GN213" s="2">
        <f t="shared" si="163"/>
        <v>0</v>
      </c>
      <c r="GO213" s="2">
        <f t="shared" si="164"/>
        <v>320.27999999999997</v>
      </c>
      <c r="GP213" s="2">
        <f t="shared" si="165"/>
        <v>0</v>
      </c>
      <c r="GQ213" s="2"/>
      <c r="GR213" s="2">
        <v>0</v>
      </c>
      <c r="GS213" s="2">
        <v>3</v>
      </c>
      <c r="GT213" s="2">
        <v>0</v>
      </c>
      <c r="GU213" s="2" t="s">
        <v>3</v>
      </c>
      <c r="GV213" s="2">
        <f t="shared" si="166"/>
        <v>0</v>
      </c>
      <c r="GW213" s="2">
        <v>1</v>
      </c>
      <c r="GX213" s="2">
        <f t="shared" si="167"/>
        <v>0</v>
      </c>
      <c r="GY213" s="2"/>
      <c r="GZ213" s="2"/>
      <c r="HA213" s="2">
        <v>0</v>
      </c>
      <c r="HB213" s="2">
        <v>0</v>
      </c>
      <c r="HC213" s="2">
        <f t="shared" si="168"/>
        <v>0</v>
      </c>
      <c r="HD213" s="2"/>
      <c r="HE213" s="2" t="s">
        <v>3</v>
      </c>
      <c r="HF213" s="2" t="s">
        <v>3</v>
      </c>
      <c r="HG213" s="2"/>
      <c r="HH213" s="2"/>
      <c r="HI213" s="2"/>
      <c r="HJ213" s="2"/>
      <c r="HK213" s="2"/>
      <c r="HL213" s="2"/>
      <c r="HM213" s="2" t="s">
        <v>3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5">
      <c r="A214" s="3">
        <v>17</v>
      </c>
      <c r="B214" s="3">
        <v>1</v>
      </c>
      <c r="C214" s="3">
        <f>ROW(SmtRes!A160)</f>
        <v>160</v>
      </c>
      <c r="D214" s="3">
        <f>ROW(EtalonRes!A180)</f>
        <v>180</v>
      </c>
      <c r="E214" s="3" t="s">
        <v>3</v>
      </c>
      <c r="F214" s="3" t="s">
        <v>53</v>
      </c>
      <c r="G214" s="3" t="s">
        <v>232</v>
      </c>
      <c r="H214" s="3" t="s">
        <v>26</v>
      </c>
      <c r="I214" s="3">
        <f>ROUND(10,9)</f>
        <v>10</v>
      </c>
      <c r="J214" s="3">
        <v>0</v>
      </c>
      <c r="K214" s="3">
        <f>ROUND(10,9)</f>
        <v>10</v>
      </c>
      <c r="O214" s="3">
        <f t="shared" si="146"/>
        <v>7563.97</v>
      </c>
      <c r="P214" s="3">
        <f t="shared" si="171"/>
        <v>55.1</v>
      </c>
      <c r="Q214" s="3">
        <f>(ROUND((ROUND((((ET214*1.2))*AV214*I214),2)*BB214),2)+ROUND((ROUND(((AE214-((EU214*1.2)))*AV214*I214),2)*BS214),2))</f>
        <v>4.18</v>
      </c>
      <c r="R214" s="3">
        <f>(ROUND((ROUND((((EU214*1.2))*AV214*I214),2)*BS214),2)+ROUND((ROUND(((AE214-((EU214*1.2)))*AV214*I214),2)*BS214),2))</f>
        <v>0</v>
      </c>
      <c r="S214" s="3">
        <f t="shared" si="147"/>
        <v>7504.69</v>
      </c>
      <c r="T214" s="3">
        <f t="shared" si="148"/>
        <v>0</v>
      </c>
      <c r="U214" s="3">
        <f t="shared" si="149"/>
        <v>10.553759999999999</v>
      </c>
      <c r="V214" s="3">
        <f t="shared" si="150"/>
        <v>0</v>
      </c>
      <c r="W214" s="3">
        <f t="shared" si="151"/>
        <v>0</v>
      </c>
      <c r="X214" s="3">
        <f>(ROUND((((S214+ROUND((ROUND((((EU214*1.2))*AV214*I214),2)*BS214),2))*AT214)/100),2)+ROUND(((ROUND((ROUND(((AE214-((EU214*1.2)))*AV214*I214),2)*BS214),2)*AT214)/100),2))</f>
        <v>6754.22</v>
      </c>
      <c r="Y214" s="3">
        <f>(ROUND((((S214+ROUND((ROUND((((EU214*1.2))*AV214*I214),2)*BS214),2))*AU214)/100),2)+ROUND(((ROUND((ROUND(((AE214-((EU214*1.2)))*AV214*I214),2)*BS214),2)*AU214)/100),2))</f>
        <v>3452.16</v>
      </c>
      <c r="AA214" s="3">
        <v>-1</v>
      </c>
      <c r="AB214" s="3">
        <f t="shared" si="152"/>
        <v>13.316000000000001</v>
      </c>
      <c r="AC214" s="3">
        <f>ROUND(((ES214*1)),6)</f>
        <v>0.56000000000000005</v>
      </c>
      <c r="AD214" s="3">
        <f>ROUND(((((ET214*1.2))-((EU214*1.2)))+AE214),6)</f>
        <v>3.5999999999999997E-2</v>
      </c>
      <c r="AE214" s="3">
        <f>ROUND(((EU214*1.2)),6)</f>
        <v>0</v>
      </c>
      <c r="AF214" s="3">
        <f>ROUND(((EV214*1.2)),6)</f>
        <v>12.72</v>
      </c>
      <c r="AG214" s="3">
        <f t="shared" si="153"/>
        <v>0</v>
      </c>
      <c r="AH214" s="3">
        <f>((EW214*1.2))</f>
        <v>1.008</v>
      </c>
      <c r="AI214" s="3">
        <f>((EX214*1.2))</f>
        <v>0</v>
      </c>
      <c r="AJ214" s="3">
        <f t="shared" si="154"/>
        <v>0</v>
      </c>
      <c r="AK214" s="3">
        <v>11.19</v>
      </c>
      <c r="AL214" s="3">
        <v>0.56000000000000005</v>
      </c>
      <c r="AM214" s="3">
        <v>0.03</v>
      </c>
      <c r="AN214" s="3">
        <v>0</v>
      </c>
      <c r="AO214" s="3">
        <v>10.6</v>
      </c>
      <c r="AP214" s="3">
        <v>0</v>
      </c>
      <c r="AQ214" s="3">
        <v>0.84</v>
      </c>
      <c r="AR214" s="3">
        <v>0</v>
      </c>
      <c r="AS214" s="3">
        <v>0</v>
      </c>
      <c r="AT214" s="3">
        <v>90</v>
      </c>
      <c r="AU214" s="3">
        <v>46</v>
      </c>
      <c r="AV214" s="3">
        <v>1.0469999999999999</v>
      </c>
      <c r="AW214" s="3">
        <v>1</v>
      </c>
      <c r="AZ214" s="3">
        <v>1</v>
      </c>
      <c r="BA214" s="3">
        <v>56.35</v>
      </c>
      <c r="BB214" s="3">
        <v>11</v>
      </c>
      <c r="BC214" s="3">
        <v>9.84</v>
      </c>
      <c r="BD214" s="3" t="s">
        <v>3</v>
      </c>
      <c r="BE214" s="3" t="s">
        <v>3</v>
      </c>
      <c r="BF214" s="3" t="s">
        <v>3</v>
      </c>
      <c r="BG214" s="3" t="s">
        <v>3</v>
      </c>
      <c r="BH214" s="3">
        <v>0</v>
      </c>
      <c r="BI214" s="3">
        <v>2</v>
      </c>
      <c r="BJ214" s="3" t="s">
        <v>55</v>
      </c>
      <c r="BM214" s="3">
        <v>68</v>
      </c>
      <c r="BN214" s="3">
        <v>0</v>
      </c>
      <c r="BO214" s="3" t="s">
        <v>53</v>
      </c>
      <c r="BP214" s="3">
        <v>1</v>
      </c>
      <c r="BQ214" s="3">
        <v>40</v>
      </c>
      <c r="BR214" s="3">
        <v>0</v>
      </c>
      <c r="BS214" s="3">
        <v>56.35</v>
      </c>
      <c r="BT214" s="3">
        <v>1</v>
      </c>
      <c r="BU214" s="3">
        <v>1</v>
      </c>
      <c r="BV214" s="3">
        <v>1</v>
      </c>
      <c r="BW214" s="3">
        <v>1</v>
      </c>
      <c r="BX214" s="3">
        <v>1</v>
      </c>
      <c r="BY214" s="3" t="s">
        <v>3</v>
      </c>
      <c r="BZ214" s="3">
        <v>90</v>
      </c>
      <c r="CA214" s="3">
        <v>46</v>
      </c>
      <c r="CB214" s="3" t="s">
        <v>3</v>
      </c>
      <c r="CE214" s="3">
        <v>1566</v>
      </c>
      <c r="CF214" s="3">
        <v>0</v>
      </c>
      <c r="CG214" s="3">
        <v>0</v>
      </c>
      <c r="CM214" s="3">
        <v>0</v>
      </c>
      <c r="CN214" s="3" t="s">
        <v>614</v>
      </c>
      <c r="CO214" s="3">
        <v>0</v>
      </c>
      <c r="CP214" s="3">
        <f t="shared" si="155"/>
        <v>7563.9699999999993</v>
      </c>
      <c r="CQ214" s="3">
        <f t="shared" si="172"/>
        <v>5.51</v>
      </c>
      <c r="CR214" s="3">
        <f>(ROUND((ROUND((((ET214*1.2))*AV214*1),2)*BB214),2)+ROUND((ROUND(((AE214-((EU214*1.2)))*AV214*1),2)*BS214),2))</f>
        <v>0.44</v>
      </c>
      <c r="CS214" s="3">
        <f>(ROUND((ROUND((((EU214*1.2))*AV214*1),2)*BS214),2)+ROUND((ROUND(((AE214-((EU214*1.2)))*AV214*1),2)*BS214),2))</f>
        <v>0</v>
      </c>
      <c r="CT214" s="3">
        <f t="shared" si="156"/>
        <v>750.58</v>
      </c>
      <c r="CU214" s="3">
        <f t="shared" si="157"/>
        <v>0</v>
      </c>
      <c r="CV214" s="3">
        <f t="shared" si="158"/>
        <v>1.0553759999999999</v>
      </c>
      <c r="CW214" s="3">
        <f t="shared" si="159"/>
        <v>0</v>
      </c>
      <c r="CX214" s="3">
        <f t="shared" si="160"/>
        <v>0</v>
      </c>
      <c r="CY214" s="3">
        <f>(ROUND((((S214+ROUND((ROUND((((EU214*1.2))*AV214*1),2)*BS214),2))*AT214)/100),2)+ROUND(((ROUND((ROUND(((AE214-((EU214*1.2)))*AV214*1),2)*BS214),2)*AT214)/100),2))</f>
        <v>6754.22</v>
      </c>
      <c r="CZ214" s="3">
        <f>(ROUND((((S214+ROUND((ROUND((((EU214*1.2))*AV214*1),2)*BS214),2))*AU214)/100),2)+ROUND(((ROUND((ROUND(((AE214-((EU214*1.2)))*AV214*1),2)*BS214),2)*AU214)/100),2))</f>
        <v>3452.16</v>
      </c>
      <c r="DB214" s="3">
        <v>98</v>
      </c>
      <c r="DC214" s="3" t="s">
        <v>3</v>
      </c>
      <c r="DD214" s="3" t="s">
        <v>104</v>
      </c>
      <c r="DE214" s="3" t="s">
        <v>105</v>
      </c>
      <c r="DF214" s="3" t="s">
        <v>105</v>
      </c>
      <c r="DG214" s="3" t="s">
        <v>105</v>
      </c>
      <c r="DH214" s="3" t="s">
        <v>3</v>
      </c>
      <c r="DI214" s="3" t="s">
        <v>105</v>
      </c>
      <c r="DJ214" s="3" t="s">
        <v>105</v>
      </c>
      <c r="DK214" s="3" t="s">
        <v>3</v>
      </c>
      <c r="DL214" s="3" t="s">
        <v>3</v>
      </c>
      <c r="DM214" s="3" t="s">
        <v>3</v>
      </c>
      <c r="DN214" s="3">
        <v>0</v>
      </c>
      <c r="DO214" s="3">
        <v>0</v>
      </c>
      <c r="DP214" s="3">
        <v>1</v>
      </c>
      <c r="DQ214" s="3">
        <v>1</v>
      </c>
      <c r="DU214" s="3">
        <v>1013</v>
      </c>
      <c r="DV214" s="3" t="s">
        <v>26</v>
      </c>
      <c r="DW214" s="3" t="s">
        <v>26</v>
      </c>
      <c r="DX214" s="3">
        <v>1</v>
      </c>
      <c r="DZ214" s="3" t="s">
        <v>3</v>
      </c>
      <c r="EA214" s="3" t="s">
        <v>3</v>
      </c>
      <c r="EB214" s="3" t="s">
        <v>3</v>
      </c>
      <c r="EC214" s="3" t="s">
        <v>3</v>
      </c>
      <c r="EE214" s="3">
        <v>57042958</v>
      </c>
      <c r="EF214" s="3">
        <v>40</v>
      </c>
      <c r="EG214" s="3" t="s">
        <v>30</v>
      </c>
      <c r="EH214" s="3">
        <v>0</v>
      </c>
      <c r="EI214" s="3" t="s">
        <v>3</v>
      </c>
      <c r="EJ214" s="3">
        <v>2</v>
      </c>
      <c r="EK214" s="3">
        <v>68</v>
      </c>
      <c r="EL214" s="3" t="s">
        <v>38</v>
      </c>
      <c r="EM214" s="3" t="s">
        <v>39</v>
      </c>
      <c r="EO214" s="3" t="s">
        <v>109</v>
      </c>
      <c r="EQ214" s="3">
        <v>132096</v>
      </c>
      <c r="ER214" s="3">
        <v>11.19</v>
      </c>
      <c r="ES214" s="3">
        <v>0.56000000000000005</v>
      </c>
      <c r="ET214" s="3">
        <v>0.03</v>
      </c>
      <c r="EU214" s="3">
        <v>0</v>
      </c>
      <c r="EV214" s="3">
        <v>10.6</v>
      </c>
      <c r="EW214" s="3">
        <v>0.84</v>
      </c>
      <c r="EX214" s="3">
        <v>0</v>
      </c>
      <c r="EY214" s="3">
        <v>0</v>
      </c>
      <c r="FQ214" s="3">
        <v>0</v>
      </c>
      <c r="FR214" s="3">
        <v>0</v>
      </c>
      <c r="FS214" s="3">
        <v>0</v>
      </c>
      <c r="FX214" s="3">
        <v>90</v>
      </c>
      <c r="FY214" s="3">
        <v>46</v>
      </c>
      <c r="GA214" s="3" t="s">
        <v>3</v>
      </c>
      <c r="GD214" s="3">
        <v>1</v>
      </c>
      <c r="GF214" s="3">
        <v>-1159166061</v>
      </c>
      <c r="GG214" s="3">
        <v>2</v>
      </c>
      <c r="GH214" s="3">
        <v>1</v>
      </c>
      <c r="GI214" s="3">
        <v>2</v>
      </c>
      <c r="GJ214" s="3">
        <v>0</v>
      </c>
      <c r="GK214" s="3">
        <v>0</v>
      </c>
      <c r="GL214" s="3">
        <f t="shared" si="161"/>
        <v>0</v>
      </c>
      <c r="GM214" s="3">
        <f t="shared" si="162"/>
        <v>17770.349999999999</v>
      </c>
      <c r="GN214" s="3">
        <f t="shared" si="163"/>
        <v>0</v>
      </c>
      <c r="GO214" s="3">
        <f t="shared" si="164"/>
        <v>17770.349999999999</v>
      </c>
      <c r="GP214" s="3">
        <f t="shared" si="165"/>
        <v>0</v>
      </c>
      <c r="GR214" s="3">
        <v>0</v>
      </c>
      <c r="GS214" s="3">
        <v>3</v>
      </c>
      <c r="GT214" s="3">
        <v>0</v>
      </c>
      <c r="GU214" s="3" t="s">
        <v>3</v>
      </c>
      <c r="GV214" s="3">
        <f t="shared" si="166"/>
        <v>0</v>
      </c>
      <c r="GW214" s="3">
        <v>1</v>
      </c>
      <c r="GX214" s="3">
        <f t="shared" si="167"/>
        <v>0</v>
      </c>
      <c r="HA214" s="3">
        <v>0</v>
      </c>
      <c r="HB214" s="3">
        <v>0</v>
      </c>
      <c r="HC214" s="3">
        <f t="shared" si="168"/>
        <v>0</v>
      </c>
      <c r="HE214" s="3" t="s">
        <v>3</v>
      </c>
      <c r="HF214" s="3" t="s">
        <v>3</v>
      </c>
      <c r="HM214" s="3" t="s">
        <v>3</v>
      </c>
      <c r="HN214" s="3" t="s">
        <v>3</v>
      </c>
      <c r="HO214" s="3" t="s">
        <v>3</v>
      </c>
      <c r="HP214" s="3" t="s">
        <v>3</v>
      </c>
      <c r="HQ214" s="3" t="s">
        <v>3</v>
      </c>
      <c r="HS214" s="3">
        <v>0</v>
      </c>
      <c r="IK214" s="3">
        <v>0</v>
      </c>
    </row>
    <row r="215" spans="1:255" x14ac:dyDescent="0.25">
      <c r="A215" s="2">
        <v>18</v>
      </c>
      <c r="B215" s="2">
        <v>1</v>
      </c>
      <c r="C215" s="2">
        <v>158</v>
      </c>
      <c r="D215" s="2"/>
      <c r="E215" s="2" t="s">
        <v>3</v>
      </c>
      <c r="F215" s="2" t="s">
        <v>233</v>
      </c>
      <c r="G215" s="2" t="s">
        <v>618</v>
      </c>
      <c r="H215" s="2" t="s">
        <v>177</v>
      </c>
      <c r="I215" s="2">
        <f>I213*J215</f>
        <v>10</v>
      </c>
      <c r="J215" s="2">
        <v>1</v>
      </c>
      <c r="K215" s="2">
        <v>1</v>
      </c>
      <c r="L215" s="2"/>
      <c r="M215" s="2"/>
      <c r="N215" s="2"/>
      <c r="O215" s="2">
        <f t="shared" si="146"/>
        <v>713.9</v>
      </c>
      <c r="P215" s="2">
        <f>ROUND((ROUND((AC215*I215),2)*BC215),2)</f>
        <v>713.9</v>
      </c>
      <c r="Q215" s="2">
        <f>(ROUND((ROUND(((ET215)*AV215*I215),2)*BB215),2)+ROUND((ROUND(((AE215-(EU215))*AV215*I215),2)*BS215),2))</f>
        <v>0</v>
      </c>
      <c r="R215" s="2">
        <f>(ROUND((ROUND(((EU215)*AV215*I215),2)*BS215),2)+ROUND((ROUND(((AE215-(EU215))*AV215*I215),2)*BS215),2))</f>
        <v>0</v>
      </c>
      <c r="S215" s="2">
        <f t="shared" si="147"/>
        <v>0</v>
      </c>
      <c r="T215" s="2">
        <f t="shared" si="148"/>
        <v>0</v>
      </c>
      <c r="U215" s="2">
        <f t="shared" si="149"/>
        <v>0</v>
      </c>
      <c r="V215" s="2">
        <f t="shared" si="150"/>
        <v>0</v>
      </c>
      <c r="W215" s="2">
        <f t="shared" si="151"/>
        <v>0</v>
      </c>
      <c r="X215" s="2">
        <f>(ROUND((((S215+ROUND((ROUND(((EU215)*AV215*I215),2)*BS215),2))*AT215)/100),2)+ROUND(((ROUND((ROUND(((AE215-(EU215))*AV215*I215),2)*BS215),2)*AT215)/100),2))</f>
        <v>0</v>
      </c>
      <c r="Y215" s="2">
        <f>(ROUND((((S215+ROUND((ROUND(((EU215)*AV215*I215),2)*BS215),2))*AU215)/100),2)+ROUND(((ROUND((ROUND(((AE215-(EU215))*AV215*I215),2)*BS215),2)*AU215)/100),2))</f>
        <v>0</v>
      </c>
      <c r="Z215" s="2"/>
      <c r="AA215" s="2">
        <v>-1</v>
      </c>
      <c r="AB215" s="2">
        <f t="shared" si="152"/>
        <v>71.39</v>
      </c>
      <c r="AC215" s="2">
        <f>ROUND((ES215),6)</f>
        <v>71.39</v>
      </c>
      <c r="AD215" s="2">
        <f>ROUND((((ET215)-(EU215))+AE215),6)</f>
        <v>0</v>
      </c>
      <c r="AE215" s="2">
        <f>ROUND((EU215),6)</f>
        <v>0</v>
      </c>
      <c r="AF215" s="2">
        <f>ROUND((EV215),6)</f>
        <v>0</v>
      </c>
      <c r="AG215" s="2">
        <f t="shared" si="153"/>
        <v>0</v>
      </c>
      <c r="AH215" s="2">
        <f>(EW215)</f>
        <v>0</v>
      </c>
      <c r="AI215" s="2">
        <f>(EX215)</f>
        <v>0</v>
      </c>
      <c r="AJ215" s="2">
        <f t="shared" si="154"/>
        <v>0</v>
      </c>
      <c r="AK215" s="2">
        <v>71.39</v>
      </c>
      <c r="AL215" s="2">
        <v>71.39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1</v>
      </c>
      <c r="AW215" s="2">
        <v>1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3</v>
      </c>
      <c r="BI215" s="2">
        <v>3</v>
      </c>
      <c r="BJ215" s="2" t="s">
        <v>234</v>
      </c>
      <c r="BK215" s="2"/>
      <c r="BL215" s="2"/>
      <c r="BM215" s="2">
        <v>746</v>
      </c>
      <c r="BN215" s="2">
        <v>0</v>
      </c>
      <c r="BO215" s="2" t="s">
        <v>3</v>
      </c>
      <c r="BP215" s="2">
        <v>0</v>
      </c>
      <c r="BQ215" s="2">
        <v>130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90</v>
      </c>
      <c r="CA215" s="2">
        <v>46</v>
      </c>
      <c r="CB215" s="2" t="s">
        <v>3</v>
      </c>
      <c r="CC215" s="2"/>
      <c r="CD215" s="2"/>
      <c r="CE215" s="2">
        <v>1566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615</v>
      </c>
      <c r="CO215" s="2">
        <v>0</v>
      </c>
      <c r="CP215" s="2">
        <f t="shared" si="155"/>
        <v>713.9</v>
      </c>
      <c r="CQ215" s="2">
        <f>ROUND((ROUND((AC215*1),2)*BC215),2)</f>
        <v>71.39</v>
      </c>
      <c r="CR215" s="2">
        <f>(ROUND((ROUND(((ET215)*AV215*1),2)*BB215),2)+ROUND((ROUND(((AE215-(EU215))*AV215*1),2)*BS215),2))</f>
        <v>0</v>
      </c>
      <c r="CS215" s="2">
        <f>(ROUND((ROUND(((EU215)*AV215*1),2)*BS215),2)+ROUND((ROUND(((AE215-(EU215))*AV215*1),2)*BS215),2))</f>
        <v>0</v>
      </c>
      <c r="CT215" s="2">
        <f t="shared" si="156"/>
        <v>0</v>
      </c>
      <c r="CU215" s="2">
        <f t="shared" si="157"/>
        <v>0</v>
      </c>
      <c r="CV215" s="2">
        <f t="shared" si="158"/>
        <v>0</v>
      </c>
      <c r="CW215" s="2">
        <f t="shared" si="159"/>
        <v>0</v>
      </c>
      <c r="CX215" s="2">
        <f t="shared" si="160"/>
        <v>0</v>
      </c>
      <c r="CY215" s="2">
        <f>(ROUND((((S215+ROUND((ROUND(((EU215)*AV215*1),2)*BS215),2))*AT215)/100),2)+ROUND(((ROUND((ROUND(((AE215-(EU215))*AV215*1),2)*BS215),2)*AT215)/100),2))</f>
        <v>0</v>
      </c>
      <c r="CZ215" s="2">
        <f>(ROUND((((S215+ROUND((ROUND(((EU215)*AV215*1),2)*BS215),2))*AU215)/100),2)+ROUND(((ROUND((ROUND(((AE215-(EU215))*AV215*1),2)*BS215),2)*AU215)/100),2))</f>
        <v>0</v>
      </c>
      <c r="DA215" s="2"/>
      <c r="DB215" s="2"/>
      <c r="DC215" s="2" t="s">
        <v>3</v>
      </c>
      <c r="DD215" s="2" t="s">
        <v>3</v>
      </c>
      <c r="DE215" s="2" t="s">
        <v>3</v>
      </c>
      <c r="DF215" s="2" t="s">
        <v>3</v>
      </c>
      <c r="DG215" s="2" t="s">
        <v>3</v>
      </c>
      <c r="DH215" s="2" t="s">
        <v>3</v>
      </c>
      <c r="DI215" s="2" t="s">
        <v>3</v>
      </c>
      <c r="DJ215" s="2" t="s">
        <v>3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1010</v>
      </c>
      <c r="DV215" s="2" t="s">
        <v>177</v>
      </c>
      <c r="DW215" s="2" t="s">
        <v>177</v>
      </c>
      <c r="DX215" s="2">
        <v>1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57043064</v>
      </c>
      <c r="EF215" s="2">
        <v>130</v>
      </c>
      <c r="EG215" s="2" t="s">
        <v>178</v>
      </c>
      <c r="EH215" s="2">
        <v>0</v>
      </c>
      <c r="EI215" s="2" t="s">
        <v>3</v>
      </c>
      <c r="EJ215" s="2">
        <v>3</v>
      </c>
      <c r="EK215" s="2">
        <v>746</v>
      </c>
      <c r="EL215" s="2" t="s">
        <v>179</v>
      </c>
      <c r="EM215" s="2" t="s">
        <v>180</v>
      </c>
      <c r="EN215" s="2"/>
      <c r="EO215" s="2" t="s">
        <v>109</v>
      </c>
      <c r="EP215" s="2"/>
      <c r="EQ215" s="2">
        <v>1024</v>
      </c>
      <c r="ER215" s="2">
        <v>71.39</v>
      </c>
      <c r="ES215" s="2">
        <v>71.39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f>P215</f>
        <v>713.9</v>
      </c>
      <c r="FS215" s="2">
        <v>0</v>
      </c>
      <c r="FT215" s="2"/>
      <c r="FU215" s="2"/>
      <c r="FV215" s="2"/>
      <c r="FW215" s="2"/>
      <c r="FX215" s="2">
        <v>90</v>
      </c>
      <c r="FY215" s="2">
        <v>46</v>
      </c>
      <c r="FZ215" s="2"/>
      <c r="GA215" s="2" t="s">
        <v>3</v>
      </c>
      <c r="GB215" s="2"/>
      <c r="GC215" s="2"/>
      <c r="GD215" s="2">
        <v>1</v>
      </c>
      <c r="GE215" s="2"/>
      <c r="GF215" s="2">
        <v>-855144379</v>
      </c>
      <c r="GG215" s="2">
        <v>2</v>
      </c>
      <c r="GH215" s="2">
        <v>1</v>
      </c>
      <c r="GI215" s="2">
        <v>-2</v>
      </c>
      <c r="GJ215" s="2">
        <v>0</v>
      </c>
      <c r="GK215" s="2">
        <v>0</v>
      </c>
      <c r="GL215" s="2">
        <f t="shared" si="161"/>
        <v>0</v>
      </c>
      <c r="GM215" s="2">
        <f t="shared" si="162"/>
        <v>713.9</v>
      </c>
      <c r="GN215" s="2">
        <f t="shared" si="163"/>
        <v>0</v>
      </c>
      <c r="GO215" s="2">
        <f t="shared" si="164"/>
        <v>0</v>
      </c>
      <c r="GP215" s="2">
        <f t="shared" si="165"/>
        <v>0</v>
      </c>
      <c r="GQ215" s="2"/>
      <c r="GR215" s="2">
        <v>0</v>
      </c>
      <c r="GS215" s="2">
        <v>3</v>
      </c>
      <c r="GT215" s="2">
        <v>0</v>
      </c>
      <c r="GU215" s="2" t="s">
        <v>3</v>
      </c>
      <c r="GV215" s="2">
        <f t="shared" si="166"/>
        <v>0</v>
      </c>
      <c r="GW215" s="2">
        <v>1</v>
      </c>
      <c r="GX215" s="2">
        <f t="shared" si="167"/>
        <v>0</v>
      </c>
      <c r="GY215" s="2"/>
      <c r="GZ215" s="2"/>
      <c r="HA215" s="2">
        <v>0</v>
      </c>
      <c r="HB215" s="2">
        <v>0</v>
      </c>
      <c r="HC215" s="2">
        <f t="shared" si="168"/>
        <v>0</v>
      </c>
      <c r="HD215" s="2"/>
      <c r="HE215" s="2" t="s">
        <v>3</v>
      </c>
      <c r="HF215" s="2" t="s">
        <v>3</v>
      </c>
      <c r="HG215" s="2"/>
      <c r="HH215" s="2"/>
      <c r="HI215" s="2"/>
      <c r="HJ215" s="2"/>
      <c r="HK215" s="2"/>
      <c r="HL215" s="2"/>
      <c r="HM215" s="2" t="s">
        <v>3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25">
      <c r="A216" s="3">
        <v>18</v>
      </c>
      <c r="B216" s="3">
        <v>1</v>
      </c>
      <c r="C216" s="3">
        <v>160</v>
      </c>
      <c r="E216" s="3" t="s">
        <v>3</v>
      </c>
      <c r="F216" s="3" t="s">
        <v>233</v>
      </c>
      <c r="G216" s="3" t="s">
        <v>618</v>
      </c>
      <c r="H216" s="3" t="s">
        <v>177</v>
      </c>
      <c r="I216" s="3">
        <f>I214*J216</f>
        <v>10</v>
      </c>
      <c r="J216" s="3">
        <v>1</v>
      </c>
      <c r="K216" s="3">
        <v>1</v>
      </c>
      <c r="O216" s="3">
        <f t="shared" si="146"/>
        <v>10151.66</v>
      </c>
      <c r="P216" s="3">
        <f>ROUND((ROUND((AC216*I216),2)*BC216),2)</f>
        <v>10151.66</v>
      </c>
      <c r="Q216" s="3">
        <f>(ROUND((ROUND(((ET216)*AV216*I216),2)*BB216),2)+ROUND((ROUND(((AE216-(EU216))*AV216*I216),2)*BS216),2))</f>
        <v>0</v>
      </c>
      <c r="R216" s="3">
        <f>(ROUND((ROUND(((EU216)*AV216*I216),2)*BS216),2)+ROUND((ROUND(((AE216-(EU216))*AV216*I216),2)*BS216),2))</f>
        <v>0</v>
      </c>
      <c r="S216" s="3">
        <f t="shared" si="147"/>
        <v>0</v>
      </c>
      <c r="T216" s="3">
        <f t="shared" si="148"/>
        <v>0</v>
      </c>
      <c r="U216" s="3">
        <f t="shared" si="149"/>
        <v>0</v>
      </c>
      <c r="V216" s="3">
        <f t="shared" si="150"/>
        <v>0</v>
      </c>
      <c r="W216" s="3">
        <f t="shared" si="151"/>
        <v>0</v>
      </c>
      <c r="X216" s="3">
        <f>(ROUND((((S216+ROUND((ROUND(((EU216)*AV216*I216),2)*BS216),2))*AT216)/100),2)+ROUND(((ROUND((ROUND(((AE216-(EU216))*AV216*I216),2)*BS216),2)*AT216)/100),2))</f>
        <v>0</v>
      </c>
      <c r="Y216" s="3">
        <f>(ROUND((((S216+ROUND((ROUND(((EU216)*AV216*I216),2)*BS216),2))*AU216)/100),2)+ROUND(((ROUND((ROUND(((AE216-(EU216))*AV216*I216),2)*BS216),2)*AU216)/100),2))</f>
        <v>0</v>
      </c>
      <c r="AA216" s="3">
        <v>-1</v>
      </c>
      <c r="AB216" s="3">
        <f t="shared" si="152"/>
        <v>71.39</v>
      </c>
      <c r="AC216" s="3">
        <f>ROUND((ES216),6)</f>
        <v>71.39</v>
      </c>
      <c r="AD216" s="3">
        <f>ROUND((((ET216)-(EU216))+AE216),6)</f>
        <v>0</v>
      </c>
      <c r="AE216" s="3">
        <f>ROUND((EU216),6)</f>
        <v>0</v>
      </c>
      <c r="AF216" s="3">
        <f>ROUND((EV216),6)</f>
        <v>0</v>
      </c>
      <c r="AG216" s="3">
        <f t="shared" si="153"/>
        <v>0</v>
      </c>
      <c r="AH216" s="3">
        <f>(EW216)</f>
        <v>0</v>
      </c>
      <c r="AI216" s="3">
        <f>(EX216)</f>
        <v>0</v>
      </c>
      <c r="AJ216" s="3">
        <f t="shared" si="154"/>
        <v>0</v>
      </c>
      <c r="AK216" s="3">
        <v>71.39</v>
      </c>
      <c r="AL216" s="3">
        <v>71.39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1</v>
      </c>
      <c r="AW216" s="3">
        <v>1</v>
      </c>
      <c r="AZ216" s="3">
        <v>1</v>
      </c>
      <c r="BA216" s="3">
        <v>1</v>
      </c>
      <c r="BB216" s="3">
        <v>1</v>
      </c>
      <c r="BC216" s="3">
        <v>14.22</v>
      </c>
      <c r="BD216" s="3" t="s">
        <v>3</v>
      </c>
      <c r="BE216" s="3" t="s">
        <v>3</v>
      </c>
      <c r="BF216" s="3" t="s">
        <v>3</v>
      </c>
      <c r="BG216" s="3" t="s">
        <v>3</v>
      </c>
      <c r="BH216" s="3">
        <v>3</v>
      </c>
      <c r="BI216" s="3">
        <v>3</v>
      </c>
      <c r="BJ216" s="3" t="s">
        <v>234</v>
      </c>
      <c r="BM216" s="3">
        <v>746</v>
      </c>
      <c r="BN216" s="3">
        <v>0</v>
      </c>
      <c r="BO216" s="3" t="s">
        <v>3</v>
      </c>
      <c r="BP216" s="3">
        <v>0</v>
      </c>
      <c r="BQ216" s="3">
        <v>130</v>
      </c>
      <c r="BR216" s="3">
        <v>0</v>
      </c>
      <c r="BS216" s="3">
        <v>1</v>
      </c>
      <c r="BT216" s="3">
        <v>1</v>
      </c>
      <c r="BU216" s="3">
        <v>1</v>
      </c>
      <c r="BV216" s="3">
        <v>1</v>
      </c>
      <c r="BW216" s="3">
        <v>1</v>
      </c>
      <c r="BX216" s="3">
        <v>1</v>
      </c>
      <c r="BY216" s="3" t="s">
        <v>3</v>
      </c>
      <c r="BZ216" s="3">
        <v>90</v>
      </c>
      <c r="CA216" s="3">
        <v>46</v>
      </c>
      <c r="CB216" s="3" t="s">
        <v>3</v>
      </c>
      <c r="CE216" s="3">
        <v>1566</v>
      </c>
      <c r="CF216" s="3">
        <v>0</v>
      </c>
      <c r="CG216" s="3">
        <v>0</v>
      </c>
      <c r="CM216" s="3">
        <v>0</v>
      </c>
      <c r="CN216" s="3" t="s">
        <v>615</v>
      </c>
      <c r="CO216" s="3">
        <v>0</v>
      </c>
      <c r="CP216" s="3">
        <f t="shared" si="155"/>
        <v>10151.66</v>
      </c>
      <c r="CQ216" s="3">
        <f>ROUND((ROUND((AC216*1),2)*BC216),2)</f>
        <v>1015.17</v>
      </c>
      <c r="CR216" s="3">
        <f>(ROUND((ROUND(((ET216)*AV216*1),2)*BB216),2)+ROUND((ROUND(((AE216-(EU216))*AV216*1),2)*BS216),2))</f>
        <v>0</v>
      </c>
      <c r="CS216" s="3">
        <f>(ROUND((ROUND(((EU216)*AV216*1),2)*BS216),2)+ROUND((ROUND(((AE216-(EU216))*AV216*1),2)*BS216),2))</f>
        <v>0</v>
      </c>
      <c r="CT216" s="3">
        <f t="shared" si="156"/>
        <v>0</v>
      </c>
      <c r="CU216" s="3">
        <f t="shared" si="157"/>
        <v>0</v>
      </c>
      <c r="CV216" s="3">
        <f t="shared" si="158"/>
        <v>0</v>
      </c>
      <c r="CW216" s="3">
        <f t="shared" si="159"/>
        <v>0</v>
      </c>
      <c r="CX216" s="3">
        <f t="shared" si="160"/>
        <v>0</v>
      </c>
      <c r="CY216" s="3">
        <f>(ROUND((((S216+ROUND((ROUND(((EU216)*AV216*1),2)*BS216),2))*AT216)/100),2)+ROUND(((ROUND((ROUND(((AE216-(EU216))*AV216*1),2)*BS216),2)*AT216)/100),2))</f>
        <v>0</v>
      </c>
      <c r="CZ216" s="3">
        <f>(ROUND((((S216+ROUND((ROUND(((EU216)*AV216*1),2)*BS216),2))*AU216)/100),2)+ROUND(((ROUND((ROUND(((AE216-(EU216))*AV216*1),2)*BS216),2)*AU216)/100),2))</f>
        <v>0</v>
      </c>
      <c r="DC216" s="3" t="s">
        <v>3</v>
      </c>
      <c r="DD216" s="3" t="s">
        <v>3</v>
      </c>
      <c r="DE216" s="3" t="s">
        <v>3</v>
      </c>
      <c r="DF216" s="3" t="s">
        <v>3</v>
      </c>
      <c r="DG216" s="3" t="s">
        <v>3</v>
      </c>
      <c r="DH216" s="3" t="s">
        <v>3</v>
      </c>
      <c r="DI216" s="3" t="s">
        <v>3</v>
      </c>
      <c r="DJ216" s="3" t="s">
        <v>3</v>
      </c>
      <c r="DK216" s="3" t="s">
        <v>3</v>
      </c>
      <c r="DL216" s="3" t="s">
        <v>3</v>
      </c>
      <c r="DM216" s="3" t="s">
        <v>3</v>
      </c>
      <c r="DN216" s="3">
        <v>0</v>
      </c>
      <c r="DO216" s="3">
        <v>0</v>
      </c>
      <c r="DP216" s="3">
        <v>1</v>
      </c>
      <c r="DQ216" s="3">
        <v>1</v>
      </c>
      <c r="DU216" s="3">
        <v>1010</v>
      </c>
      <c r="DV216" s="3" t="s">
        <v>177</v>
      </c>
      <c r="DW216" s="3" t="s">
        <v>177</v>
      </c>
      <c r="DX216" s="3">
        <v>1</v>
      </c>
      <c r="DZ216" s="3" t="s">
        <v>3</v>
      </c>
      <c r="EA216" s="3" t="s">
        <v>3</v>
      </c>
      <c r="EB216" s="3" t="s">
        <v>3</v>
      </c>
      <c r="EC216" s="3" t="s">
        <v>3</v>
      </c>
      <c r="EE216" s="3">
        <v>57043064</v>
      </c>
      <c r="EF216" s="3">
        <v>130</v>
      </c>
      <c r="EG216" s="3" t="s">
        <v>178</v>
      </c>
      <c r="EH216" s="3">
        <v>0</v>
      </c>
      <c r="EI216" s="3" t="s">
        <v>3</v>
      </c>
      <c r="EJ216" s="3">
        <v>3</v>
      </c>
      <c r="EK216" s="3">
        <v>746</v>
      </c>
      <c r="EL216" s="3" t="s">
        <v>179</v>
      </c>
      <c r="EM216" s="3" t="s">
        <v>180</v>
      </c>
      <c r="EO216" s="3" t="s">
        <v>109</v>
      </c>
      <c r="EQ216" s="3">
        <v>1024</v>
      </c>
      <c r="ER216" s="3">
        <v>71.39</v>
      </c>
      <c r="ES216" s="3">
        <v>71.39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FQ216" s="3">
        <v>0</v>
      </c>
      <c r="FR216" s="3">
        <f>P216</f>
        <v>10151.66</v>
      </c>
      <c r="FS216" s="3">
        <v>0</v>
      </c>
      <c r="FX216" s="3">
        <v>90</v>
      </c>
      <c r="FY216" s="3">
        <v>46</v>
      </c>
      <c r="GA216" s="3" t="s">
        <v>3</v>
      </c>
      <c r="GD216" s="3">
        <v>1</v>
      </c>
      <c r="GF216" s="3">
        <v>-855144379</v>
      </c>
      <c r="GG216" s="3">
        <v>2</v>
      </c>
      <c r="GH216" s="3">
        <v>1</v>
      </c>
      <c r="GI216" s="3">
        <v>2</v>
      </c>
      <c r="GJ216" s="3">
        <v>0</v>
      </c>
      <c r="GK216" s="3">
        <v>0</v>
      </c>
      <c r="GL216" s="3">
        <f t="shared" si="161"/>
        <v>0</v>
      </c>
      <c r="GM216" s="3">
        <f t="shared" si="162"/>
        <v>10151.66</v>
      </c>
      <c r="GN216" s="3">
        <f t="shared" si="163"/>
        <v>0</v>
      </c>
      <c r="GO216" s="3">
        <f t="shared" si="164"/>
        <v>0</v>
      </c>
      <c r="GP216" s="3">
        <f t="shared" si="165"/>
        <v>0</v>
      </c>
      <c r="GR216" s="3">
        <v>0</v>
      </c>
      <c r="GS216" s="3">
        <v>3</v>
      </c>
      <c r="GT216" s="3">
        <v>0</v>
      </c>
      <c r="GU216" s="3" t="s">
        <v>3</v>
      </c>
      <c r="GV216" s="3">
        <f t="shared" si="166"/>
        <v>0</v>
      </c>
      <c r="GW216" s="3">
        <v>1</v>
      </c>
      <c r="GX216" s="3">
        <f t="shared" si="167"/>
        <v>0</v>
      </c>
      <c r="HA216" s="3">
        <v>0</v>
      </c>
      <c r="HB216" s="3">
        <v>0</v>
      </c>
      <c r="HC216" s="3">
        <f t="shared" si="168"/>
        <v>0</v>
      </c>
      <c r="HE216" s="3" t="s">
        <v>3</v>
      </c>
      <c r="HF216" s="3" t="s">
        <v>3</v>
      </c>
      <c r="HM216" s="3" t="s">
        <v>3</v>
      </c>
      <c r="HN216" s="3" t="s">
        <v>3</v>
      </c>
      <c r="HO216" s="3" t="s">
        <v>3</v>
      </c>
      <c r="HP216" s="3" t="s">
        <v>3</v>
      </c>
      <c r="HQ216" s="3" t="s">
        <v>3</v>
      </c>
      <c r="HS216" s="3">
        <v>0</v>
      </c>
      <c r="IK216" s="3">
        <v>0</v>
      </c>
    </row>
    <row r="217" spans="1:255" x14ac:dyDescent="0.25">
      <c r="A217" s="2">
        <v>17</v>
      </c>
      <c r="B217" s="2">
        <v>1</v>
      </c>
      <c r="C217" s="2">
        <f>ROW(SmtRes!A161)</f>
        <v>161</v>
      </c>
      <c r="D217" s="2">
        <f>ROW(EtalonRes!A181)</f>
        <v>181</v>
      </c>
      <c r="E217" s="2" t="s">
        <v>235</v>
      </c>
      <c r="F217" s="2" t="s">
        <v>53</v>
      </c>
      <c r="G217" s="2" t="s">
        <v>232</v>
      </c>
      <c r="H217" s="2" t="s">
        <v>26</v>
      </c>
      <c r="I217" s="2">
        <f>ROUND(10,9)</f>
        <v>10</v>
      </c>
      <c r="J217" s="2">
        <v>0</v>
      </c>
      <c r="K217" s="2">
        <f>ROUND(10,9)</f>
        <v>10</v>
      </c>
      <c r="L217" s="2"/>
      <c r="M217" s="2"/>
      <c r="N217" s="2"/>
      <c r="O217" s="2">
        <f t="shared" si="146"/>
        <v>139.16</v>
      </c>
      <c r="P217" s="2">
        <f t="shared" ref="P217:P222" si="175">ROUND((ROUND((AC217*AW217*I217),2)*BC217),2)</f>
        <v>5.6</v>
      </c>
      <c r="Q217" s="2">
        <f>(ROUND((ROUND((((ET217*1.2))*AV217*I217),2)*BB217),2)+ROUND((ROUND(((AE217-((EU217*1.2)))*AV217*I217),2)*BS217),2))</f>
        <v>0.38</v>
      </c>
      <c r="R217" s="2">
        <f>(ROUND((ROUND((((EU217*1.2))*AV217*I217),2)*BS217),2)+ROUND((ROUND(((AE217-((EU217*1.2)))*AV217*I217),2)*BS217),2))</f>
        <v>0</v>
      </c>
      <c r="S217" s="2">
        <f t="shared" si="147"/>
        <v>133.18</v>
      </c>
      <c r="T217" s="2">
        <f t="shared" si="148"/>
        <v>0</v>
      </c>
      <c r="U217" s="2">
        <f t="shared" si="149"/>
        <v>10.553759999999999</v>
      </c>
      <c r="V217" s="2">
        <f t="shared" si="150"/>
        <v>0</v>
      </c>
      <c r="W217" s="2">
        <f t="shared" si="151"/>
        <v>0</v>
      </c>
      <c r="X217" s="2">
        <f>(ROUND((((S217+ROUND((ROUND((((EU217*1.2))*AV217*I217),2)*BS217),2))*AT217)/100),2)+ROUND(((ROUND((ROUND(((AE217-((EU217*1.2)))*AV217*I217),2)*BS217),2)*AT217)/100),2))</f>
        <v>119.86</v>
      </c>
      <c r="Y217" s="2">
        <f>(ROUND((((S217+ROUND((ROUND((((EU217*1.2))*AV217*I217),2)*BS217),2))*AU217)/100),2)+ROUND(((ROUND((ROUND(((AE217-((EU217*1.2)))*AV217*I217),2)*BS217),2)*AU217)/100),2))</f>
        <v>61.26</v>
      </c>
      <c r="Z217" s="2"/>
      <c r="AA217" s="2">
        <v>57034452</v>
      </c>
      <c r="AB217" s="2">
        <f t="shared" si="152"/>
        <v>13.316000000000001</v>
      </c>
      <c r="AC217" s="2">
        <f>ROUND(((ES217*1)),6)</f>
        <v>0.56000000000000005</v>
      </c>
      <c r="AD217" s="2">
        <f>ROUND(((((ET217*1.2))-((EU217*1.2)))+AE217),6)</f>
        <v>3.5999999999999997E-2</v>
      </c>
      <c r="AE217" s="2">
        <f>ROUND(((EU217*1.2)),6)</f>
        <v>0</v>
      </c>
      <c r="AF217" s="2">
        <f>ROUND(((EV217*1.2)),6)</f>
        <v>12.72</v>
      </c>
      <c r="AG217" s="2">
        <f t="shared" si="153"/>
        <v>0</v>
      </c>
      <c r="AH217" s="2">
        <f>((EW217*1.2))</f>
        <v>1.008</v>
      </c>
      <c r="AI217" s="2">
        <f>((EX217*1.2))</f>
        <v>0</v>
      </c>
      <c r="AJ217" s="2">
        <f t="shared" si="154"/>
        <v>0</v>
      </c>
      <c r="AK217" s="2">
        <v>11.19</v>
      </c>
      <c r="AL217" s="2">
        <v>0.56000000000000005</v>
      </c>
      <c r="AM217" s="2">
        <v>0.03</v>
      </c>
      <c r="AN217" s="2">
        <v>0</v>
      </c>
      <c r="AO217" s="2">
        <v>10.6</v>
      </c>
      <c r="AP217" s="2">
        <v>0</v>
      </c>
      <c r="AQ217" s="2">
        <v>0.84</v>
      </c>
      <c r="AR217" s="2">
        <v>0</v>
      </c>
      <c r="AS217" s="2">
        <v>0</v>
      </c>
      <c r="AT217" s="2">
        <v>90</v>
      </c>
      <c r="AU217" s="2">
        <v>46</v>
      </c>
      <c r="AV217" s="2">
        <v>1.0469999999999999</v>
      </c>
      <c r="AW217" s="2">
        <v>1</v>
      </c>
      <c r="AX217" s="2"/>
      <c r="AY217" s="2"/>
      <c r="AZ217" s="2">
        <v>1</v>
      </c>
      <c r="BA217" s="2">
        <v>1</v>
      </c>
      <c r="BB217" s="2">
        <v>1</v>
      </c>
      <c r="BC217" s="2">
        <v>1</v>
      </c>
      <c r="BD217" s="2" t="s">
        <v>3</v>
      </c>
      <c r="BE217" s="2" t="s">
        <v>3</v>
      </c>
      <c r="BF217" s="2" t="s">
        <v>3</v>
      </c>
      <c r="BG217" s="2" t="s">
        <v>3</v>
      </c>
      <c r="BH217" s="2">
        <v>0</v>
      </c>
      <c r="BI217" s="2">
        <v>2</v>
      </c>
      <c r="BJ217" s="2" t="s">
        <v>55</v>
      </c>
      <c r="BK217" s="2"/>
      <c r="BL217" s="2"/>
      <c r="BM217" s="2">
        <v>68</v>
      </c>
      <c r="BN217" s="2">
        <v>0</v>
      </c>
      <c r="BO217" s="2" t="s">
        <v>53</v>
      </c>
      <c r="BP217" s="2">
        <v>1</v>
      </c>
      <c r="BQ217" s="2">
        <v>40</v>
      </c>
      <c r="BR217" s="2">
        <v>0</v>
      </c>
      <c r="BS217" s="2">
        <v>1</v>
      </c>
      <c r="BT217" s="2">
        <v>1</v>
      </c>
      <c r="BU217" s="2">
        <v>1</v>
      </c>
      <c r="BV217" s="2">
        <v>1</v>
      </c>
      <c r="BW217" s="2">
        <v>1</v>
      </c>
      <c r="BX217" s="2">
        <v>1</v>
      </c>
      <c r="BY217" s="2" t="s">
        <v>3</v>
      </c>
      <c r="BZ217" s="2">
        <v>90</v>
      </c>
      <c r="CA217" s="2">
        <v>46</v>
      </c>
      <c r="CB217" s="2" t="s">
        <v>3</v>
      </c>
      <c r="CC217" s="2"/>
      <c r="CD217" s="2"/>
      <c r="CE217" s="2">
        <v>1566</v>
      </c>
      <c r="CF217" s="2">
        <v>0</v>
      </c>
      <c r="CG217" s="2">
        <v>0</v>
      </c>
      <c r="CH217" s="2"/>
      <c r="CI217" s="2"/>
      <c r="CJ217" s="2"/>
      <c r="CK217" s="2"/>
      <c r="CL217" s="2"/>
      <c r="CM217" s="2">
        <v>0</v>
      </c>
      <c r="CN217" s="2" t="s">
        <v>614</v>
      </c>
      <c r="CO217" s="2">
        <v>0</v>
      </c>
      <c r="CP217" s="2">
        <f t="shared" si="155"/>
        <v>139.16</v>
      </c>
      <c r="CQ217" s="2">
        <f t="shared" ref="CQ217:CQ222" si="176">ROUND((ROUND((AC217*AW217*1),2)*BC217),2)</f>
        <v>0.56000000000000005</v>
      </c>
      <c r="CR217" s="2">
        <f>(ROUND((ROUND((((ET217*1.2))*AV217*1),2)*BB217),2)+ROUND((ROUND(((AE217-((EU217*1.2)))*AV217*1),2)*BS217),2))</f>
        <v>0.04</v>
      </c>
      <c r="CS217" s="2">
        <f>(ROUND((ROUND((((EU217*1.2))*AV217*1),2)*BS217),2)+ROUND((ROUND(((AE217-((EU217*1.2)))*AV217*1),2)*BS217),2))</f>
        <v>0</v>
      </c>
      <c r="CT217" s="2">
        <f t="shared" si="156"/>
        <v>13.32</v>
      </c>
      <c r="CU217" s="2">
        <f t="shared" si="157"/>
        <v>0</v>
      </c>
      <c r="CV217" s="2">
        <f t="shared" si="158"/>
        <v>1.0553759999999999</v>
      </c>
      <c r="CW217" s="2">
        <f t="shared" si="159"/>
        <v>0</v>
      </c>
      <c r="CX217" s="2">
        <f t="shared" si="160"/>
        <v>0</v>
      </c>
      <c r="CY217" s="2">
        <f>(ROUND((((S217+ROUND((ROUND((((EU217*1.2))*AV217*1),2)*BS217),2))*AT217)/100),2)+ROUND(((ROUND((ROUND(((AE217-((EU217*1.2)))*AV217*1),2)*BS217),2)*AT217)/100),2))</f>
        <v>119.86</v>
      </c>
      <c r="CZ217" s="2">
        <f>(ROUND((((S217+ROUND((ROUND((((EU217*1.2))*AV217*1),2)*BS217),2))*AU217)/100),2)+ROUND(((ROUND((ROUND(((AE217-((EU217*1.2)))*AV217*1),2)*BS217),2)*AU217)/100),2))</f>
        <v>61.26</v>
      </c>
      <c r="DA217" s="2"/>
      <c r="DB217" s="2">
        <v>99</v>
      </c>
      <c r="DC217" s="2" t="s">
        <v>3</v>
      </c>
      <c r="DD217" s="2" t="s">
        <v>104</v>
      </c>
      <c r="DE217" s="2" t="s">
        <v>105</v>
      </c>
      <c r="DF217" s="2" t="s">
        <v>105</v>
      </c>
      <c r="DG217" s="2" t="s">
        <v>105</v>
      </c>
      <c r="DH217" s="2" t="s">
        <v>3</v>
      </c>
      <c r="DI217" s="2" t="s">
        <v>105</v>
      </c>
      <c r="DJ217" s="2" t="s">
        <v>105</v>
      </c>
      <c r="DK217" s="2" t="s">
        <v>3</v>
      </c>
      <c r="DL217" s="2" t="s">
        <v>3</v>
      </c>
      <c r="DM217" s="2" t="s">
        <v>3</v>
      </c>
      <c r="DN217" s="2">
        <v>0</v>
      </c>
      <c r="DO217" s="2">
        <v>0</v>
      </c>
      <c r="DP217" s="2">
        <v>1</v>
      </c>
      <c r="DQ217" s="2">
        <v>1</v>
      </c>
      <c r="DR217" s="2"/>
      <c r="DS217" s="2"/>
      <c r="DT217" s="2"/>
      <c r="DU217" s="2">
        <v>1013</v>
      </c>
      <c r="DV217" s="2" t="s">
        <v>26</v>
      </c>
      <c r="DW217" s="2" t="s">
        <v>26</v>
      </c>
      <c r="DX217" s="2">
        <v>1</v>
      </c>
      <c r="DY217" s="2"/>
      <c r="DZ217" s="2" t="s">
        <v>3</v>
      </c>
      <c r="EA217" s="2" t="s">
        <v>3</v>
      </c>
      <c r="EB217" s="2" t="s">
        <v>3</v>
      </c>
      <c r="EC217" s="2" t="s">
        <v>3</v>
      </c>
      <c r="ED217" s="2"/>
      <c r="EE217" s="2">
        <v>57042958</v>
      </c>
      <c r="EF217" s="2">
        <v>40</v>
      </c>
      <c r="EG217" s="2" t="s">
        <v>30</v>
      </c>
      <c r="EH217" s="2">
        <v>0</v>
      </c>
      <c r="EI217" s="2" t="s">
        <v>3</v>
      </c>
      <c r="EJ217" s="2">
        <v>2</v>
      </c>
      <c r="EK217" s="2">
        <v>68</v>
      </c>
      <c r="EL217" s="2" t="s">
        <v>38</v>
      </c>
      <c r="EM217" s="2" t="s">
        <v>39</v>
      </c>
      <c r="EN217" s="2"/>
      <c r="EO217" s="2" t="s">
        <v>109</v>
      </c>
      <c r="EP217" s="2"/>
      <c r="EQ217" s="2">
        <v>0</v>
      </c>
      <c r="ER217" s="2">
        <v>11.19</v>
      </c>
      <c r="ES217" s="2">
        <v>0.56000000000000005</v>
      </c>
      <c r="ET217" s="2">
        <v>0.03</v>
      </c>
      <c r="EU217" s="2">
        <v>0</v>
      </c>
      <c r="EV217" s="2">
        <v>10.6</v>
      </c>
      <c r="EW217" s="2">
        <v>0.84</v>
      </c>
      <c r="EX217" s="2">
        <v>0</v>
      </c>
      <c r="EY217" s="2">
        <v>0</v>
      </c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>
        <v>0</v>
      </c>
      <c r="FR217" s="2">
        <v>0</v>
      </c>
      <c r="FS217" s="2">
        <v>0</v>
      </c>
      <c r="FT217" s="2"/>
      <c r="FU217" s="2"/>
      <c r="FV217" s="2"/>
      <c r="FW217" s="2"/>
      <c r="FX217" s="2">
        <v>90</v>
      </c>
      <c r="FY217" s="2">
        <v>46</v>
      </c>
      <c r="FZ217" s="2"/>
      <c r="GA217" s="2" t="s">
        <v>3</v>
      </c>
      <c r="GB217" s="2"/>
      <c r="GC217" s="2"/>
      <c r="GD217" s="2">
        <v>1</v>
      </c>
      <c r="GE217" s="2"/>
      <c r="GF217" s="2">
        <v>-1159166061</v>
      </c>
      <c r="GG217" s="2">
        <v>2</v>
      </c>
      <c r="GH217" s="2">
        <v>1</v>
      </c>
      <c r="GI217" s="2">
        <v>2</v>
      </c>
      <c r="GJ217" s="2">
        <v>0</v>
      </c>
      <c r="GK217" s="2">
        <v>0</v>
      </c>
      <c r="GL217" s="2">
        <f t="shared" si="161"/>
        <v>0</v>
      </c>
      <c r="GM217" s="2">
        <f t="shared" si="162"/>
        <v>320.27999999999997</v>
      </c>
      <c r="GN217" s="2">
        <f t="shared" si="163"/>
        <v>0</v>
      </c>
      <c r="GO217" s="2">
        <f t="shared" si="164"/>
        <v>320.27999999999997</v>
      </c>
      <c r="GP217" s="2">
        <f t="shared" si="165"/>
        <v>0</v>
      </c>
      <c r="GQ217" s="2"/>
      <c r="GR217" s="2">
        <v>0</v>
      </c>
      <c r="GS217" s="2">
        <v>3</v>
      </c>
      <c r="GT217" s="2">
        <v>0</v>
      </c>
      <c r="GU217" s="2" t="s">
        <v>3</v>
      </c>
      <c r="GV217" s="2">
        <f t="shared" si="166"/>
        <v>0</v>
      </c>
      <c r="GW217" s="2">
        <v>1</v>
      </c>
      <c r="GX217" s="2">
        <f t="shared" si="167"/>
        <v>0</v>
      </c>
      <c r="GY217" s="2"/>
      <c r="GZ217" s="2"/>
      <c r="HA217" s="2">
        <v>0</v>
      </c>
      <c r="HB217" s="2">
        <v>0</v>
      </c>
      <c r="HC217" s="2">
        <f t="shared" si="168"/>
        <v>0</v>
      </c>
      <c r="HD217" s="2"/>
      <c r="HE217" s="2" t="s">
        <v>3</v>
      </c>
      <c r="HF217" s="2" t="s">
        <v>3</v>
      </c>
      <c r="HG217" s="2"/>
      <c r="HH217" s="2"/>
      <c r="HI217" s="2"/>
      <c r="HJ217" s="2"/>
      <c r="HK217" s="2"/>
      <c r="HL217" s="2"/>
      <c r="HM217" s="2" t="s">
        <v>3</v>
      </c>
      <c r="HN217" s="2" t="s">
        <v>3</v>
      </c>
      <c r="HO217" s="2" t="s">
        <v>3</v>
      </c>
      <c r="HP217" s="2" t="s">
        <v>3</v>
      </c>
      <c r="HQ217" s="2" t="s">
        <v>3</v>
      </c>
      <c r="HR217" s="2"/>
      <c r="HS217" s="2">
        <v>0</v>
      </c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>
        <v>0</v>
      </c>
      <c r="IL217" s="2"/>
      <c r="IM217" s="2"/>
      <c r="IN217" s="2"/>
      <c r="IO217" s="2"/>
      <c r="IP217" s="2"/>
      <c r="IQ217" s="2"/>
      <c r="IR217" s="2"/>
      <c r="IS217" s="2"/>
      <c r="IT217" s="2"/>
      <c r="IU217" s="2"/>
    </row>
    <row r="218" spans="1:255" x14ac:dyDescent="0.25">
      <c r="A218" s="3">
        <v>17</v>
      </c>
      <c r="B218" s="3">
        <v>1</v>
      </c>
      <c r="C218" s="3">
        <f>ROW(SmtRes!A162)</f>
        <v>162</v>
      </c>
      <c r="D218" s="3">
        <f>ROW(EtalonRes!A182)</f>
        <v>182</v>
      </c>
      <c r="E218" s="3" t="s">
        <v>235</v>
      </c>
      <c r="F218" s="3" t="s">
        <v>53</v>
      </c>
      <c r="G218" s="3" t="s">
        <v>232</v>
      </c>
      <c r="H218" s="3" t="s">
        <v>26</v>
      </c>
      <c r="I218" s="3">
        <f>ROUND(10,9)</f>
        <v>10</v>
      </c>
      <c r="J218" s="3">
        <v>0</v>
      </c>
      <c r="K218" s="3">
        <f>ROUND(10,9)</f>
        <v>10</v>
      </c>
      <c r="O218" s="3">
        <f t="shared" si="146"/>
        <v>7563.97</v>
      </c>
      <c r="P218" s="3">
        <f t="shared" si="175"/>
        <v>55.1</v>
      </c>
      <c r="Q218" s="3">
        <f>(ROUND((ROUND((((ET218*1.2))*AV218*I218),2)*BB218),2)+ROUND((ROUND(((AE218-((EU218*1.2)))*AV218*I218),2)*BS218),2))</f>
        <v>4.18</v>
      </c>
      <c r="R218" s="3">
        <f>(ROUND((ROUND((((EU218*1.2))*AV218*I218),2)*BS218),2)+ROUND((ROUND(((AE218-((EU218*1.2)))*AV218*I218),2)*BS218),2))</f>
        <v>0</v>
      </c>
      <c r="S218" s="3">
        <f t="shared" si="147"/>
        <v>7504.69</v>
      </c>
      <c r="T218" s="3">
        <f t="shared" si="148"/>
        <v>0</v>
      </c>
      <c r="U218" s="3">
        <f t="shared" si="149"/>
        <v>10.553759999999999</v>
      </c>
      <c r="V218" s="3">
        <f t="shared" si="150"/>
        <v>0</v>
      </c>
      <c r="W218" s="3">
        <f t="shared" si="151"/>
        <v>0</v>
      </c>
      <c r="X218" s="3">
        <f>(ROUND((((S218+ROUND((ROUND((((EU218*1.2))*AV218*I218),2)*BS218),2))*AT218)/100),2)+ROUND(((ROUND((ROUND(((AE218-((EU218*1.2)))*AV218*I218),2)*BS218),2)*AT218)/100),2))</f>
        <v>6754.22</v>
      </c>
      <c r="Y218" s="3">
        <f>(ROUND((((S218+ROUND((ROUND((((EU218*1.2))*AV218*I218),2)*BS218),2))*AU218)/100),2)+ROUND(((ROUND((ROUND(((AE218-((EU218*1.2)))*AV218*I218),2)*BS218),2)*AU218)/100),2))</f>
        <v>3452.16</v>
      </c>
      <c r="AA218" s="3">
        <v>57034454</v>
      </c>
      <c r="AB218" s="3">
        <f t="shared" si="152"/>
        <v>13.316000000000001</v>
      </c>
      <c r="AC218" s="3">
        <f>ROUND(((ES218*1)),6)</f>
        <v>0.56000000000000005</v>
      </c>
      <c r="AD218" s="3">
        <f>ROUND(((((ET218*1.2))-((EU218*1.2)))+AE218),6)</f>
        <v>3.5999999999999997E-2</v>
      </c>
      <c r="AE218" s="3">
        <f>ROUND(((EU218*1.2)),6)</f>
        <v>0</v>
      </c>
      <c r="AF218" s="3">
        <f>ROUND(((EV218*1.2)),6)</f>
        <v>12.72</v>
      </c>
      <c r="AG218" s="3">
        <f t="shared" si="153"/>
        <v>0</v>
      </c>
      <c r="AH218" s="3">
        <f>((EW218*1.2))</f>
        <v>1.008</v>
      </c>
      <c r="AI218" s="3">
        <f>((EX218*1.2))</f>
        <v>0</v>
      </c>
      <c r="AJ218" s="3">
        <f t="shared" si="154"/>
        <v>0</v>
      </c>
      <c r="AK218" s="3">
        <v>11.19</v>
      </c>
      <c r="AL218" s="3">
        <v>0.56000000000000005</v>
      </c>
      <c r="AM218" s="3">
        <v>0.03</v>
      </c>
      <c r="AN218" s="3">
        <v>0</v>
      </c>
      <c r="AO218" s="3">
        <v>10.6</v>
      </c>
      <c r="AP218" s="3">
        <v>0</v>
      </c>
      <c r="AQ218" s="3">
        <v>0.84</v>
      </c>
      <c r="AR218" s="3">
        <v>0</v>
      </c>
      <c r="AS218" s="3">
        <v>0</v>
      </c>
      <c r="AT218" s="3">
        <v>90</v>
      </c>
      <c r="AU218" s="3">
        <v>46</v>
      </c>
      <c r="AV218" s="3">
        <v>1.0469999999999999</v>
      </c>
      <c r="AW218" s="3">
        <v>1</v>
      </c>
      <c r="AZ218" s="3">
        <v>1</v>
      </c>
      <c r="BA218" s="3">
        <v>56.35</v>
      </c>
      <c r="BB218" s="3">
        <v>11</v>
      </c>
      <c r="BC218" s="3">
        <v>9.84</v>
      </c>
      <c r="BD218" s="3" t="s">
        <v>3</v>
      </c>
      <c r="BE218" s="3" t="s">
        <v>3</v>
      </c>
      <c r="BF218" s="3" t="s">
        <v>3</v>
      </c>
      <c r="BG218" s="3" t="s">
        <v>3</v>
      </c>
      <c r="BH218" s="3">
        <v>0</v>
      </c>
      <c r="BI218" s="3">
        <v>2</v>
      </c>
      <c r="BJ218" s="3" t="s">
        <v>55</v>
      </c>
      <c r="BM218" s="3">
        <v>68</v>
      </c>
      <c r="BN218" s="3">
        <v>0</v>
      </c>
      <c r="BO218" s="3" t="s">
        <v>53</v>
      </c>
      <c r="BP218" s="3">
        <v>1</v>
      </c>
      <c r="BQ218" s="3">
        <v>40</v>
      </c>
      <c r="BR218" s="3">
        <v>0</v>
      </c>
      <c r="BS218" s="3">
        <v>56.35</v>
      </c>
      <c r="BT218" s="3">
        <v>1</v>
      </c>
      <c r="BU218" s="3">
        <v>1</v>
      </c>
      <c r="BV218" s="3">
        <v>1</v>
      </c>
      <c r="BW218" s="3">
        <v>1</v>
      </c>
      <c r="BX218" s="3">
        <v>1</v>
      </c>
      <c r="BY218" s="3" t="s">
        <v>3</v>
      </c>
      <c r="BZ218" s="3">
        <v>90</v>
      </c>
      <c r="CA218" s="3">
        <v>46</v>
      </c>
      <c r="CB218" s="3" t="s">
        <v>3</v>
      </c>
      <c r="CE218" s="3">
        <v>1566</v>
      </c>
      <c r="CF218" s="3">
        <v>0</v>
      </c>
      <c r="CG218" s="3">
        <v>0</v>
      </c>
      <c r="CM218" s="3">
        <v>0</v>
      </c>
      <c r="CN218" s="3" t="s">
        <v>614</v>
      </c>
      <c r="CO218" s="3">
        <v>0</v>
      </c>
      <c r="CP218" s="3">
        <f t="shared" si="155"/>
        <v>7563.9699999999993</v>
      </c>
      <c r="CQ218" s="3">
        <f t="shared" si="176"/>
        <v>5.51</v>
      </c>
      <c r="CR218" s="3">
        <f>(ROUND((ROUND((((ET218*1.2))*AV218*1),2)*BB218),2)+ROUND((ROUND(((AE218-((EU218*1.2)))*AV218*1),2)*BS218),2))</f>
        <v>0.44</v>
      </c>
      <c r="CS218" s="3">
        <f>(ROUND((ROUND((((EU218*1.2))*AV218*1),2)*BS218),2)+ROUND((ROUND(((AE218-((EU218*1.2)))*AV218*1),2)*BS218),2))</f>
        <v>0</v>
      </c>
      <c r="CT218" s="3">
        <f t="shared" si="156"/>
        <v>750.58</v>
      </c>
      <c r="CU218" s="3">
        <f t="shared" si="157"/>
        <v>0</v>
      </c>
      <c r="CV218" s="3">
        <f t="shared" si="158"/>
        <v>1.0553759999999999</v>
      </c>
      <c r="CW218" s="3">
        <f t="shared" si="159"/>
        <v>0</v>
      </c>
      <c r="CX218" s="3">
        <f t="shared" si="160"/>
        <v>0</v>
      </c>
      <c r="CY218" s="3">
        <f>(ROUND((((S218+ROUND((ROUND((((EU218*1.2))*AV218*1),2)*BS218),2))*AT218)/100),2)+ROUND(((ROUND((ROUND(((AE218-((EU218*1.2)))*AV218*1),2)*BS218),2)*AT218)/100),2))</f>
        <v>6754.22</v>
      </c>
      <c r="CZ218" s="3">
        <f>(ROUND((((S218+ROUND((ROUND((((EU218*1.2))*AV218*1),2)*BS218),2))*AU218)/100),2)+ROUND(((ROUND((ROUND(((AE218-((EU218*1.2)))*AV218*1),2)*BS218),2)*AU218)/100),2))</f>
        <v>3452.16</v>
      </c>
      <c r="DB218" s="3">
        <v>100</v>
      </c>
      <c r="DC218" s="3" t="s">
        <v>3</v>
      </c>
      <c r="DD218" s="3" t="s">
        <v>104</v>
      </c>
      <c r="DE218" s="3" t="s">
        <v>105</v>
      </c>
      <c r="DF218" s="3" t="s">
        <v>105</v>
      </c>
      <c r="DG218" s="3" t="s">
        <v>105</v>
      </c>
      <c r="DH218" s="3" t="s">
        <v>3</v>
      </c>
      <c r="DI218" s="3" t="s">
        <v>105</v>
      </c>
      <c r="DJ218" s="3" t="s">
        <v>105</v>
      </c>
      <c r="DK218" s="3" t="s">
        <v>3</v>
      </c>
      <c r="DL218" s="3" t="s">
        <v>3</v>
      </c>
      <c r="DM218" s="3" t="s">
        <v>3</v>
      </c>
      <c r="DN218" s="3">
        <v>0</v>
      </c>
      <c r="DO218" s="3">
        <v>0</v>
      </c>
      <c r="DP218" s="3">
        <v>1</v>
      </c>
      <c r="DQ218" s="3">
        <v>1</v>
      </c>
      <c r="DU218" s="3">
        <v>1013</v>
      </c>
      <c r="DV218" s="3" t="s">
        <v>26</v>
      </c>
      <c r="DW218" s="3" t="s">
        <v>26</v>
      </c>
      <c r="DX218" s="3">
        <v>1</v>
      </c>
      <c r="DZ218" s="3" t="s">
        <v>3</v>
      </c>
      <c r="EA218" s="3" t="s">
        <v>3</v>
      </c>
      <c r="EB218" s="3" t="s">
        <v>3</v>
      </c>
      <c r="EC218" s="3" t="s">
        <v>3</v>
      </c>
      <c r="EE218" s="3">
        <v>57042958</v>
      </c>
      <c r="EF218" s="3">
        <v>40</v>
      </c>
      <c r="EG218" s="3" t="s">
        <v>30</v>
      </c>
      <c r="EH218" s="3">
        <v>0</v>
      </c>
      <c r="EI218" s="3" t="s">
        <v>3</v>
      </c>
      <c r="EJ218" s="3">
        <v>2</v>
      </c>
      <c r="EK218" s="3">
        <v>68</v>
      </c>
      <c r="EL218" s="3" t="s">
        <v>38</v>
      </c>
      <c r="EM218" s="3" t="s">
        <v>39</v>
      </c>
      <c r="EO218" s="3" t="s">
        <v>109</v>
      </c>
      <c r="EQ218" s="3">
        <v>0</v>
      </c>
      <c r="ER218" s="3">
        <v>11.19</v>
      </c>
      <c r="ES218" s="3">
        <v>0.56000000000000005</v>
      </c>
      <c r="ET218" s="3">
        <v>0.03</v>
      </c>
      <c r="EU218" s="3">
        <v>0</v>
      </c>
      <c r="EV218" s="3">
        <v>10.6</v>
      </c>
      <c r="EW218" s="3">
        <v>0.84</v>
      </c>
      <c r="EX218" s="3">
        <v>0</v>
      </c>
      <c r="EY218" s="3">
        <v>0</v>
      </c>
      <c r="FQ218" s="3">
        <v>0</v>
      </c>
      <c r="FR218" s="3">
        <v>0</v>
      </c>
      <c r="FS218" s="3">
        <v>0</v>
      </c>
      <c r="FX218" s="3">
        <v>90</v>
      </c>
      <c r="FY218" s="3">
        <v>46</v>
      </c>
      <c r="GA218" s="3" t="s">
        <v>3</v>
      </c>
      <c r="GD218" s="3">
        <v>1</v>
      </c>
      <c r="GF218" s="3">
        <v>-1159166061</v>
      </c>
      <c r="GG218" s="3">
        <v>2</v>
      </c>
      <c r="GH218" s="3">
        <v>1</v>
      </c>
      <c r="GI218" s="3">
        <v>2</v>
      </c>
      <c r="GJ218" s="3">
        <v>0</v>
      </c>
      <c r="GK218" s="3">
        <v>0</v>
      </c>
      <c r="GL218" s="3">
        <f t="shared" si="161"/>
        <v>0</v>
      </c>
      <c r="GM218" s="3">
        <f t="shared" si="162"/>
        <v>17770.349999999999</v>
      </c>
      <c r="GN218" s="3">
        <f t="shared" si="163"/>
        <v>0</v>
      </c>
      <c r="GO218" s="3">
        <f t="shared" si="164"/>
        <v>17770.349999999999</v>
      </c>
      <c r="GP218" s="3">
        <f t="shared" si="165"/>
        <v>0</v>
      </c>
      <c r="GR218" s="3">
        <v>0</v>
      </c>
      <c r="GS218" s="3">
        <v>3</v>
      </c>
      <c r="GT218" s="3">
        <v>0</v>
      </c>
      <c r="GU218" s="3" t="s">
        <v>3</v>
      </c>
      <c r="GV218" s="3">
        <f t="shared" si="166"/>
        <v>0</v>
      </c>
      <c r="GW218" s="3">
        <v>1</v>
      </c>
      <c r="GX218" s="3">
        <f t="shared" si="167"/>
        <v>0</v>
      </c>
      <c r="HA218" s="3">
        <v>0</v>
      </c>
      <c r="HB218" s="3">
        <v>0</v>
      </c>
      <c r="HC218" s="3">
        <f t="shared" si="168"/>
        <v>0</v>
      </c>
      <c r="HE218" s="3" t="s">
        <v>3</v>
      </c>
      <c r="HF218" s="3" t="s">
        <v>3</v>
      </c>
      <c r="HM218" s="3" t="s">
        <v>3</v>
      </c>
      <c r="HN218" s="3" t="s">
        <v>3</v>
      </c>
      <c r="HO218" s="3" t="s">
        <v>3</v>
      </c>
      <c r="HP218" s="3" t="s">
        <v>3</v>
      </c>
      <c r="HQ218" s="3" t="s">
        <v>3</v>
      </c>
      <c r="HS218" s="3">
        <v>0</v>
      </c>
      <c r="IK218" s="3">
        <v>0</v>
      </c>
    </row>
    <row r="219" spans="1:255" x14ac:dyDescent="0.25">
      <c r="A219" s="2">
        <v>17</v>
      </c>
      <c r="B219" s="2">
        <v>1</v>
      </c>
      <c r="C219" s="2"/>
      <c r="D219" s="2"/>
      <c r="E219" s="2" t="s">
        <v>236</v>
      </c>
      <c r="F219" s="2" t="s">
        <v>237</v>
      </c>
      <c r="G219" s="2" t="s">
        <v>238</v>
      </c>
      <c r="H219" s="2" t="s">
        <v>177</v>
      </c>
      <c r="I219" s="2">
        <v>10</v>
      </c>
      <c r="J219" s="2">
        <v>0</v>
      </c>
      <c r="K219" s="2">
        <v>10</v>
      </c>
      <c r="L219" s="2"/>
      <c r="M219" s="2"/>
      <c r="N219" s="2"/>
      <c r="O219" s="2">
        <f t="shared" si="146"/>
        <v>1725.8</v>
      </c>
      <c r="P219" s="2">
        <f t="shared" si="175"/>
        <v>1725.8</v>
      </c>
      <c r="Q219" s="2">
        <f>(ROUND((ROUND(((ET219)*AV219*I219),2)*BB219),2)+ROUND((ROUND(((AE219-(EU219))*AV219*I219),2)*BS219),2))</f>
        <v>0</v>
      </c>
      <c r="R219" s="2">
        <f>(ROUND((ROUND(((EU219)*AV219*I219),2)*BS219),2)+ROUND((ROUND(((AE219-(EU219))*AV219*I219),2)*BS219),2))</f>
        <v>0</v>
      </c>
      <c r="S219" s="2">
        <f t="shared" si="147"/>
        <v>0</v>
      </c>
      <c r="T219" s="2">
        <f t="shared" si="148"/>
        <v>0</v>
      </c>
      <c r="U219" s="2">
        <f t="shared" si="149"/>
        <v>0</v>
      </c>
      <c r="V219" s="2">
        <f t="shared" si="150"/>
        <v>0</v>
      </c>
      <c r="W219" s="2">
        <f t="shared" si="151"/>
        <v>0</v>
      </c>
      <c r="X219" s="2">
        <f>(ROUND((((S219+ROUND((ROUND(((EU219)*AV219*I219),2)*BS219),2))*AT219)/100),2)+ROUND(((ROUND((ROUND(((AE219-(EU219))*AV219*I219),2)*BS219),2)*AT219)/100),2))</f>
        <v>0</v>
      </c>
      <c r="Y219" s="2">
        <f>(ROUND((((S219+ROUND((ROUND(((EU219)*AV219*I219),2)*BS219),2))*AU219)/100),2)+ROUND(((ROUND((ROUND(((AE219-(EU219))*AV219*I219),2)*BS219),2)*AU219)/100),2))</f>
        <v>0</v>
      </c>
      <c r="Z219" s="2"/>
      <c r="AA219" s="2">
        <v>57034452</v>
      </c>
      <c r="AB219" s="2">
        <f t="shared" si="152"/>
        <v>172.58</v>
      </c>
      <c r="AC219" s="2">
        <f>ROUND((ES219),6)</f>
        <v>172.58</v>
      </c>
      <c r="AD219" s="2">
        <f>ROUND((((ET219)-(EU219))+AE219),6)</f>
        <v>0</v>
      </c>
      <c r="AE219" s="2">
        <f>ROUND((EU219),6)</f>
        <v>0</v>
      </c>
      <c r="AF219" s="2">
        <f>ROUND((EV219),6)</f>
        <v>0</v>
      </c>
      <c r="AG219" s="2">
        <f t="shared" si="153"/>
        <v>0</v>
      </c>
      <c r="AH219" s="2">
        <f>(EW219)</f>
        <v>0</v>
      </c>
      <c r="AI219" s="2">
        <f>(EX219)</f>
        <v>0</v>
      </c>
      <c r="AJ219" s="2">
        <f t="shared" si="154"/>
        <v>0</v>
      </c>
      <c r="AK219" s="2">
        <v>172.58</v>
      </c>
      <c r="AL219" s="2">
        <v>172.58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90</v>
      </c>
      <c r="AU219" s="2">
        <v>46</v>
      </c>
      <c r="AV219" s="2">
        <v>1</v>
      </c>
      <c r="AW219" s="2">
        <v>1</v>
      </c>
      <c r="AX219" s="2"/>
      <c r="AY219" s="2"/>
      <c r="AZ219" s="2">
        <v>1</v>
      </c>
      <c r="BA219" s="2">
        <v>1</v>
      </c>
      <c r="BB219" s="2">
        <v>1</v>
      </c>
      <c r="BC219" s="2">
        <v>1</v>
      </c>
      <c r="BD219" s="2" t="s">
        <v>3</v>
      </c>
      <c r="BE219" s="2" t="s">
        <v>3</v>
      </c>
      <c r="BF219" s="2" t="s">
        <v>3</v>
      </c>
      <c r="BG219" s="2" t="s">
        <v>3</v>
      </c>
      <c r="BH219" s="2">
        <v>3</v>
      </c>
      <c r="BI219" s="2">
        <v>3</v>
      </c>
      <c r="BJ219" s="2" t="s">
        <v>3</v>
      </c>
      <c r="BK219" s="2"/>
      <c r="BL219" s="2"/>
      <c r="BM219" s="2">
        <v>68</v>
      </c>
      <c r="BN219" s="2">
        <v>0</v>
      </c>
      <c r="BO219" s="2" t="s">
        <v>3</v>
      </c>
      <c r="BP219" s="2">
        <v>0</v>
      </c>
      <c r="BQ219" s="2">
        <v>40</v>
      </c>
      <c r="BR219" s="2">
        <v>0</v>
      </c>
      <c r="BS219" s="2">
        <v>1</v>
      </c>
      <c r="BT219" s="2">
        <v>1</v>
      </c>
      <c r="BU219" s="2">
        <v>1</v>
      </c>
      <c r="BV219" s="2">
        <v>1</v>
      </c>
      <c r="BW219" s="2">
        <v>1</v>
      </c>
      <c r="BX219" s="2">
        <v>1</v>
      </c>
      <c r="BY219" s="2" t="s">
        <v>3</v>
      </c>
      <c r="BZ219" s="2">
        <v>90</v>
      </c>
      <c r="CA219" s="2">
        <v>46</v>
      </c>
      <c r="CB219" s="2" t="s">
        <v>3</v>
      </c>
      <c r="CC219" s="2"/>
      <c r="CD219" s="2"/>
      <c r="CE219" s="2">
        <v>1566</v>
      </c>
      <c r="CF219" s="2">
        <v>0</v>
      </c>
      <c r="CG219" s="2">
        <v>0</v>
      </c>
      <c r="CH219" s="2"/>
      <c r="CI219" s="2"/>
      <c r="CJ219" s="2"/>
      <c r="CK219" s="2"/>
      <c r="CL219" s="2"/>
      <c r="CM219" s="2">
        <v>0</v>
      </c>
      <c r="CN219" s="2" t="s">
        <v>3</v>
      </c>
      <c r="CO219" s="2">
        <v>0</v>
      </c>
      <c r="CP219" s="2">
        <f t="shared" si="155"/>
        <v>1725.8</v>
      </c>
      <c r="CQ219" s="2">
        <f t="shared" si="176"/>
        <v>172.58</v>
      </c>
      <c r="CR219" s="2">
        <f>(ROUND((ROUND(((ET219)*AV219*1),2)*BB219),2)+ROUND((ROUND(((AE219-(EU219))*AV219*1),2)*BS219),2))</f>
        <v>0</v>
      </c>
      <c r="CS219" s="2">
        <f>(ROUND((ROUND(((EU219)*AV219*1),2)*BS219),2)+ROUND((ROUND(((AE219-(EU219))*AV219*1),2)*BS219),2))</f>
        <v>0</v>
      </c>
      <c r="CT219" s="2">
        <f t="shared" si="156"/>
        <v>0</v>
      </c>
      <c r="CU219" s="2">
        <f t="shared" si="157"/>
        <v>0</v>
      </c>
      <c r="CV219" s="2">
        <f t="shared" si="158"/>
        <v>0</v>
      </c>
      <c r="CW219" s="2">
        <f t="shared" si="159"/>
        <v>0</v>
      </c>
      <c r="CX219" s="2">
        <f t="shared" si="160"/>
        <v>0</v>
      </c>
      <c r="CY219" s="2">
        <f>(ROUND((((S219+ROUND((ROUND(((EU219)*AV219*1),2)*BS219),2))*AT219)/100),2)+ROUND(((ROUND((ROUND(((AE219-(EU219))*AV219*1),2)*BS219),2)*AT219)/100),2))</f>
        <v>0</v>
      </c>
      <c r="CZ219" s="2">
        <f>(ROUND((((S219+ROUND((ROUND(((EU219)*AV219*1),2)*BS219),2))*AU219)/100),2)+ROUND(((ROUND((ROUND(((AE219-(EU219))*AV219*1),2)*BS219),2)*AU219)/100),2))</f>
        <v>0</v>
      </c>
      <c r="DA219" s="2"/>
      <c r="DB219" s="2"/>
      <c r="DC219" s="2" t="s">
        <v>3</v>
      </c>
      <c r="DD219" s="2" t="s">
        <v>3</v>
      </c>
      <c r="DE219" s="2" t="s">
        <v>3</v>
      </c>
      <c r="DF219" s="2" t="s">
        <v>3</v>
      </c>
      <c r="DG219" s="2" t="s">
        <v>3</v>
      </c>
      <c r="DH219" s="2" t="s">
        <v>3</v>
      </c>
      <c r="DI219" s="2" t="s">
        <v>3</v>
      </c>
      <c r="DJ219" s="2" t="s">
        <v>3</v>
      </c>
      <c r="DK219" s="2" t="s">
        <v>3</v>
      </c>
      <c r="DL219" s="2" t="s">
        <v>3</v>
      </c>
      <c r="DM219" s="2" t="s">
        <v>3</v>
      </c>
      <c r="DN219" s="2">
        <v>0</v>
      </c>
      <c r="DO219" s="2">
        <v>0</v>
      </c>
      <c r="DP219" s="2">
        <v>1</v>
      </c>
      <c r="DQ219" s="2">
        <v>1</v>
      </c>
      <c r="DR219" s="2"/>
      <c r="DS219" s="2"/>
      <c r="DT219" s="2"/>
      <c r="DU219" s="2">
        <v>1010</v>
      </c>
      <c r="DV219" s="2" t="s">
        <v>177</v>
      </c>
      <c r="DW219" s="2" t="s">
        <v>177</v>
      </c>
      <c r="DX219" s="2">
        <v>1</v>
      </c>
      <c r="DY219" s="2"/>
      <c r="DZ219" s="2" t="s">
        <v>3</v>
      </c>
      <c r="EA219" s="2" t="s">
        <v>3</v>
      </c>
      <c r="EB219" s="2" t="s">
        <v>3</v>
      </c>
      <c r="EC219" s="2" t="s">
        <v>3</v>
      </c>
      <c r="ED219" s="2"/>
      <c r="EE219" s="2">
        <v>57042958</v>
      </c>
      <c r="EF219" s="2">
        <v>40</v>
      </c>
      <c r="EG219" s="2" t="s">
        <v>30</v>
      </c>
      <c r="EH219" s="2">
        <v>0</v>
      </c>
      <c r="EI219" s="2" t="s">
        <v>3</v>
      </c>
      <c r="EJ219" s="2">
        <v>2</v>
      </c>
      <c r="EK219" s="2">
        <v>68</v>
      </c>
      <c r="EL219" s="2" t="s">
        <v>38</v>
      </c>
      <c r="EM219" s="2" t="s">
        <v>39</v>
      </c>
      <c r="EN219" s="2"/>
      <c r="EO219" s="2" t="s">
        <v>3</v>
      </c>
      <c r="EP219" s="2"/>
      <c r="EQ219" s="2">
        <v>2097152</v>
      </c>
      <c r="ER219" s="2">
        <v>0</v>
      </c>
      <c r="ES219" s="2">
        <v>172.58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>
        <v>0</v>
      </c>
      <c r="FR219" s="2">
        <f>P219</f>
        <v>1725.8</v>
      </c>
      <c r="FS219" s="2">
        <v>0</v>
      </c>
      <c r="FT219" s="2"/>
      <c r="FU219" s="2"/>
      <c r="FV219" s="2"/>
      <c r="FW219" s="2"/>
      <c r="FX219" s="2">
        <v>90</v>
      </c>
      <c r="FY219" s="2">
        <v>46</v>
      </c>
      <c r="FZ219" s="2"/>
      <c r="GA219" s="2" t="s">
        <v>239</v>
      </c>
      <c r="GB219" s="2"/>
      <c r="GC219" s="2"/>
      <c r="GD219" s="2">
        <v>1</v>
      </c>
      <c r="GE219" s="2"/>
      <c r="GF219" s="2">
        <v>1231284351</v>
      </c>
      <c r="GG219" s="2">
        <v>2</v>
      </c>
      <c r="GH219" s="2">
        <v>4</v>
      </c>
      <c r="GI219" s="2">
        <v>-2</v>
      </c>
      <c r="GJ219" s="2">
        <v>0</v>
      </c>
      <c r="GK219" s="2">
        <v>0</v>
      </c>
      <c r="GL219" s="2">
        <f t="shared" si="161"/>
        <v>0</v>
      </c>
      <c r="GM219" s="2">
        <f t="shared" si="162"/>
        <v>1725.8</v>
      </c>
      <c r="GN219" s="2">
        <f t="shared" si="163"/>
        <v>0</v>
      </c>
      <c r="GO219" s="2">
        <f t="shared" si="164"/>
        <v>0</v>
      </c>
      <c r="GP219" s="2">
        <f t="shared" si="165"/>
        <v>0</v>
      </c>
      <c r="GQ219" s="2"/>
      <c r="GR219" s="2">
        <v>0</v>
      </c>
      <c r="GS219" s="2">
        <v>2</v>
      </c>
      <c r="GT219" s="2">
        <v>0</v>
      </c>
      <c r="GU219" s="2" t="s">
        <v>3</v>
      </c>
      <c r="GV219" s="2">
        <f t="shared" si="166"/>
        <v>0</v>
      </c>
      <c r="GW219" s="2">
        <v>1</v>
      </c>
      <c r="GX219" s="2">
        <f t="shared" si="167"/>
        <v>0</v>
      </c>
      <c r="GY219" s="2"/>
      <c r="GZ219" s="2"/>
      <c r="HA219" s="2">
        <v>0</v>
      </c>
      <c r="HB219" s="2">
        <v>0</v>
      </c>
      <c r="HC219" s="2">
        <f t="shared" si="168"/>
        <v>0</v>
      </c>
      <c r="HD219" s="2"/>
      <c r="HE219" s="2" t="s">
        <v>40</v>
      </c>
      <c r="HF219" s="2" t="s">
        <v>182</v>
      </c>
      <c r="HG219" s="2"/>
      <c r="HH219" s="2"/>
      <c r="HI219" s="2"/>
      <c r="HJ219" s="2"/>
      <c r="HK219" s="2"/>
      <c r="HL219" s="2"/>
      <c r="HM219" s="2" t="s">
        <v>3</v>
      </c>
      <c r="HN219" s="2" t="s">
        <v>3</v>
      </c>
      <c r="HO219" s="2" t="s">
        <v>3</v>
      </c>
      <c r="HP219" s="2" t="s">
        <v>3</v>
      </c>
      <c r="HQ219" s="2" t="s">
        <v>3</v>
      </c>
      <c r="HR219" s="2"/>
      <c r="HS219" s="2">
        <v>0</v>
      </c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>
        <v>0</v>
      </c>
      <c r="IL219" s="2"/>
      <c r="IM219" s="2"/>
      <c r="IN219" s="2"/>
      <c r="IO219" s="2"/>
      <c r="IP219" s="2"/>
      <c r="IQ219" s="2"/>
      <c r="IR219" s="2"/>
      <c r="IS219" s="2"/>
      <c r="IT219" s="2"/>
      <c r="IU219" s="2"/>
    </row>
    <row r="220" spans="1:255" x14ac:dyDescent="0.25">
      <c r="A220" s="3">
        <v>17</v>
      </c>
      <c r="B220" s="3">
        <v>1</v>
      </c>
      <c r="E220" s="3" t="s">
        <v>236</v>
      </c>
      <c r="F220" s="3" t="s">
        <v>237</v>
      </c>
      <c r="G220" s="3" t="s">
        <v>238</v>
      </c>
      <c r="H220" s="3" t="s">
        <v>177</v>
      </c>
      <c r="I220" s="3">
        <v>10</v>
      </c>
      <c r="J220" s="3">
        <v>0</v>
      </c>
      <c r="K220" s="3">
        <v>10</v>
      </c>
      <c r="O220" s="3">
        <f t="shared" si="146"/>
        <v>13064.31</v>
      </c>
      <c r="P220" s="3">
        <f t="shared" si="175"/>
        <v>13064.31</v>
      </c>
      <c r="Q220" s="3">
        <f>(ROUND((ROUND(((ET220)*AV220*I220),2)*BB220),2)+ROUND((ROUND(((AE220-(EU220))*AV220*I220),2)*BS220),2))</f>
        <v>0</v>
      </c>
      <c r="R220" s="3">
        <f>(ROUND((ROUND(((EU220)*AV220*I220),2)*BS220),2)+ROUND((ROUND(((AE220-(EU220))*AV220*I220),2)*BS220),2))</f>
        <v>0</v>
      </c>
      <c r="S220" s="3">
        <f t="shared" si="147"/>
        <v>0</v>
      </c>
      <c r="T220" s="3">
        <f t="shared" si="148"/>
        <v>0</v>
      </c>
      <c r="U220" s="3">
        <f t="shared" si="149"/>
        <v>0</v>
      </c>
      <c r="V220" s="3">
        <f t="shared" si="150"/>
        <v>0</v>
      </c>
      <c r="W220" s="3">
        <f t="shared" si="151"/>
        <v>0</v>
      </c>
      <c r="X220" s="3">
        <f>(ROUND((((S220+ROUND((ROUND(((EU220)*AV220*I220),2)*BS220),2))*AT220)/100),2)+ROUND(((ROUND((ROUND(((AE220-(EU220))*AV220*I220),2)*BS220),2)*AT220)/100),2))</f>
        <v>0</v>
      </c>
      <c r="Y220" s="3">
        <f>(ROUND((((S220+ROUND((ROUND(((EU220)*AV220*I220),2)*BS220),2))*AU220)/100),2)+ROUND(((ROUND((ROUND(((AE220-(EU220))*AV220*I220),2)*BS220),2)*AU220)/100),2))</f>
        <v>0</v>
      </c>
      <c r="AA220" s="3">
        <v>57034454</v>
      </c>
      <c r="AB220" s="3">
        <f t="shared" si="152"/>
        <v>172.58</v>
      </c>
      <c r="AC220" s="3">
        <f>ROUND((ES220),6)</f>
        <v>172.58</v>
      </c>
      <c r="AD220" s="3">
        <f>ROUND((((ET220)-(EU220))+AE220),6)</f>
        <v>0</v>
      </c>
      <c r="AE220" s="3">
        <f>ROUND((EU220),6)</f>
        <v>0</v>
      </c>
      <c r="AF220" s="3">
        <f>ROUND((EV220),6)</f>
        <v>0</v>
      </c>
      <c r="AG220" s="3">
        <f t="shared" si="153"/>
        <v>0</v>
      </c>
      <c r="AH220" s="3">
        <f>(EW220)</f>
        <v>0</v>
      </c>
      <c r="AI220" s="3">
        <f>(EX220)</f>
        <v>0</v>
      </c>
      <c r="AJ220" s="3">
        <f t="shared" si="154"/>
        <v>0</v>
      </c>
      <c r="AK220" s="3">
        <v>172.58</v>
      </c>
      <c r="AL220" s="3">
        <v>172.58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90</v>
      </c>
      <c r="AU220" s="3">
        <v>46</v>
      </c>
      <c r="AV220" s="3">
        <v>1</v>
      </c>
      <c r="AW220" s="3">
        <v>1</v>
      </c>
      <c r="AZ220" s="3">
        <v>1</v>
      </c>
      <c r="BA220" s="3">
        <v>1</v>
      </c>
      <c r="BB220" s="3">
        <v>1</v>
      </c>
      <c r="BC220" s="3">
        <v>7.57</v>
      </c>
      <c r="BD220" s="3" t="s">
        <v>3</v>
      </c>
      <c r="BE220" s="3" t="s">
        <v>3</v>
      </c>
      <c r="BF220" s="3" t="s">
        <v>3</v>
      </c>
      <c r="BG220" s="3" t="s">
        <v>3</v>
      </c>
      <c r="BH220" s="3">
        <v>3</v>
      </c>
      <c r="BI220" s="3">
        <v>3</v>
      </c>
      <c r="BJ220" s="3" t="s">
        <v>3</v>
      </c>
      <c r="BM220" s="3">
        <v>68</v>
      </c>
      <c r="BN220" s="3">
        <v>0</v>
      </c>
      <c r="BO220" s="3" t="s">
        <v>3</v>
      </c>
      <c r="BP220" s="3">
        <v>0</v>
      </c>
      <c r="BQ220" s="3">
        <v>40</v>
      </c>
      <c r="BR220" s="3">
        <v>0</v>
      </c>
      <c r="BS220" s="3">
        <v>1</v>
      </c>
      <c r="BT220" s="3">
        <v>1</v>
      </c>
      <c r="BU220" s="3">
        <v>1</v>
      </c>
      <c r="BV220" s="3">
        <v>1</v>
      </c>
      <c r="BW220" s="3">
        <v>1</v>
      </c>
      <c r="BX220" s="3">
        <v>1</v>
      </c>
      <c r="BY220" s="3" t="s">
        <v>3</v>
      </c>
      <c r="BZ220" s="3">
        <v>90</v>
      </c>
      <c r="CA220" s="3">
        <v>46</v>
      </c>
      <c r="CB220" s="3" t="s">
        <v>3</v>
      </c>
      <c r="CE220" s="3">
        <v>1566</v>
      </c>
      <c r="CF220" s="3">
        <v>0</v>
      </c>
      <c r="CG220" s="3">
        <v>0</v>
      </c>
      <c r="CM220" s="3">
        <v>0</v>
      </c>
      <c r="CN220" s="3" t="s">
        <v>3</v>
      </c>
      <c r="CO220" s="3">
        <v>0</v>
      </c>
      <c r="CP220" s="3">
        <f t="shared" si="155"/>
        <v>13064.31</v>
      </c>
      <c r="CQ220" s="3">
        <f t="shared" si="176"/>
        <v>1306.43</v>
      </c>
      <c r="CR220" s="3">
        <f>(ROUND((ROUND(((ET220)*AV220*1),2)*BB220),2)+ROUND((ROUND(((AE220-(EU220))*AV220*1),2)*BS220),2))</f>
        <v>0</v>
      </c>
      <c r="CS220" s="3">
        <f>(ROUND((ROUND(((EU220)*AV220*1),2)*BS220),2)+ROUND((ROUND(((AE220-(EU220))*AV220*1),2)*BS220),2))</f>
        <v>0</v>
      </c>
      <c r="CT220" s="3">
        <f t="shared" si="156"/>
        <v>0</v>
      </c>
      <c r="CU220" s="3">
        <f t="shared" si="157"/>
        <v>0</v>
      </c>
      <c r="CV220" s="3">
        <f t="shared" si="158"/>
        <v>0</v>
      </c>
      <c r="CW220" s="3">
        <f t="shared" si="159"/>
        <v>0</v>
      </c>
      <c r="CX220" s="3">
        <f t="shared" si="160"/>
        <v>0</v>
      </c>
      <c r="CY220" s="3">
        <f>(ROUND((((S220+ROUND((ROUND(((EU220)*AV220*1),2)*BS220),2))*AT220)/100),2)+ROUND(((ROUND((ROUND(((AE220-(EU220))*AV220*1),2)*BS220),2)*AT220)/100),2))</f>
        <v>0</v>
      </c>
      <c r="CZ220" s="3">
        <f>(ROUND((((S220+ROUND((ROUND(((EU220)*AV220*1),2)*BS220),2))*AU220)/100),2)+ROUND(((ROUND((ROUND(((AE220-(EU220))*AV220*1),2)*BS220),2)*AU220)/100),2))</f>
        <v>0</v>
      </c>
      <c r="DC220" s="3" t="s">
        <v>3</v>
      </c>
      <c r="DD220" s="3" t="s">
        <v>3</v>
      </c>
      <c r="DE220" s="3" t="s">
        <v>3</v>
      </c>
      <c r="DF220" s="3" t="s">
        <v>3</v>
      </c>
      <c r="DG220" s="3" t="s">
        <v>3</v>
      </c>
      <c r="DH220" s="3" t="s">
        <v>3</v>
      </c>
      <c r="DI220" s="3" t="s">
        <v>3</v>
      </c>
      <c r="DJ220" s="3" t="s">
        <v>3</v>
      </c>
      <c r="DK220" s="3" t="s">
        <v>3</v>
      </c>
      <c r="DL220" s="3" t="s">
        <v>3</v>
      </c>
      <c r="DM220" s="3" t="s">
        <v>3</v>
      </c>
      <c r="DN220" s="3">
        <v>0</v>
      </c>
      <c r="DO220" s="3">
        <v>0</v>
      </c>
      <c r="DP220" s="3">
        <v>1</v>
      </c>
      <c r="DQ220" s="3">
        <v>1</v>
      </c>
      <c r="DU220" s="3">
        <v>1010</v>
      </c>
      <c r="DV220" s="3" t="s">
        <v>177</v>
      </c>
      <c r="DW220" s="3" t="s">
        <v>177</v>
      </c>
      <c r="DX220" s="3">
        <v>1</v>
      </c>
      <c r="DZ220" s="3" t="s">
        <v>3</v>
      </c>
      <c r="EA220" s="3" t="s">
        <v>3</v>
      </c>
      <c r="EB220" s="3" t="s">
        <v>3</v>
      </c>
      <c r="EC220" s="3" t="s">
        <v>3</v>
      </c>
      <c r="EE220" s="3">
        <v>57042958</v>
      </c>
      <c r="EF220" s="3">
        <v>40</v>
      </c>
      <c r="EG220" s="3" t="s">
        <v>30</v>
      </c>
      <c r="EH220" s="3">
        <v>0</v>
      </c>
      <c r="EI220" s="3" t="s">
        <v>3</v>
      </c>
      <c r="EJ220" s="3">
        <v>2</v>
      </c>
      <c r="EK220" s="3">
        <v>68</v>
      </c>
      <c r="EL220" s="3" t="s">
        <v>38</v>
      </c>
      <c r="EM220" s="3" t="s">
        <v>39</v>
      </c>
      <c r="EO220" s="3" t="s">
        <v>3</v>
      </c>
      <c r="EQ220" s="3">
        <v>2097152</v>
      </c>
      <c r="ER220" s="3">
        <v>172.58</v>
      </c>
      <c r="ES220" s="3">
        <v>172.58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5</v>
      </c>
      <c r="FC220" s="3">
        <v>1</v>
      </c>
      <c r="FD220" s="3">
        <v>18</v>
      </c>
      <c r="FF220" s="3">
        <v>1529</v>
      </c>
      <c r="FQ220" s="3">
        <v>0</v>
      </c>
      <c r="FR220" s="3">
        <f>P220</f>
        <v>13064.31</v>
      </c>
      <c r="FS220" s="3">
        <v>0</v>
      </c>
      <c r="FX220" s="3">
        <v>90</v>
      </c>
      <c r="FY220" s="3">
        <v>46</v>
      </c>
      <c r="GA220" s="3" t="s">
        <v>239</v>
      </c>
      <c r="GD220" s="3">
        <v>1</v>
      </c>
      <c r="GF220" s="3">
        <v>1231284351</v>
      </c>
      <c r="GG220" s="3">
        <v>2</v>
      </c>
      <c r="GH220" s="3">
        <v>3</v>
      </c>
      <c r="GI220" s="3">
        <v>5</v>
      </c>
      <c r="GJ220" s="3">
        <v>0</v>
      </c>
      <c r="GK220" s="3">
        <v>0</v>
      </c>
      <c r="GL220" s="3">
        <f t="shared" si="161"/>
        <v>0</v>
      </c>
      <c r="GM220" s="3">
        <f t="shared" si="162"/>
        <v>13064.31</v>
      </c>
      <c r="GN220" s="3">
        <f t="shared" si="163"/>
        <v>0</v>
      </c>
      <c r="GO220" s="3">
        <f t="shared" si="164"/>
        <v>0</v>
      </c>
      <c r="GP220" s="3">
        <f t="shared" si="165"/>
        <v>0</v>
      </c>
      <c r="GR220" s="3">
        <v>1</v>
      </c>
      <c r="GS220" s="3">
        <v>1</v>
      </c>
      <c r="GT220" s="3">
        <v>0</v>
      </c>
      <c r="GU220" s="3" t="s">
        <v>3</v>
      </c>
      <c r="GV220" s="3">
        <f t="shared" si="166"/>
        <v>0</v>
      </c>
      <c r="GW220" s="3">
        <v>1</v>
      </c>
      <c r="GX220" s="3">
        <f t="shared" si="167"/>
        <v>0</v>
      </c>
      <c r="HA220" s="3">
        <v>0</v>
      </c>
      <c r="HB220" s="3">
        <v>0</v>
      </c>
      <c r="HC220" s="3">
        <f t="shared" si="168"/>
        <v>0</v>
      </c>
      <c r="HE220" s="3" t="s">
        <v>40</v>
      </c>
      <c r="HF220" s="3" t="s">
        <v>182</v>
      </c>
      <c r="HM220" s="3" t="s">
        <v>3</v>
      </c>
      <c r="HN220" s="3" t="s">
        <v>3</v>
      </c>
      <c r="HO220" s="3" t="s">
        <v>3</v>
      </c>
      <c r="HP220" s="3" t="s">
        <v>3</v>
      </c>
      <c r="HQ220" s="3" t="s">
        <v>3</v>
      </c>
      <c r="HS220" s="3">
        <v>0</v>
      </c>
      <c r="IK220" s="3">
        <v>0</v>
      </c>
    </row>
    <row r="221" spans="1:255" x14ac:dyDescent="0.25">
      <c r="A221" s="2">
        <v>17</v>
      </c>
      <c r="B221" s="2">
        <v>1</v>
      </c>
      <c r="C221" s="2">
        <f>ROW(SmtRes!A166)</f>
        <v>166</v>
      </c>
      <c r="D221" s="2">
        <f>ROW(EtalonRes!A186)</f>
        <v>186</v>
      </c>
      <c r="E221" s="2" t="s">
        <v>240</v>
      </c>
      <c r="F221" s="2" t="s">
        <v>57</v>
      </c>
      <c r="G221" s="2" t="s">
        <v>241</v>
      </c>
      <c r="H221" s="2" t="s">
        <v>26</v>
      </c>
      <c r="I221" s="2">
        <f>ROUND(61,9)</f>
        <v>61</v>
      </c>
      <c r="J221" s="2">
        <v>0</v>
      </c>
      <c r="K221" s="2">
        <f>ROUND(61,9)</f>
        <v>61</v>
      </c>
      <c r="L221" s="2"/>
      <c r="M221" s="2"/>
      <c r="N221" s="2"/>
      <c r="O221" s="2">
        <f t="shared" si="146"/>
        <v>1013.12</v>
      </c>
      <c r="P221" s="2">
        <f t="shared" si="175"/>
        <v>101.87</v>
      </c>
      <c r="Q221" s="2">
        <f>(ROUND((ROUND((((ET221*1.2))*AV221*I221),2)*BB221),2)+ROUND((ROUND(((AE221-((EU221*1.2)))*AV221*I221),2)*BS221),2))</f>
        <v>0</v>
      </c>
      <c r="R221" s="2">
        <f>(ROUND((ROUND((((EU221*1.2))*AV221*I221),2)*BS221),2)+ROUND((ROUND(((AE221-((EU221*1.2)))*AV221*I221),2)*BS221),2))</f>
        <v>0</v>
      </c>
      <c r="S221" s="2">
        <f t="shared" si="147"/>
        <v>911.25</v>
      </c>
      <c r="T221" s="2">
        <f t="shared" si="148"/>
        <v>0</v>
      </c>
      <c r="U221" s="2">
        <f t="shared" si="149"/>
        <v>76.6404</v>
      </c>
      <c r="V221" s="2">
        <f t="shared" si="150"/>
        <v>0</v>
      </c>
      <c r="W221" s="2">
        <f t="shared" si="151"/>
        <v>0</v>
      </c>
      <c r="X221" s="2">
        <f>(ROUND((((S221+ROUND((ROUND((((EU221*1.2))*AV221*I221),2)*BS221),2))*AT221)/100),2)+ROUND(((ROUND((ROUND(((AE221-((EU221*1.2)))*AV221*I221),2)*BS221),2)*AT221)/100),2))</f>
        <v>865.69</v>
      </c>
      <c r="Y221" s="2">
        <f>(ROUND((((S221+ROUND((ROUND((((EU221*1.2))*AV221*I221),2)*BS221),2))*AU221)/100),2)+ROUND(((ROUND((ROUND(((AE221-((EU221*1.2)))*AV221*I221),2)*BS221),2)*AU221)/100),2))</f>
        <v>482.96</v>
      </c>
      <c r="Z221" s="2"/>
      <c r="AA221" s="2">
        <v>57034452</v>
      </c>
      <c r="AB221" s="2">
        <f t="shared" si="152"/>
        <v>15.938000000000001</v>
      </c>
      <c r="AC221" s="2">
        <f>ROUND(((ES221*1)),6)</f>
        <v>1.67</v>
      </c>
      <c r="AD221" s="2">
        <f>ROUND(((((ET221*1.2))-((EU221*1.2)))+AE221),6)</f>
        <v>0</v>
      </c>
      <c r="AE221" s="2">
        <f>ROUND(((EU221*1.2)),6)</f>
        <v>0</v>
      </c>
      <c r="AF221" s="2">
        <f>ROUND(((EV221*1.2)),6)</f>
        <v>14.268000000000001</v>
      </c>
      <c r="AG221" s="2">
        <f t="shared" si="153"/>
        <v>0</v>
      </c>
      <c r="AH221" s="2">
        <f>((EW221*1.2))</f>
        <v>1.2</v>
      </c>
      <c r="AI221" s="2">
        <f>((EX221*1.2))</f>
        <v>0</v>
      </c>
      <c r="AJ221" s="2">
        <f t="shared" si="154"/>
        <v>0</v>
      </c>
      <c r="AK221" s="2">
        <v>13.56</v>
      </c>
      <c r="AL221" s="2">
        <v>1.67</v>
      </c>
      <c r="AM221" s="2">
        <v>0</v>
      </c>
      <c r="AN221" s="2">
        <v>0</v>
      </c>
      <c r="AO221" s="2">
        <v>11.89</v>
      </c>
      <c r="AP221" s="2">
        <v>0</v>
      </c>
      <c r="AQ221" s="2">
        <v>1</v>
      </c>
      <c r="AR221" s="2">
        <v>0</v>
      </c>
      <c r="AS221" s="2">
        <v>0</v>
      </c>
      <c r="AT221" s="2">
        <v>95</v>
      </c>
      <c r="AU221" s="2">
        <v>53</v>
      </c>
      <c r="AV221" s="2">
        <v>1.0469999999999999</v>
      </c>
      <c r="AW221" s="2">
        <v>1</v>
      </c>
      <c r="AX221" s="2"/>
      <c r="AY221" s="2"/>
      <c r="AZ221" s="2">
        <v>1</v>
      </c>
      <c r="BA221" s="2">
        <v>1</v>
      </c>
      <c r="BB221" s="2">
        <v>1</v>
      </c>
      <c r="BC221" s="2">
        <v>1</v>
      </c>
      <c r="BD221" s="2" t="s">
        <v>3</v>
      </c>
      <c r="BE221" s="2" t="s">
        <v>3</v>
      </c>
      <c r="BF221" s="2" t="s">
        <v>3</v>
      </c>
      <c r="BG221" s="2" t="s">
        <v>3</v>
      </c>
      <c r="BH221" s="2">
        <v>0</v>
      </c>
      <c r="BI221" s="2">
        <v>2</v>
      </c>
      <c r="BJ221" s="2" t="s">
        <v>59</v>
      </c>
      <c r="BK221" s="2"/>
      <c r="BL221" s="2"/>
      <c r="BM221" s="2">
        <v>69</v>
      </c>
      <c r="BN221" s="2">
        <v>0</v>
      </c>
      <c r="BO221" s="2" t="s">
        <v>57</v>
      </c>
      <c r="BP221" s="2">
        <v>1</v>
      </c>
      <c r="BQ221" s="2">
        <v>40</v>
      </c>
      <c r="BR221" s="2">
        <v>0</v>
      </c>
      <c r="BS221" s="2">
        <v>1</v>
      </c>
      <c r="BT221" s="2">
        <v>1</v>
      </c>
      <c r="BU221" s="2">
        <v>1</v>
      </c>
      <c r="BV221" s="2">
        <v>1</v>
      </c>
      <c r="BW221" s="2">
        <v>1</v>
      </c>
      <c r="BX221" s="2">
        <v>1</v>
      </c>
      <c r="BY221" s="2" t="s">
        <v>3</v>
      </c>
      <c r="BZ221" s="2">
        <v>95</v>
      </c>
      <c r="CA221" s="2">
        <v>53</v>
      </c>
      <c r="CB221" s="2" t="s">
        <v>3</v>
      </c>
      <c r="CC221" s="2"/>
      <c r="CD221" s="2"/>
      <c r="CE221" s="2">
        <v>1566</v>
      </c>
      <c r="CF221" s="2">
        <v>0</v>
      </c>
      <c r="CG221" s="2">
        <v>0</v>
      </c>
      <c r="CH221" s="2"/>
      <c r="CI221" s="2"/>
      <c r="CJ221" s="2"/>
      <c r="CK221" s="2"/>
      <c r="CL221" s="2"/>
      <c r="CM221" s="2">
        <v>0</v>
      </c>
      <c r="CN221" s="2" t="s">
        <v>614</v>
      </c>
      <c r="CO221" s="2">
        <v>0</v>
      </c>
      <c r="CP221" s="2">
        <f t="shared" si="155"/>
        <v>1013.12</v>
      </c>
      <c r="CQ221" s="2">
        <f t="shared" si="176"/>
        <v>1.67</v>
      </c>
      <c r="CR221" s="2">
        <f>(ROUND((ROUND((((ET221*1.2))*AV221*1),2)*BB221),2)+ROUND((ROUND(((AE221-((EU221*1.2)))*AV221*1),2)*BS221),2))</f>
        <v>0</v>
      </c>
      <c r="CS221" s="2">
        <f>(ROUND((ROUND((((EU221*1.2))*AV221*1),2)*BS221),2)+ROUND((ROUND(((AE221-((EU221*1.2)))*AV221*1),2)*BS221),2))</f>
        <v>0</v>
      </c>
      <c r="CT221" s="2">
        <f t="shared" si="156"/>
        <v>14.94</v>
      </c>
      <c r="CU221" s="2">
        <f t="shared" si="157"/>
        <v>0</v>
      </c>
      <c r="CV221" s="2">
        <f t="shared" si="158"/>
        <v>1.2564</v>
      </c>
      <c r="CW221" s="2">
        <f t="shared" si="159"/>
        <v>0</v>
      </c>
      <c r="CX221" s="2">
        <f t="shared" si="160"/>
        <v>0</v>
      </c>
      <c r="CY221" s="2">
        <f>(ROUND((((S221+ROUND((ROUND((((EU221*1.2))*AV221*1),2)*BS221),2))*AT221)/100),2)+ROUND(((ROUND((ROUND(((AE221-((EU221*1.2)))*AV221*1),2)*BS221),2)*AT221)/100),2))</f>
        <v>865.69</v>
      </c>
      <c r="CZ221" s="2">
        <f>(ROUND((((S221+ROUND((ROUND((((EU221*1.2))*AV221*1),2)*BS221),2))*AU221)/100),2)+ROUND(((ROUND((ROUND(((AE221-((EU221*1.2)))*AV221*1),2)*BS221),2)*AU221)/100),2))</f>
        <v>482.96</v>
      </c>
      <c r="DA221" s="2"/>
      <c r="DB221" s="2">
        <v>101</v>
      </c>
      <c r="DC221" s="2" t="s">
        <v>3</v>
      </c>
      <c r="DD221" s="2" t="s">
        <v>104</v>
      </c>
      <c r="DE221" s="2" t="s">
        <v>105</v>
      </c>
      <c r="DF221" s="2" t="s">
        <v>105</v>
      </c>
      <c r="DG221" s="2" t="s">
        <v>105</v>
      </c>
      <c r="DH221" s="2" t="s">
        <v>3</v>
      </c>
      <c r="DI221" s="2" t="s">
        <v>105</v>
      </c>
      <c r="DJ221" s="2" t="s">
        <v>105</v>
      </c>
      <c r="DK221" s="2" t="s">
        <v>3</v>
      </c>
      <c r="DL221" s="2" t="s">
        <v>3</v>
      </c>
      <c r="DM221" s="2" t="s">
        <v>3</v>
      </c>
      <c r="DN221" s="2">
        <v>0</v>
      </c>
      <c r="DO221" s="2">
        <v>0</v>
      </c>
      <c r="DP221" s="2">
        <v>1</v>
      </c>
      <c r="DQ221" s="2">
        <v>1</v>
      </c>
      <c r="DR221" s="2"/>
      <c r="DS221" s="2"/>
      <c r="DT221" s="2"/>
      <c r="DU221" s="2">
        <v>1013</v>
      </c>
      <c r="DV221" s="2" t="s">
        <v>26</v>
      </c>
      <c r="DW221" s="2" t="s">
        <v>26</v>
      </c>
      <c r="DX221" s="2">
        <v>1</v>
      </c>
      <c r="DY221" s="2"/>
      <c r="DZ221" s="2" t="s">
        <v>3</v>
      </c>
      <c r="EA221" s="2" t="s">
        <v>3</v>
      </c>
      <c r="EB221" s="2" t="s">
        <v>3</v>
      </c>
      <c r="EC221" s="2" t="s">
        <v>3</v>
      </c>
      <c r="ED221" s="2"/>
      <c r="EE221" s="2">
        <v>57042959</v>
      </c>
      <c r="EF221" s="2">
        <v>40</v>
      </c>
      <c r="EG221" s="2" t="s">
        <v>30</v>
      </c>
      <c r="EH221" s="2">
        <v>0</v>
      </c>
      <c r="EI221" s="2" t="s">
        <v>3</v>
      </c>
      <c r="EJ221" s="2">
        <v>2</v>
      </c>
      <c r="EK221" s="2">
        <v>69</v>
      </c>
      <c r="EL221" s="2" t="s">
        <v>60</v>
      </c>
      <c r="EM221" s="2" t="s">
        <v>61</v>
      </c>
      <c r="EN221" s="2"/>
      <c r="EO221" s="2" t="s">
        <v>109</v>
      </c>
      <c r="EP221" s="2"/>
      <c r="EQ221" s="2">
        <v>131072</v>
      </c>
      <c r="ER221" s="2">
        <v>13.56</v>
      </c>
      <c r="ES221" s="2">
        <v>1.67</v>
      </c>
      <c r="ET221" s="2">
        <v>0</v>
      </c>
      <c r="EU221" s="2">
        <v>0</v>
      </c>
      <c r="EV221" s="2">
        <v>11.89</v>
      </c>
      <c r="EW221" s="2">
        <v>1</v>
      </c>
      <c r="EX221" s="2">
        <v>0</v>
      </c>
      <c r="EY221" s="2">
        <v>0</v>
      </c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>
        <v>0</v>
      </c>
      <c r="FR221" s="2">
        <v>0</v>
      </c>
      <c r="FS221" s="2">
        <v>0</v>
      </c>
      <c r="FT221" s="2"/>
      <c r="FU221" s="2"/>
      <c r="FV221" s="2"/>
      <c r="FW221" s="2"/>
      <c r="FX221" s="2">
        <v>95</v>
      </c>
      <c r="FY221" s="2">
        <v>53</v>
      </c>
      <c r="FZ221" s="2"/>
      <c r="GA221" s="2" t="s">
        <v>3</v>
      </c>
      <c r="GB221" s="2"/>
      <c r="GC221" s="2"/>
      <c r="GD221" s="2">
        <v>1</v>
      </c>
      <c r="GE221" s="2"/>
      <c r="GF221" s="2">
        <v>205901832</v>
      </c>
      <c r="GG221" s="2">
        <v>2</v>
      </c>
      <c r="GH221" s="2">
        <v>1</v>
      </c>
      <c r="GI221" s="2">
        <v>2</v>
      </c>
      <c r="GJ221" s="2">
        <v>0</v>
      </c>
      <c r="GK221" s="2">
        <v>0</v>
      </c>
      <c r="GL221" s="2">
        <f t="shared" si="161"/>
        <v>0</v>
      </c>
      <c r="GM221" s="2">
        <f t="shared" si="162"/>
        <v>2361.77</v>
      </c>
      <c r="GN221" s="2">
        <f t="shared" si="163"/>
        <v>0</v>
      </c>
      <c r="GO221" s="2">
        <f t="shared" si="164"/>
        <v>2361.77</v>
      </c>
      <c r="GP221" s="2">
        <f t="shared" si="165"/>
        <v>0</v>
      </c>
      <c r="GQ221" s="2"/>
      <c r="GR221" s="2">
        <v>0</v>
      </c>
      <c r="GS221" s="2">
        <v>3</v>
      </c>
      <c r="GT221" s="2">
        <v>0</v>
      </c>
      <c r="GU221" s="2" t="s">
        <v>3</v>
      </c>
      <c r="GV221" s="2">
        <f t="shared" si="166"/>
        <v>0</v>
      </c>
      <c r="GW221" s="2">
        <v>1</v>
      </c>
      <c r="GX221" s="2">
        <f t="shared" si="167"/>
        <v>0</v>
      </c>
      <c r="GY221" s="2"/>
      <c r="GZ221" s="2"/>
      <c r="HA221" s="2">
        <v>0</v>
      </c>
      <c r="HB221" s="2">
        <v>0</v>
      </c>
      <c r="HC221" s="2">
        <f t="shared" si="168"/>
        <v>0</v>
      </c>
      <c r="HD221" s="2"/>
      <c r="HE221" s="2" t="s">
        <v>3</v>
      </c>
      <c r="HF221" s="2" t="s">
        <v>3</v>
      </c>
      <c r="HG221" s="2"/>
      <c r="HH221" s="2"/>
      <c r="HI221" s="2"/>
      <c r="HJ221" s="2"/>
      <c r="HK221" s="2"/>
      <c r="HL221" s="2"/>
      <c r="HM221" s="2" t="s">
        <v>3</v>
      </c>
      <c r="HN221" s="2" t="s">
        <v>3</v>
      </c>
      <c r="HO221" s="2" t="s">
        <v>3</v>
      </c>
      <c r="HP221" s="2" t="s">
        <v>3</v>
      </c>
      <c r="HQ221" s="2" t="s">
        <v>3</v>
      </c>
      <c r="HR221" s="2"/>
      <c r="HS221" s="2">
        <v>0</v>
      </c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>
        <v>0</v>
      </c>
      <c r="IL221" s="2"/>
      <c r="IM221" s="2"/>
      <c r="IN221" s="2"/>
      <c r="IO221" s="2"/>
      <c r="IP221" s="2"/>
      <c r="IQ221" s="2"/>
      <c r="IR221" s="2"/>
      <c r="IS221" s="2"/>
      <c r="IT221" s="2"/>
      <c r="IU221" s="2"/>
    </row>
    <row r="222" spans="1:255" x14ac:dyDescent="0.25">
      <c r="A222" s="3">
        <v>17</v>
      </c>
      <c r="B222" s="3">
        <v>1</v>
      </c>
      <c r="C222" s="3">
        <f>ROW(SmtRes!A170)</f>
        <v>170</v>
      </c>
      <c r="D222" s="3">
        <f>ROW(EtalonRes!A190)</f>
        <v>190</v>
      </c>
      <c r="E222" s="3" t="s">
        <v>240</v>
      </c>
      <c r="F222" s="3" t="s">
        <v>57</v>
      </c>
      <c r="G222" s="3" t="s">
        <v>241</v>
      </c>
      <c r="H222" s="3" t="s">
        <v>26</v>
      </c>
      <c r="I222" s="3">
        <f>ROUND(61,9)</f>
        <v>61</v>
      </c>
      <c r="J222" s="3">
        <v>0</v>
      </c>
      <c r="K222" s="3">
        <f>ROUND(61,9)</f>
        <v>61</v>
      </c>
      <c r="O222" s="3">
        <f t="shared" si="146"/>
        <v>53169.36</v>
      </c>
      <c r="P222" s="3">
        <f t="shared" si="175"/>
        <v>1820.42</v>
      </c>
      <c r="Q222" s="3">
        <f>(ROUND((ROUND((((ET222*1.2))*AV222*I222),2)*BB222),2)+ROUND((ROUND(((AE222-((EU222*1.2)))*AV222*I222),2)*BS222),2))</f>
        <v>0</v>
      </c>
      <c r="R222" s="3">
        <f>(ROUND((ROUND((((EU222*1.2))*AV222*I222),2)*BS222),2)+ROUND((ROUND(((AE222-((EU222*1.2)))*AV222*I222),2)*BS222),2))</f>
        <v>0</v>
      </c>
      <c r="S222" s="3">
        <f t="shared" si="147"/>
        <v>51348.94</v>
      </c>
      <c r="T222" s="3">
        <f t="shared" si="148"/>
        <v>0</v>
      </c>
      <c r="U222" s="3">
        <f t="shared" si="149"/>
        <v>76.6404</v>
      </c>
      <c r="V222" s="3">
        <f t="shared" si="150"/>
        <v>0</v>
      </c>
      <c r="W222" s="3">
        <f t="shared" si="151"/>
        <v>0</v>
      </c>
      <c r="X222" s="3">
        <f>(ROUND((((S222+ROUND((ROUND((((EU222*1.2))*AV222*I222),2)*BS222),2))*AT222)/100),2)+ROUND(((ROUND((ROUND(((AE222-((EU222*1.2)))*AV222*I222),2)*BS222),2)*AT222)/100),2))</f>
        <v>48781.49</v>
      </c>
      <c r="Y222" s="3">
        <f>(ROUND((((S222+ROUND((ROUND((((EU222*1.2))*AV222*I222),2)*BS222),2))*AU222)/100),2)+ROUND(((ROUND((ROUND(((AE222-((EU222*1.2)))*AV222*I222),2)*BS222),2)*AU222)/100),2))</f>
        <v>27214.94</v>
      </c>
      <c r="AA222" s="3">
        <v>57034454</v>
      </c>
      <c r="AB222" s="3">
        <f t="shared" si="152"/>
        <v>15.938000000000001</v>
      </c>
      <c r="AC222" s="3">
        <f>ROUND(((ES222*1)),6)</f>
        <v>1.67</v>
      </c>
      <c r="AD222" s="3">
        <f>ROUND(((((ET222*1.2))-((EU222*1.2)))+AE222),6)</f>
        <v>0</v>
      </c>
      <c r="AE222" s="3">
        <f>ROUND(((EU222*1.2)),6)</f>
        <v>0</v>
      </c>
      <c r="AF222" s="3">
        <f>ROUND(((EV222*1.2)),6)</f>
        <v>14.268000000000001</v>
      </c>
      <c r="AG222" s="3">
        <f t="shared" si="153"/>
        <v>0</v>
      </c>
      <c r="AH222" s="3">
        <f>((EW222*1.2))</f>
        <v>1.2</v>
      </c>
      <c r="AI222" s="3">
        <f>((EX222*1.2))</f>
        <v>0</v>
      </c>
      <c r="AJ222" s="3">
        <f t="shared" si="154"/>
        <v>0</v>
      </c>
      <c r="AK222" s="3">
        <v>13.56</v>
      </c>
      <c r="AL222" s="3">
        <v>1.67</v>
      </c>
      <c r="AM222" s="3">
        <v>0</v>
      </c>
      <c r="AN222" s="3">
        <v>0</v>
      </c>
      <c r="AO222" s="3">
        <v>11.89</v>
      </c>
      <c r="AP222" s="3">
        <v>0</v>
      </c>
      <c r="AQ222" s="3">
        <v>1</v>
      </c>
      <c r="AR222" s="3">
        <v>0</v>
      </c>
      <c r="AS222" s="3">
        <v>0</v>
      </c>
      <c r="AT222" s="3">
        <v>95</v>
      </c>
      <c r="AU222" s="3">
        <v>53</v>
      </c>
      <c r="AV222" s="3">
        <v>1.0469999999999999</v>
      </c>
      <c r="AW222" s="3">
        <v>1</v>
      </c>
      <c r="AZ222" s="3">
        <v>1</v>
      </c>
      <c r="BA222" s="3">
        <v>56.35</v>
      </c>
      <c r="BB222" s="3">
        <v>1</v>
      </c>
      <c r="BC222" s="3">
        <v>17.87</v>
      </c>
      <c r="BD222" s="3" t="s">
        <v>3</v>
      </c>
      <c r="BE222" s="3" t="s">
        <v>3</v>
      </c>
      <c r="BF222" s="3" t="s">
        <v>3</v>
      </c>
      <c r="BG222" s="3" t="s">
        <v>3</v>
      </c>
      <c r="BH222" s="3">
        <v>0</v>
      </c>
      <c r="BI222" s="3">
        <v>2</v>
      </c>
      <c r="BJ222" s="3" t="s">
        <v>59</v>
      </c>
      <c r="BM222" s="3">
        <v>69</v>
      </c>
      <c r="BN222" s="3">
        <v>0</v>
      </c>
      <c r="BO222" s="3" t="s">
        <v>57</v>
      </c>
      <c r="BP222" s="3">
        <v>1</v>
      </c>
      <c r="BQ222" s="3">
        <v>40</v>
      </c>
      <c r="BR222" s="3">
        <v>0</v>
      </c>
      <c r="BS222" s="3">
        <v>56.35</v>
      </c>
      <c r="BT222" s="3">
        <v>1</v>
      </c>
      <c r="BU222" s="3">
        <v>1</v>
      </c>
      <c r="BV222" s="3">
        <v>1</v>
      </c>
      <c r="BW222" s="3">
        <v>1</v>
      </c>
      <c r="BX222" s="3">
        <v>1</v>
      </c>
      <c r="BY222" s="3" t="s">
        <v>3</v>
      </c>
      <c r="BZ222" s="3">
        <v>95</v>
      </c>
      <c r="CA222" s="3">
        <v>53</v>
      </c>
      <c r="CB222" s="3" t="s">
        <v>3</v>
      </c>
      <c r="CE222" s="3">
        <v>1566</v>
      </c>
      <c r="CF222" s="3">
        <v>0</v>
      </c>
      <c r="CG222" s="3">
        <v>0</v>
      </c>
      <c r="CM222" s="3">
        <v>0</v>
      </c>
      <c r="CN222" s="3" t="s">
        <v>614</v>
      </c>
      <c r="CO222" s="3">
        <v>0</v>
      </c>
      <c r="CP222" s="3">
        <f t="shared" si="155"/>
        <v>53169.36</v>
      </c>
      <c r="CQ222" s="3">
        <f t="shared" si="176"/>
        <v>29.84</v>
      </c>
      <c r="CR222" s="3">
        <f>(ROUND((ROUND((((ET222*1.2))*AV222*1),2)*BB222),2)+ROUND((ROUND(((AE222-((EU222*1.2)))*AV222*1),2)*BS222),2))</f>
        <v>0</v>
      </c>
      <c r="CS222" s="3">
        <f>(ROUND((ROUND((((EU222*1.2))*AV222*1),2)*BS222),2)+ROUND((ROUND(((AE222-((EU222*1.2)))*AV222*1),2)*BS222),2))</f>
        <v>0</v>
      </c>
      <c r="CT222" s="3">
        <f t="shared" si="156"/>
        <v>841.87</v>
      </c>
      <c r="CU222" s="3">
        <f t="shared" si="157"/>
        <v>0</v>
      </c>
      <c r="CV222" s="3">
        <f t="shared" si="158"/>
        <v>1.2564</v>
      </c>
      <c r="CW222" s="3">
        <f t="shared" si="159"/>
        <v>0</v>
      </c>
      <c r="CX222" s="3">
        <f t="shared" si="160"/>
        <v>0</v>
      </c>
      <c r="CY222" s="3">
        <f>(ROUND((((S222+ROUND((ROUND((((EU222*1.2))*AV222*1),2)*BS222),2))*AT222)/100),2)+ROUND(((ROUND((ROUND(((AE222-((EU222*1.2)))*AV222*1),2)*BS222),2)*AT222)/100),2))</f>
        <v>48781.49</v>
      </c>
      <c r="CZ222" s="3">
        <f>(ROUND((((S222+ROUND((ROUND((((EU222*1.2))*AV222*1),2)*BS222),2))*AU222)/100),2)+ROUND(((ROUND((ROUND(((AE222-((EU222*1.2)))*AV222*1),2)*BS222),2)*AU222)/100),2))</f>
        <v>27214.94</v>
      </c>
      <c r="DB222" s="3">
        <v>102</v>
      </c>
      <c r="DC222" s="3" t="s">
        <v>3</v>
      </c>
      <c r="DD222" s="3" t="s">
        <v>104</v>
      </c>
      <c r="DE222" s="3" t="s">
        <v>105</v>
      </c>
      <c r="DF222" s="3" t="s">
        <v>105</v>
      </c>
      <c r="DG222" s="3" t="s">
        <v>105</v>
      </c>
      <c r="DH222" s="3" t="s">
        <v>3</v>
      </c>
      <c r="DI222" s="3" t="s">
        <v>105</v>
      </c>
      <c r="DJ222" s="3" t="s">
        <v>105</v>
      </c>
      <c r="DK222" s="3" t="s">
        <v>3</v>
      </c>
      <c r="DL222" s="3" t="s">
        <v>3</v>
      </c>
      <c r="DM222" s="3" t="s">
        <v>3</v>
      </c>
      <c r="DN222" s="3">
        <v>0</v>
      </c>
      <c r="DO222" s="3">
        <v>0</v>
      </c>
      <c r="DP222" s="3">
        <v>1</v>
      </c>
      <c r="DQ222" s="3">
        <v>1</v>
      </c>
      <c r="DU222" s="3">
        <v>1013</v>
      </c>
      <c r="DV222" s="3" t="s">
        <v>26</v>
      </c>
      <c r="DW222" s="3" t="s">
        <v>26</v>
      </c>
      <c r="DX222" s="3">
        <v>1</v>
      </c>
      <c r="DZ222" s="3" t="s">
        <v>3</v>
      </c>
      <c r="EA222" s="3" t="s">
        <v>3</v>
      </c>
      <c r="EB222" s="3" t="s">
        <v>3</v>
      </c>
      <c r="EC222" s="3" t="s">
        <v>3</v>
      </c>
      <c r="EE222" s="3">
        <v>57042959</v>
      </c>
      <c r="EF222" s="3">
        <v>40</v>
      </c>
      <c r="EG222" s="3" t="s">
        <v>30</v>
      </c>
      <c r="EH222" s="3">
        <v>0</v>
      </c>
      <c r="EI222" s="3" t="s">
        <v>3</v>
      </c>
      <c r="EJ222" s="3">
        <v>2</v>
      </c>
      <c r="EK222" s="3">
        <v>69</v>
      </c>
      <c r="EL222" s="3" t="s">
        <v>60</v>
      </c>
      <c r="EM222" s="3" t="s">
        <v>61</v>
      </c>
      <c r="EO222" s="3" t="s">
        <v>109</v>
      </c>
      <c r="EQ222" s="3">
        <v>131072</v>
      </c>
      <c r="ER222" s="3">
        <v>13.56</v>
      </c>
      <c r="ES222" s="3">
        <v>1.67</v>
      </c>
      <c r="ET222" s="3">
        <v>0</v>
      </c>
      <c r="EU222" s="3">
        <v>0</v>
      </c>
      <c r="EV222" s="3">
        <v>11.89</v>
      </c>
      <c r="EW222" s="3">
        <v>1</v>
      </c>
      <c r="EX222" s="3">
        <v>0</v>
      </c>
      <c r="EY222" s="3">
        <v>0</v>
      </c>
      <c r="FQ222" s="3">
        <v>0</v>
      </c>
      <c r="FR222" s="3">
        <v>0</v>
      </c>
      <c r="FS222" s="3">
        <v>0</v>
      </c>
      <c r="FX222" s="3">
        <v>95</v>
      </c>
      <c r="FY222" s="3">
        <v>53</v>
      </c>
      <c r="GA222" s="3" t="s">
        <v>3</v>
      </c>
      <c r="GD222" s="3">
        <v>1</v>
      </c>
      <c r="GF222" s="3">
        <v>205901832</v>
      </c>
      <c r="GG222" s="3">
        <v>2</v>
      </c>
      <c r="GH222" s="3">
        <v>1</v>
      </c>
      <c r="GI222" s="3">
        <v>2</v>
      </c>
      <c r="GJ222" s="3">
        <v>0</v>
      </c>
      <c r="GK222" s="3">
        <v>0</v>
      </c>
      <c r="GL222" s="3">
        <f t="shared" si="161"/>
        <v>0</v>
      </c>
      <c r="GM222" s="3">
        <f t="shared" si="162"/>
        <v>129165.79</v>
      </c>
      <c r="GN222" s="3">
        <f t="shared" si="163"/>
        <v>0</v>
      </c>
      <c r="GO222" s="3">
        <f t="shared" si="164"/>
        <v>129165.79</v>
      </c>
      <c r="GP222" s="3">
        <f t="shared" si="165"/>
        <v>0</v>
      </c>
      <c r="GR222" s="3">
        <v>0</v>
      </c>
      <c r="GS222" s="3">
        <v>3</v>
      </c>
      <c r="GT222" s="3">
        <v>0</v>
      </c>
      <c r="GU222" s="3" t="s">
        <v>3</v>
      </c>
      <c r="GV222" s="3">
        <f t="shared" si="166"/>
        <v>0</v>
      </c>
      <c r="GW222" s="3">
        <v>1</v>
      </c>
      <c r="GX222" s="3">
        <f t="shared" si="167"/>
        <v>0</v>
      </c>
      <c r="HA222" s="3">
        <v>0</v>
      </c>
      <c r="HB222" s="3">
        <v>0</v>
      </c>
      <c r="HC222" s="3">
        <f t="shared" si="168"/>
        <v>0</v>
      </c>
      <c r="HE222" s="3" t="s">
        <v>3</v>
      </c>
      <c r="HF222" s="3" t="s">
        <v>3</v>
      </c>
      <c r="HM222" s="3" t="s">
        <v>3</v>
      </c>
      <c r="HN222" s="3" t="s">
        <v>3</v>
      </c>
      <c r="HO222" s="3" t="s">
        <v>3</v>
      </c>
      <c r="HP222" s="3" t="s">
        <v>3</v>
      </c>
      <c r="HQ222" s="3" t="s">
        <v>3</v>
      </c>
      <c r="HS222" s="3">
        <v>0</v>
      </c>
      <c r="IK222" s="3">
        <v>0</v>
      </c>
    </row>
    <row r="223" spans="1:255" x14ac:dyDescent="0.25">
      <c r="A223" s="2">
        <v>18</v>
      </c>
      <c r="B223" s="2">
        <v>1</v>
      </c>
      <c r="C223" s="2">
        <v>166</v>
      </c>
      <c r="D223" s="2"/>
      <c r="E223" s="2" t="s">
        <v>242</v>
      </c>
      <c r="F223" s="2" t="s">
        <v>243</v>
      </c>
      <c r="G223" s="2" t="s">
        <v>244</v>
      </c>
      <c r="H223" s="2" t="s">
        <v>177</v>
      </c>
      <c r="I223" s="2">
        <f>I221*J223</f>
        <v>61</v>
      </c>
      <c r="J223" s="2">
        <v>1</v>
      </c>
      <c r="K223" s="2">
        <v>1</v>
      </c>
      <c r="L223" s="2"/>
      <c r="M223" s="2"/>
      <c r="N223" s="2"/>
      <c r="O223" s="2">
        <f t="shared" si="146"/>
        <v>3599</v>
      </c>
      <c r="P223" s="2">
        <f>ROUND((ROUND((AC223*I223),2)*BC223),2)</f>
        <v>3599</v>
      </c>
      <c r="Q223" s="2">
        <f>(ROUND((ROUND(((ET223)*AV223*I223),2)*BB223),2)+ROUND((ROUND(((AE223-(EU223))*AV223*I223),2)*BS223),2))</f>
        <v>0</v>
      </c>
      <c r="R223" s="2">
        <f>(ROUND((ROUND(((EU223)*AV223*I223),2)*BS223),2)+ROUND((ROUND(((AE223-(EU223))*AV223*I223),2)*BS223),2))</f>
        <v>0</v>
      </c>
      <c r="S223" s="2">
        <f t="shared" si="147"/>
        <v>0</v>
      </c>
      <c r="T223" s="2">
        <f t="shared" si="148"/>
        <v>0</v>
      </c>
      <c r="U223" s="2">
        <f t="shared" si="149"/>
        <v>0</v>
      </c>
      <c r="V223" s="2">
        <f t="shared" si="150"/>
        <v>0</v>
      </c>
      <c r="W223" s="2">
        <f t="shared" si="151"/>
        <v>0</v>
      </c>
      <c r="X223" s="2">
        <f>(ROUND((((S223+ROUND((ROUND(((EU223)*AV223*I223),2)*BS223),2))*AT223)/100),2)+ROUND(((ROUND((ROUND(((AE223-(EU223))*AV223*I223),2)*BS223),2)*AT223)/100),2))</f>
        <v>0</v>
      </c>
      <c r="Y223" s="2">
        <f>(ROUND((((S223+ROUND((ROUND(((EU223)*AV223*I223),2)*BS223),2))*AU223)/100),2)+ROUND(((ROUND((ROUND(((AE223-(EU223))*AV223*I223),2)*BS223),2)*AU223)/100),2))</f>
        <v>0</v>
      </c>
      <c r="Z223" s="2"/>
      <c r="AA223" s="2">
        <v>57034452</v>
      </c>
      <c r="AB223" s="2">
        <f t="shared" si="152"/>
        <v>59</v>
      </c>
      <c r="AC223" s="2">
        <f>ROUND((ES223),6)</f>
        <v>59</v>
      </c>
      <c r="AD223" s="2">
        <f>ROUND((((ET223)-(EU223))+AE223),6)</f>
        <v>0</v>
      </c>
      <c r="AE223" s="2">
        <f>ROUND((EU223),6)</f>
        <v>0</v>
      </c>
      <c r="AF223" s="2">
        <f>ROUND((EV223),6)</f>
        <v>0</v>
      </c>
      <c r="AG223" s="2">
        <f t="shared" si="153"/>
        <v>0</v>
      </c>
      <c r="AH223" s="2">
        <f>(EW223)</f>
        <v>0</v>
      </c>
      <c r="AI223" s="2">
        <f>(EX223)</f>
        <v>0</v>
      </c>
      <c r="AJ223" s="2">
        <f t="shared" si="154"/>
        <v>0</v>
      </c>
      <c r="AK223" s="2">
        <v>59</v>
      </c>
      <c r="AL223" s="2">
        <v>59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1</v>
      </c>
      <c r="AW223" s="2">
        <v>1</v>
      </c>
      <c r="AX223" s="2"/>
      <c r="AY223" s="2"/>
      <c r="AZ223" s="2">
        <v>1</v>
      </c>
      <c r="BA223" s="2">
        <v>1</v>
      </c>
      <c r="BB223" s="2">
        <v>1</v>
      </c>
      <c r="BC223" s="2">
        <v>1</v>
      </c>
      <c r="BD223" s="2" t="s">
        <v>3</v>
      </c>
      <c r="BE223" s="2" t="s">
        <v>3</v>
      </c>
      <c r="BF223" s="2" t="s">
        <v>3</v>
      </c>
      <c r="BG223" s="2" t="s">
        <v>3</v>
      </c>
      <c r="BH223" s="2">
        <v>3</v>
      </c>
      <c r="BI223" s="2">
        <v>3</v>
      </c>
      <c r="BJ223" s="2" t="s">
        <v>245</v>
      </c>
      <c r="BK223" s="2"/>
      <c r="BL223" s="2"/>
      <c r="BM223" s="2">
        <v>746</v>
      </c>
      <c r="BN223" s="2">
        <v>0</v>
      </c>
      <c r="BO223" s="2" t="s">
        <v>3</v>
      </c>
      <c r="BP223" s="2">
        <v>0</v>
      </c>
      <c r="BQ223" s="2">
        <v>130</v>
      </c>
      <c r="BR223" s="2">
        <v>0</v>
      </c>
      <c r="BS223" s="2">
        <v>1</v>
      </c>
      <c r="BT223" s="2">
        <v>1</v>
      </c>
      <c r="BU223" s="2">
        <v>1</v>
      </c>
      <c r="BV223" s="2">
        <v>1</v>
      </c>
      <c r="BW223" s="2">
        <v>1</v>
      </c>
      <c r="BX223" s="2">
        <v>1</v>
      </c>
      <c r="BY223" s="2" t="s">
        <v>3</v>
      </c>
      <c r="BZ223" s="2">
        <v>95</v>
      </c>
      <c r="CA223" s="2">
        <v>53</v>
      </c>
      <c r="CB223" s="2" t="s">
        <v>3</v>
      </c>
      <c r="CC223" s="2"/>
      <c r="CD223" s="2"/>
      <c r="CE223" s="2">
        <v>1566</v>
      </c>
      <c r="CF223" s="2">
        <v>0</v>
      </c>
      <c r="CG223" s="2">
        <v>0</v>
      </c>
      <c r="CH223" s="2"/>
      <c r="CI223" s="2"/>
      <c r="CJ223" s="2"/>
      <c r="CK223" s="2"/>
      <c r="CL223" s="2"/>
      <c r="CM223" s="2">
        <v>0</v>
      </c>
      <c r="CN223" s="2" t="s">
        <v>615</v>
      </c>
      <c r="CO223" s="2">
        <v>0</v>
      </c>
      <c r="CP223" s="2">
        <f t="shared" si="155"/>
        <v>3599</v>
      </c>
      <c r="CQ223" s="2">
        <f>ROUND((ROUND((AC223*1),2)*BC223),2)</f>
        <v>59</v>
      </c>
      <c r="CR223" s="2">
        <f>(ROUND((ROUND(((ET223)*AV223*1),2)*BB223),2)+ROUND((ROUND(((AE223-(EU223))*AV223*1),2)*BS223),2))</f>
        <v>0</v>
      </c>
      <c r="CS223" s="2">
        <f>(ROUND((ROUND(((EU223)*AV223*1),2)*BS223),2)+ROUND((ROUND(((AE223-(EU223))*AV223*1),2)*BS223),2))</f>
        <v>0</v>
      </c>
      <c r="CT223" s="2">
        <f t="shared" si="156"/>
        <v>0</v>
      </c>
      <c r="CU223" s="2">
        <f t="shared" si="157"/>
        <v>0</v>
      </c>
      <c r="CV223" s="2">
        <f t="shared" si="158"/>
        <v>0</v>
      </c>
      <c r="CW223" s="2">
        <f t="shared" si="159"/>
        <v>0</v>
      </c>
      <c r="CX223" s="2">
        <f t="shared" si="160"/>
        <v>0</v>
      </c>
      <c r="CY223" s="2">
        <f>(ROUND((((S223+ROUND((ROUND(((EU223)*AV223*1),2)*BS223),2))*AT223)/100),2)+ROUND(((ROUND((ROUND(((AE223-(EU223))*AV223*1),2)*BS223),2)*AT223)/100),2))</f>
        <v>0</v>
      </c>
      <c r="CZ223" s="2">
        <f>(ROUND((((S223+ROUND((ROUND(((EU223)*AV223*1),2)*BS223),2))*AU223)/100),2)+ROUND(((ROUND((ROUND(((AE223-(EU223))*AV223*1),2)*BS223),2)*AU223)/100),2))</f>
        <v>0</v>
      </c>
      <c r="DA223" s="2"/>
      <c r="DB223" s="2"/>
      <c r="DC223" s="2" t="s">
        <v>3</v>
      </c>
      <c r="DD223" s="2" t="s">
        <v>3</v>
      </c>
      <c r="DE223" s="2" t="s">
        <v>3</v>
      </c>
      <c r="DF223" s="2" t="s">
        <v>3</v>
      </c>
      <c r="DG223" s="2" t="s">
        <v>3</v>
      </c>
      <c r="DH223" s="2" t="s">
        <v>3</v>
      </c>
      <c r="DI223" s="2" t="s">
        <v>3</v>
      </c>
      <c r="DJ223" s="2" t="s">
        <v>3</v>
      </c>
      <c r="DK223" s="2" t="s">
        <v>3</v>
      </c>
      <c r="DL223" s="2" t="s">
        <v>3</v>
      </c>
      <c r="DM223" s="2" t="s">
        <v>3</v>
      </c>
      <c r="DN223" s="2">
        <v>0</v>
      </c>
      <c r="DO223" s="2">
        <v>0</v>
      </c>
      <c r="DP223" s="2">
        <v>1</v>
      </c>
      <c r="DQ223" s="2">
        <v>1</v>
      </c>
      <c r="DR223" s="2"/>
      <c r="DS223" s="2"/>
      <c r="DT223" s="2"/>
      <c r="DU223" s="2">
        <v>1010</v>
      </c>
      <c r="DV223" s="2" t="s">
        <v>177</v>
      </c>
      <c r="DW223" s="2" t="s">
        <v>177</v>
      </c>
      <c r="DX223" s="2">
        <v>1</v>
      </c>
      <c r="DY223" s="2"/>
      <c r="DZ223" s="2" t="s">
        <v>3</v>
      </c>
      <c r="EA223" s="2" t="s">
        <v>3</v>
      </c>
      <c r="EB223" s="2" t="s">
        <v>3</v>
      </c>
      <c r="EC223" s="2" t="s">
        <v>3</v>
      </c>
      <c r="ED223" s="2"/>
      <c r="EE223" s="2">
        <v>57043064</v>
      </c>
      <c r="EF223" s="2">
        <v>130</v>
      </c>
      <c r="EG223" s="2" t="s">
        <v>178</v>
      </c>
      <c r="EH223" s="2">
        <v>0</v>
      </c>
      <c r="EI223" s="2" t="s">
        <v>3</v>
      </c>
      <c r="EJ223" s="2">
        <v>3</v>
      </c>
      <c r="EK223" s="2">
        <v>746</v>
      </c>
      <c r="EL223" s="2" t="s">
        <v>179</v>
      </c>
      <c r="EM223" s="2" t="s">
        <v>180</v>
      </c>
      <c r="EN223" s="2"/>
      <c r="EO223" s="2" t="s">
        <v>109</v>
      </c>
      <c r="EP223" s="2"/>
      <c r="EQ223" s="2">
        <v>0</v>
      </c>
      <c r="ER223" s="2">
        <v>59</v>
      </c>
      <c r="ES223" s="2">
        <v>59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>
        <v>0</v>
      </c>
      <c r="FR223" s="2">
        <f>P223</f>
        <v>3599</v>
      </c>
      <c r="FS223" s="2">
        <v>0</v>
      </c>
      <c r="FT223" s="2"/>
      <c r="FU223" s="2"/>
      <c r="FV223" s="2"/>
      <c r="FW223" s="2"/>
      <c r="FX223" s="2">
        <v>95</v>
      </c>
      <c r="FY223" s="2">
        <v>53</v>
      </c>
      <c r="FZ223" s="2"/>
      <c r="GA223" s="2" t="s">
        <v>3</v>
      </c>
      <c r="GB223" s="2"/>
      <c r="GC223" s="2"/>
      <c r="GD223" s="2">
        <v>1</v>
      </c>
      <c r="GE223" s="2"/>
      <c r="GF223" s="2">
        <v>113604576</v>
      </c>
      <c r="GG223" s="2">
        <v>2</v>
      </c>
      <c r="GH223" s="2">
        <v>1</v>
      </c>
      <c r="GI223" s="2">
        <v>-2</v>
      </c>
      <c r="GJ223" s="2">
        <v>0</v>
      </c>
      <c r="GK223" s="2">
        <v>0</v>
      </c>
      <c r="GL223" s="2">
        <f t="shared" si="161"/>
        <v>0</v>
      </c>
      <c r="GM223" s="2">
        <f t="shared" si="162"/>
        <v>3599</v>
      </c>
      <c r="GN223" s="2">
        <f t="shared" si="163"/>
        <v>0</v>
      </c>
      <c r="GO223" s="2">
        <f t="shared" si="164"/>
        <v>0</v>
      </c>
      <c r="GP223" s="2">
        <f t="shared" si="165"/>
        <v>0</v>
      </c>
      <c r="GQ223" s="2"/>
      <c r="GR223" s="2">
        <v>0</v>
      </c>
      <c r="GS223" s="2">
        <v>3</v>
      </c>
      <c r="GT223" s="2">
        <v>0</v>
      </c>
      <c r="GU223" s="2" t="s">
        <v>3</v>
      </c>
      <c r="GV223" s="2">
        <f t="shared" si="166"/>
        <v>0</v>
      </c>
      <c r="GW223" s="2">
        <v>1</v>
      </c>
      <c r="GX223" s="2">
        <f t="shared" si="167"/>
        <v>0</v>
      </c>
      <c r="GY223" s="2"/>
      <c r="GZ223" s="2"/>
      <c r="HA223" s="2">
        <v>0</v>
      </c>
      <c r="HB223" s="2">
        <v>0</v>
      </c>
      <c r="HC223" s="2">
        <f t="shared" si="168"/>
        <v>0</v>
      </c>
      <c r="HD223" s="2"/>
      <c r="HE223" s="2" t="s">
        <v>3</v>
      </c>
      <c r="HF223" s="2" t="s">
        <v>3</v>
      </c>
      <c r="HG223" s="2"/>
      <c r="HH223" s="2"/>
      <c r="HI223" s="2"/>
      <c r="HJ223" s="2"/>
      <c r="HK223" s="2"/>
      <c r="HL223" s="2"/>
      <c r="HM223" s="2" t="s">
        <v>104</v>
      </c>
      <c r="HN223" s="2" t="s">
        <v>3</v>
      </c>
      <c r="HO223" s="2" t="s">
        <v>3</v>
      </c>
      <c r="HP223" s="2" t="s">
        <v>3</v>
      </c>
      <c r="HQ223" s="2" t="s">
        <v>3</v>
      </c>
      <c r="HR223" s="2"/>
      <c r="HS223" s="2">
        <v>0</v>
      </c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>
        <v>0</v>
      </c>
      <c r="IL223" s="2"/>
      <c r="IM223" s="2"/>
      <c r="IN223" s="2"/>
      <c r="IO223" s="2"/>
      <c r="IP223" s="2"/>
      <c r="IQ223" s="2"/>
      <c r="IR223" s="2"/>
      <c r="IS223" s="2"/>
      <c r="IT223" s="2"/>
      <c r="IU223" s="2"/>
    </row>
    <row r="224" spans="1:255" x14ac:dyDescent="0.25">
      <c r="A224" s="3">
        <v>18</v>
      </c>
      <c r="B224" s="3">
        <v>1</v>
      </c>
      <c r="C224" s="3">
        <v>170</v>
      </c>
      <c r="E224" s="3" t="s">
        <v>242</v>
      </c>
      <c r="F224" s="3" t="s">
        <v>243</v>
      </c>
      <c r="G224" s="3" t="s">
        <v>244</v>
      </c>
      <c r="H224" s="3" t="s">
        <v>177</v>
      </c>
      <c r="I224" s="3">
        <f>I222*J224</f>
        <v>61</v>
      </c>
      <c r="J224" s="3">
        <v>1</v>
      </c>
      <c r="K224" s="3">
        <v>1</v>
      </c>
      <c r="O224" s="3">
        <f t="shared" si="146"/>
        <v>51645.65</v>
      </c>
      <c r="P224" s="3">
        <f>ROUND((ROUND((AC224*I224),2)*BC224),2)</f>
        <v>51645.65</v>
      </c>
      <c r="Q224" s="3">
        <f>(ROUND((ROUND(((ET224)*AV224*I224),2)*BB224),2)+ROUND((ROUND(((AE224-(EU224))*AV224*I224),2)*BS224),2))</f>
        <v>0</v>
      </c>
      <c r="R224" s="3">
        <f>(ROUND((ROUND(((EU224)*AV224*I224),2)*BS224),2)+ROUND((ROUND(((AE224-(EU224))*AV224*I224),2)*BS224),2))</f>
        <v>0</v>
      </c>
      <c r="S224" s="3">
        <f t="shared" si="147"/>
        <v>0</v>
      </c>
      <c r="T224" s="3">
        <f t="shared" si="148"/>
        <v>0</v>
      </c>
      <c r="U224" s="3">
        <f t="shared" si="149"/>
        <v>0</v>
      </c>
      <c r="V224" s="3">
        <f t="shared" si="150"/>
        <v>0</v>
      </c>
      <c r="W224" s="3">
        <f t="shared" si="151"/>
        <v>0</v>
      </c>
      <c r="X224" s="3">
        <f>(ROUND((((S224+ROUND((ROUND(((EU224)*AV224*I224),2)*BS224),2))*AT224)/100),2)+ROUND(((ROUND((ROUND(((AE224-(EU224))*AV224*I224),2)*BS224),2)*AT224)/100),2))</f>
        <v>0</v>
      </c>
      <c r="Y224" s="3">
        <f>(ROUND((((S224+ROUND((ROUND(((EU224)*AV224*I224),2)*BS224),2))*AU224)/100),2)+ROUND(((ROUND((ROUND(((AE224-(EU224))*AV224*I224),2)*BS224),2)*AU224)/100),2))</f>
        <v>0</v>
      </c>
      <c r="AA224" s="3">
        <v>57034454</v>
      </c>
      <c r="AB224" s="3">
        <f t="shared" si="152"/>
        <v>59</v>
      </c>
      <c r="AC224" s="3">
        <f>ROUND((ES224),6)</f>
        <v>59</v>
      </c>
      <c r="AD224" s="3">
        <f>ROUND((((ET224)-(EU224))+AE224),6)</f>
        <v>0</v>
      </c>
      <c r="AE224" s="3">
        <f>ROUND((EU224),6)</f>
        <v>0</v>
      </c>
      <c r="AF224" s="3">
        <f>ROUND((EV224),6)</f>
        <v>0</v>
      </c>
      <c r="AG224" s="3">
        <f t="shared" si="153"/>
        <v>0</v>
      </c>
      <c r="AH224" s="3">
        <f>(EW224)</f>
        <v>0</v>
      </c>
      <c r="AI224" s="3">
        <f>(EX224)</f>
        <v>0</v>
      </c>
      <c r="AJ224" s="3">
        <f t="shared" si="154"/>
        <v>0</v>
      </c>
      <c r="AK224" s="3">
        <v>59</v>
      </c>
      <c r="AL224" s="3">
        <v>59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1</v>
      </c>
      <c r="AW224" s="3">
        <v>1</v>
      </c>
      <c r="AZ224" s="3">
        <v>1</v>
      </c>
      <c r="BA224" s="3">
        <v>1</v>
      </c>
      <c r="BB224" s="3">
        <v>1</v>
      </c>
      <c r="BC224" s="3">
        <v>14.35</v>
      </c>
      <c r="BD224" s="3" t="s">
        <v>3</v>
      </c>
      <c r="BE224" s="3" t="s">
        <v>3</v>
      </c>
      <c r="BF224" s="3" t="s">
        <v>3</v>
      </c>
      <c r="BG224" s="3" t="s">
        <v>3</v>
      </c>
      <c r="BH224" s="3">
        <v>3</v>
      </c>
      <c r="BI224" s="3">
        <v>3</v>
      </c>
      <c r="BJ224" s="3" t="s">
        <v>245</v>
      </c>
      <c r="BM224" s="3">
        <v>746</v>
      </c>
      <c r="BN224" s="3">
        <v>0</v>
      </c>
      <c r="BO224" s="3" t="s">
        <v>3</v>
      </c>
      <c r="BP224" s="3">
        <v>0</v>
      </c>
      <c r="BQ224" s="3">
        <v>130</v>
      </c>
      <c r="BR224" s="3">
        <v>0</v>
      </c>
      <c r="BS224" s="3">
        <v>1</v>
      </c>
      <c r="BT224" s="3">
        <v>1</v>
      </c>
      <c r="BU224" s="3">
        <v>1</v>
      </c>
      <c r="BV224" s="3">
        <v>1</v>
      </c>
      <c r="BW224" s="3">
        <v>1</v>
      </c>
      <c r="BX224" s="3">
        <v>1</v>
      </c>
      <c r="BY224" s="3" t="s">
        <v>3</v>
      </c>
      <c r="BZ224" s="3">
        <v>95</v>
      </c>
      <c r="CA224" s="3">
        <v>53</v>
      </c>
      <c r="CB224" s="3" t="s">
        <v>3</v>
      </c>
      <c r="CE224" s="3">
        <v>1566</v>
      </c>
      <c r="CF224" s="3">
        <v>0</v>
      </c>
      <c r="CG224" s="3">
        <v>0</v>
      </c>
      <c r="CM224" s="3">
        <v>0</v>
      </c>
      <c r="CN224" s="3" t="s">
        <v>615</v>
      </c>
      <c r="CO224" s="3">
        <v>0</v>
      </c>
      <c r="CP224" s="3">
        <f t="shared" si="155"/>
        <v>51645.65</v>
      </c>
      <c r="CQ224" s="3">
        <f>ROUND((ROUND((AC224*1),2)*BC224),2)</f>
        <v>846.65</v>
      </c>
      <c r="CR224" s="3">
        <f>(ROUND((ROUND(((ET224)*AV224*1),2)*BB224),2)+ROUND((ROUND(((AE224-(EU224))*AV224*1),2)*BS224),2))</f>
        <v>0</v>
      </c>
      <c r="CS224" s="3">
        <f>(ROUND((ROUND(((EU224)*AV224*1),2)*BS224),2)+ROUND((ROUND(((AE224-(EU224))*AV224*1),2)*BS224),2))</f>
        <v>0</v>
      </c>
      <c r="CT224" s="3">
        <f t="shared" si="156"/>
        <v>0</v>
      </c>
      <c r="CU224" s="3">
        <f t="shared" si="157"/>
        <v>0</v>
      </c>
      <c r="CV224" s="3">
        <f t="shared" si="158"/>
        <v>0</v>
      </c>
      <c r="CW224" s="3">
        <f t="shared" si="159"/>
        <v>0</v>
      </c>
      <c r="CX224" s="3">
        <f t="shared" si="160"/>
        <v>0</v>
      </c>
      <c r="CY224" s="3">
        <f>(ROUND((((S224+ROUND((ROUND(((EU224)*AV224*1),2)*BS224),2))*AT224)/100),2)+ROUND(((ROUND((ROUND(((AE224-(EU224))*AV224*1),2)*BS224),2)*AT224)/100),2))</f>
        <v>0</v>
      </c>
      <c r="CZ224" s="3">
        <f>(ROUND((((S224+ROUND((ROUND(((EU224)*AV224*1),2)*BS224),2))*AU224)/100),2)+ROUND(((ROUND((ROUND(((AE224-(EU224))*AV224*1),2)*BS224),2)*AU224)/100),2))</f>
        <v>0</v>
      </c>
      <c r="DC224" s="3" t="s">
        <v>3</v>
      </c>
      <c r="DD224" s="3" t="s">
        <v>3</v>
      </c>
      <c r="DE224" s="3" t="s">
        <v>3</v>
      </c>
      <c r="DF224" s="3" t="s">
        <v>3</v>
      </c>
      <c r="DG224" s="3" t="s">
        <v>3</v>
      </c>
      <c r="DH224" s="3" t="s">
        <v>3</v>
      </c>
      <c r="DI224" s="3" t="s">
        <v>3</v>
      </c>
      <c r="DJ224" s="3" t="s">
        <v>3</v>
      </c>
      <c r="DK224" s="3" t="s">
        <v>3</v>
      </c>
      <c r="DL224" s="3" t="s">
        <v>3</v>
      </c>
      <c r="DM224" s="3" t="s">
        <v>3</v>
      </c>
      <c r="DN224" s="3">
        <v>0</v>
      </c>
      <c r="DO224" s="3">
        <v>0</v>
      </c>
      <c r="DP224" s="3">
        <v>1</v>
      </c>
      <c r="DQ224" s="3">
        <v>1</v>
      </c>
      <c r="DU224" s="3">
        <v>1010</v>
      </c>
      <c r="DV224" s="3" t="s">
        <v>177</v>
      </c>
      <c r="DW224" s="3" t="s">
        <v>177</v>
      </c>
      <c r="DX224" s="3">
        <v>1</v>
      </c>
      <c r="DZ224" s="3" t="s">
        <v>3</v>
      </c>
      <c r="EA224" s="3" t="s">
        <v>3</v>
      </c>
      <c r="EB224" s="3" t="s">
        <v>3</v>
      </c>
      <c r="EC224" s="3" t="s">
        <v>3</v>
      </c>
      <c r="EE224" s="3">
        <v>57043064</v>
      </c>
      <c r="EF224" s="3">
        <v>130</v>
      </c>
      <c r="EG224" s="3" t="s">
        <v>178</v>
      </c>
      <c r="EH224" s="3">
        <v>0</v>
      </c>
      <c r="EI224" s="3" t="s">
        <v>3</v>
      </c>
      <c r="EJ224" s="3">
        <v>3</v>
      </c>
      <c r="EK224" s="3">
        <v>746</v>
      </c>
      <c r="EL224" s="3" t="s">
        <v>179</v>
      </c>
      <c r="EM224" s="3" t="s">
        <v>180</v>
      </c>
      <c r="EO224" s="3" t="s">
        <v>109</v>
      </c>
      <c r="EQ224" s="3">
        <v>0</v>
      </c>
      <c r="ER224" s="3">
        <v>59</v>
      </c>
      <c r="ES224" s="3">
        <v>59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FQ224" s="3">
        <v>0</v>
      </c>
      <c r="FR224" s="3">
        <f>P224</f>
        <v>51645.65</v>
      </c>
      <c r="FS224" s="3">
        <v>0</v>
      </c>
      <c r="FX224" s="3">
        <v>95</v>
      </c>
      <c r="FY224" s="3">
        <v>53</v>
      </c>
      <c r="GA224" s="3" t="s">
        <v>3</v>
      </c>
      <c r="GD224" s="3">
        <v>1</v>
      </c>
      <c r="GF224" s="3">
        <v>113604576</v>
      </c>
      <c r="GG224" s="3">
        <v>2</v>
      </c>
      <c r="GH224" s="3">
        <v>1</v>
      </c>
      <c r="GI224" s="3">
        <v>2</v>
      </c>
      <c r="GJ224" s="3">
        <v>0</v>
      </c>
      <c r="GK224" s="3">
        <v>0</v>
      </c>
      <c r="GL224" s="3">
        <f t="shared" si="161"/>
        <v>0</v>
      </c>
      <c r="GM224" s="3">
        <f t="shared" si="162"/>
        <v>51645.65</v>
      </c>
      <c r="GN224" s="3">
        <f t="shared" si="163"/>
        <v>0</v>
      </c>
      <c r="GO224" s="3">
        <f t="shared" si="164"/>
        <v>0</v>
      </c>
      <c r="GP224" s="3">
        <f t="shared" si="165"/>
        <v>0</v>
      </c>
      <c r="GR224" s="3">
        <v>0</v>
      </c>
      <c r="GS224" s="3">
        <v>3</v>
      </c>
      <c r="GT224" s="3">
        <v>0</v>
      </c>
      <c r="GU224" s="3" t="s">
        <v>3</v>
      </c>
      <c r="GV224" s="3">
        <f t="shared" si="166"/>
        <v>0</v>
      </c>
      <c r="GW224" s="3">
        <v>1</v>
      </c>
      <c r="GX224" s="3">
        <f t="shared" si="167"/>
        <v>0</v>
      </c>
      <c r="HA224" s="3">
        <v>0</v>
      </c>
      <c r="HB224" s="3">
        <v>0</v>
      </c>
      <c r="HC224" s="3">
        <f t="shared" si="168"/>
        <v>0</v>
      </c>
      <c r="HE224" s="3" t="s">
        <v>3</v>
      </c>
      <c r="HF224" s="3" t="s">
        <v>3</v>
      </c>
      <c r="HM224" s="3" t="s">
        <v>104</v>
      </c>
      <c r="HN224" s="3" t="s">
        <v>3</v>
      </c>
      <c r="HO224" s="3" t="s">
        <v>3</v>
      </c>
      <c r="HP224" s="3" t="s">
        <v>3</v>
      </c>
      <c r="HQ224" s="3" t="s">
        <v>3</v>
      </c>
      <c r="HS224" s="3">
        <v>0</v>
      </c>
      <c r="IK224" s="3">
        <v>0</v>
      </c>
    </row>
    <row r="225" spans="1:255" x14ac:dyDescent="0.25">
      <c r="A225" s="2">
        <v>17</v>
      </c>
      <c r="B225" s="2">
        <v>1</v>
      </c>
      <c r="C225" s="2">
        <f>ROW(SmtRes!A172)</f>
        <v>172</v>
      </c>
      <c r="D225" s="2">
        <f>ROW(EtalonRes!A191)</f>
        <v>191</v>
      </c>
      <c r="E225" s="2" t="s">
        <v>3</v>
      </c>
      <c r="F225" s="2" t="s">
        <v>63</v>
      </c>
      <c r="G225" s="2" t="s">
        <v>246</v>
      </c>
      <c r="H225" s="2" t="s">
        <v>26</v>
      </c>
      <c r="I225" s="2">
        <f>ROUND(20+84,9)</f>
        <v>104</v>
      </c>
      <c r="J225" s="2">
        <v>0</v>
      </c>
      <c r="K225" s="2">
        <f>ROUND(20+84,9)</f>
        <v>104</v>
      </c>
      <c r="L225" s="2"/>
      <c r="M225" s="2"/>
      <c r="N225" s="2"/>
      <c r="O225" s="2">
        <f t="shared" si="146"/>
        <v>2310.17</v>
      </c>
      <c r="P225" s="2">
        <f>ROUND((ROUND((AC225*AW225*I225),2)*BC225),2)</f>
        <v>203.84</v>
      </c>
      <c r="Q225" s="2">
        <f>(ROUND((ROUND((((ET225*1.2))*AV225*I225),2)*BB225),2)+ROUND((ROUND(((AE225-((EU225*1.2)))*AV225*I225),2)*BS225),2))</f>
        <v>6.53</v>
      </c>
      <c r="R225" s="2">
        <f>(ROUND((ROUND((((EU225*1.2))*AV225*I225),2)*BS225),2)+ROUND((ROUND(((AE225-((EU225*1.2)))*AV225*I225),2)*BS225),2))</f>
        <v>1.31</v>
      </c>
      <c r="S225" s="2">
        <f t="shared" si="147"/>
        <v>2099.8000000000002</v>
      </c>
      <c r="T225" s="2">
        <f t="shared" si="148"/>
        <v>0</v>
      </c>
      <c r="U225" s="2">
        <f t="shared" si="149"/>
        <v>156.79872</v>
      </c>
      <c r="V225" s="2">
        <f t="shared" si="150"/>
        <v>0</v>
      </c>
      <c r="W225" s="2">
        <f t="shared" si="151"/>
        <v>0</v>
      </c>
      <c r="X225" s="2">
        <f>(ROUND((((S225+ROUND((ROUND((((EU225*1.2))*AV225*I225),2)*BS225),2))*AT225)/100),2)+ROUND(((ROUND((ROUND(((AE225-((EU225*1.2)))*AV225*I225),2)*BS225),2)*AT225)/100),2))</f>
        <v>1891</v>
      </c>
      <c r="Y225" s="2">
        <f>(ROUND((((S225+ROUND((ROUND((((EU225*1.2))*AV225*I225),2)*BS225),2))*AU225)/100),2)+ROUND(((ROUND((ROUND(((AE225-((EU225*1.2)))*AV225*I225),2)*BS225),2)*AU225)/100),2))</f>
        <v>966.51</v>
      </c>
      <c r="Z225" s="2"/>
      <c r="AA225" s="2">
        <v>-1</v>
      </c>
      <c r="AB225" s="2">
        <f t="shared" si="152"/>
        <v>21.303999999999998</v>
      </c>
      <c r="AC225" s="2">
        <f>ROUND(((ES225*1)),6)</f>
        <v>1.96</v>
      </c>
      <c r="AD225" s="2">
        <f>ROUND(((((ET225*1.2))-((EU225*1.2)))+AE225),6)</f>
        <v>0.06</v>
      </c>
      <c r="AE225" s="2">
        <f>ROUND(((EU225*1.2)),6)</f>
        <v>1.2E-2</v>
      </c>
      <c r="AF225" s="2">
        <f>ROUND(((EV225*1.2)),6)</f>
        <v>19.283999999999999</v>
      </c>
      <c r="AG225" s="2">
        <f t="shared" si="153"/>
        <v>0</v>
      </c>
      <c r="AH225" s="2">
        <f>((EW225*1.2))</f>
        <v>1.44</v>
      </c>
      <c r="AI225" s="2">
        <f>((EX225*1.2))</f>
        <v>0</v>
      </c>
      <c r="AJ225" s="2">
        <f t="shared" si="154"/>
        <v>0</v>
      </c>
      <c r="AK225" s="2">
        <v>18.079999999999998</v>
      </c>
      <c r="AL225" s="2">
        <v>1.96</v>
      </c>
      <c r="AM225" s="2">
        <v>0.05</v>
      </c>
      <c r="AN225" s="2">
        <v>0.01</v>
      </c>
      <c r="AO225" s="2">
        <v>16.07</v>
      </c>
      <c r="AP225" s="2">
        <v>0</v>
      </c>
      <c r="AQ225" s="2">
        <v>1.2</v>
      </c>
      <c r="AR225" s="2">
        <v>0</v>
      </c>
      <c r="AS225" s="2">
        <v>0</v>
      </c>
      <c r="AT225" s="2">
        <v>90</v>
      </c>
      <c r="AU225" s="2">
        <v>46</v>
      </c>
      <c r="AV225" s="2">
        <v>1.0469999999999999</v>
      </c>
      <c r="AW225" s="2">
        <v>1</v>
      </c>
      <c r="AX225" s="2"/>
      <c r="AY225" s="2"/>
      <c r="AZ225" s="2">
        <v>1</v>
      </c>
      <c r="BA225" s="2">
        <v>1</v>
      </c>
      <c r="BB225" s="2">
        <v>1</v>
      </c>
      <c r="BC225" s="2">
        <v>1</v>
      </c>
      <c r="BD225" s="2" t="s">
        <v>3</v>
      </c>
      <c r="BE225" s="2" t="s">
        <v>3</v>
      </c>
      <c r="BF225" s="2" t="s">
        <v>3</v>
      </c>
      <c r="BG225" s="2" t="s">
        <v>3</v>
      </c>
      <c r="BH225" s="2">
        <v>0</v>
      </c>
      <c r="BI225" s="2">
        <v>2</v>
      </c>
      <c r="BJ225" s="2" t="s">
        <v>65</v>
      </c>
      <c r="BK225" s="2"/>
      <c r="BL225" s="2"/>
      <c r="BM225" s="2">
        <v>68</v>
      </c>
      <c r="BN225" s="2">
        <v>0</v>
      </c>
      <c r="BO225" s="2" t="s">
        <v>63</v>
      </c>
      <c r="BP225" s="2">
        <v>1</v>
      </c>
      <c r="BQ225" s="2">
        <v>40</v>
      </c>
      <c r="BR225" s="2">
        <v>0</v>
      </c>
      <c r="BS225" s="2">
        <v>1</v>
      </c>
      <c r="BT225" s="2">
        <v>1</v>
      </c>
      <c r="BU225" s="2">
        <v>1</v>
      </c>
      <c r="BV225" s="2">
        <v>1</v>
      </c>
      <c r="BW225" s="2">
        <v>1</v>
      </c>
      <c r="BX225" s="2">
        <v>1</v>
      </c>
      <c r="BY225" s="2" t="s">
        <v>3</v>
      </c>
      <c r="BZ225" s="2">
        <v>90</v>
      </c>
      <c r="CA225" s="2">
        <v>46</v>
      </c>
      <c r="CB225" s="2" t="s">
        <v>3</v>
      </c>
      <c r="CC225" s="2"/>
      <c r="CD225" s="2"/>
      <c r="CE225" s="2">
        <v>1566</v>
      </c>
      <c r="CF225" s="2">
        <v>0</v>
      </c>
      <c r="CG225" s="2">
        <v>0</v>
      </c>
      <c r="CH225" s="2"/>
      <c r="CI225" s="2"/>
      <c r="CJ225" s="2"/>
      <c r="CK225" s="2"/>
      <c r="CL225" s="2"/>
      <c r="CM225" s="2">
        <v>0</v>
      </c>
      <c r="CN225" s="2" t="s">
        <v>614</v>
      </c>
      <c r="CO225" s="2">
        <v>0</v>
      </c>
      <c r="CP225" s="2">
        <f t="shared" si="155"/>
        <v>2310.17</v>
      </c>
      <c r="CQ225" s="2">
        <f>ROUND((ROUND((AC225*AW225*1),2)*BC225),2)</f>
        <v>1.96</v>
      </c>
      <c r="CR225" s="2">
        <f>(ROUND((ROUND((((ET225*1.2))*AV225*1),2)*BB225),2)+ROUND((ROUND(((AE225-((EU225*1.2)))*AV225*1),2)*BS225),2))</f>
        <v>0.06</v>
      </c>
      <c r="CS225" s="2">
        <f>(ROUND((ROUND((((EU225*1.2))*AV225*1),2)*BS225),2)+ROUND((ROUND(((AE225-((EU225*1.2)))*AV225*1),2)*BS225),2))</f>
        <v>0.01</v>
      </c>
      <c r="CT225" s="2">
        <f t="shared" si="156"/>
        <v>20.190000000000001</v>
      </c>
      <c r="CU225" s="2">
        <f t="shared" si="157"/>
        <v>0</v>
      </c>
      <c r="CV225" s="2">
        <f t="shared" si="158"/>
        <v>1.5076799999999999</v>
      </c>
      <c r="CW225" s="2">
        <f t="shared" si="159"/>
        <v>0</v>
      </c>
      <c r="CX225" s="2">
        <f t="shared" si="160"/>
        <v>0</v>
      </c>
      <c r="CY225" s="2">
        <f>(ROUND((((S225+ROUND((ROUND((((EU225*1.2))*AV225*1),2)*BS225),2))*AT225)/100),2)+ROUND(((ROUND((ROUND(((AE225-((EU225*1.2)))*AV225*1),2)*BS225),2)*AT225)/100),2))</f>
        <v>1889.83</v>
      </c>
      <c r="CZ225" s="2">
        <f>(ROUND((((S225+ROUND((ROUND((((EU225*1.2))*AV225*1),2)*BS225),2))*AU225)/100),2)+ROUND(((ROUND((ROUND(((AE225-((EU225*1.2)))*AV225*1),2)*BS225),2)*AU225)/100),2))</f>
        <v>965.91</v>
      </c>
      <c r="DA225" s="2"/>
      <c r="DB225" s="2">
        <v>103</v>
      </c>
      <c r="DC225" s="2" t="s">
        <v>3</v>
      </c>
      <c r="DD225" s="2" t="s">
        <v>104</v>
      </c>
      <c r="DE225" s="2" t="s">
        <v>105</v>
      </c>
      <c r="DF225" s="2" t="s">
        <v>105</v>
      </c>
      <c r="DG225" s="2" t="s">
        <v>105</v>
      </c>
      <c r="DH225" s="2" t="s">
        <v>3</v>
      </c>
      <c r="DI225" s="2" t="s">
        <v>105</v>
      </c>
      <c r="DJ225" s="2" t="s">
        <v>105</v>
      </c>
      <c r="DK225" s="2" t="s">
        <v>3</v>
      </c>
      <c r="DL225" s="2" t="s">
        <v>3</v>
      </c>
      <c r="DM225" s="2" t="s">
        <v>3</v>
      </c>
      <c r="DN225" s="2">
        <v>0</v>
      </c>
      <c r="DO225" s="2">
        <v>0</v>
      </c>
      <c r="DP225" s="2">
        <v>1</v>
      </c>
      <c r="DQ225" s="2">
        <v>1</v>
      </c>
      <c r="DR225" s="2"/>
      <c r="DS225" s="2"/>
      <c r="DT225" s="2"/>
      <c r="DU225" s="2">
        <v>1013</v>
      </c>
      <c r="DV225" s="2" t="s">
        <v>26</v>
      </c>
      <c r="DW225" s="2" t="s">
        <v>26</v>
      </c>
      <c r="DX225" s="2">
        <v>1</v>
      </c>
      <c r="DY225" s="2"/>
      <c r="DZ225" s="2" t="s">
        <v>3</v>
      </c>
      <c r="EA225" s="2" t="s">
        <v>3</v>
      </c>
      <c r="EB225" s="2" t="s">
        <v>3</v>
      </c>
      <c r="EC225" s="2" t="s">
        <v>3</v>
      </c>
      <c r="ED225" s="2"/>
      <c r="EE225" s="2">
        <v>57042958</v>
      </c>
      <c r="EF225" s="2">
        <v>40</v>
      </c>
      <c r="EG225" s="2" t="s">
        <v>30</v>
      </c>
      <c r="EH225" s="2">
        <v>0</v>
      </c>
      <c r="EI225" s="2" t="s">
        <v>3</v>
      </c>
      <c r="EJ225" s="2">
        <v>2</v>
      </c>
      <c r="EK225" s="2">
        <v>68</v>
      </c>
      <c r="EL225" s="2" t="s">
        <v>38</v>
      </c>
      <c r="EM225" s="2" t="s">
        <v>39</v>
      </c>
      <c r="EN225" s="2"/>
      <c r="EO225" s="2" t="s">
        <v>109</v>
      </c>
      <c r="EP225" s="2"/>
      <c r="EQ225" s="2">
        <v>132096</v>
      </c>
      <c r="ER225" s="2">
        <v>18.079999999999998</v>
      </c>
      <c r="ES225" s="2">
        <v>1.96</v>
      </c>
      <c r="ET225" s="2">
        <v>0.05</v>
      </c>
      <c r="EU225" s="2">
        <v>0.01</v>
      </c>
      <c r="EV225" s="2">
        <v>16.07</v>
      </c>
      <c r="EW225" s="2">
        <v>1.2</v>
      </c>
      <c r="EX225" s="2">
        <v>0</v>
      </c>
      <c r="EY225" s="2">
        <v>0</v>
      </c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>
        <v>0</v>
      </c>
      <c r="FR225" s="2">
        <v>0</v>
      </c>
      <c r="FS225" s="2">
        <v>0</v>
      </c>
      <c r="FT225" s="2"/>
      <c r="FU225" s="2"/>
      <c r="FV225" s="2"/>
      <c r="FW225" s="2"/>
      <c r="FX225" s="2">
        <v>90</v>
      </c>
      <c r="FY225" s="2">
        <v>46</v>
      </c>
      <c r="FZ225" s="2"/>
      <c r="GA225" s="2" t="s">
        <v>3</v>
      </c>
      <c r="GB225" s="2"/>
      <c r="GC225" s="2"/>
      <c r="GD225" s="2">
        <v>1</v>
      </c>
      <c r="GE225" s="2"/>
      <c r="GF225" s="2">
        <v>-1354403463</v>
      </c>
      <c r="GG225" s="2">
        <v>2</v>
      </c>
      <c r="GH225" s="2">
        <v>1</v>
      </c>
      <c r="GI225" s="2">
        <v>2</v>
      </c>
      <c r="GJ225" s="2">
        <v>0</v>
      </c>
      <c r="GK225" s="2">
        <v>0</v>
      </c>
      <c r="GL225" s="2">
        <f t="shared" si="161"/>
        <v>0</v>
      </c>
      <c r="GM225" s="2">
        <f t="shared" si="162"/>
        <v>5167.68</v>
      </c>
      <c r="GN225" s="2">
        <f t="shared" si="163"/>
        <v>0</v>
      </c>
      <c r="GO225" s="2">
        <f t="shared" si="164"/>
        <v>5167.68</v>
      </c>
      <c r="GP225" s="2">
        <f t="shared" si="165"/>
        <v>0</v>
      </c>
      <c r="GQ225" s="2"/>
      <c r="GR225" s="2">
        <v>0</v>
      </c>
      <c r="GS225" s="2">
        <v>3</v>
      </c>
      <c r="GT225" s="2">
        <v>0</v>
      </c>
      <c r="GU225" s="2" t="s">
        <v>3</v>
      </c>
      <c r="GV225" s="2">
        <f t="shared" si="166"/>
        <v>0</v>
      </c>
      <c r="GW225" s="2">
        <v>1</v>
      </c>
      <c r="GX225" s="2">
        <f t="shared" si="167"/>
        <v>0</v>
      </c>
      <c r="GY225" s="2"/>
      <c r="GZ225" s="2"/>
      <c r="HA225" s="2">
        <v>0</v>
      </c>
      <c r="HB225" s="2">
        <v>0</v>
      </c>
      <c r="HC225" s="2">
        <f t="shared" si="168"/>
        <v>0</v>
      </c>
      <c r="HD225" s="2"/>
      <c r="HE225" s="2" t="s">
        <v>3</v>
      </c>
      <c r="HF225" s="2" t="s">
        <v>3</v>
      </c>
      <c r="HG225" s="2"/>
      <c r="HH225" s="2"/>
      <c r="HI225" s="2"/>
      <c r="HJ225" s="2"/>
      <c r="HK225" s="2"/>
      <c r="HL225" s="2"/>
      <c r="HM225" s="2" t="s">
        <v>3</v>
      </c>
      <c r="HN225" s="2" t="s">
        <v>3</v>
      </c>
      <c r="HO225" s="2" t="s">
        <v>3</v>
      </c>
      <c r="HP225" s="2" t="s">
        <v>3</v>
      </c>
      <c r="HQ225" s="2" t="s">
        <v>3</v>
      </c>
      <c r="HR225" s="2"/>
      <c r="HS225" s="2">
        <v>0</v>
      </c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>
        <v>0</v>
      </c>
      <c r="IL225" s="2"/>
      <c r="IM225" s="2"/>
      <c r="IN225" s="2"/>
      <c r="IO225" s="2"/>
      <c r="IP225" s="2"/>
      <c r="IQ225" s="2"/>
      <c r="IR225" s="2"/>
      <c r="IS225" s="2"/>
      <c r="IT225" s="2"/>
      <c r="IU225" s="2"/>
    </row>
    <row r="226" spans="1:255" x14ac:dyDescent="0.25">
      <c r="A226" s="3">
        <v>17</v>
      </c>
      <c r="B226" s="3">
        <v>1</v>
      </c>
      <c r="C226" s="3">
        <f>ROW(SmtRes!A174)</f>
        <v>174</v>
      </c>
      <c r="D226" s="3">
        <f>ROW(EtalonRes!A192)</f>
        <v>192</v>
      </c>
      <c r="E226" s="3" t="s">
        <v>3</v>
      </c>
      <c r="F226" s="3" t="s">
        <v>63</v>
      </c>
      <c r="G226" s="3" t="s">
        <v>246</v>
      </c>
      <c r="H226" s="3" t="s">
        <v>26</v>
      </c>
      <c r="I226" s="3">
        <f>ROUND(20+84,9)</f>
        <v>104</v>
      </c>
      <c r="J226" s="3">
        <v>0</v>
      </c>
      <c r="K226" s="3">
        <f>ROUND(20+84,9)</f>
        <v>104</v>
      </c>
      <c r="O226" s="3">
        <f t="shared" si="146"/>
        <v>120460.12</v>
      </c>
      <c r="P226" s="3">
        <f>ROUND((ROUND((AC226*AW226*I226),2)*BC226),2)</f>
        <v>2005.79</v>
      </c>
      <c r="Q226" s="3">
        <f>(ROUND((ROUND((((ET226*1.2))*AV226*I226),2)*BB226),2)+ROUND((ROUND(((AE226-((EU226*1.2)))*AV226*I226),2)*BS226),2))</f>
        <v>130.6</v>
      </c>
      <c r="R226" s="3">
        <f>(ROUND((ROUND((((EU226*1.2))*AV226*I226),2)*BS226),2)+ROUND((ROUND(((AE226-((EU226*1.2)))*AV226*I226),2)*BS226),2))</f>
        <v>73.819999999999993</v>
      </c>
      <c r="S226" s="3">
        <f t="shared" si="147"/>
        <v>118323.73</v>
      </c>
      <c r="T226" s="3">
        <f t="shared" si="148"/>
        <v>0</v>
      </c>
      <c r="U226" s="3">
        <f t="shared" si="149"/>
        <v>156.79872</v>
      </c>
      <c r="V226" s="3">
        <f t="shared" si="150"/>
        <v>0</v>
      </c>
      <c r="W226" s="3">
        <f t="shared" si="151"/>
        <v>0</v>
      </c>
      <c r="X226" s="3">
        <f>(ROUND((((S226+ROUND((ROUND((((EU226*1.2))*AV226*I226),2)*BS226),2))*AT226)/100),2)+ROUND(((ROUND((ROUND(((AE226-((EU226*1.2)))*AV226*I226),2)*BS226),2)*AT226)/100),2))</f>
        <v>106557.8</v>
      </c>
      <c r="Y226" s="3">
        <f>(ROUND((((S226+ROUND((ROUND((((EU226*1.2))*AV226*I226),2)*BS226),2))*AU226)/100),2)+ROUND(((ROUND((ROUND(((AE226-((EU226*1.2)))*AV226*I226),2)*BS226),2)*AU226)/100),2))</f>
        <v>54462.87</v>
      </c>
      <c r="AA226" s="3">
        <v>-1</v>
      </c>
      <c r="AB226" s="3">
        <f t="shared" si="152"/>
        <v>21.303999999999998</v>
      </c>
      <c r="AC226" s="3">
        <f>ROUND(((ES226*1)),6)</f>
        <v>1.96</v>
      </c>
      <c r="AD226" s="3">
        <f>ROUND(((((ET226*1.2))-((EU226*1.2)))+AE226),6)</f>
        <v>0.06</v>
      </c>
      <c r="AE226" s="3">
        <f>ROUND(((EU226*1.2)),6)</f>
        <v>1.2E-2</v>
      </c>
      <c r="AF226" s="3">
        <f>ROUND(((EV226*1.2)),6)</f>
        <v>19.283999999999999</v>
      </c>
      <c r="AG226" s="3">
        <f t="shared" si="153"/>
        <v>0</v>
      </c>
      <c r="AH226" s="3">
        <f>((EW226*1.2))</f>
        <v>1.44</v>
      </c>
      <c r="AI226" s="3">
        <f>((EX226*1.2))</f>
        <v>0</v>
      </c>
      <c r="AJ226" s="3">
        <f t="shared" si="154"/>
        <v>0</v>
      </c>
      <c r="AK226" s="3">
        <v>18.079999999999998</v>
      </c>
      <c r="AL226" s="3">
        <v>1.96</v>
      </c>
      <c r="AM226" s="3">
        <v>0.05</v>
      </c>
      <c r="AN226" s="3">
        <v>0.01</v>
      </c>
      <c r="AO226" s="3">
        <v>16.07</v>
      </c>
      <c r="AP226" s="3">
        <v>0</v>
      </c>
      <c r="AQ226" s="3">
        <v>1.2</v>
      </c>
      <c r="AR226" s="3">
        <v>0</v>
      </c>
      <c r="AS226" s="3">
        <v>0</v>
      </c>
      <c r="AT226" s="3">
        <v>90</v>
      </c>
      <c r="AU226" s="3">
        <v>46</v>
      </c>
      <c r="AV226" s="3">
        <v>1.0469999999999999</v>
      </c>
      <c r="AW226" s="3">
        <v>1</v>
      </c>
      <c r="AZ226" s="3">
        <v>1</v>
      </c>
      <c r="BA226" s="3">
        <v>56.35</v>
      </c>
      <c r="BB226" s="3">
        <v>20</v>
      </c>
      <c r="BC226" s="3">
        <v>9.84</v>
      </c>
      <c r="BD226" s="3" t="s">
        <v>3</v>
      </c>
      <c r="BE226" s="3" t="s">
        <v>3</v>
      </c>
      <c r="BF226" s="3" t="s">
        <v>3</v>
      </c>
      <c r="BG226" s="3" t="s">
        <v>3</v>
      </c>
      <c r="BH226" s="3">
        <v>0</v>
      </c>
      <c r="BI226" s="3">
        <v>2</v>
      </c>
      <c r="BJ226" s="3" t="s">
        <v>65</v>
      </c>
      <c r="BM226" s="3">
        <v>68</v>
      </c>
      <c r="BN226" s="3">
        <v>0</v>
      </c>
      <c r="BO226" s="3" t="s">
        <v>63</v>
      </c>
      <c r="BP226" s="3">
        <v>1</v>
      </c>
      <c r="BQ226" s="3">
        <v>40</v>
      </c>
      <c r="BR226" s="3">
        <v>0</v>
      </c>
      <c r="BS226" s="3">
        <v>56.35</v>
      </c>
      <c r="BT226" s="3">
        <v>1</v>
      </c>
      <c r="BU226" s="3">
        <v>1</v>
      </c>
      <c r="BV226" s="3">
        <v>1</v>
      </c>
      <c r="BW226" s="3">
        <v>1</v>
      </c>
      <c r="BX226" s="3">
        <v>1</v>
      </c>
      <c r="BY226" s="3" t="s">
        <v>3</v>
      </c>
      <c r="BZ226" s="3">
        <v>90</v>
      </c>
      <c r="CA226" s="3">
        <v>46</v>
      </c>
      <c r="CB226" s="3" t="s">
        <v>3</v>
      </c>
      <c r="CE226" s="3">
        <v>1566</v>
      </c>
      <c r="CF226" s="3">
        <v>0</v>
      </c>
      <c r="CG226" s="3">
        <v>0</v>
      </c>
      <c r="CM226" s="3">
        <v>0</v>
      </c>
      <c r="CN226" s="3" t="s">
        <v>614</v>
      </c>
      <c r="CO226" s="3">
        <v>0</v>
      </c>
      <c r="CP226" s="3">
        <f t="shared" si="155"/>
        <v>120460.12</v>
      </c>
      <c r="CQ226" s="3">
        <f>ROUND((ROUND((AC226*AW226*1),2)*BC226),2)</f>
        <v>19.29</v>
      </c>
      <c r="CR226" s="3">
        <f>(ROUND((ROUND((((ET226*1.2))*AV226*1),2)*BB226),2)+ROUND((ROUND(((AE226-((EU226*1.2)))*AV226*1),2)*BS226),2))</f>
        <v>1.2</v>
      </c>
      <c r="CS226" s="3">
        <f>(ROUND((ROUND((((EU226*1.2))*AV226*1),2)*BS226),2)+ROUND((ROUND(((AE226-((EU226*1.2)))*AV226*1),2)*BS226),2))</f>
        <v>0.56000000000000005</v>
      </c>
      <c r="CT226" s="3">
        <f t="shared" si="156"/>
        <v>1137.71</v>
      </c>
      <c r="CU226" s="3">
        <f t="shared" si="157"/>
        <v>0</v>
      </c>
      <c r="CV226" s="3">
        <f t="shared" si="158"/>
        <v>1.5076799999999999</v>
      </c>
      <c r="CW226" s="3">
        <f t="shared" si="159"/>
        <v>0</v>
      </c>
      <c r="CX226" s="3">
        <f t="shared" si="160"/>
        <v>0</v>
      </c>
      <c r="CY226" s="3">
        <f>(ROUND((((S226+ROUND((ROUND((((EU226*1.2))*AV226*1),2)*BS226),2))*AT226)/100),2)+ROUND(((ROUND((ROUND(((AE226-((EU226*1.2)))*AV226*1),2)*BS226),2)*AT226)/100),2))</f>
        <v>106491.86</v>
      </c>
      <c r="CZ226" s="3">
        <f>(ROUND((((S226+ROUND((ROUND((((EU226*1.2))*AV226*1),2)*BS226),2))*AU226)/100),2)+ROUND(((ROUND((ROUND(((AE226-((EU226*1.2)))*AV226*1),2)*BS226),2)*AU226)/100),2))</f>
        <v>54429.17</v>
      </c>
      <c r="DB226" s="3">
        <v>104</v>
      </c>
      <c r="DC226" s="3" t="s">
        <v>3</v>
      </c>
      <c r="DD226" s="3" t="s">
        <v>104</v>
      </c>
      <c r="DE226" s="3" t="s">
        <v>105</v>
      </c>
      <c r="DF226" s="3" t="s">
        <v>105</v>
      </c>
      <c r="DG226" s="3" t="s">
        <v>105</v>
      </c>
      <c r="DH226" s="3" t="s">
        <v>3</v>
      </c>
      <c r="DI226" s="3" t="s">
        <v>105</v>
      </c>
      <c r="DJ226" s="3" t="s">
        <v>105</v>
      </c>
      <c r="DK226" s="3" t="s">
        <v>3</v>
      </c>
      <c r="DL226" s="3" t="s">
        <v>3</v>
      </c>
      <c r="DM226" s="3" t="s">
        <v>3</v>
      </c>
      <c r="DN226" s="3">
        <v>0</v>
      </c>
      <c r="DO226" s="3">
        <v>0</v>
      </c>
      <c r="DP226" s="3">
        <v>1</v>
      </c>
      <c r="DQ226" s="3">
        <v>1</v>
      </c>
      <c r="DU226" s="3">
        <v>1013</v>
      </c>
      <c r="DV226" s="3" t="s">
        <v>26</v>
      </c>
      <c r="DW226" s="3" t="s">
        <v>26</v>
      </c>
      <c r="DX226" s="3">
        <v>1</v>
      </c>
      <c r="DZ226" s="3" t="s">
        <v>3</v>
      </c>
      <c r="EA226" s="3" t="s">
        <v>3</v>
      </c>
      <c r="EB226" s="3" t="s">
        <v>3</v>
      </c>
      <c r="EC226" s="3" t="s">
        <v>3</v>
      </c>
      <c r="EE226" s="3">
        <v>57042958</v>
      </c>
      <c r="EF226" s="3">
        <v>40</v>
      </c>
      <c r="EG226" s="3" t="s">
        <v>30</v>
      </c>
      <c r="EH226" s="3">
        <v>0</v>
      </c>
      <c r="EI226" s="3" t="s">
        <v>3</v>
      </c>
      <c r="EJ226" s="3">
        <v>2</v>
      </c>
      <c r="EK226" s="3">
        <v>68</v>
      </c>
      <c r="EL226" s="3" t="s">
        <v>38</v>
      </c>
      <c r="EM226" s="3" t="s">
        <v>39</v>
      </c>
      <c r="EO226" s="3" t="s">
        <v>109</v>
      </c>
      <c r="EQ226" s="3">
        <v>132096</v>
      </c>
      <c r="ER226" s="3">
        <v>18.079999999999998</v>
      </c>
      <c r="ES226" s="3">
        <v>1.96</v>
      </c>
      <c r="ET226" s="3">
        <v>0.05</v>
      </c>
      <c r="EU226" s="3">
        <v>0.01</v>
      </c>
      <c r="EV226" s="3">
        <v>16.07</v>
      </c>
      <c r="EW226" s="3">
        <v>1.2</v>
      </c>
      <c r="EX226" s="3">
        <v>0</v>
      </c>
      <c r="EY226" s="3">
        <v>0</v>
      </c>
      <c r="FQ226" s="3">
        <v>0</v>
      </c>
      <c r="FR226" s="3">
        <v>0</v>
      </c>
      <c r="FS226" s="3">
        <v>0</v>
      </c>
      <c r="FX226" s="3">
        <v>90</v>
      </c>
      <c r="FY226" s="3">
        <v>46</v>
      </c>
      <c r="GA226" s="3" t="s">
        <v>3</v>
      </c>
      <c r="GD226" s="3">
        <v>1</v>
      </c>
      <c r="GF226" s="3">
        <v>-1354403463</v>
      </c>
      <c r="GG226" s="3">
        <v>2</v>
      </c>
      <c r="GH226" s="3">
        <v>1</v>
      </c>
      <c r="GI226" s="3">
        <v>2</v>
      </c>
      <c r="GJ226" s="3">
        <v>0</v>
      </c>
      <c r="GK226" s="3">
        <v>0</v>
      </c>
      <c r="GL226" s="3">
        <f t="shared" si="161"/>
        <v>0</v>
      </c>
      <c r="GM226" s="3">
        <f t="shared" si="162"/>
        <v>281480.78999999998</v>
      </c>
      <c r="GN226" s="3">
        <f t="shared" si="163"/>
        <v>0</v>
      </c>
      <c r="GO226" s="3">
        <f t="shared" si="164"/>
        <v>281480.78999999998</v>
      </c>
      <c r="GP226" s="3">
        <f t="shared" si="165"/>
        <v>0</v>
      </c>
      <c r="GR226" s="3">
        <v>0</v>
      </c>
      <c r="GS226" s="3">
        <v>3</v>
      </c>
      <c r="GT226" s="3">
        <v>0</v>
      </c>
      <c r="GU226" s="3" t="s">
        <v>3</v>
      </c>
      <c r="GV226" s="3">
        <f t="shared" si="166"/>
        <v>0</v>
      </c>
      <c r="GW226" s="3">
        <v>1</v>
      </c>
      <c r="GX226" s="3">
        <f t="shared" si="167"/>
        <v>0</v>
      </c>
      <c r="HA226" s="3">
        <v>0</v>
      </c>
      <c r="HB226" s="3">
        <v>0</v>
      </c>
      <c r="HC226" s="3">
        <f t="shared" si="168"/>
        <v>0</v>
      </c>
      <c r="HE226" s="3" t="s">
        <v>3</v>
      </c>
      <c r="HF226" s="3" t="s">
        <v>3</v>
      </c>
      <c r="HM226" s="3" t="s">
        <v>3</v>
      </c>
      <c r="HN226" s="3" t="s">
        <v>3</v>
      </c>
      <c r="HO226" s="3" t="s">
        <v>3</v>
      </c>
      <c r="HP226" s="3" t="s">
        <v>3</v>
      </c>
      <c r="HQ226" s="3" t="s">
        <v>3</v>
      </c>
      <c r="HS226" s="3">
        <v>0</v>
      </c>
      <c r="IK226" s="3">
        <v>0</v>
      </c>
    </row>
    <row r="227" spans="1:255" x14ac:dyDescent="0.25">
      <c r="A227" s="2">
        <v>18</v>
      </c>
      <c r="B227" s="2">
        <v>1</v>
      </c>
      <c r="C227" s="2">
        <v>172</v>
      </c>
      <c r="D227" s="2"/>
      <c r="E227" s="2" t="s">
        <v>3</v>
      </c>
      <c r="F227" s="2" t="s">
        <v>247</v>
      </c>
      <c r="G227" s="2" t="s">
        <v>619</v>
      </c>
      <c r="H227" s="2" t="s">
        <v>177</v>
      </c>
      <c r="I227" s="2">
        <f>I225*J227</f>
        <v>104</v>
      </c>
      <c r="J227" s="2">
        <v>1</v>
      </c>
      <c r="K227" s="2">
        <v>1</v>
      </c>
      <c r="L227" s="2"/>
      <c r="M227" s="2"/>
      <c r="N227" s="2"/>
      <c r="O227" s="2">
        <f t="shared" si="146"/>
        <v>4573.92</v>
      </c>
      <c r="P227" s="2">
        <f>ROUND((ROUND((AC227*I227),2)*BC227),2)</f>
        <v>4573.92</v>
      </c>
      <c r="Q227" s="2">
        <f>(ROUND((ROUND(((ET227)*AV227*I227),2)*BB227),2)+ROUND((ROUND(((AE227-(EU227))*AV227*I227),2)*BS227),2))</f>
        <v>0</v>
      </c>
      <c r="R227" s="2">
        <f>(ROUND((ROUND(((EU227)*AV227*I227),2)*BS227),2)+ROUND((ROUND(((AE227-(EU227))*AV227*I227),2)*BS227),2))</f>
        <v>0</v>
      </c>
      <c r="S227" s="2">
        <f t="shared" si="147"/>
        <v>0</v>
      </c>
      <c r="T227" s="2">
        <f t="shared" si="148"/>
        <v>0</v>
      </c>
      <c r="U227" s="2">
        <f t="shared" si="149"/>
        <v>0</v>
      </c>
      <c r="V227" s="2">
        <f t="shared" si="150"/>
        <v>0</v>
      </c>
      <c r="W227" s="2">
        <f t="shared" si="151"/>
        <v>0</v>
      </c>
      <c r="X227" s="2">
        <f>(ROUND((((S227+ROUND((ROUND(((EU227)*AV227*I227),2)*BS227),2))*AT227)/100),2)+ROUND(((ROUND((ROUND(((AE227-(EU227))*AV227*I227),2)*BS227),2)*AT227)/100),2))</f>
        <v>0</v>
      </c>
      <c r="Y227" s="2">
        <f>(ROUND((((S227+ROUND((ROUND(((EU227)*AV227*I227),2)*BS227),2))*AU227)/100),2)+ROUND(((ROUND((ROUND(((AE227-(EU227))*AV227*I227),2)*BS227),2)*AU227)/100),2))</f>
        <v>0</v>
      </c>
      <c r="Z227" s="2"/>
      <c r="AA227" s="2">
        <v>-1</v>
      </c>
      <c r="AB227" s="2">
        <f t="shared" si="152"/>
        <v>43.98</v>
      </c>
      <c r="AC227" s="2">
        <f>ROUND((ES227),6)</f>
        <v>43.98</v>
      </c>
      <c r="AD227" s="2">
        <f>ROUND((((ET227)-(EU227))+AE227),6)</f>
        <v>0</v>
      </c>
      <c r="AE227" s="2">
        <f>ROUND((EU227),6)</f>
        <v>0</v>
      </c>
      <c r="AF227" s="2">
        <f>ROUND((EV227),6)</f>
        <v>0</v>
      </c>
      <c r="AG227" s="2">
        <f t="shared" si="153"/>
        <v>0</v>
      </c>
      <c r="AH227" s="2">
        <f>(EW227)</f>
        <v>0</v>
      </c>
      <c r="AI227" s="2">
        <f>(EX227)</f>
        <v>0</v>
      </c>
      <c r="AJ227" s="2">
        <f t="shared" si="154"/>
        <v>0</v>
      </c>
      <c r="AK227" s="2">
        <v>43.98</v>
      </c>
      <c r="AL227" s="2">
        <v>43.98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1</v>
      </c>
      <c r="AW227" s="2">
        <v>1</v>
      </c>
      <c r="AX227" s="2"/>
      <c r="AY227" s="2"/>
      <c r="AZ227" s="2">
        <v>1</v>
      </c>
      <c r="BA227" s="2">
        <v>1</v>
      </c>
      <c r="BB227" s="2">
        <v>1</v>
      </c>
      <c r="BC227" s="2">
        <v>1</v>
      </c>
      <c r="BD227" s="2" t="s">
        <v>3</v>
      </c>
      <c r="BE227" s="2" t="s">
        <v>3</v>
      </c>
      <c r="BF227" s="2" t="s">
        <v>3</v>
      </c>
      <c r="BG227" s="2" t="s">
        <v>3</v>
      </c>
      <c r="BH227" s="2">
        <v>3</v>
      </c>
      <c r="BI227" s="2">
        <v>3</v>
      </c>
      <c r="BJ227" s="2" t="s">
        <v>248</v>
      </c>
      <c r="BK227" s="2"/>
      <c r="BL227" s="2"/>
      <c r="BM227" s="2">
        <v>746</v>
      </c>
      <c r="BN227" s="2">
        <v>0</v>
      </c>
      <c r="BO227" s="2" t="s">
        <v>3</v>
      </c>
      <c r="BP227" s="2">
        <v>0</v>
      </c>
      <c r="BQ227" s="2">
        <v>130</v>
      </c>
      <c r="BR227" s="2">
        <v>0</v>
      </c>
      <c r="BS227" s="2">
        <v>1</v>
      </c>
      <c r="BT227" s="2">
        <v>1</v>
      </c>
      <c r="BU227" s="2">
        <v>1</v>
      </c>
      <c r="BV227" s="2">
        <v>1</v>
      </c>
      <c r="BW227" s="2">
        <v>1</v>
      </c>
      <c r="BX227" s="2">
        <v>1</v>
      </c>
      <c r="BY227" s="2" t="s">
        <v>3</v>
      </c>
      <c r="BZ227" s="2">
        <v>90</v>
      </c>
      <c r="CA227" s="2">
        <v>46</v>
      </c>
      <c r="CB227" s="2" t="s">
        <v>3</v>
      </c>
      <c r="CC227" s="2"/>
      <c r="CD227" s="2"/>
      <c r="CE227" s="2">
        <v>1566</v>
      </c>
      <c r="CF227" s="2">
        <v>0</v>
      </c>
      <c r="CG227" s="2">
        <v>0</v>
      </c>
      <c r="CH227" s="2"/>
      <c r="CI227" s="2"/>
      <c r="CJ227" s="2"/>
      <c r="CK227" s="2"/>
      <c r="CL227" s="2"/>
      <c r="CM227" s="2">
        <v>0</v>
      </c>
      <c r="CN227" s="2" t="s">
        <v>615</v>
      </c>
      <c r="CO227" s="2">
        <v>0</v>
      </c>
      <c r="CP227" s="2">
        <f t="shared" si="155"/>
        <v>4573.92</v>
      </c>
      <c r="CQ227" s="2">
        <f>ROUND((ROUND((AC227*1),2)*BC227),2)</f>
        <v>43.98</v>
      </c>
      <c r="CR227" s="2">
        <f>(ROUND((ROUND(((ET227)*AV227*1),2)*BB227),2)+ROUND((ROUND(((AE227-(EU227))*AV227*1),2)*BS227),2))</f>
        <v>0</v>
      </c>
      <c r="CS227" s="2">
        <f>(ROUND((ROUND(((EU227)*AV227*1),2)*BS227),2)+ROUND((ROUND(((AE227-(EU227))*AV227*1),2)*BS227),2))</f>
        <v>0</v>
      </c>
      <c r="CT227" s="2">
        <f t="shared" si="156"/>
        <v>0</v>
      </c>
      <c r="CU227" s="2">
        <f t="shared" si="157"/>
        <v>0</v>
      </c>
      <c r="CV227" s="2">
        <f t="shared" si="158"/>
        <v>0</v>
      </c>
      <c r="CW227" s="2">
        <f t="shared" si="159"/>
        <v>0</v>
      </c>
      <c r="CX227" s="2">
        <f t="shared" si="160"/>
        <v>0</v>
      </c>
      <c r="CY227" s="2">
        <f>(ROUND((((S227+ROUND((ROUND(((EU227)*AV227*1),2)*BS227),2))*AT227)/100),2)+ROUND(((ROUND((ROUND(((AE227-(EU227))*AV227*1),2)*BS227),2)*AT227)/100),2))</f>
        <v>0</v>
      </c>
      <c r="CZ227" s="2">
        <f>(ROUND((((S227+ROUND((ROUND(((EU227)*AV227*1),2)*BS227),2))*AU227)/100),2)+ROUND(((ROUND((ROUND(((AE227-(EU227))*AV227*1),2)*BS227),2)*AU227)/100),2))</f>
        <v>0</v>
      </c>
      <c r="DA227" s="2"/>
      <c r="DB227" s="2"/>
      <c r="DC227" s="2" t="s">
        <v>3</v>
      </c>
      <c r="DD227" s="2" t="s">
        <v>3</v>
      </c>
      <c r="DE227" s="2" t="s">
        <v>3</v>
      </c>
      <c r="DF227" s="2" t="s">
        <v>3</v>
      </c>
      <c r="DG227" s="2" t="s">
        <v>3</v>
      </c>
      <c r="DH227" s="2" t="s">
        <v>3</v>
      </c>
      <c r="DI227" s="2" t="s">
        <v>3</v>
      </c>
      <c r="DJ227" s="2" t="s">
        <v>3</v>
      </c>
      <c r="DK227" s="2" t="s">
        <v>3</v>
      </c>
      <c r="DL227" s="2" t="s">
        <v>3</v>
      </c>
      <c r="DM227" s="2" t="s">
        <v>3</v>
      </c>
      <c r="DN227" s="2">
        <v>0</v>
      </c>
      <c r="DO227" s="2">
        <v>0</v>
      </c>
      <c r="DP227" s="2">
        <v>1</v>
      </c>
      <c r="DQ227" s="2">
        <v>1</v>
      </c>
      <c r="DR227" s="2"/>
      <c r="DS227" s="2"/>
      <c r="DT227" s="2"/>
      <c r="DU227" s="2">
        <v>1010</v>
      </c>
      <c r="DV227" s="2" t="s">
        <v>177</v>
      </c>
      <c r="DW227" s="2" t="s">
        <v>177</v>
      </c>
      <c r="DX227" s="2">
        <v>1</v>
      </c>
      <c r="DY227" s="2"/>
      <c r="DZ227" s="2" t="s">
        <v>3</v>
      </c>
      <c r="EA227" s="2" t="s">
        <v>3</v>
      </c>
      <c r="EB227" s="2" t="s">
        <v>3</v>
      </c>
      <c r="EC227" s="2" t="s">
        <v>3</v>
      </c>
      <c r="ED227" s="2"/>
      <c r="EE227" s="2">
        <v>57043064</v>
      </c>
      <c r="EF227" s="2">
        <v>130</v>
      </c>
      <c r="EG227" s="2" t="s">
        <v>178</v>
      </c>
      <c r="EH227" s="2">
        <v>0</v>
      </c>
      <c r="EI227" s="2" t="s">
        <v>3</v>
      </c>
      <c r="EJ227" s="2">
        <v>3</v>
      </c>
      <c r="EK227" s="2">
        <v>746</v>
      </c>
      <c r="EL227" s="2" t="s">
        <v>179</v>
      </c>
      <c r="EM227" s="2" t="s">
        <v>180</v>
      </c>
      <c r="EN227" s="2"/>
      <c r="EO227" s="2" t="s">
        <v>109</v>
      </c>
      <c r="EP227" s="2"/>
      <c r="EQ227" s="2">
        <v>1024</v>
      </c>
      <c r="ER227" s="2">
        <v>43.98</v>
      </c>
      <c r="ES227" s="2">
        <v>43.98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>
        <v>0</v>
      </c>
      <c r="FR227" s="2">
        <f>P227</f>
        <v>4573.92</v>
      </c>
      <c r="FS227" s="2">
        <v>0</v>
      </c>
      <c r="FT227" s="2"/>
      <c r="FU227" s="2"/>
      <c r="FV227" s="2"/>
      <c r="FW227" s="2"/>
      <c r="FX227" s="2">
        <v>90</v>
      </c>
      <c r="FY227" s="2">
        <v>46</v>
      </c>
      <c r="FZ227" s="2"/>
      <c r="GA227" s="2" t="s">
        <v>3</v>
      </c>
      <c r="GB227" s="2"/>
      <c r="GC227" s="2"/>
      <c r="GD227" s="2">
        <v>1</v>
      </c>
      <c r="GE227" s="2"/>
      <c r="GF227" s="2">
        <v>-411244706</v>
      </c>
      <c r="GG227" s="2">
        <v>2</v>
      </c>
      <c r="GH227" s="2">
        <v>1</v>
      </c>
      <c r="GI227" s="2">
        <v>-2</v>
      </c>
      <c r="GJ227" s="2">
        <v>0</v>
      </c>
      <c r="GK227" s="2">
        <v>0</v>
      </c>
      <c r="GL227" s="2">
        <f t="shared" si="161"/>
        <v>0</v>
      </c>
      <c r="GM227" s="2">
        <f t="shared" si="162"/>
        <v>4573.92</v>
      </c>
      <c r="GN227" s="2">
        <f t="shared" si="163"/>
        <v>0</v>
      </c>
      <c r="GO227" s="2">
        <f t="shared" si="164"/>
        <v>0</v>
      </c>
      <c r="GP227" s="2">
        <f t="shared" si="165"/>
        <v>0</v>
      </c>
      <c r="GQ227" s="2"/>
      <c r="GR227" s="2">
        <v>0</v>
      </c>
      <c r="GS227" s="2">
        <v>3</v>
      </c>
      <c r="GT227" s="2">
        <v>0</v>
      </c>
      <c r="GU227" s="2" t="s">
        <v>3</v>
      </c>
      <c r="GV227" s="2">
        <f t="shared" si="166"/>
        <v>0</v>
      </c>
      <c r="GW227" s="2">
        <v>1</v>
      </c>
      <c r="GX227" s="2">
        <f t="shared" si="167"/>
        <v>0</v>
      </c>
      <c r="GY227" s="2"/>
      <c r="GZ227" s="2"/>
      <c r="HA227" s="2">
        <v>0</v>
      </c>
      <c r="HB227" s="2">
        <v>0</v>
      </c>
      <c r="HC227" s="2">
        <f t="shared" si="168"/>
        <v>0</v>
      </c>
      <c r="HD227" s="2"/>
      <c r="HE227" s="2" t="s">
        <v>3</v>
      </c>
      <c r="HF227" s="2" t="s">
        <v>3</v>
      </c>
      <c r="HG227" s="2"/>
      <c r="HH227" s="2"/>
      <c r="HI227" s="2"/>
      <c r="HJ227" s="2"/>
      <c r="HK227" s="2"/>
      <c r="HL227" s="2"/>
      <c r="HM227" s="2" t="s">
        <v>104</v>
      </c>
      <c r="HN227" s="2" t="s">
        <v>3</v>
      </c>
      <c r="HO227" s="2" t="s">
        <v>3</v>
      </c>
      <c r="HP227" s="2" t="s">
        <v>3</v>
      </c>
      <c r="HQ227" s="2" t="s">
        <v>3</v>
      </c>
      <c r="HR227" s="2"/>
      <c r="HS227" s="2">
        <v>0</v>
      </c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>
        <v>0</v>
      </c>
      <c r="IL227" s="2"/>
      <c r="IM227" s="2"/>
      <c r="IN227" s="2"/>
      <c r="IO227" s="2"/>
      <c r="IP227" s="2"/>
      <c r="IQ227" s="2"/>
      <c r="IR227" s="2"/>
      <c r="IS227" s="2"/>
      <c r="IT227" s="2"/>
      <c r="IU227" s="2"/>
    </row>
    <row r="228" spans="1:255" x14ac:dyDescent="0.25">
      <c r="A228" s="3">
        <v>18</v>
      </c>
      <c r="B228" s="3">
        <v>1</v>
      </c>
      <c r="C228" s="3">
        <v>174</v>
      </c>
      <c r="E228" s="3" t="s">
        <v>3</v>
      </c>
      <c r="F228" s="3" t="s">
        <v>247</v>
      </c>
      <c r="G228" s="3" t="s">
        <v>619</v>
      </c>
      <c r="H228" s="3" t="s">
        <v>177</v>
      </c>
      <c r="I228" s="3">
        <f>I226*J228</f>
        <v>104</v>
      </c>
      <c r="J228" s="3">
        <v>1</v>
      </c>
      <c r="K228" s="3">
        <v>1</v>
      </c>
      <c r="O228" s="3">
        <f t="shared" si="146"/>
        <v>51548.08</v>
      </c>
      <c r="P228" s="3">
        <f>ROUND((ROUND((AC228*I228),2)*BC228),2)</f>
        <v>51548.08</v>
      </c>
      <c r="Q228" s="3">
        <f>(ROUND((ROUND(((ET228)*AV228*I228),2)*BB228),2)+ROUND((ROUND(((AE228-(EU228))*AV228*I228),2)*BS228),2))</f>
        <v>0</v>
      </c>
      <c r="R228" s="3">
        <f>(ROUND((ROUND(((EU228)*AV228*I228),2)*BS228),2)+ROUND((ROUND(((AE228-(EU228))*AV228*I228),2)*BS228),2))</f>
        <v>0</v>
      </c>
      <c r="S228" s="3">
        <f t="shared" si="147"/>
        <v>0</v>
      </c>
      <c r="T228" s="3">
        <f t="shared" si="148"/>
        <v>0</v>
      </c>
      <c r="U228" s="3">
        <f t="shared" si="149"/>
        <v>0</v>
      </c>
      <c r="V228" s="3">
        <f t="shared" si="150"/>
        <v>0</v>
      </c>
      <c r="W228" s="3">
        <f t="shared" si="151"/>
        <v>0</v>
      </c>
      <c r="X228" s="3">
        <f>(ROUND((((S228+ROUND((ROUND(((EU228)*AV228*I228),2)*BS228),2))*AT228)/100),2)+ROUND(((ROUND((ROUND(((AE228-(EU228))*AV228*I228),2)*BS228),2)*AT228)/100),2))</f>
        <v>0</v>
      </c>
      <c r="Y228" s="3">
        <f>(ROUND((((S228+ROUND((ROUND(((EU228)*AV228*I228),2)*BS228),2))*AU228)/100),2)+ROUND(((ROUND((ROUND(((AE228-(EU228))*AV228*I228),2)*BS228),2)*AU228)/100),2))</f>
        <v>0</v>
      </c>
      <c r="AA228" s="3">
        <v>-1</v>
      </c>
      <c r="AB228" s="3">
        <f t="shared" si="152"/>
        <v>43.98</v>
      </c>
      <c r="AC228" s="3">
        <f>ROUND((ES228),6)</f>
        <v>43.98</v>
      </c>
      <c r="AD228" s="3">
        <f>ROUND((((ET228)-(EU228))+AE228),6)</f>
        <v>0</v>
      </c>
      <c r="AE228" s="3">
        <f>ROUND((EU228),6)</f>
        <v>0</v>
      </c>
      <c r="AF228" s="3">
        <f>ROUND((EV228),6)</f>
        <v>0</v>
      </c>
      <c r="AG228" s="3">
        <f t="shared" si="153"/>
        <v>0</v>
      </c>
      <c r="AH228" s="3">
        <f>(EW228)</f>
        <v>0</v>
      </c>
      <c r="AI228" s="3">
        <f>(EX228)</f>
        <v>0</v>
      </c>
      <c r="AJ228" s="3">
        <f t="shared" si="154"/>
        <v>0</v>
      </c>
      <c r="AK228" s="3">
        <v>43.98</v>
      </c>
      <c r="AL228" s="3">
        <v>43.98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1</v>
      </c>
      <c r="AW228" s="3">
        <v>1</v>
      </c>
      <c r="AZ228" s="3">
        <v>1</v>
      </c>
      <c r="BA228" s="3">
        <v>1</v>
      </c>
      <c r="BB228" s="3">
        <v>1</v>
      </c>
      <c r="BC228" s="3">
        <v>11.27</v>
      </c>
      <c r="BD228" s="3" t="s">
        <v>3</v>
      </c>
      <c r="BE228" s="3" t="s">
        <v>3</v>
      </c>
      <c r="BF228" s="3" t="s">
        <v>3</v>
      </c>
      <c r="BG228" s="3" t="s">
        <v>3</v>
      </c>
      <c r="BH228" s="3">
        <v>3</v>
      </c>
      <c r="BI228" s="3">
        <v>3</v>
      </c>
      <c r="BJ228" s="3" t="s">
        <v>248</v>
      </c>
      <c r="BM228" s="3">
        <v>746</v>
      </c>
      <c r="BN228" s="3">
        <v>0</v>
      </c>
      <c r="BO228" s="3" t="s">
        <v>3</v>
      </c>
      <c r="BP228" s="3">
        <v>0</v>
      </c>
      <c r="BQ228" s="3">
        <v>130</v>
      </c>
      <c r="BR228" s="3">
        <v>0</v>
      </c>
      <c r="BS228" s="3">
        <v>1</v>
      </c>
      <c r="BT228" s="3">
        <v>1</v>
      </c>
      <c r="BU228" s="3">
        <v>1</v>
      </c>
      <c r="BV228" s="3">
        <v>1</v>
      </c>
      <c r="BW228" s="3">
        <v>1</v>
      </c>
      <c r="BX228" s="3">
        <v>1</v>
      </c>
      <c r="BY228" s="3" t="s">
        <v>3</v>
      </c>
      <c r="BZ228" s="3">
        <v>90</v>
      </c>
      <c r="CA228" s="3">
        <v>46</v>
      </c>
      <c r="CB228" s="3" t="s">
        <v>3</v>
      </c>
      <c r="CE228" s="3">
        <v>1566</v>
      </c>
      <c r="CF228" s="3">
        <v>0</v>
      </c>
      <c r="CG228" s="3">
        <v>0</v>
      </c>
      <c r="CM228" s="3">
        <v>0</v>
      </c>
      <c r="CN228" s="3" t="s">
        <v>615</v>
      </c>
      <c r="CO228" s="3">
        <v>0</v>
      </c>
      <c r="CP228" s="3">
        <f t="shared" si="155"/>
        <v>51548.08</v>
      </c>
      <c r="CQ228" s="3">
        <f>ROUND((ROUND((AC228*1),2)*BC228),2)</f>
        <v>495.65</v>
      </c>
      <c r="CR228" s="3">
        <f>(ROUND((ROUND(((ET228)*AV228*1),2)*BB228),2)+ROUND((ROUND(((AE228-(EU228))*AV228*1),2)*BS228),2))</f>
        <v>0</v>
      </c>
      <c r="CS228" s="3">
        <f>(ROUND((ROUND(((EU228)*AV228*1),2)*BS228),2)+ROUND((ROUND(((AE228-(EU228))*AV228*1),2)*BS228),2))</f>
        <v>0</v>
      </c>
      <c r="CT228" s="3">
        <f t="shared" si="156"/>
        <v>0</v>
      </c>
      <c r="CU228" s="3">
        <f t="shared" si="157"/>
        <v>0</v>
      </c>
      <c r="CV228" s="3">
        <f t="shared" si="158"/>
        <v>0</v>
      </c>
      <c r="CW228" s="3">
        <f t="shared" si="159"/>
        <v>0</v>
      </c>
      <c r="CX228" s="3">
        <f t="shared" si="160"/>
        <v>0</v>
      </c>
      <c r="CY228" s="3">
        <f>(ROUND((((S228+ROUND((ROUND(((EU228)*AV228*1),2)*BS228),2))*AT228)/100),2)+ROUND(((ROUND((ROUND(((AE228-(EU228))*AV228*1),2)*BS228),2)*AT228)/100),2))</f>
        <v>0</v>
      </c>
      <c r="CZ228" s="3">
        <f>(ROUND((((S228+ROUND((ROUND(((EU228)*AV228*1),2)*BS228),2))*AU228)/100),2)+ROUND(((ROUND((ROUND(((AE228-(EU228))*AV228*1),2)*BS228),2)*AU228)/100),2))</f>
        <v>0</v>
      </c>
      <c r="DC228" s="3" t="s">
        <v>3</v>
      </c>
      <c r="DD228" s="3" t="s">
        <v>3</v>
      </c>
      <c r="DE228" s="3" t="s">
        <v>3</v>
      </c>
      <c r="DF228" s="3" t="s">
        <v>3</v>
      </c>
      <c r="DG228" s="3" t="s">
        <v>3</v>
      </c>
      <c r="DH228" s="3" t="s">
        <v>3</v>
      </c>
      <c r="DI228" s="3" t="s">
        <v>3</v>
      </c>
      <c r="DJ228" s="3" t="s">
        <v>3</v>
      </c>
      <c r="DK228" s="3" t="s">
        <v>3</v>
      </c>
      <c r="DL228" s="3" t="s">
        <v>3</v>
      </c>
      <c r="DM228" s="3" t="s">
        <v>3</v>
      </c>
      <c r="DN228" s="3">
        <v>0</v>
      </c>
      <c r="DO228" s="3">
        <v>0</v>
      </c>
      <c r="DP228" s="3">
        <v>1</v>
      </c>
      <c r="DQ228" s="3">
        <v>1</v>
      </c>
      <c r="DU228" s="3">
        <v>1010</v>
      </c>
      <c r="DV228" s="3" t="s">
        <v>177</v>
      </c>
      <c r="DW228" s="3" t="s">
        <v>177</v>
      </c>
      <c r="DX228" s="3">
        <v>1</v>
      </c>
      <c r="DZ228" s="3" t="s">
        <v>3</v>
      </c>
      <c r="EA228" s="3" t="s">
        <v>3</v>
      </c>
      <c r="EB228" s="3" t="s">
        <v>3</v>
      </c>
      <c r="EC228" s="3" t="s">
        <v>3</v>
      </c>
      <c r="EE228" s="3">
        <v>57043064</v>
      </c>
      <c r="EF228" s="3">
        <v>130</v>
      </c>
      <c r="EG228" s="3" t="s">
        <v>178</v>
      </c>
      <c r="EH228" s="3">
        <v>0</v>
      </c>
      <c r="EI228" s="3" t="s">
        <v>3</v>
      </c>
      <c r="EJ228" s="3">
        <v>3</v>
      </c>
      <c r="EK228" s="3">
        <v>746</v>
      </c>
      <c r="EL228" s="3" t="s">
        <v>179</v>
      </c>
      <c r="EM228" s="3" t="s">
        <v>180</v>
      </c>
      <c r="EO228" s="3" t="s">
        <v>109</v>
      </c>
      <c r="EQ228" s="3">
        <v>1024</v>
      </c>
      <c r="ER228" s="3">
        <v>43.98</v>
      </c>
      <c r="ES228" s="3">
        <v>43.98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FQ228" s="3">
        <v>0</v>
      </c>
      <c r="FR228" s="3">
        <f>P228</f>
        <v>51548.08</v>
      </c>
      <c r="FS228" s="3">
        <v>0</v>
      </c>
      <c r="FX228" s="3">
        <v>90</v>
      </c>
      <c r="FY228" s="3">
        <v>46</v>
      </c>
      <c r="GA228" s="3" t="s">
        <v>3</v>
      </c>
      <c r="GD228" s="3">
        <v>1</v>
      </c>
      <c r="GF228" s="3">
        <v>-411244706</v>
      </c>
      <c r="GG228" s="3">
        <v>2</v>
      </c>
      <c r="GH228" s="3">
        <v>1</v>
      </c>
      <c r="GI228" s="3">
        <v>2</v>
      </c>
      <c r="GJ228" s="3">
        <v>0</v>
      </c>
      <c r="GK228" s="3">
        <v>0</v>
      </c>
      <c r="GL228" s="3">
        <f t="shared" si="161"/>
        <v>0</v>
      </c>
      <c r="GM228" s="3">
        <f t="shared" si="162"/>
        <v>51548.08</v>
      </c>
      <c r="GN228" s="3">
        <f t="shared" si="163"/>
        <v>0</v>
      </c>
      <c r="GO228" s="3">
        <f t="shared" si="164"/>
        <v>0</v>
      </c>
      <c r="GP228" s="3">
        <f t="shared" si="165"/>
        <v>0</v>
      </c>
      <c r="GR228" s="3">
        <v>0</v>
      </c>
      <c r="GS228" s="3">
        <v>3</v>
      </c>
      <c r="GT228" s="3">
        <v>0</v>
      </c>
      <c r="GU228" s="3" t="s">
        <v>3</v>
      </c>
      <c r="GV228" s="3">
        <f t="shared" si="166"/>
        <v>0</v>
      </c>
      <c r="GW228" s="3">
        <v>1</v>
      </c>
      <c r="GX228" s="3">
        <f t="shared" si="167"/>
        <v>0</v>
      </c>
      <c r="HA228" s="3">
        <v>0</v>
      </c>
      <c r="HB228" s="3">
        <v>0</v>
      </c>
      <c r="HC228" s="3">
        <f t="shared" si="168"/>
        <v>0</v>
      </c>
      <c r="HE228" s="3" t="s">
        <v>3</v>
      </c>
      <c r="HF228" s="3" t="s">
        <v>3</v>
      </c>
      <c r="HM228" s="3" t="s">
        <v>104</v>
      </c>
      <c r="HN228" s="3" t="s">
        <v>3</v>
      </c>
      <c r="HO228" s="3" t="s">
        <v>3</v>
      </c>
      <c r="HP228" s="3" t="s">
        <v>3</v>
      </c>
      <c r="HQ228" s="3" t="s">
        <v>3</v>
      </c>
      <c r="HS228" s="3">
        <v>0</v>
      </c>
      <c r="IK228" s="3">
        <v>0</v>
      </c>
    </row>
    <row r="229" spans="1:255" x14ac:dyDescent="0.25">
      <c r="A229" s="2">
        <v>17</v>
      </c>
      <c r="B229" s="2">
        <v>1</v>
      </c>
      <c r="C229" s="2">
        <f>ROW(SmtRes!A175)</f>
        <v>175</v>
      </c>
      <c r="D229" s="2">
        <f>ROW(EtalonRes!A193)</f>
        <v>193</v>
      </c>
      <c r="E229" s="2" t="s">
        <v>249</v>
      </c>
      <c r="F229" s="2" t="s">
        <v>63</v>
      </c>
      <c r="G229" s="2" t="s">
        <v>246</v>
      </c>
      <c r="H229" s="2" t="s">
        <v>26</v>
      </c>
      <c r="I229" s="2">
        <f>ROUND(20+84,9)</f>
        <v>104</v>
      </c>
      <c r="J229" s="2">
        <v>0</v>
      </c>
      <c r="K229" s="2">
        <f>ROUND(20+84,9)</f>
        <v>104</v>
      </c>
      <c r="L229" s="2"/>
      <c r="M229" s="2"/>
      <c r="N229" s="2"/>
      <c r="O229" s="2">
        <f t="shared" si="146"/>
        <v>2310.17</v>
      </c>
      <c r="P229" s="2">
        <f t="shared" ref="P229:P238" si="177">ROUND((ROUND((AC229*AW229*I229),2)*BC229),2)</f>
        <v>203.84</v>
      </c>
      <c r="Q229" s="2">
        <f>(ROUND((ROUND((((ET229*1.2))*AV229*I229),2)*BB229),2)+ROUND((ROUND(((AE229-((EU229*1.2)))*AV229*I229),2)*BS229),2))</f>
        <v>6.53</v>
      </c>
      <c r="R229" s="2">
        <f>(ROUND((ROUND((((EU229*1.2))*AV229*I229),2)*BS229),2)+ROUND((ROUND(((AE229-((EU229*1.2)))*AV229*I229),2)*BS229),2))</f>
        <v>1.31</v>
      </c>
      <c r="S229" s="2">
        <f t="shared" si="147"/>
        <v>2099.8000000000002</v>
      </c>
      <c r="T229" s="2">
        <f t="shared" si="148"/>
        <v>0</v>
      </c>
      <c r="U229" s="2">
        <f t="shared" si="149"/>
        <v>156.79872</v>
      </c>
      <c r="V229" s="2">
        <f t="shared" si="150"/>
        <v>0</v>
      </c>
      <c r="W229" s="2">
        <f t="shared" si="151"/>
        <v>0</v>
      </c>
      <c r="X229" s="2">
        <f>(ROUND((((S229+ROUND((ROUND((((EU229*1.2))*AV229*I229),2)*BS229),2))*AT229)/100),2)+ROUND(((ROUND((ROUND(((AE229-((EU229*1.2)))*AV229*I229),2)*BS229),2)*AT229)/100),2))</f>
        <v>1891</v>
      </c>
      <c r="Y229" s="2">
        <f>(ROUND((((S229+ROUND((ROUND((((EU229*1.2))*AV229*I229),2)*BS229),2))*AU229)/100),2)+ROUND(((ROUND((ROUND(((AE229-((EU229*1.2)))*AV229*I229),2)*BS229),2)*AU229)/100),2))</f>
        <v>966.51</v>
      </c>
      <c r="Z229" s="2"/>
      <c r="AA229" s="2">
        <v>57034452</v>
      </c>
      <c r="AB229" s="2">
        <f t="shared" si="152"/>
        <v>21.303999999999998</v>
      </c>
      <c r="AC229" s="2">
        <f>ROUND(((ES229*1)),6)</f>
        <v>1.96</v>
      </c>
      <c r="AD229" s="2">
        <f>ROUND(((((ET229*1.2))-((EU229*1.2)))+AE229),6)</f>
        <v>0.06</v>
      </c>
      <c r="AE229" s="2">
        <f>ROUND(((EU229*1.2)),6)</f>
        <v>1.2E-2</v>
      </c>
      <c r="AF229" s="2">
        <f>ROUND(((EV229*1.2)),6)</f>
        <v>19.283999999999999</v>
      </c>
      <c r="AG229" s="2">
        <f t="shared" si="153"/>
        <v>0</v>
      </c>
      <c r="AH229" s="2">
        <f>((EW229*1.2))</f>
        <v>1.44</v>
      </c>
      <c r="AI229" s="2">
        <f>((EX229*1.2))</f>
        <v>0</v>
      </c>
      <c r="AJ229" s="2">
        <f t="shared" si="154"/>
        <v>0</v>
      </c>
      <c r="AK229" s="2">
        <v>18.079999999999998</v>
      </c>
      <c r="AL229" s="2">
        <v>1.96</v>
      </c>
      <c r="AM229" s="2">
        <v>0.05</v>
      </c>
      <c r="AN229" s="2">
        <v>0.01</v>
      </c>
      <c r="AO229" s="2">
        <v>16.07</v>
      </c>
      <c r="AP229" s="2">
        <v>0</v>
      </c>
      <c r="AQ229" s="2">
        <v>1.2</v>
      </c>
      <c r="AR229" s="2">
        <v>0</v>
      </c>
      <c r="AS229" s="2">
        <v>0</v>
      </c>
      <c r="AT229" s="2">
        <v>90</v>
      </c>
      <c r="AU229" s="2">
        <v>46</v>
      </c>
      <c r="AV229" s="2">
        <v>1.0469999999999999</v>
      </c>
      <c r="AW229" s="2">
        <v>1</v>
      </c>
      <c r="AX229" s="2"/>
      <c r="AY229" s="2"/>
      <c r="AZ229" s="2">
        <v>1</v>
      </c>
      <c r="BA229" s="2">
        <v>1</v>
      </c>
      <c r="BB229" s="2">
        <v>1</v>
      </c>
      <c r="BC229" s="2">
        <v>1</v>
      </c>
      <c r="BD229" s="2" t="s">
        <v>3</v>
      </c>
      <c r="BE229" s="2" t="s">
        <v>3</v>
      </c>
      <c r="BF229" s="2" t="s">
        <v>3</v>
      </c>
      <c r="BG229" s="2" t="s">
        <v>3</v>
      </c>
      <c r="BH229" s="2">
        <v>0</v>
      </c>
      <c r="BI229" s="2">
        <v>2</v>
      </c>
      <c r="BJ229" s="2" t="s">
        <v>65</v>
      </c>
      <c r="BK229" s="2"/>
      <c r="BL229" s="2"/>
      <c r="BM229" s="2">
        <v>68</v>
      </c>
      <c r="BN229" s="2">
        <v>0</v>
      </c>
      <c r="BO229" s="2" t="s">
        <v>63</v>
      </c>
      <c r="BP229" s="2">
        <v>1</v>
      </c>
      <c r="BQ229" s="2">
        <v>40</v>
      </c>
      <c r="BR229" s="2">
        <v>0</v>
      </c>
      <c r="BS229" s="2">
        <v>1</v>
      </c>
      <c r="BT229" s="2">
        <v>1</v>
      </c>
      <c r="BU229" s="2">
        <v>1</v>
      </c>
      <c r="BV229" s="2">
        <v>1</v>
      </c>
      <c r="BW229" s="2">
        <v>1</v>
      </c>
      <c r="BX229" s="2">
        <v>1</v>
      </c>
      <c r="BY229" s="2" t="s">
        <v>3</v>
      </c>
      <c r="BZ229" s="2">
        <v>90</v>
      </c>
      <c r="CA229" s="2">
        <v>46</v>
      </c>
      <c r="CB229" s="2" t="s">
        <v>3</v>
      </c>
      <c r="CC229" s="2"/>
      <c r="CD229" s="2"/>
      <c r="CE229" s="2">
        <v>1566</v>
      </c>
      <c r="CF229" s="2">
        <v>0</v>
      </c>
      <c r="CG229" s="2">
        <v>0</v>
      </c>
      <c r="CH229" s="2"/>
      <c r="CI229" s="2"/>
      <c r="CJ229" s="2"/>
      <c r="CK229" s="2"/>
      <c r="CL229" s="2"/>
      <c r="CM229" s="2">
        <v>0</v>
      </c>
      <c r="CN229" s="2" t="s">
        <v>614</v>
      </c>
      <c r="CO229" s="2">
        <v>0</v>
      </c>
      <c r="CP229" s="2">
        <f t="shared" si="155"/>
        <v>2310.17</v>
      </c>
      <c r="CQ229" s="2">
        <f t="shared" ref="CQ229:CQ238" si="178">ROUND((ROUND((AC229*AW229*1),2)*BC229),2)</f>
        <v>1.96</v>
      </c>
      <c r="CR229" s="2">
        <f>(ROUND((ROUND((((ET229*1.2))*AV229*1),2)*BB229),2)+ROUND((ROUND(((AE229-((EU229*1.2)))*AV229*1),2)*BS229),2))</f>
        <v>0.06</v>
      </c>
      <c r="CS229" s="2">
        <f>(ROUND((ROUND((((EU229*1.2))*AV229*1),2)*BS229),2)+ROUND((ROUND(((AE229-((EU229*1.2)))*AV229*1),2)*BS229),2))</f>
        <v>0.01</v>
      </c>
      <c r="CT229" s="2">
        <f t="shared" si="156"/>
        <v>20.190000000000001</v>
      </c>
      <c r="CU229" s="2">
        <f t="shared" si="157"/>
        <v>0</v>
      </c>
      <c r="CV229" s="2">
        <f t="shared" si="158"/>
        <v>1.5076799999999999</v>
      </c>
      <c r="CW229" s="2">
        <f t="shared" si="159"/>
        <v>0</v>
      </c>
      <c r="CX229" s="2">
        <f t="shared" si="160"/>
        <v>0</v>
      </c>
      <c r="CY229" s="2">
        <f>(ROUND((((S229+ROUND((ROUND((((EU229*1.2))*AV229*1),2)*BS229),2))*AT229)/100),2)+ROUND(((ROUND((ROUND(((AE229-((EU229*1.2)))*AV229*1),2)*BS229),2)*AT229)/100),2))</f>
        <v>1889.83</v>
      </c>
      <c r="CZ229" s="2">
        <f>(ROUND((((S229+ROUND((ROUND((((EU229*1.2))*AV229*1),2)*BS229),2))*AU229)/100),2)+ROUND(((ROUND((ROUND(((AE229-((EU229*1.2)))*AV229*1),2)*BS229),2)*AU229)/100),2))</f>
        <v>965.91</v>
      </c>
      <c r="DA229" s="2"/>
      <c r="DB229" s="2">
        <v>105</v>
      </c>
      <c r="DC229" s="2" t="s">
        <v>3</v>
      </c>
      <c r="DD229" s="2" t="s">
        <v>104</v>
      </c>
      <c r="DE229" s="2" t="s">
        <v>105</v>
      </c>
      <c r="DF229" s="2" t="s">
        <v>105</v>
      </c>
      <c r="DG229" s="2" t="s">
        <v>105</v>
      </c>
      <c r="DH229" s="2" t="s">
        <v>3</v>
      </c>
      <c r="DI229" s="2" t="s">
        <v>105</v>
      </c>
      <c r="DJ229" s="2" t="s">
        <v>105</v>
      </c>
      <c r="DK229" s="2" t="s">
        <v>3</v>
      </c>
      <c r="DL229" s="2" t="s">
        <v>3</v>
      </c>
      <c r="DM229" s="2" t="s">
        <v>3</v>
      </c>
      <c r="DN229" s="2">
        <v>0</v>
      </c>
      <c r="DO229" s="2">
        <v>0</v>
      </c>
      <c r="DP229" s="2">
        <v>1</v>
      </c>
      <c r="DQ229" s="2">
        <v>1</v>
      </c>
      <c r="DR229" s="2"/>
      <c r="DS229" s="2"/>
      <c r="DT229" s="2"/>
      <c r="DU229" s="2">
        <v>1013</v>
      </c>
      <c r="DV229" s="2" t="s">
        <v>26</v>
      </c>
      <c r="DW229" s="2" t="s">
        <v>26</v>
      </c>
      <c r="DX229" s="2">
        <v>1</v>
      </c>
      <c r="DY229" s="2"/>
      <c r="DZ229" s="2" t="s">
        <v>3</v>
      </c>
      <c r="EA229" s="2" t="s">
        <v>3</v>
      </c>
      <c r="EB229" s="2" t="s">
        <v>3</v>
      </c>
      <c r="EC229" s="2" t="s">
        <v>3</v>
      </c>
      <c r="ED229" s="2"/>
      <c r="EE229" s="2">
        <v>57042958</v>
      </c>
      <c r="EF229" s="2">
        <v>40</v>
      </c>
      <c r="EG229" s="2" t="s">
        <v>30</v>
      </c>
      <c r="EH229" s="2">
        <v>0</v>
      </c>
      <c r="EI229" s="2" t="s">
        <v>3</v>
      </c>
      <c r="EJ229" s="2">
        <v>2</v>
      </c>
      <c r="EK229" s="2">
        <v>68</v>
      </c>
      <c r="EL229" s="2" t="s">
        <v>38</v>
      </c>
      <c r="EM229" s="2" t="s">
        <v>39</v>
      </c>
      <c r="EN229" s="2"/>
      <c r="EO229" s="2" t="s">
        <v>109</v>
      </c>
      <c r="EP229" s="2"/>
      <c r="EQ229" s="2">
        <v>0</v>
      </c>
      <c r="ER229" s="2">
        <v>18.079999999999998</v>
      </c>
      <c r="ES229" s="2">
        <v>1.96</v>
      </c>
      <c r="ET229" s="2">
        <v>0.05</v>
      </c>
      <c r="EU229" s="2">
        <v>0.01</v>
      </c>
      <c r="EV229" s="2">
        <v>16.07</v>
      </c>
      <c r="EW229" s="2">
        <v>1.2</v>
      </c>
      <c r="EX229" s="2">
        <v>0</v>
      </c>
      <c r="EY229" s="2">
        <v>0</v>
      </c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>
        <v>0</v>
      </c>
      <c r="FR229" s="2">
        <v>0</v>
      </c>
      <c r="FS229" s="2">
        <v>0</v>
      </c>
      <c r="FT229" s="2"/>
      <c r="FU229" s="2"/>
      <c r="FV229" s="2"/>
      <c r="FW229" s="2"/>
      <c r="FX229" s="2">
        <v>90</v>
      </c>
      <c r="FY229" s="2">
        <v>46</v>
      </c>
      <c r="FZ229" s="2"/>
      <c r="GA229" s="2" t="s">
        <v>3</v>
      </c>
      <c r="GB229" s="2"/>
      <c r="GC229" s="2"/>
      <c r="GD229" s="2">
        <v>1</v>
      </c>
      <c r="GE229" s="2"/>
      <c r="GF229" s="2">
        <v>-1354403463</v>
      </c>
      <c r="GG229" s="2">
        <v>2</v>
      </c>
      <c r="GH229" s="2">
        <v>1</v>
      </c>
      <c r="GI229" s="2">
        <v>2</v>
      </c>
      <c r="GJ229" s="2">
        <v>0</v>
      </c>
      <c r="GK229" s="2">
        <v>0</v>
      </c>
      <c r="GL229" s="2">
        <f t="shared" si="161"/>
        <v>0</v>
      </c>
      <c r="GM229" s="2">
        <f t="shared" si="162"/>
        <v>5167.68</v>
      </c>
      <c r="GN229" s="2">
        <f t="shared" si="163"/>
        <v>0</v>
      </c>
      <c r="GO229" s="2">
        <f t="shared" si="164"/>
        <v>5167.68</v>
      </c>
      <c r="GP229" s="2">
        <f t="shared" si="165"/>
        <v>0</v>
      </c>
      <c r="GQ229" s="2"/>
      <c r="GR229" s="2">
        <v>0</v>
      </c>
      <c r="GS229" s="2">
        <v>3</v>
      </c>
      <c r="GT229" s="2">
        <v>0</v>
      </c>
      <c r="GU229" s="2" t="s">
        <v>3</v>
      </c>
      <c r="GV229" s="2">
        <f t="shared" si="166"/>
        <v>0</v>
      </c>
      <c r="GW229" s="2">
        <v>1</v>
      </c>
      <c r="GX229" s="2">
        <f t="shared" si="167"/>
        <v>0</v>
      </c>
      <c r="GY229" s="2"/>
      <c r="GZ229" s="2"/>
      <c r="HA229" s="2">
        <v>0</v>
      </c>
      <c r="HB229" s="2">
        <v>0</v>
      </c>
      <c r="HC229" s="2">
        <f t="shared" si="168"/>
        <v>0</v>
      </c>
      <c r="HD229" s="2"/>
      <c r="HE229" s="2" t="s">
        <v>3</v>
      </c>
      <c r="HF229" s="2" t="s">
        <v>3</v>
      </c>
      <c r="HG229" s="2"/>
      <c r="HH229" s="2"/>
      <c r="HI229" s="2"/>
      <c r="HJ229" s="2"/>
      <c r="HK229" s="2"/>
      <c r="HL229" s="2"/>
      <c r="HM229" s="2" t="s">
        <v>3</v>
      </c>
      <c r="HN229" s="2" t="s">
        <v>3</v>
      </c>
      <c r="HO229" s="2" t="s">
        <v>3</v>
      </c>
      <c r="HP229" s="2" t="s">
        <v>3</v>
      </c>
      <c r="HQ229" s="2" t="s">
        <v>3</v>
      </c>
      <c r="HR229" s="2"/>
      <c r="HS229" s="2">
        <v>0</v>
      </c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>
        <v>0</v>
      </c>
      <c r="IL229" s="2"/>
      <c r="IM229" s="2"/>
      <c r="IN229" s="2"/>
      <c r="IO229" s="2"/>
      <c r="IP229" s="2"/>
      <c r="IQ229" s="2"/>
      <c r="IR229" s="2"/>
      <c r="IS229" s="2"/>
      <c r="IT229" s="2"/>
      <c r="IU229" s="2"/>
    </row>
    <row r="230" spans="1:255" x14ac:dyDescent="0.25">
      <c r="A230" s="3">
        <v>17</v>
      </c>
      <c r="B230" s="3">
        <v>1</v>
      </c>
      <c r="C230" s="3">
        <f>ROW(SmtRes!A176)</f>
        <v>176</v>
      </c>
      <c r="D230" s="3">
        <f>ROW(EtalonRes!A194)</f>
        <v>194</v>
      </c>
      <c r="E230" s="3" t="s">
        <v>249</v>
      </c>
      <c r="F230" s="3" t="s">
        <v>63</v>
      </c>
      <c r="G230" s="3" t="s">
        <v>246</v>
      </c>
      <c r="H230" s="3" t="s">
        <v>26</v>
      </c>
      <c r="I230" s="3">
        <f>ROUND(20+84,9)</f>
        <v>104</v>
      </c>
      <c r="J230" s="3">
        <v>0</v>
      </c>
      <c r="K230" s="3">
        <f>ROUND(20+84,9)</f>
        <v>104</v>
      </c>
      <c r="O230" s="3">
        <f t="shared" si="146"/>
        <v>120460.12</v>
      </c>
      <c r="P230" s="3">
        <f t="shared" si="177"/>
        <v>2005.79</v>
      </c>
      <c r="Q230" s="3">
        <f>(ROUND((ROUND((((ET230*1.2))*AV230*I230),2)*BB230),2)+ROUND((ROUND(((AE230-((EU230*1.2)))*AV230*I230),2)*BS230),2))</f>
        <v>130.6</v>
      </c>
      <c r="R230" s="3">
        <f>(ROUND((ROUND((((EU230*1.2))*AV230*I230),2)*BS230),2)+ROUND((ROUND(((AE230-((EU230*1.2)))*AV230*I230),2)*BS230),2))</f>
        <v>73.819999999999993</v>
      </c>
      <c r="S230" s="3">
        <f t="shared" si="147"/>
        <v>118323.73</v>
      </c>
      <c r="T230" s="3">
        <f t="shared" si="148"/>
        <v>0</v>
      </c>
      <c r="U230" s="3">
        <f t="shared" si="149"/>
        <v>156.79872</v>
      </c>
      <c r="V230" s="3">
        <f t="shared" si="150"/>
        <v>0</v>
      </c>
      <c r="W230" s="3">
        <f t="shared" si="151"/>
        <v>0</v>
      </c>
      <c r="X230" s="3">
        <f>(ROUND((((S230+ROUND((ROUND((((EU230*1.2))*AV230*I230),2)*BS230),2))*AT230)/100),2)+ROUND(((ROUND((ROUND(((AE230-((EU230*1.2)))*AV230*I230),2)*BS230),2)*AT230)/100),2))</f>
        <v>106557.8</v>
      </c>
      <c r="Y230" s="3">
        <f>(ROUND((((S230+ROUND((ROUND((((EU230*1.2))*AV230*I230),2)*BS230),2))*AU230)/100),2)+ROUND(((ROUND((ROUND(((AE230-((EU230*1.2)))*AV230*I230),2)*BS230),2)*AU230)/100),2))</f>
        <v>54462.87</v>
      </c>
      <c r="AA230" s="3">
        <v>57034454</v>
      </c>
      <c r="AB230" s="3">
        <f t="shared" si="152"/>
        <v>21.303999999999998</v>
      </c>
      <c r="AC230" s="3">
        <f>ROUND(((ES230*1)),6)</f>
        <v>1.96</v>
      </c>
      <c r="AD230" s="3">
        <f>ROUND(((((ET230*1.2))-((EU230*1.2)))+AE230),6)</f>
        <v>0.06</v>
      </c>
      <c r="AE230" s="3">
        <f>ROUND(((EU230*1.2)),6)</f>
        <v>1.2E-2</v>
      </c>
      <c r="AF230" s="3">
        <f>ROUND(((EV230*1.2)),6)</f>
        <v>19.283999999999999</v>
      </c>
      <c r="AG230" s="3">
        <f t="shared" si="153"/>
        <v>0</v>
      </c>
      <c r="AH230" s="3">
        <f>((EW230*1.2))</f>
        <v>1.44</v>
      </c>
      <c r="AI230" s="3">
        <f>((EX230*1.2))</f>
        <v>0</v>
      </c>
      <c r="AJ230" s="3">
        <f t="shared" si="154"/>
        <v>0</v>
      </c>
      <c r="AK230" s="3">
        <v>18.079999999999998</v>
      </c>
      <c r="AL230" s="3">
        <v>1.96</v>
      </c>
      <c r="AM230" s="3">
        <v>0.05</v>
      </c>
      <c r="AN230" s="3">
        <v>0.01</v>
      </c>
      <c r="AO230" s="3">
        <v>16.07</v>
      </c>
      <c r="AP230" s="3">
        <v>0</v>
      </c>
      <c r="AQ230" s="3">
        <v>1.2</v>
      </c>
      <c r="AR230" s="3">
        <v>0</v>
      </c>
      <c r="AS230" s="3">
        <v>0</v>
      </c>
      <c r="AT230" s="3">
        <v>90</v>
      </c>
      <c r="AU230" s="3">
        <v>46</v>
      </c>
      <c r="AV230" s="3">
        <v>1.0469999999999999</v>
      </c>
      <c r="AW230" s="3">
        <v>1</v>
      </c>
      <c r="AZ230" s="3">
        <v>1</v>
      </c>
      <c r="BA230" s="3">
        <v>56.35</v>
      </c>
      <c r="BB230" s="3">
        <v>20</v>
      </c>
      <c r="BC230" s="3">
        <v>9.84</v>
      </c>
      <c r="BD230" s="3" t="s">
        <v>3</v>
      </c>
      <c r="BE230" s="3" t="s">
        <v>3</v>
      </c>
      <c r="BF230" s="3" t="s">
        <v>3</v>
      </c>
      <c r="BG230" s="3" t="s">
        <v>3</v>
      </c>
      <c r="BH230" s="3">
        <v>0</v>
      </c>
      <c r="BI230" s="3">
        <v>2</v>
      </c>
      <c r="BJ230" s="3" t="s">
        <v>65</v>
      </c>
      <c r="BM230" s="3">
        <v>68</v>
      </c>
      <c r="BN230" s="3">
        <v>0</v>
      </c>
      <c r="BO230" s="3" t="s">
        <v>63</v>
      </c>
      <c r="BP230" s="3">
        <v>1</v>
      </c>
      <c r="BQ230" s="3">
        <v>40</v>
      </c>
      <c r="BR230" s="3">
        <v>0</v>
      </c>
      <c r="BS230" s="3">
        <v>56.35</v>
      </c>
      <c r="BT230" s="3">
        <v>1</v>
      </c>
      <c r="BU230" s="3">
        <v>1</v>
      </c>
      <c r="BV230" s="3">
        <v>1</v>
      </c>
      <c r="BW230" s="3">
        <v>1</v>
      </c>
      <c r="BX230" s="3">
        <v>1</v>
      </c>
      <c r="BY230" s="3" t="s">
        <v>3</v>
      </c>
      <c r="BZ230" s="3">
        <v>90</v>
      </c>
      <c r="CA230" s="3">
        <v>46</v>
      </c>
      <c r="CB230" s="3" t="s">
        <v>3</v>
      </c>
      <c r="CE230" s="3">
        <v>1566</v>
      </c>
      <c r="CF230" s="3">
        <v>0</v>
      </c>
      <c r="CG230" s="3">
        <v>0</v>
      </c>
      <c r="CM230" s="3">
        <v>0</v>
      </c>
      <c r="CN230" s="3" t="s">
        <v>614</v>
      </c>
      <c r="CO230" s="3">
        <v>0</v>
      </c>
      <c r="CP230" s="3">
        <f t="shared" si="155"/>
        <v>120460.12</v>
      </c>
      <c r="CQ230" s="3">
        <f t="shared" si="178"/>
        <v>19.29</v>
      </c>
      <c r="CR230" s="3">
        <f>(ROUND((ROUND((((ET230*1.2))*AV230*1),2)*BB230),2)+ROUND((ROUND(((AE230-((EU230*1.2)))*AV230*1),2)*BS230),2))</f>
        <v>1.2</v>
      </c>
      <c r="CS230" s="3">
        <f>(ROUND((ROUND((((EU230*1.2))*AV230*1),2)*BS230),2)+ROUND((ROUND(((AE230-((EU230*1.2)))*AV230*1),2)*BS230),2))</f>
        <v>0.56000000000000005</v>
      </c>
      <c r="CT230" s="3">
        <f t="shared" si="156"/>
        <v>1137.71</v>
      </c>
      <c r="CU230" s="3">
        <f t="shared" si="157"/>
        <v>0</v>
      </c>
      <c r="CV230" s="3">
        <f t="shared" si="158"/>
        <v>1.5076799999999999</v>
      </c>
      <c r="CW230" s="3">
        <f t="shared" si="159"/>
        <v>0</v>
      </c>
      <c r="CX230" s="3">
        <f t="shared" si="160"/>
        <v>0</v>
      </c>
      <c r="CY230" s="3">
        <f>(ROUND((((S230+ROUND((ROUND((((EU230*1.2))*AV230*1),2)*BS230),2))*AT230)/100),2)+ROUND(((ROUND((ROUND(((AE230-((EU230*1.2)))*AV230*1),2)*BS230),2)*AT230)/100),2))</f>
        <v>106491.86</v>
      </c>
      <c r="CZ230" s="3">
        <f>(ROUND((((S230+ROUND((ROUND((((EU230*1.2))*AV230*1),2)*BS230),2))*AU230)/100),2)+ROUND(((ROUND((ROUND(((AE230-((EU230*1.2)))*AV230*1),2)*BS230),2)*AU230)/100),2))</f>
        <v>54429.17</v>
      </c>
      <c r="DB230" s="3">
        <v>106</v>
      </c>
      <c r="DC230" s="3" t="s">
        <v>3</v>
      </c>
      <c r="DD230" s="3" t="s">
        <v>104</v>
      </c>
      <c r="DE230" s="3" t="s">
        <v>105</v>
      </c>
      <c r="DF230" s="3" t="s">
        <v>105</v>
      </c>
      <c r="DG230" s="3" t="s">
        <v>105</v>
      </c>
      <c r="DH230" s="3" t="s">
        <v>3</v>
      </c>
      <c r="DI230" s="3" t="s">
        <v>105</v>
      </c>
      <c r="DJ230" s="3" t="s">
        <v>105</v>
      </c>
      <c r="DK230" s="3" t="s">
        <v>3</v>
      </c>
      <c r="DL230" s="3" t="s">
        <v>3</v>
      </c>
      <c r="DM230" s="3" t="s">
        <v>3</v>
      </c>
      <c r="DN230" s="3">
        <v>0</v>
      </c>
      <c r="DO230" s="3">
        <v>0</v>
      </c>
      <c r="DP230" s="3">
        <v>1</v>
      </c>
      <c r="DQ230" s="3">
        <v>1</v>
      </c>
      <c r="DU230" s="3">
        <v>1013</v>
      </c>
      <c r="DV230" s="3" t="s">
        <v>26</v>
      </c>
      <c r="DW230" s="3" t="s">
        <v>26</v>
      </c>
      <c r="DX230" s="3">
        <v>1</v>
      </c>
      <c r="DZ230" s="3" t="s">
        <v>3</v>
      </c>
      <c r="EA230" s="3" t="s">
        <v>3</v>
      </c>
      <c r="EB230" s="3" t="s">
        <v>3</v>
      </c>
      <c r="EC230" s="3" t="s">
        <v>3</v>
      </c>
      <c r="EE230" s="3">
        <v>57042958</v>
      </c>
      <c r="EF230" s="3">
        <v>40</v>
      </c>
      <c r="EG230" s="3" t="s">
        <v>30</v>
      </c>
      <c r="EH230" s="3">
        <v>0</v>
      </c>
      <c r="EI230" s="3" t="s">
        <v>3</v>
      </c>
      <c r="EJ230" s="3">
        <v>2</v>
      </c>
      <c r="EK230" s="3">
        <v>68</v>
      </c>
      <c r="EL230" s="3" t="s">
        <v>38</v>
      </c>
      <c r="EM230" s="3" t="s">
        <v>39</v>
      </c>
      <c r="EO230" s="3" t="s">
        <v>109</v>
      </c>
      <c r="EQ230" s="3">
        <v>0</v>
      </c>
      <c r="ER230" s="3">
        <v>18.079999999999998</v>
      </c>
      <c r="ES230" s="3">
        <v>1.96</v>
      </c>
      <c r="ET230" s="3">
        <v>0.05</v>
      </c>
      <c r="EU230" s="3">
        <v>0.01</v>
      </c>
      <c r="EV230" s="3">
        <v>16.07</v>
      </c>
      <c r="EW230" s="3">
        <v>1.2</v>
      </c>
      <c r="EX230" s="3">
        <v>0</v>
      </c>
      <c r="EY230" s="3">
        <v>0</v>
      </c>
      <c r="FQ230" s="3">
        <v>0</v>
      </c>
      <c r="FR230" s="3">
        <v>0</v>
      </c>
      <c r="FS230" s="3">
        <v>0</v>
      </c>
      <c r="FX230" s="3">
        <v>90</v>
      </c>
      <c r="FY230" s="3">
        <v>46</v>
      </c>
      <c r="GA230" s="3" t="s">
        <v>3</v>
      </c>
      <c r="GD230" s="3">
        <v>1</v>
      </c>
      <c r="GF230" s="3">
        <v>-1354403463</v>
      </c>
      <c r="GG230" s="3">
        <v>2</v>
      </c>
      <c r="GH230" s="3">
        <v>1</v>
      </c>
      <c r="GI230" s="3">
        <v>2</v>
      </c>
      <c r="GJ230" s="3">
        <v>0</v>
      </c>
      <c r="GK230" s="3">
        <v>0</v>
      </c>
      <c r="GL230" s="3">
        <f t="shared" si="161"/>
        <v>0</v>
      </c>
      <c r="GM230" s="3">
        <f t="shared" si="162"/>
        <v>281480.78999999998</v>
      </c>
      <c r="GN230" s="3">
        <f t="shared" si="163"/>
        <v>0</v>
      </c>
      <c r="GO230" s="3">
        <f t="shared" si="164"/>
        <v>281480.78999999998</v>
      </c>
      <c r="GP230" s="3">
        <f t="shared" si="165"/>
        <v>0</v>
      </c>
      <c r="GR230" s="3">
        <v>0</v>
      </c>
      <c r="GS230" s="3">
        <v>3</v>
      </c>
      <c r="GT230" s="3">
        <v>0</v>
      </c>
      <c r="GU230" s="3" t="s">
        <v>3</v>
      </c>
      <c r="GV230" s="3">
        <f t="shared" si="166"/>
        <v>0</v>
      </c>
      <c r="GW230" s="3">
        <v>1</v>
      </c>
      <c r="GX230" s="3">
        <f t="shared" si="167"/>
        <v>0</v>
      </c>
      <c r="HA230" s="3">
        <v>0</v>
      </c>
      <c r="HB230" s="3">
        <v>0</v>
      </c>
      <c r="HC230" s="3">
        <f t="shared" si="168"/>
        <v>0</v>
      </c>
      <c r="HE230" s="3" t="s">
        <v>3</v>
      </c>
      <c r="HF230" s="3" t="s">
        <v>3</v>
      </c>
      <c r="HM230" s="3" t="s">
        <v>3</v>
      </c>
      <c r="HN230" s="3" t="s">
        <v>3</v>
      </c>
      <c r="HO230" s="3" t="s">
        <v>3</v>
      </c>
      <c r="HP230" s="3" t="s">
        <v>3</v>
      </c>
      <c r="HQ230" s="3" t="s">
        <v>3</v>
      </c>
      <c r="HS230" s="3">
        <v>0</v>
      </c>
      <c r="IK230" s="3">
        <v>0</v>
      </c>
    </row>
    <row r="231" spans="1:255" x14ac:dyDescent="0.25">
      <c r="A231" s="2">
        <v>17</v>
      </c>
      <c r="B231" s="2">
        <v>1</v>
      </c>
      <c r="C231" s="2"/>
      <c r="D231" s="2"/>
      <c r="E231" s="2" t="s">
        <v>250</v>
      </c>
      <c r="F231" s="2" t="s">
        <v>251</v>
      </c>
      <c r="G231" s="2" t="s">
        <v>252</v>
      </c>
      <c r="H231" s="2" t="s">
        <v>177</v>
      </c>
      <c r="I231" s="2">
        <v>20</v>
      </c>
      <c r="J231" s="2">
        <v>0</v>
      </c>
      <c r="K231" s="2">
        <v>20</v>
      </c>
      <c r="L231" s="2"/>
      <c r="M231" s="2"/>
      <c r="N231" s="2"/>
      <c r="O231" s="2">
        <f t="shared" si="146"/>
        <v>1875.2</v>
      </c>
      <c r="P231" s="2">
        <f t="shared" si="177"/>
        <v>1875.2</v>
      </c>
      <c r="Q231" s="2">
        <f>(ROUND((ROUND(((ET231)*AV231*I231),2)*BB231),2)+ROUND((ROUND(((AE231-(EU231))*AV231*I231),2)*BS231),2))</f>
        <v>0</v>
      </c>
      <c r="R231" s="2">
        <f>(ROUND((ROUND(((EU231)*AV231*I231),2)*BS231),2)+ROUND((ROUND(((AE231-(EU231))*AV231*I231),2)*BS231),2))</f>
        <v>0</v>
      </c>
      <c r="S231" s="2">
        <f t="shared" si="147"/>
        <v>0</v>
      </c>
      <c r="T231" s="2">
        <f t="shared" si="148"/>
        <v>0</v>
      </c>
      <c r="U231" s="2">
        <f t="shared" si="149"/>
        <v>0</v>
      </c>
      <c r="V231" s="2">
        <f t="shared" si="150"/>
        <v>0</v>
      </c>
      <c r="W231" s="2">
        <f t="shared" si="151"/>
        <v>0</v>
      </c>
      <c r="X231" s="2">
        <f>(ROUND((((S231+ROUND((ROUND(((EU231)*AV231*I231),2)*BS231),2))*AT231)/100),2)+ROUND(((ROUND((ROUND(((AE231-(EU231))*AV231*I231),2)*BS231),2)*AT231)/100),2))</f>
        <v>0</v>
      </c>
      <c r="Y231" s="2">
        <f>(ROUND((((S231+ROUND((ROUND(((EU231)*AV231*I231),2)*BS231),2))*AU231)/100),2)+ROUND(((ROUND((ROUND(((AE231-(EU231))*AV231*I231),2)*BS231),2)*AU231)/100),2))</f>
        <v>0</v>
      </c>
      <c r="Z231" s="2"/>
      <c r="AA231" s="2">
        <v>57034452</v>
      </c>
      <c r="AB231" s="2">
        <f t="shared" si="152"/>
        <v>93.76</v>
      </c>
      <c r="AC231" s="2">
        <f>ROUND((ES231),6)</f>
        <v>93.76</v>
      </c>
      <c r="AD231" s="2">
        <f>ROUND((((ET231)-(EU231))+AE231),6)</f>
        <v>0</v>
      </c>
      <c r="AE231" s="2">
        <f t="shared" ref="AE231:AF234" si="179">ROUND((EU231),6)</f>
        <v>0</v>
      </c>
      <c r="AF231" s="2">
        <f t="shared" si="179"/>
        <v>0</v>
      </c>
      <c r="AG231" s="2">
        <f t="shared" si="153"/>
        <v>0</v>
      </c>
      <c r="AH231" s="2">
        <f t="shared" ref="AH231:AI234" si="180">(EW231)</f>
        <v>0</v>
      </c>
      <c r="AI231" s="2">
        <f t="shared" si="180"/>
        <v>0</v>
      </c>
      <c r="AJ231" s="2">
        <f t="shared" si="154"/>
        <v>0</v>
      </c>
      <c r="AK231" s="2">
        <v>93.76</v>
      </c>
      <c r="AL231" s="2">
        <v>93.76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90</v>
      </c>
      <c r="AU231" s="2">
        <v>46</v>
      </c>
      <c r="AV231" s="2">
        <v>1</v>
      </c>
      <c r="AW231" s="2">
        <v>1</v>
      </c>
      <c r="AX231" s="2"/>
      <c r="AY231" s="2"/>
      <c r="AZ231" s="2">
        <v>1</v>
      </c>
      <c r="BA231" s="2">
        <v>1</v>
      </c>
      <c r="BB231" s="2">
        <v>1</v>
      </c>
      <c r="BC231" s="2">
        <v>1</v>
      </c>
      <c r="BD231" s="2" t="s">
        <v>3</v>
      </c>
      <c r="BE231" s="2" t="s">
        <v>3</v>
      </c>
      <c r="BF231" s="2" t="s">
        <v>3</v>
      </c>
      <c r="BG231" s="2" t="s">
        <v>3</v>
      </c>
      <c r="BH231" s="2">
        <v>3</v>
      </c>
      <c r="BI231" s="2">
        <v>3</v>
      </c>
      <c r="BJ231" s="2" t="s">
        <v>3</v>
      </c>
      <c r="BK231" s="2"/>
      <c r="BL231" s="2"/>
      <c r="BM231" s="2">
        <v>68</v>
      </c>
      <c r="BN231" s="2">
        <v>0</v>
      </c>
      <c r="BO231" s="2" t="s">
        <v>3</v>
      </c>
      <c r="BP231" s="2">
        <v>0</v>
      </c>
      <c r="BQ231" s="2">
        <v>40</v>
      </c>
      <c r="BR231" s="2">
        <v>0</v>
      </c>
      <c r="BS231" s="2">
        <v>1</v>
      </c>
      <c r="BT231" s="2">
        <v>1</v>
      </c>
      <c r="BU231" s="2">
        <v>1</v>
      </c>
      <c r="BV231" s="2">
        <v>1</v>
      </c>
      <c r="BW231" s="2">
        <v>1</v>
      </c>
      <c r="BX231" s="2">
        <v>1</v>
      </c>
      <c r="BY231" s="2" t="s">
        <v>3</v>
      </c>
      <c r="BZ231" s="2">
        <v>90</v>
      </c>
      <c r="CA231" s="2">
        <v>46</v>
      </c>
      <c r="CB231" s="2" t="s">
        <v>3</v>
      </c>
      <c r="CC231" s="2"/>
      <c r="CD231" s="2"/>
      <c r="CE231" s="2">
        <v>1566</v>
      </c>
      <c r="CF231" s="2">
        <v>0</v>
      </c>
      <c r="CG231" s="2">
        <v>0</v>
      </c>
      <c r="CH231" s="2"/>
      <c r="CI231" s="2"/>
      <c r="CJ231" s="2"/>
      <c r="CK231" s="2"/>
      <c r="CL231" s="2"/>
      <c r="CM231" s="2">
        <v>0</v>
      </c>
      <c r="CN231" s="2" t="s">
        <v>3</v>
      </c>
      <c r="CO231" s="2">
        <v>0</v>
      </c>
      <c r="CP231" s="2">
        <f t="shared" si="155"/>
        <v>1875.2</v>
      </c>
      <c r="CQ231" s="2">
        <f t="shared" si="178"/>
        <v>93.76</v>
      </c>
      <c r="CR231" s="2">
        <f>(ROUND((ROUND(((ET231)*AV231*1),2)*BB231),2)+ROUND((ROUND(((AE231-(EU231))*AV231*1),2)*BS231),2))</f>
        <v>0</v>
      </c>
      <c r="CS231" s="2">
        <f>(ROUND((ROUND(((EU231)*AV231*1),2)*BS231),2)+ROUND((ROUND(((AE231-(EU231))*AV231*1),2)*BS231),2))</f>
        <v>0</v>
      </c>
      <c r="CT231" s="2">
        <f t="shared" si="156"/>
        <v>0</v>
      </c>
      <c r="CU231" s="2">
        <f t="shared" si="157"/>
        <v>0</v>
      </c>
      <c r="CV231" s="2">
        <f t="shared" si="158"/>
        <v>0</v>
      </c>
      <c r="CW231" s="2">
        <f t="shared" si="159"/>
        <v>0</v>
      </c>
      <c r="CX231" s="2">
        <f t="shared" si="160"/>
        <v>0</v>
      </c>
      <c r="CY231" s="2">
        <f>(ROUND((((S231+ROUND((ROUND(((EU231)*AV231*1),2)*BS231),2))*AT231)/100),2)+ROUND(((ROUND((ROUND(((AE231-(EU231))*AV231*1),2)*BS231),2)*AT231)/100),2))</f>
        <v>0</v>
      </c>
      <c r="CZ231" s="2">
        <f>(ROUND((((S231+ROUND((ROUND(((EU231)*AV231*1),2)*BS231),2))*AU231)/100),2)+ROUND(((ROUND((ROUND(((AE231-(EU231))*AV231*1),2)*BS231),2)*AU231)/100),2))</f>
        <v>0</v>
      </c>
      <c r="DA231" s="2"/>
      <c r="DB231" s="2"/>
      <c r="DC231" s="2" t="s">
        <v>3</v>
      </c>
      <c r="DD231" s="2" t="s">
        <v>3</v>
      </c>
      <c r="DE231" s="2" t="s">
        <v>3</v>
      </c>
      <c r="DF231" s="2" t="s">
        <v>3</v>
      </c>
      <c r="DG231" s="2" t="s">
        <v>3</v>
      </c>
      <c r="DH231" s="2" t="s">
        <v>3</v>
      </c>
      <c r="DI231" s="2" t="s">
        <v>3</v>
      </c>
      <c r="DJ231" s="2" t="s">
        <v>3</v>
      </c>
      <c r="DK231" s="2" t="s">
        <v>3</v>
      </c>
      <c r="DL231" s="2" t="s">
        <v>3</v>
      </c>
      <c r="DM231" s="2" t="s">
        <v>3</v>
      </c>
      <c r="DN231" s="2">
        <v>0</v>
      </c>
      <c r="DO231" s="2">
        <v>0</v>
      </c>
      <c r="DP231" s="2">
        <v>1</v>
      </c>
      <c r="DQ231" s="2">
        <v>1</v>
      </c>
      <c r="DR231" s="2"/>
      <c r="DS231" s="2"/>
      <c r="DT231" s="2"/>
      <c r="DU231" s="2">
        <v>1010</v>
      </c>
      <c r="DV231" s="2" t="s">
        <v>177</v>
      </c>
      <c r="DW231" s="2" t="s">
        <v>177</v>
      </c>
      <c r="DX231" s="2">
        <v>1</v>
      </c>
      <c r="DY231" s="2"/>
      <c r="DZ231" s="2" t="s">
        <v>3</v>
      </c>
      <c r="EA231" s="2" t="s">
        <v>3</v>
      </c>
      <c r="EB231" s="2" t="s">
        <v>3</v>
      </c>
      <c r="EC231" s="2" t="s">
        <v>3</v>
      </c>
      <c r="ED231" s="2"/>
      <c r="EE231" s="2">
        <v>57042958</v>
      </c>
      <c r="EF231" s="2">
        <v>40</v>
      </c>
      <c r="EG231" s="2" t="s">
        <v>30</v>
      </c>
      <c r="EH231" s="2">
        <v>0</v>
      </c>
      <c r="EI231" s="2" t="s">
        <v>3</v>
      </c>
      <c r="EJ231" s="2">
        <v>2</v>
      </c>
      <c r="EK231" s="2">
        <v>68</v>
      </c>
      <c r="EL231" s="2" t="s">
        <v>38</v>
      </c>
      <c r="EM231" s="2" t="s">
        <v>39</v>
      </c>
      <c r="EN231" s="2"/>
      <c r="EO231" s="2" t="s">
        <v>3</v>
      </c>
      <c r="EP231" s="2"/>
      <c r="EQ231" s="2">
        <v>2097152</v>
      </c>
      <c r="ER231" s="2">
        <v>0</v>
      </c>
      <c r="ES231" s="2">
        <v>93.76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>
        <v>0</v>
      </c>
      <c r="FR231" s="2">
        <f>P231</f>
        <v>1875.2</v>
      </c>
      <c r="FS231" s="2">
        <v>0</v>
      </c>
      <c r="FT231" s="2"/>
      <c r="FU231" s="2"/>
      <c r="FV231" s="2"/>
      <c r="FW231" s="2"/>
      <c r="FX231" s="2">
        <v>90</v>
      </c>
      <c r="FY231" s="2">
        <v>46</v>
      </c>
      <c r="FZ231" s="2"/>
      <c r="GA231" s="2" t="s">
        <v>253</v>
      </c>
      <c r="GB231" s="2"/>
      <c r="GC231" s="2"/>
      <c r="GD231" s="2">
        <v>1</v>
      </c>
      <c r="GE231" s="2"/>
      <c r="GF231" s="2">
        <v>1246427098</v>
      </c>
      <c r="GG231" s="2">
        <v>2</v>
      </c>
      <c r="GH231" s="2">
        <v>4</v>
      </c>
      <c r="GI231" s="2">
        <v>-2</v>
      </c>
      <c r="GJ231" s="2">
        <v>0</v>
      </c>
      <c r="GK231" s="2">
        <v>0</v>
      </c>
      <c r="GL231" s="2">
        <f t="shared" si="161"/>
        <v>0</v>
      </c>
      <c r="GM231" s="2">
        <f t="shared" si="162"/>
        <v>1875.2</v>
      </c>
      <c r="GN231" s="2">
        <f t="shared" si="163"/>
        <v>0</v>
      </c>
      <c r="GO231" s="2">
        <f t="shared" si="164"/>
        <v>0</v>
      </c>
      <c r="GP231" s="2">
        <f t="shared" si="165"/>
        <v>0</v>
      </c>
      <c r="GQ231" s="2"/>
      <c r="GR231" s="2">
        <v>0</v>
      </c>
      <c r="GS231" s="2">
        <v>2</v>
      </c>
      <c r="GT231" s="2">
        <v>0</v>
      </c>
      <c r="GU231" s="2" t="s">
        <v>3</v>
      </c>
      <c r="GV231" s="2">
        <f t="shared" si="166"/>
        <v>0</v>
      </c>
      <c r="GW231" s="2">
        <v>1</v>
      </c>
      <c r="GX231" s="2">
        <f t="shared" si="167"/>
        <v>0</v>
      </c>
      <c r="GY231" s="2"/>
      <c r="GZ231" s="2"/>
      <c r="HA231" s="2">
        <v>0</v>
      </c>
      <c r="HB231" s="2">
        <v>0</v>
      </c>
      <c r="HC231" s="2">
        <f t="shared" si="168"/>
        <v>0</v>
      </c>
      <c r="HD231" s="2"/>
      <c r="HE231" s="2" t="s">
        <v>40</v>
      </c>
      <c r="HF231" s="2" t="s">
        <v>182</v>
      </c>
      <c r="HG231" s="2"/>
      <c r="HH231" s="2"/>
      <c r="HI231" s="2"/>
      <c r="HJ231" s="2"/>
      <c r="HK231" s="2"/>
      <c r="HL231" s="2"/>
      <c r="HM231" s="2" t="s">
        <v>3</v>
      </c>
      <c r="HN231" s="2" t="s">
        <v>3</v>
      </c>
      <c r="HO231" s="2" t="s">
        <v>3</v>
      </c>
      <c r="HP231" s="2" t="s">
        <v>3</v>
      </c>
      <c r="HQ231" s="2" t="s">
        <v>3</v>
      </c>
      <c r="HR231" s="2"/>
      <c r="HS231" s="2">
        <v>0</v>
      </c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>
        <v>0</v>
      </c>
      <c r="IL231" s="2"/>
      <c r="IM231" s="2"/>
      <c r="IN231" s="2"/>
      <c r="IO231" s="2"/>
      <c r="IP231" s="2"/>
      <c r="IQ231" s="2"/>
      <c r="IR231" s="2"/>
      <c r="IS231" s="2"/>
      <c r="IT231" s="2"/>
      <c r="IU231" s="2"/>
    </row>
    <row r="232" spans="1:255" x14ac:dyDescent="0.25">
      <c r="A232" s="3">
        <v>17</v>
      </c>
      <c r="B232" s="3">
        <v>1</v>
      </c>
      <c r="E232" s="3" t="s">
        <v>250</v>
      </c>
      <c r="F232" s="3" t="s">
        <v>251</v>
      </c>
      <c r="G232" s="3" t="s">
        <v>252</v>
      </c>
      <c r="H232" s="3" t="s">
        <v>177</v>
      </c>
      <c r="I232" s="3">
        <v>20</v>
      </c>
      <c r="J232" s="3">
        <v>0</v>
      </c>
      <c r="K232" s="3">
        <v>20</v>
      </c>
      <c r="O232" s="3">
        <f t="shared" si="146"/>
        <v>14195.26</v>
      </c>
      <c r="P232" s="3">
        <f t="shared" si="177"/>
        <v>14195.26</v>
      </c>
      <c r="Q232" s="3">
        <f>(ROUND((ROUND(((ET232)*AV232*I232),2)*BB232),2)+ROUND((ROUND(((AE232-(EU232))*AV232*I232),2)*BS232),2))</f>
        <v>0</v>
      </c>
      <c r="R232" s="3">
        <f>(ROUND((ROUND(((EU232)*AV232*I232),2)*BS232),2)+ROUND((ROUND(((AE232-(EU232))*AV232*I232),2)*BS232),2))</f>
        <v>0</v>
      </c>
      <c r="S232" s="3">
        <f t="shared" si="147"/>
        <v>0</v>
      </c>
      <c r="T232" s="3">
        <f t="shared" si="148"/>
        <v>0</v>
      </c>
      <c r="U232" s="3">
        <f t="shared" si="149"/>
        <v>0</v>
      </c>
      <c r="V232" s="3">
        <f t="shared" si="150"/>
        <v>0</v>
      </c>
      <c r="W232" s="3">
        <f t="shared" si="151"/>
        <v>0</v>
      </c>
      <c r="X232" s="3">
        <f>(ROUND((((S232+ROUND((ROUND(((EU232)*AV232*I232),2)*BS232),2))*AT232)/100),2)+ROUND(((ROUND((ROUND(((AE232-(EU232))*AV232*I232),2)*BS232),2)*AT232)/100),2))</f>
        <v>0</v>
      </c>
      <c r="Y232" s="3">
        <f>(ROUND((((S232+ROUND((ROUND(((EU232)*AV232*I232),2)*BS232),2))*AU232)/100),2)+ROUND(((ROUND((ROUND(((AE232-(EU232))*AV232*I232),2)*BS232),2)*AU232)/100),2))</f>
        <v>0</v>
      </c>
      <c r="AA232" s="3">
        <v>57034454</v>
      </c>
      <c r="AB232" s="3">
        <f t="shared" si="152"/>
        <v>93.76</v>
      </c>
      <c r="AC232" s="3">
        <f>ROUND((ES232),6)</f>
        <v>93.76</v>
      </c>
      <c r="AD232" s="3">
        <f>ROUND((((ET232)-(EU232))+AE232),6)</f>
        <v>0</v>
      </c>
      <c r="AE232" s="3">
        <f t="shared" si="179"/>
        <v>0</v>
      </c>
      <c r="AF232" s="3">
        <f t="shared" si="179"/>
        <v>0</v>
      </c>
      <c r="AG232" s="3">
        <f t="shared" si="153"/>
        <v>0</v>
      </c>
      <c r="AH232" s="3">
        <f t="shared" si="180"/>
        <v>0</v>
      </c>
      <c r="AI232" s="3">
        <f t="shared" si="180"/>
        <v>0</v>
      </c>
      <c r="AJ232" s="3">
        <f t="shared" si="154"/>
        <v>0</v>
      </c>
      <c r="AK232" s="3">
        <v>93.76</v>
      </c>
      <c r="AL232" s="3">
        <v>93.76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90</v>
      </c>
      <c r="AU232" s="3">
        <v>46</v>
      </c>
      <c r="AV232" s="3">
        <v>1</v>
      </c>
      <c r="AW232" s="3">
        <v>1</v>
      </c>
      <c r="AZ232" s="3">
        <v>1</v>
      </c>
      <c r="BA232" s="3">
        <v>1</v>
      </c>
      <c r="BB232" s="3">
        <v>1</v>
      </c>
      <c r="BC232" s="3">
        <v>7.57</v>
      </c>
      <c r="BD232" s="3" t="s">
        <v>3</v>
      </c>
      <c r="BE232" s="3" t="s">
        <v>3</v>
      </c>
      <c r="BF232" s="3" t="s">
        <v>3</v>
      </c>
      <c r="BG232" s="3" t="s">
        <v>3</v>
      </c>
      <c r="BH232" s="3">
        <v>3</v>
      </c>
      <c r="BI232" s="3">
        <v>3</v>
      </c>
      <c r="BJ232" s="3" t="s">
        <v>3</v>
      </c>
      <c r="BM232" s="3">
        <v>68</v>
      </c>
      <c r="BN232" s="3">
        <v>0</v>
      </c>
      <c r="BO232" s="3" t="s">
        <v>3</v>
      </c>
      <c r="BP232" s="3">
        <v>0</v>
      </c>
      <c r="BQ232" s="3">
        <v>40</v>
      </c>
      <c r="BR232" s="3">
        <v>0</v>
      </c>
      <c r="BS232" s="3">
        <v>1</v>
      </c>
      <c r="BT232" s="3">
        <v>1</v>
      </c>
      <c r="BU232" s="3">
        <v>1</v>
      </c>
      <c r="BV232" s="3">
        <v>1</v>
      </c>
      <c r="BW232" s="3">
        <v>1</v>
      </c>
      <c r="BX232" s="3">
        <v>1</v>
      </c>
      <c r="BY232" s="3" t="s">
        <v>3</v>
      </c>
      <c r="BZ232" s="3">
        <v>90</v>
      </c>
      <c r="CA232" s="3">
        <v>46</v>
      </c>
      <c r="CB232" s="3" t="s">
        <v>3</v>
      </c>
      <c r="CE232" s="3">
        <v>1566</v>
      </c>
      <c r="CF232" s="3">
        <v>0</v>
      </c>
      <c r="CG232" s="3">
        <v>0</v>
      </c>
      <c r="CM232" s="3">
        <v>0</v>
      </c>
      <c r="CN232" s="3" t="s">
        <v>3</v>
      </c>
      <c r="CO232" s="3">
        <v>0</v>
      </c>
      <c r="CP232" s="3">
        <f t="shared" si="155"/>
        <v>14195.26</v>
      </c>
      <c r="CQ232" s="3">
        <f t="shared" si="178"/>
        <v>709.76</v>
      </c>
      <c r="CR232" s="3">
        <f>(ROUND((ROUND(((ET232)*AV232*1),2)*BB232),2)+ROUND((ROUND(((AE232-(EU232))*AV232*1),2)*BS232),2))</f>
        <v>0</v>
      </c>
      <c r="CS232" s="3">
        <f>(ROUND((ROUND(((EU232)*AV232*1),2)*BS232),2)+ROUND((ROUND(((AE232-(EU232))*AV232*1),2)*BS232),2))</f>
        <v>0</v>
      </c>
      <c r="CT232" s="3">
        <f t="shared" si="156"/>
        <v>0</v>
      </c>
      <c r="CU232" s="3">
        <f t="shared" si="157"/>
        <v>0</v>
      </c>
      <c r="CV232" s="3">
        <f t="shared" si="158"/>
        <v>0</v>
      </c>
      <c r="CW232" s="3">
        <f t="shared" si="159"/>
        <v>0</v>
      </c>
      <c r="CX232" s="3">
        <f t="shared" si="160"/>
        <v>0</v>
      </c>
      <c r="CY232" s="3">
        <f>(ROUND((((S232+ROUND((ROUND(((EU232)*AV232*1),2)*BS232),2))*AT232)/100),2)+ROUND(((ROUND((ROUND(((AE232-(EU232))*AV232*1),2)*BS232),2)*AT232)/100),2))</f>
        <v>0</v>
      </c>
      <c r="CZ232" s="3">
        <f>(ROUND((((S232+ROUND((ROUND(((EU232)*AV232*1),2)*BS232),2))*AU232)/100),2)+ROUND(((ROUND((ROUND(((AE232-(EU232))*AV232*1),2)*BS232),2)*AU232)/100),2))</f>
        <v>0</v>
      </c>
      <c r="DC232" s="3" t="s">
        <v>3</v>
      </c>
      <c r="DD232" s="3" t="s">
        <v>3</v>
      </c>
      <c r="DE232" s="3" t="s">
        <v>3</v>
      </c>
      <c r="DF232" s="3" t="s">
        <v>3</v>
      </c>
      <c r="DG232" s="3" t="s">
        <v>3</v>
      </c>
      <c r="DH232" s="3" t="s">
        <v>3</v>
      </c>
      <c r="DI232" s="3" t="s">
        <v>3</v>
      </c>
      <c r="DJ232" s="3" t="s">
        <v>3</v>
      </c>
      <c r="DK232" s="3" t="s">
        <v>3</v>
      </c>
      <c r="DL232" s="3" t="s">
        <v>3</v>
      </c>
      <c r="DM232" s="3" t="s">
        <v>3</v>
      </c>
      <c r="DN232" s="3">
        <v>0</v>
      </c>
      <c r="DO232" s="3">
        <v>0</v>
      </c>
      <c r="DP232" s="3">
        <v>1</v>
      </c>
      <c r="DQ232" s="3">
        <v>1</v>
      </c>
      <c r="DU232" s="3">
        <v>1010</v>
      </c>
      <c r="DV232" s="3" t="s">
        <v>177</v>
      </c>
      <c r="DW232" s="3" t="s">
        <v>177</v>
      </c>
      <c r="DX232" s="3">
        <v>1</v>
      </c>
      <c r="DZ232" s="3" t="s">
        <v>3</v>
      </c>
      <c r="EA232" s="3" t="s">
        <v>3</v>
      </c>
      <c r="EB232" s="3" t="s">
        <v>3</v>
      </c>
      <c r="EC232" s="3" t="s">
        <v>3</v>
      </c>
      <c r="EE232" s="3">
        <v>57042958</v>
      </c>
      <c r="EF232" s="3">
        <v>40</v>
      </c>
      <c r="EG232" s="3" t="s">
        <v>30</v>
      </c>
      <c r="EH232" s="3">
        <v>0</v>
      </c>
      <c r="EI232" s="3" t="s">
        <v>3</v>
      </c>
      <c r="EJ232" s="3">
        <v>2</v>
      </c>
      <c r="EK232" s="3">
        <v>68</v>
      </c>
      <c r="EL232" s="3" t="s">
        <v>38</v>
      </c>
      <c r="EM232" s="3" t="s">
        <v>39</v>
      </c>
      <c r="EO232" s="3" t="s">
        <v>3</v>
      </c>
      <c r="EQ232" s="3">
        <v>2097152</v>
      </c>
      <c r="ER232" s="3">
        <v>93.76</v>
      </c>
      <c r="ES232" s="3">
        <v>93.76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5</v>
      </c>
      <c r="FC232" s="3">
        <v>1</v>
      </c>
      <c r="FD232" s="3">
        <v>18</v>
      </c>
      <c r="FF232" s="3">
        <v>830.7</v>
      </c>
      <c r="FQ232" s="3">
        <v>0</v>
      </c>
      <c r="FR232" s="3">
        <f>P232</f>
        <v>14195.26</v>
      </c>
      <c r="FS232" s="3">
        <v>0</v>
      </c>
      <c r="FX232" s="3">
        <v>90</v>
      </c>
      <c r="FY232" s="3">
        <v>46</v>
      </c>
      <c r="GA232" s="3" t="s">
        <v>253</v>
      </c>
      <c r="GD232" s="3">
        <v>1</v>
      </c>
      <c r="GF232" s="3">
        <v>1246427098</v>
      </c>
      <c r="GG232" s="3">
        <v>2</v>
      </c>
      <c r="GH232" s="3">
        <v>3</v>
      </c>
      <c r="GI232" s="3">
        <v>5</v>
      </c>
      <c r="GJ232" s="3">
        <v>0</v>
      </c>
      <c r="GK232" s="3">
        <v>0</v>
      </c>
      <c r="GL232" s="3">
        <f t="shared" si="161"/>
        <v>0</v>
      </c>
      <c r="GM232" s="3">
        <f t="shared" si="162"/>
        <v>14195.26</v>
      </c>
      <c r="GN232" s="3">
        <f t="shared" si="163"/>
        <v>0</v>
      </c>
      <c r="GO232" s="3">
        <f t="shared" si="164"/>
        <v>0</v>
      </c>
      <c r="GP232" s="3">
        <f t="shared" si="165"/>
        <v>0</v>
      </c>
      <c r="GR232" s="3">
        <v>1</v>
      </c>
      <c r="GS232" s="3">
        <v>1</v>
      </c>
      <c r="GT232" s="3">
        <v>0</v>
      </c>
      <c r="GU232" s="3" t="s">
        <v>3</v>
      </c>
      <c r="GV232" s="3">
        <f t="shared" si="166"/>
        <v>0</v>
      </c>
      <c r="GW232" s="3">
        <v>1</v>
      </c>
      <c r="GX232" s="3">
        <f t="shared" si="167"/>
        <v>0</v>
      </c>
      <c r="HA232" s="3">
        <v>0</v>
      </c>
      <c r="HB232" s="3">
        <v>0</v>
      </c>
      <c r="HC232" s="3">
        <f t="shared" si="168"/>
        <v>0</v>
      </c>
      <c r="HE232" s="3" t="s">
        <v>40</v>
      </c>
      <c r="HF232" s="3" t="s">
        <v>182</v>
      </c>
      <c r="HM232" s="3" t="s">
        <v>3</v>
      </c>
      <c r="HN232" s="3" t="s">
        <v>3</v>
      </c>
      <c r="HO232" s="3" t="s">
        <v>3</v>
      </c>
      <c r="HP232" s="3" t="s">
        <v>3</v>
      </c>
      <c r="HQ232" s="3" t="s">
        <v>3</v>
      </c>
      <c r="HS232" s="3">
        <v>0</v>
      </c>
      <c r="IK232" s="3">
        <v>0</v>
      </c>
    </row>
    <row r="233" spans="1:255" x14ac:dyDescent="0.25">
      <c r="A233" s="2">
        <v>17</v>
      </c>
      <c r="B233" s="2">
        <v>1</v>
      </c>
      <c r="C233" s="2"/>
      <c r="D233" s="2"/>
      <c r="E233" s="2" t="s">
        <v>254</v>
      </c>
      <c r="F233" s="2" t="s">
        <v>255</v>
      </c>
      <c r="G233" s="2" t="s">
        <v>256</v>
      </c>
      <c r="H233" s="2" t="s">
        <v>177</v>
      </c>
      <c r="I233" s="2">
        <v>84</v>
      </c>
      <c r="J233" s="2">
        <v>0</v>
      </c>
      <c r="K233" s="2">
        <v>84</v>
      </c>
      <c r="L233" s="2"/>
      <c r="M233" s="2"/>
      <c r="N233" s="2"/>
      <c r="O233" s="2">
        <f t="shared" si="146"/>
        <v>5545.68</v>
      </c>
      <c r="P233" s="2">
        <f t="shared" si="177"/>
        <v>5545.68</v>
      </c>
      <c r="Q233" s="2">
        <f>(ROUND((ROUND(((ET233)*AV233*I233),2)*BB233),2)+ROUND((ROUND(((AE233-(EU233))*AV233*I233),2)*BS233),2))</f>
        <v>0</v>
      </c>
      <c r="R233" s="2">
        <f>(ROUND((ROUND(((EU233)*AV233*I233),2)*BS233),2)+ROUND((ROUND(((AE233-(EU233))*AV233*I233),2)*BS233),2))</f>
        <v>0</v>
      </c>
      <c r="S233" s="2">
        <f t="shared" si="147"/>
        <v>0</v>
      </c>
      <c r="T233" s="2">
        <f t="shared" si="148"/>
        <v>0</v>
      </c>
      <c r="U233" s="2">
        <f t="shared" si="149"/>
        <v>0</v>
      </c>
      <c r="V233" s="2">
        <f t="shared" si="150"/>
        <v>0</v>
      </c>
      <c r="W233" s="2">
        <f t="shared" si="151"/>
        <v>0</v>
      </c>
      <c r="X233" s="2">
        <f>(ROUND((((S233+ROUND((ROUND(((EU233)*AV233*I233),2)*BS233),2))*AT233)/100),2)+ROUND(((ROUND((ROUND(((AE233-(EU233))*AV233*I233),2)*BS233),2)*AT233)/100),2))</f>
        <v>0</v>
      </c>
      <c r="Y233" s="2">
        <f>(ROUND((((S233+ROUND((ROUND(((EU233)*AV233*I233),2)*BS233),2))*AU233)/100),2)+ROUND(((ROUND((ROUND(((AE233-(EU233))*AV233*I233),2)*BS233),2)*AU233)/100),2))</f>
        <v>0</v>
      </c>
      <c r="Z233" s="2"/>
      <c r="AA233" s="2">
        <v>57034452</v>
      </c>
      <c r="AB233" s="2">
        <f t="shared" si="152"/>
        <v>66.02</v>
      </c>
      <c r="AC233" s="2">
        <f>ROUND((ES233),6)</f>
        <v>66.02</v>
      </c>
      <c r="AD233" s="2">
        <f>ROUND((((ET233)-(EU233))+AE233),6)</f>
        <v>0</v>
      </c>
      <c r="AE233" s="2">
        <f t="shared" si="179"/>
        <v>0</v>
      </c>
      <c r="AF233" s="2">
        <f t="shared" si="179"/>
        <v>0</v>
      </c>
      <c r="AG233" s="2">
        <f t="shared" si="153"/>
        <v>0</v>
      </c>
      <c r="AH233" s="2">
        <f t="shared" si="180"/>
        <v>0</v>
      </c>
      <c r="AI233" s="2">
        <f t="shared" si="180"/>
        <v>0</v>
      </c>
      <c r="AJ233" s="2">
        <f t="shared" si="154"/>
        <v>0</v>
      </c>
      <c r="AK233" s="2">
        <v>66.02000000000001</v>
      </c>
      <c r="AL233" s="2">
        <v>66.02000000000001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90</v>
      </c>
      <c r="AU233" s="2">
        <v>46</v>
      </c>
      <c r="AV233" s="2">
        <v>1</v>
      </c>
      <c r="AW233" s="2">
        <v>1</v>
      </c>
      <c r="AX233" s="2"/>
      <c r="AY233" s="2"/>
      <c r="AZ233" s="2">
        <v>1</v>
      </c>
      <c r="BA233" s="2">
        <v>1</v>
      </c>
      <c r="BB233" s="2">
        <v>1</v>
      </c>
      <c r="BC233" s="2">
        <v>1</v>
      </c>
      <c r="BD233" s="2" t="s">
        <v>3</v>
      </c>
      <c r="BE233" s="2" t="s">
        <v>3</v>
      </c>
      <c r="BF233" s="2" t="s">
        <v>3</v>
      </c>
      <c r="BG233" s="2" t="s">
        <v>3</v>
      </c>
      <c r="BH233" s="2">
        <v>3</v>
      </c>
      <c r="BI233" s="2">
        <v>3</v>
      </c>
      <c r="BJ233" s="2" t="s">
        <v>3</v>
      </c>
      <c r="BK233" s="2"/>
      <c r="BL233" s="2"/>
      <c r="BM233" s="2">
        <v>68</v>
      </c>
      <c r="BN233" s="2">
        <v>0</v>
      </c>
      <c r="BO233" s="2" t="s">
        <v>3</v>
      </c>
      <c r="BP233" s="2">
        <v>0</v>
      </c>
      <c r="BQ233" s="2">
        <v>40</v>
      </c>
      <c r="BR233" s="2">
        <v>0</v>
      </c>
      <c r="BS233" s="2">
        <v>1</v>
      </c>
      <c r="BT233" s="2">
        <v>1</v>
      </c>
      <c r="BU233" s="2">
        <v>1</v>
      </c>
      <c r="BV233" s="2">
        <v>1</v>
      </c>
      <c r="BW233" s="2">
        <v>1</v>
      </c>
      <c r="BX233" s="2">
        <v>1</v>
      </c>
      <c r="BY233" s="2" t="s">
        <v>3</v>
      </c>
      <c r="BZ233" s="2">
        <v>90</v>
      </c>
      <c r="CA233" s="2">
        <v>46</v>
      </c>
      <c r="CB233" s="2" t="s">
        <v>3</v>
      </c>
      <c r="CC233" s="2"/>
      <c r="CD233" s="2"/>
      <c r="CE233" s="2">
        <v>1566</v>
      </c>
      <c r="CF233" s="2">
        <v>0</v>
      </c>
      <c r="CG233" s="2">
        <v>0</v>
      </c>
      <c r="CH233" s="2"/>
      <c r="CI233" s="2"/>
      <c r="CJ233" s="2"/>
      <c r="CK233" s="2"/>
      <c r="CL233" s="2"/>
      <c r="CM233" s="2">
        <v>0</v>
      </c>
      <c r="CN233" s="2" t="s">
        <v>3</v>
      </c>
      <c r="CO233" s="2">
        <v>0</v>
      </c>
      <c r="CP233" s="2">
        <f t="shared" si="155"/>
        <v>5545.68</v>
      </c>
      <c r="CQ233" s="2">
        <f t="shared" si="178"/>
        <v>66.02</v>
      </c>
      <c r="CR233" s="2">
        <f>(ROUND((ROUND(((ET233)*AV233*1),2)*BB233),2)+ROUND((ROUND(((AE233-(EU233))*AV233*1),2)*BS233),2))</f>
        <v>0</v>
      </c>
      <c r="CS233" s="2">
        <f>(ROUND((ROUND(((EU233)*AV233*1),2)*BS233),2)+ROUND((ROUND(((AE233-(EU233))*AV233*1),2)*BS233),2))</f>
        <v>0</v>
      </c>
      <c r="CT233" s="2">
        <f t="shared" si="156"/>
        <v>0</v>
      </c>
      <c r="CU233" s="2">
        <f t="shared" si="157"/>
        <v>0</v>
      </c>
      <c r="CV233" s="2">
        <f t="shared" si="158"/>
        <v>0</v>
      </c>
      <c r="CW233" s="2">
        <f t="shared" si="159"/>
        <v>0</v>
      </c>
      <c r="CX233" s="2">
        <f t="shared" si="160"/>
        <v>0</v>
      </c>
      <c r="CY233" s="2">
        <f>(ROUND((((S233+ROUND((ROUND(((EU233)*AV233*1),2)*BS233),2))*AT233)/100),2)+ROUND(((ROUND((ROUND(((AE233-(EU233))*AV233*1),2)*BS233),2)*AT233)/100),2))</f>
        <v>0</v>
      </c>
      <c r="CZ233" s="2">
        <f>(ROUND((((S233+ROUND((ROUND(((EU233)*AV233*1),2)*BS233),2))*AU233)/100),2)+ROUND(((ROUND((ROUND(((AE233-(EU233))*AV233*1),2)*BS233),2)*AU233)/100),2))</f>
        <v>0</v>
      </c>
      <c r="DA233" s="2"/>
      <c r="DB233" s="2"/>
      <c r="DC233" s="2" t="s">
        <v>3</v>
      </c>
      <c r="DD233" s="2" t="s">
        <v>3</v>
      </c>
      <c r="DE233" s="2" t="s">
        <v>3</v>
      </c>
      <c r="DF233" s="2" t="s">
        <v>3</v>
      </c>
      <c r="DG233" s="2" t="s">
        <v>3</v>
      </c>
      <c r="DH233" s="2" t="s">
        <v>3</v>
      </c>
      <c r="DI233" s="2" t="s">
        <v>3</v>
      </c>
      <c r="DJ233" s="2" t="s">
        <v>3</v>
      </c>
      <c r="DK233" s="2" t="s">
        <v>3</v>
      </c>
      <c r="DL233" s="2" t="s">
        <v>3</v>
      </c>
      <c r="DM233" s="2" t="s">
        <v>3</v>
      </c>
      <c r="DN233" s="2">
        <v>0</v>
      </c>
      <c r="DO233" s="2">
        <v>0</v>
      </c>
      <c r="DP233" s="2">
        <v>1</v>
      </c>
      <c r="DQ233" s="2">
        <v>1</v>
      </c>
      <c r="DR233" s="2"/>
      <c r="DS233" s="2"/>
      <c r="DT233" s="2"/>
      <c r="DU233" s="2">
        <v>1010</v>
      </c>
      <c r="DV233" s="2" t="s">
        <v>177</v>
      </c>
      <c r="DW233" s="2" t="s">
        <v>177</v>
      </c>
      <c r="DX233" s="2">
        <v>1</v>
      </c>
      <c r="DY233" s="2"/>
      <c r="DZ233" s="2" t="s">
        <v>3</v>
      </c>
      <c r="EA233" s="2" t="s">
        <v>3</v>
      </c>
      <c r="EB233" s="2" t="s">
        <v>3</v>
      </c>
      <c r="EC233" s="2" t="s">
        <v>3</v>
      </c>
      <c r="ED233" s="2"/>
      <c r="EE233" s="2">
        <v>57042958</v>
      </c>
      <c r="EF233" s="2">
        <v>40</v>
      </c>
      <c r="EG233" s="2" t="s">
        <v>30</v>
      </c>
      <c r="EH233" s="2">
        <v>0</v>
      </c>
      <c r="EI233" s="2" t="s">
        <v>3</v>
      </c>
      <c r="EJ233" s="2">
        <v>2</v>
      </c>
      <c r="EK233" s="2">
        <v>68</v>
      </c>
      <c r="EL233" s="2" t="s">
        <v>38</v>
      </c>
      <c r="EM233" s="2" t="s">
        <v>39</v>
      </c>
      <c r="EN233" s="2"/>
      <c r="EO233" s="2" t="s">
        <v>3</v>
      </c>
      <c r="EP233" s="2"/>
      <c r="EQ233" s="2">
        <v>2097152</v>
      </c>
      <c r="ER233" s="2">
        <v>0</v>
      </c>
      <c r="ES233" s="2">
        <v>66.02000000000001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>
        <v>0</v>
      </c>
      <c r="FR233" s="2">
        <f>P233</f>
        <v>5545.68</v>
      </c>
      <c r="FS233" s="2">
        <v>0</v>
      </c>
      <c r="FT233" s="2"/>
      <c r="FU233" s="2"/>
      <c r="FV233" s="2"/>
      <c r="FW233" s="2"/>
      <c r="FX233" s="2">
        <v>90</v>
      </c>
      <c r="FY233" s="2">
        <v>46</v>
      </c>
      <c r="FZ233" s="2"/>
      <c r="GA233" s="2" t="s">
        <v>257</v>
      </c>
      <c r="GB233" s="2"/>
      <c r="GC233" s="2"/>
      <c r="GD233" s="2">
        <v>1</v>
      </c>
      <c r="GE233" s="2"/>
      <c r="GF233" s="2">
        <v>-1692176936</v>
      </c>
      <c r="GG233" s="2">
        <v>2</v>
      </c>
      <c r="GH233" s="2">
        <v>4</v>
      </c>
      <c r="GI233" s="2">
        <v>-2</v>
      </c>
      <c r="GJ233" s="2">
        <v>0</v>
      </c>
      <c r="GK233" s="2">
        <v>0</v>
      </c>
      <c r="GL233" s="2">
        <f t="shared" si="161"/>
        <v>0</v>
      </c>
      <c r="GM233" s="2">
        <f t="shared" si="162"/>
        <v>5545.68</v>
      </c>
      <c r="GN233" s="2">
        <f t="shared" si="163"/>
        <v>0</v>
      </c>
      <c r="GO233" s="2">
        <f t="shared" si="164"/>
        <v>0</v>
      </c>
      <c r="GP233" s="2">
        <f t="shared" si="165"/>
        <v>0</v>
      </c>
      <c r="GQ233" s="2"/>
      <c r="GR233" s="2">
        <v>0</v>
      </c>
      <c r="GS233" s="2">
        <v>2</v>
      </c>
      <c r="GT233" s="2">
        <v>0</v>
      </c>
      <c r="GU233" s="2" t="s">
        <v>3</v>
      </c>
      <c r="GV233" s="2">
        <f t="shared" si="166"/>
        <v>0</v>
      </c>
      <c r="GW233" s="2">
        <v>1</v>
      </c>
      <c r="GX233" s="2">
        <f t="shared" si="167"/>
        <v>0</v>
      </c>
      <c r="GY233" s="2"/>
      <c r="GZ233" s="2"/>
      <c r="HA233" s="2">
        <v>0</v>
      </c>
      <c r="HB233" s="2">
        <v>0</v>
      </c>
      <c r="HC233" s="2">
        <f t="shared" si="168"/>
        <v>0</v>
      </c>
      <c r="HD233" s="2"/>
      <c r="HE233" s="2" t="s">
        <v>40</v>
      </c>
      <c r="HF233" s="2" t="s">
        <v>182</v>
      </c>
      <c r="HG233" s="2"/>
      <c r="HH233" s="2"/>
      <c r="HI233" s="2"/>
      <c r="HJ233" s="2"/>
      <c r="HK233" s="2"/>
      <c r="HL233" s="2"/>
      <c r="HM233" s="2" t="s">
        <v>3</v>
      </c>
      <c r="HN233" s="2" t="s">
        <v>3</v>
      </c>
      <c r="HO233" s="2" t="s">
        <v>3</v>
      </c>
      <c r="HP233" s="2" t="s">
        <v>3</v>
      </c>
      <c r="HQ233" s="2" t="s">
        <v>3</v>
      </c>
      <c r="HR233" s="2"/>
      <c r="HS233" s="2">
        <v>0</v>
      </c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>
        <v>0</v>
      </c>
      <c r="IL233" s="2"/>
      <c r="IM233" s="2"/>
      <c r="IN233" s="2"/>
      <c r="IO233" s="2"/>
      <c r="IP233" s="2"/>
      <c r="IQ233" s="2"/>
      <c r="IR233" s="2"/>
      <c r="IS233" s="2"/>
      <c r="IT233" s="2"/>
      <c r="IU233" s="2"/>
    </row>
    <row r="234" spans="1:255" x14ac:dyDescent="0.25">
      <c r="A234" s="3">
        <v>17</v>
      </c>
      <c r="B234" s="3">
        <v>1</v>
      </c>
      <c r="E234" s="3" t="s">
        <v>254</v>
      </c>
      <c r="F234" s="3" t="s">
        <v>255</v>
      </c>
      <c r="G234" s="3" t="s">
        <v>256</v>
      </c>
      <c r="H234" s="3" t="s">
        <v>177</v>
      </c>
      <c r="I234" s="3">
        <v>84</v>
      </c>
      <c r="J234" s="3">
        <v>0</v>
      </c>
      <c r="K234" s="3">
        <v>84</v>
      </c>
      <c r="O234" s="3">
        <f t="shared" si="146"/>
        <v>41980.800000000003</v>
      </c>
      <c r="P234" s="3">
        <f t="shared" si="177"/>
        <v>41980.800000000003</v>
      </c>
      <c r="Q234" s="3">
        <f>(ROUND((ROUND(((ET234)*AV234*I234),2)*BB234),2)+ROUND((ROUND(((AE234-(EU234))*AV234*I234),2)*BS234),2))</f>
        <v>0</v>
      </c>
      <c r="R234" s="3">
        <f>(ROUND((ROUND(((EU234)*AV234*I234),2)*BS234),2)+ROUND((ROUND(((AE234-(EU234))*AV234*I234),2)*BS234),2))</f>
        <v>0</v>
      </c>
      <c r="S234" s="3">
        <f t="shared" si="147"/>
        <v>0</v>
      </c>
      <c r="T234" s="3">
        <f t="shared" si="148"/>
        <v>0</v>
      </c>
      <c r="U234" s="3">
        <f t="shared" si="149"/>
        <v>0</v>
      </c>
      <c r="V234" s="3">
        <f t="shared" si="150"/>
        <v>0</v>
      </c>
      <c r="W234" s="3">
        <f t="shared" si="151"/>
        <v>0</v>
      </c>
      <c r="X234" s="3">
        <f>(ROUND((((S234+ROUND((ROUND(((EU234)*AV234*I234),2)*BS234),2))*AT234)/100),2)+ROUND(((ROUND((ROUND(((AE234-(EU234))*AV234*I234),2)*BS234),2)*AT234)/100),2))</f>
        <v>0</v>
      </c>
      <c r="Y234" s="3">
        <f>(ROUND((((S234+ROUND((ROUND(((EU234)*AV234*I234),2)*BS234),2))*AU234)/100),2)+ROUND(((ROUND((ROUND(((AE234-(EU234))*AV234*I234),2)*BS234),2)*AU234)/100),2))</f>
        <v>0</v>
      </c>
      <c r="AA234" s="3">
        <v>57034454</v>
      </c>
      <c r="AB234" s="3">
        <f t="shared" si="152"/>
        <v>66.02</v>
      </c>
      <c r="AC234" s="3">
        <f>ROUND((ES234),6)</f>
        <v>66.02</v>
      </c>
      <c r="AD234" s="3">
        <f>ROUND((((ET234)-(EU234))+AE234),6)</f>
        <v>0</v>
      </c>
      <c r="AE234" s="3">
        <f t="shared" si="179"/>
        <v>0</v>
      </c>
      <c r="AF234" s="3">
        <f t="shared" si="179"/>
        <v>0</v>
      </c>
      <c r="AG234" s="3">
        <f t="shared" si="153"/>
        <v>0</v>
      </c>
      <c r="AH234" s="3">
        <f t="shared" si="180"/>
        <v>0</v>
      </c>
      <c r="AI234" s="3">
        <f t="shared" si="180"/>
        <v>0</v>
      </c>
      <c r="AJ234" s="3">
        <f t="shared" si="154"/>
        <v>0</v>
      </c>
      <c r="AK234" s="3">
        <v>66.02000000000001</v>
      </c>
      <c r="AL234" s="3">
        <v>66.02000000000001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90</v>
      </c>
      <c r="AU234" s="3">
        <v>46</v>
      </c>
      <c r="AV234" s="3">
        <v>1</v>
      </c>
      <c r="AW234" s="3">
        <v>1</v>
      </c>
      <c r="AZ234" s="3">
        <v>1</v>
      </c>
      <c r="BA234" s="3">
        <v>1</v>
      </c>
      <c r="BB234" s="3">
        <v>1</v>
      </c>
      <c r="BC234" s="3">
        <v>7.57</v>
      </c>
      <c r="BD234" s="3" t="s">
        <v>3</v>
      </c>
      <c r="BE234" s="3" t="s">
        <v>3</v>
      </c>
      <c r="BF234" s="3" t="s">
        <v>3</v>
      </c>
      <c r="BG234" s="3" t="s">
        <v>3</v>
      </c>
      <c r="BH234" s="3">
        <v>3</v>
      </c>
      <c r="BI234" s="3">
        <v>3</v>
      </c>
      <c r="BJ234" s="3" t="s">
        <v>3</v>
      </c>
      <c r="BM234" s="3">
        <v>68</v>
      </c>
      <c r="BN234" s="3">
        <v>0</v>
      </c>
      <c r="BO234" s="3" t="s">
        <v>3</v>
      </c>
      <c r="BP234" s="3">
        <v>0</v>
      </c>
      <c r="BQ234" s="3">
        <v>40</v>
      </c>
      <c r="BR234" s="3">
        <v>0</v>
      </c>
      <c r="BS234" s="3">
        <v>1</v>
      </c>
      <c r="BT234" s="3">
        <v>1</v>
      </c>
      <c r="BU234" s="3">
        <v>1</v>
      </c>
      <c r="BV234" s="3">
        <v>1</v>
      </c>
      <c r="BW234" s="3">
        <v>1</v>
      </c>
      <c r="BX234" s="3">
        <v>1</v>
      </c>
      <c r="BY234" s="3" t="s">
        <v>3</v>
      </c>
      <c r="BZ234" s="3">
        <v>90</v>
      </c>
      <c r="CA234" s="3">
        <v>46</v>
      </c>
      <c r="CB234" s="3" t="s">
        <v>3</v>
      </c>
      <c r="CE234" s="3">
        <v>1566</v>
      </c>
      <c r="CF234" s="3">
        <v>0</v>
      </c>
      <c r="CG234" s="3">
        <v>0</v>
      </c>
      <c r="CM234" s="3">
        <v>0</v>
      </c>
      <c r="CN234" s="3" t="s">
        <v>3</v>
      </c>
      <c r="CO234" s="3">
        <v>0</v>
      </c>
      <c r="CP234" s="3">
        <f t="shared" si="155"/>
        <v>41980.800000000003</v>
      </c>
      <c r="CQ234" s="3">
        <f t="shared" si="178"/>
        <v>499.77</v>
      </c>
      <c r="CR234" s="3">
        <f>(ROUND((ROUND(((ET234)*AV234*1),2)*BB234),2)+ROUND((ROUND(((AE234-(EU234))*AV234*1),2)*BS234),2))</f>
        <v>0</v>
      </c>
      <c r="CS234" s="3">
        <f>(ROUND((ROUND(((EU234)*AV234*1),2)*BS234),2)+ROUND((ROUND(((AE234-(EU234))*AV234*1),2)*BS234),2))</f>
        <v>0</v>
      </c>
      <c r="CT234" s="3">
        <f t="shared" si="156"/>
        <v>0</v>
      </c>
      <c r="CU234" s="3">
        <f t="shared" si="157"/>
        <v>0</v>
      </c>
      <c r="CV234" s="3">
        <f t="shared" si="158"/>
        <v>0</v>
      </c>
      <c r="CW234" s="3">
        <f t="shared" si="159"/>
        <v>0</v>
      </c>
      <c r="CX234" s="3">
        <f t="shared" si="160"/>
        <v>0</v>
      </c>
      <c r="CY234" s="3">
        <f>(ROUND((((S234+ROUND((ROUND(((EU234)*AV234*1),2)*BS234),2))*AT234)/100),2)+ROUND(((ROUND((ROUND(((AE234-(EU234))*AV234*1),2)*BS234),2)*AT234)/100),2))</f>
        <v>0</v>
      </c>
      <c r="CZ234" s="3">
        <f>(ROUND((((S234+ROUND((ROUND(((EU234)*AV234*1),2)*BS234),2))*AU234)/100),2)+ROUND(((ROUND((ROUND(((AE234-(EU234))*AV234*1),2)*BS234),2)*AU234)/100),2))</f>
        <v>0</v>
      </c>
      <c r="DC234" s="3" t="s">
        <v>3</v>
      </c>
      <c r="DD234" s="3" t="s">
        <v>3</v>
      </c>
      <c r="DE234" s="3" t="s">
        <v>3</v>
      </c>
      <c r="DF234" s="3" t="s">
        <v>3</v>
      </c>
      <c r="DG234" s="3" t="s">
        <v>3</v>
      </c>
      <c r="DH234" s="3" t="s">
        <v>3</v>
      </c>
      <c r="DI234" s="3" t="s">
        <v>3</v>
      </c>
      <c r="DJ234" s="3" t="s">
        <v>3</v>
      </c>
      <c r="DK234" s="3" t="s">
        <v>3</v>
      </c>
      <c r="DL234" s="3" t="s">
        <v>3</v>
      </c>
      <c r="DM234" s="3" t="s">
        <v>3</v>
      </c>
      <c r="DN234" s="3">
        <v>0</v>
      </c>
      <c r="DO234" s="3">
        <v>0</v>
      </c>
      <c r="DP234" s="3">
        <v>1</v>
      </c>
      <c r="DQ234" s="3">
        <v>1</v>
      </c>
      <c r="DU234" s="3">
        <v>1010</v>
      </c>
      <c r="DV234" s="3" t="s">
        <v>177</v>
      </c>
      <c r="DW234" s="3" t="s">
        <v>177</v>
      </c>
      <c r="DX234" s="3">
        <v>1</v>
      </c>
      <c r="DZ234" s="3" t="s">
        <v>3</v>
      </c>
      <c r="EA234" s="3" t="s">
        <v>3</v>
      </c>
      <c r="EB234" s="3" t="s">
        <v>3</v>
      </c>
      <c r="EC234" s="3" t="s">
        <v>3</v>
      </c>
      <c r="EE234" s="3">
        <v>57042958</v>
      </c>
      <c r="EF234" s="3">
        <v>40</v>
      </c>
      <c r="EG234" s="3" t="s">
        <v>30</v>
      </c>
      <c r="EH234" s="3">
        <v>0</v>
      </c>
      <c r="EI234" s="3" t="s">
        <v>3</v>
      </c>
      <c r="EJ234" s="3">
        <v>2</v>
      </c>
      <c r="EK234" s="3">
        <v>68</v>
      </c>
      <c r="EL234" s="3" t="s">
        <v>38</v>
      </c>
      <c r="EM234" s="3" t="s">
        <v>39</v>
      </c>
      <c r="EO234" s="3" t="s">
        <v>3</v>
      </c>
      <c r="EQ234" s="3">
        <v>2097152</v>
      </c>
      <c r="ER234" s="3">
        <v>66.02000000000001</v>
      </c>
      <c r="ES234" s="3">
        <v>66.02000000000001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5</v>
      </c>
      <c r="FC234" s="3">
        <v>1</v>
      </c>
      <c r="FD234" s="3">
        <v>18</v>
      </c>
      <c r="FF234" s="3">
        <v>585</v>
      </c>
      <c r="FQ234" s="3">
        <v>0</v>
      </c>
      <c r="FR234" s="3">
        <f>P234</f>
        <v>41980.800000000003</v>
      </c>
      <c r="FS234" s="3">
        <v>0</v>
      </c>
      <c r="FX234" s="3">
        <v>90</v>
      </c>
      <c r="FY234" s="3">
        <v>46</v>
      </c>
      <c r="GA234" s="3" t="s">
        <v>257</v>
      </c>
      <c r="GD234" s="3">
        <v>1</v>
      </c>
      <c r="GF234" s="3">
        <v>-1692176936</v>
      </c>
      <c r="GG234" s="3">
        <v>2</v>
      </c>
      <c r="GH234" s="3">
        <v>3</v>
      </c>
      <c r="GI234" s="3">
        <v>5</v>
      </c>
      <c r="GJ234" s="3">
        <v>0</v>
      </c>
      <c r="GK234" s="3">
        <v>0</v>
      </c>
      <c r="GL234" s="3">
        <f t="shared" si="161"/>
        <v>0</v>
      </c>
      <c r="GM234" s="3">
        <f t="shared" si="162"/>
        <v>41980.800000000003</v>
      </c>
      <c r="GN234" s="3">
        <f t="shared" si="163"/>
        <v>0</v>
      </c>
      <c r="GO234" s="3">
        <f t="shared" si="164"/>
        <v>0</v>
      </c>
      <c r="GP234" s="3">
        <f t="shared" si="165"/>
        <v>0</v>
      </c>
      <c r="GR234" s="3">
        <v>1</v>
      </c>
      <c r="GS234" s="3">
        <v>1</v>
      </c>
      <c r="GT234" s="3">
        <v>0</v>
      </c>
      <c r="GU234" s="3" t="s">
        <v>3</v>
      </c>
      <c r="GV234" s="3">
        <f t="shared" si="166"/>
        <v>0</v>
      </c>
      <c r="GW234" s="3">
        <v>1</v>
      </c>
      <c r="GX234" s="3">
        <f t="shared" si="167"/>
        <v>0</v>
      </c>
      <c r="HA234" s="3">
        <v>0</v>
      </c>
      <c r="HB234" s="3">
        <v>0</v>
      </c>
      <c r="HC234" s="3">
        <f t="shared" si="168"/>
        <v>0</v>
      </c>
      <c r="HE234" s="3" t="s">
        <v>40</v>
      </c>
      <c r="HF234" s="3" t="s">
        <v>182</v>
      </c>
      <c r="HM234" s="3" t="s">
        <v>3</v>
      </c>
      <c r="HN234" s="3" t="s">
        <v>3</v>
      </c>
      <c r="HO234" s="3" t="s">
        <v>3</v>
      </c>
      <c r="HP234" s="3" t="s">
        <v>3</v>
      </c>
      <c r="HQ234" s="3" t="s">
        <v>3</v>
      </c>
      <c r="HS234" s="3">
        <v>0</v>
      </c>
      <c r="IK234" s="3">
        <v>0</v>
      </c>
    </row>
    <row r="235" spans="1:255" x14ac:dyDescent="0.25">
      <c r="A235" s="2">
        <v>17</v>
      </c>
      <c r="B235" s="2">
        <v>1</v>
      </c>
      <c r="C235" s="2">
        <f>ROW(SmtRes!A178)</f>
        <v>178</v>
      </c>
      <c r="D235" s="2">
        <f>ROW(EtalonRes!A195)</f>
        <v>195</v>
      </c>
      <c r="E235" s="2" t="s">
        <v>258</v>
      </c>
      <c r="F235" s="2" t="s">
        <v>67</v>
      </c>
      <c r="G235" s="2" t="s">
        <v>259</v>
      </c>
      <c r="H235" s="2" t="s">
        <v>26</v>
      </c>
      <c r="I235" s="2">
        <f>ROUND(58,9)</f>
        <v>58</v>
      </c>
      <c r="J235" s="2">
        <v>0</v>
      </c>
      <c r="K235" s="2">
        <f>ROUND(58,9)</f>
        <v>58</v>
      </c>
      <c r="L235" s="2"/>
      <c r="M235" s="2"/>
      <c r="N235" s="2"/>
      <c r="O235" s="2">
        <f t="shared" si="146"/>
        <v>715.28</v>
      </c>
      <c r="P235" s="2">
        <f t="shared" si="177"/>
        <v>60.9</v>
      </c>
      <c r="Q235" s="2">
        <f>(ROUND((ROUND((((ET235*1.2))*AV235*I235),2)*BB235),2)+ROUND((ROUND(((AE235-((EU235*1.2)))*AV235*I235),2)*BS235),2))</f>
        <v>332.29</v>
      </c>
      <c r="R235" s="2">
        <f>(ROUND((ROUND((((EU235*1.2))*AV235*I235),2)*BS235),2)+ROUND((ROUND(((AE235-((EU235*1.2)))*AV235*I235),2)*BS235),2))</f>
        <v>20.399999999999999</v>
      </c>
      <c r="S235" s="2">
        <f t="shared" si="147"/>
        <v>322.08999999999997</v>
      </c>
      <c r="T235" s="2">
        <f t="shared" si="148"/>
        <v>0</v>
      </c>
      <c r="U235" s="2">
        <f t="shared" si="149"/>
        <v>25.504919999999998</v>
      </c>
      <c r="V235" s="2">
        <f t="shared" si="150"/>
        <v>0</v>
      </c>
      <c r="W235" s="2">
        <f t="shared" si="151"/>
        <v>0</v>
      </c>
      <c r="X235" s="2">
        <f>(ROUND((((S235+ROUND((ROUND((((EU235*1.2))*AV235*I235),2)*BS235),2))*AT235)/100),2)+ROUND(((ROUND((ROUND(((AE235-((EU235*1.2)))*AV235*I235),2)*BS235),2)*AT235)/100),2))</f>
        <v>308.24</v>
      </c>
      <c r="Y235" s="2">
        <f>(ROUND((((S235+ROUND((ROUND((((EU235*1.2))*AV235*I235),2)*BS235),2))*AU235)/100),2)+ROUND(((ROUND((ROUND(((AE235-((EU235*1.2)))*AV235*I235),2)*BS235),2)*AU235)/100),2))</f>
        <v>157.55000000000001</v>
      </c>
      <c r="Z235" s="2"/>
      <c r="AA235" s="2">
        <v>57034452</v>
      </c>
      <c r="AB235" s="2">
        <f t="shared" si="152"/>
        <v>11.826000000000001</v>
      </c>
      <c r="AC235" s="2">
        <f>ROUND(((ES235*1)),6)</f>
        <v>1.05</v>
      </c>
      <c r="AD235" s="2">
        <f>ROUND(((((ET235*1.2))-((EU235*1.2)))+AE235),6)</f>
        <v>5.4720000000000004</v>
      </c>
      <c r="AE235" s="2">
        <f>ROUND(((EU235*1.2)),6)</f>
        <v>0.33600000000000002</v>
      </c>
      <c r="AF235" s="2">
        <f>ROUND(((EV235*1.2)),6)</f>
        <v>5.3040000000000003</v>
      </c>
      <c r="AG235" s="2">
        <f t="shared" si="153"/>
        <v>0</v>
      </c>
      <c r="AH235" s="2">
        <f>((EW235*1.2))</f>
        <v>0.42</v>
      </c>
      <c r="AI235" s="2">
        <f>((EX235*1.2))</f>
        <v>0</v>
      </c>
      <c r="AJ235" s="2">
        <f t="shared" si="154"/>
        <v>0</v>
      </c>
      <c r="AK235" s="2">
        <v>10.029999999999999</v>
      </c>
      <c r="AL235" s="2">
        <v>1.05</v>
      </c>
      <c r="AM235" s="2">
        <v>4.5599999999999996</v>
      </c>
      <c r="AN235" s="2">
        <v>0.28000000000000003</v>
      </c>
      <c r="AO235" s="2">
        <v>4.42</v>
      </c>
      <c r="AP235" s="2">
        <v>0</v>
      </c>
      <c r="AQ235" s="2">
        <v>0.35</v>
      </c>
      <c r="AR235" s="2">
        <v>0</v>
      </c>
      <c r="AS235" s="2">
        <v>0</v>
      </c>
      <c r="AT235" s="2">
        <v>90</v>
      </c>
      <c r="AU235" s="2">
        <v>46</v>
      </c>
      <c r="AV235" s="2">
        <v>1.0469999999999999</v>
      </c>
      <c r="AW235" s="2">
        <v>1</v>
      </c>
      <c r="AX235" s="2"/>
      <c r="AY235" s="2"/>
      <c r="AZ235" s="2">
        <v>1</v>
      </c>
      <c r="BA235" s="2">
        <v>1</v>
      </c>
      <c r="BB235" s="2">
        <v>1</v>
      </c>
      <c r="BC235" s="2">
        <v>1</v>
      </c>
      <c r="BD235" s="2" t="s">
        <v>3</v>
      </c>
      <c r="BE235" s="2" t="s">
        <v>3</v>
      </c>
      <c r="BF235" s="2" t="s">
        <v>3</v>
      </c>
      <c r="BG235" s="2" t="s">
        <v>3</v>
      </c>
      <c r="BH235" s="2">
        <v>0</v>
      </c>
      <c r="BI235" s="2">
        <v>2</v>
      </c>
      <c r="BJ235" s="2" t="s">
        <v>69</v>
      </c>
      <c r="BK235" s="2"/>
      <c r="BL235" s="2"/>
      <c r="BM235" s="2">
        <v>68</v>
      </c>
      <c r="BN235" s="2">
        <v>0</v>
      </c>
      <c r="BO235" s="2" t="s">
        <v>67</v>
      </c>
      <c r="BP235" s="2">
        <v>1</v>
      </c>
      <c r="BQ235" s="2">
        <v>40</v>
      </c>
      <c r="BR235" s="2">
        <v>0</v>
      </c>
      <c r="BS235" s="2">
        <v>1</v>
      </c>
      <c r="BT235" s="2">
        <v>1</v>
      </c>
      <c r="BU235" s="2">
        <v>1</v>
      </c>
      <c r="BV235" s="2">
        <v>1</v>
      </c>
      <c r="BW235" s="2">
        <v>1</v>
      </c>
      <c r="BX235" s="2">
        <v>1</v>
      </c>
      <c r="BY235" s="2" t="s">
        <v>3</v>
      </c>
      <c r="BZ235" s="2">
        <v>90</v>
      </c>
      <c r="CA235" s="2">
        <v>46</v>
      </c>
      <c r="CB235" s="2" t="s">
        <v>3</v>
      </c>
      <c r="CC235" s="2"/>
      <c r="CD235" s="2"/>
      <c r="CE235" s="2">
        <v>1566</v>
      </c>
      <c r="CF235" s="2">
        <v>0</v>
      </c>
      <c r="CG235" s="2">
        <v>0</v>
      </c>
      <c r="CH235" s="2"/>
      <c r="CI235" s="2"/>
      <c r="CJ235" s="2"/>
      <c r="CK235" s="2"/>
      <c r="CL235" s="2"/>
      <c r="CM235" s="2">
        <v>0</v>
      </c>
      <c r="CN235" s="2" t="s">
        <v>614</v>
      </c>
      <c r="CO235" s="2">
        <v>0</v>
      </c>
      <c r="CP235" s="2">
        <f t="shared" si="155"/>
        <v>715.28</v>
      </c>
      <c r="CQ235" s="2">
        <f t="shared" si="178"/>
        <v>1.05</v>
      </c>
      <c r="CR235" s="2">
        <f>(ROUND((ROUND((((ET235*1.2))*AV235*1),2)*BB235),2)+ROUND((ROUND(((AE235-((EU235*1.2)))*AV235*1),2)*BS235),2))</f>
        <v>5.73</v>
      </c>
      <c r="CS235" s="2">
        <f>(ROUND((ROUND((((EU235*1.2))*AV235*1),2)*BS235),2)+ROUND((ROUND(((AE235-((EU235*1.2)))*AV235*1),2)*BS235),2))</f>
        <v>0.35</v>
      </c>
      <c r="CT235" s="2">
        <f t="shared" si="156"/>
        <v>5.55</v>
      </c>
      <c r="CU235" s="2">
        <f t="shared" si="157"/>
        <v>0</v>
      </c>
      <c r="CV235" s="2">
        <f t="shared" si="158"/>
        <v>0.43973999999999996</v>
      </c>
      <c r="CW235" s="2">
        <f t="shared" si="159"/>
        <v>0</v>
      </c>
      <c r="CX235" s="2">
        <f t="shared" si="160"/>
        <v>0</v>
      </c>
      <c r="CY235" s="2">
        <f>(ROUND((((S235+ROUND((ROUND((((EU235*1.2))*AV235*1),2)*BS235),2))*AT235)/100),2)+ROUND(((ROUND((ROUND(((AE235-((EU235*1.2)))*AV235*1),2)*BS235),2)*AT235)/100),2))</f>
        <v>290.2</v>
      </c>
      <c r="CZ235" s="2">
        <f>(ROUND((((S235+ROUND((ROUND((((EU235*1.2))*AV235*1),2)*BS235),2))*AU235)/100),2)+ROUND(((ROUND((ROUND(((AE235-((EU235*1.2)))*AV235*1),2)*BS235),2)*AU235)/100),2))</f>
        <v>148.32</v>
      </c>
      <c r="DA235" s="2"/>
      <c r="DB235" s="2">
        <v>107</v>
      </c>
      <c r="DC235" s="2" t="s">
        <v>3</v>
      </c>
      <c r="DD235" s="2" t="s">
        <v>104</v>
      </c>
      <c r="DE235" s="2" t="s">
        <v>105</v>
      </c>
      <c r="DF235" s="2" t="s">
        <v>105</v>
      </c>
      <c r="DG235" s="2" t="s">
        <v>105</v>
      </c>
      <c r="DH235" s="2" t="s">
        <v>3</v>
      </c>
      <c r="DI235" s="2" t="s">
        <v>105</v>
      </c>
      <c r="DJ235" s="2" t="s">
        <v>105</v>
      </c>
      <c r="DK235" s="2" t="s">
        <v>3</v>
      </c>
      <c r="DL235" s="2" t="s">
        <v>3</v>
      </c>
      <c r="DM235" s="2" t="s">
        <v>3</v>
      </c>
      <c r="DN235" s="2">
        <v>0</v>
      </c>
      <c r="DO235" s="2">
        <v>0</v>
      </c>
      <c r="DP235" s="2">
        <v>1</v>
      </c>
      <c r="DQ235" s="2">
        <v>1</v>
      </c>
      <c r="DR235" s="2"/>
      <c r="DS235" s="2"/>
      <c r="DT235" s="2"/>
      <c r="DU235" s="2">
        <v>1013</v>
      </c>
      <c r="DV235" s="2" t="s">
        <v>26</v>
      </c>
      <c r="DW235" s="2" t="s">
        <v>26</v>
      </c>
      <c r="DX235" s="2">
        <v>1</v>
      </c>
      <c r="DY235" s="2"/>
      <c r="DZ235" s="2" t="s">
        <v>3</v>
      </c>
      <c r="EA235" s="2" t="s">
        <v>3</v>
      </c>
      <c r="EB235" s="2" t="s">
        <v>3</v>
      </c>
      <c r="EC235" s="2" t="s">
        <v>3</v>
      </c>
      <c r="ED235" s="2"/>
      <c r="EE235" s="2">
        <v>57042958</v>
      </c>
      <c r="EF235" s="2">
        <v>40</v>
      </c>
      <c r="EG235" s="2" t="s">
        <v>30</v>
      </c>
      <c r="EH235" s="2">
        <v>0</v>
      </c>
      <c r="EI235" s="2" t="s">
        <v>3</v>
      </c>
      <c r="EJ235" s="2">
        <v>2</v>
      </c>
      <c r="EK235" s="2">
        <v>68</v>
      </c>
      <c r="EL235" s="2" t="s">
        <v>38</v>
      </c>
      <c r="EM235" s="2" t="s">
        <v>39</v>
      </c>
      <c r="EN235" s="2"/>
      <c r="EO235" s="2" t="s">
        <v>109</v>
      </c>
      <c r="EP235" s="2"/>
      <c r="EQ235" s="2">
        <v>131072</v>
      </c>
      <c r="ER235" s="2">
        <v>10.029999999999999</v>
      </c>
      <c r="ES235" s="2">
        <v>1.05</v>
      </c>
      <c r="ET235" s="2">
        <v>4.5599999999999996</v>
      </c>
      <c r="EU235" s="2">
        <v>0.28000000000000003</v>
      </c>
      <c r="EV235" s="2">
        <v>4.42</v>
      </c>
      <c r="EW235" s="2">
        <v>0.35</v>
      </c>
      <c r="EX235" s="2">
        <v>0</v>
      </c>
      <c r="EY235" s="2">
        <v>0</v>
      </c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>
        <v>0</v>
      </c>
      <c r="FR235" s="2">
        <v>0</v>
      </c>
      <c r="FS235" s="2">
        <v>0</v>
      </c>
      <c r="FT235" s="2"/>
      <c r="FU235" s="2"/>
      <c r="FV235" s="2"/>
      <c r="FW235" s="2"/>
      <c r="FX235" s="2">
        <v>90</v>
      </c>
      <c r="FY235" s="2">
        <v>46</v>
      </c>
      <c r="FZ235" s="2"/>
      <c r="GA235" s="2" t="s">
        <v>3</v>
      </c>
      <c r="GB235" s="2"/>
      <c r="GC235" s="2"/>
      <c r="GD235" s="2">
        <v>1</v>
      </c>
      <c r="GE235" s="2"/>
      <c r="GF235" s="2">
        <v>837617534</v>
      </c>
      <c r="GG235" s="2">
        <v>2</v>
      </c>
      <c r="GH235" s="2">
        <v>1</v>
      </c>
      <c r="GI235" s="2">
        <v>2</v>
      </c>
      <c r="GJ235" s="2">
        <v>0</v>
      </c>
      <c r="GK235" s="2">
        <v>0</v>
      </c>
      <c r="GL235" s="2">
        <f t="shared" si="161"/>
        <v>0</v>
      </c>
      <c r="GM235" s="2">
        <f t="shared" si="162"/>
        <v>1181.07</v>
      </c>
      <c r="GN235" s="2">
        <f t="shared" si="163"/>
        <v>0</v>
      </c>
      <c r="GO235" s="2">
        <f t="shared" si="164"/>
        <v>1181.07</v>
      </c>
      <c r="GP235" s="2">
        <f t="shared" si="165"/>
        <v>0</v>
      </c>
      <c r="GQ235" s="2"/>
      <c r="GR235" s="2">
        <v>0</v>
      </c>
      <c r="GS235" s="2">
        <v>3</v>
      </c>
      <c r="GT235" s="2">
        <v>0</v>
      </c>
      <c r="GU235" s="2" t="s">
        <v>3</v>
      </c>
      <c r="GV235" s="2">
        <f t="shared" si="166"/>
        <v>0</v>
      </c>
      <c r="GW235" s="2">
        <v>1</v>
      </c>
      <c r="GX235" s="2">
        <f t="shared" si="167"/>
        <v>0</v>
      </c>
      <c r="GY235" s="2"/>
      <c r="GZ235" s="2"/>
      <c r="HA235" s="2">
        <v>0</v>
      </c>
      <c r="HB235" s="2">
        <v>0</v>
      </c>
      <c r="HC235" s="2">
        <f t="shared" si="168"/>
        <v>0</v>
      </c>
      <c r="HD235" s="2"/>
      <c r="HE235" s="2" t="s">
        <v>3</v>
      </c>
      <c r="HF235" s="2" t="s">
        <v>3</v>
      </c>
      <c r="HG235" s="2"/>
      <c r="HH235" s="2"/>
      <c r="HI235" s="2"/>
      <c r="HJ235" s="2"/>
      <c r="HK235" s="2"/>
      <c r="HL235" s="2"/>
      <c r="HM235" s="2" t="s">
        <v>3</v>
      </c>
      <c r="HN235" s="2" t="s">
        <v>3</v>
      </c>
      <c r="HO235" s="2" t="s">
        <v>3</v>
      </c>
      <c r="HP235" s="2" t="s">
        <v>3</v>
      </c>
      <c r="HQ235" s="2" t="s">
        <v>3</v>
      </c>
      <c r="HR235" s="2"/>
      <c r="HS235" s="2">
        <v>0</v>
      </c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>
        <v>0</v>
      </c>
      <c r="IL235" s="2"/>
      <c r="IM235" s="2"/>
      <c r="IN235" s="2"/>
      <c r="IO235" s="2"/>
      <c r="IP235" s="2"/>
      <c r="IQ235" s="2"/>
      <c r="IR235" s="2"/>
      <c r="IS235" s="2"/>
      <c r="IT235" s="2"/>
      <c r="IU235" s="2"/>
    </row>
    <row r="236" spans="1:255" x14ac:dyDescent="0.25">
      <c r="A236" s="3">
        <v>17</v>
      </c>
      <c r="B236" s="3">
        <v>1</v>
      </c>
      <c r="C236" s="3">
        <f>ROW(SmtRes!A180)</f>
        <v>180</v>
      </c>
      <c r="D236" s="3">
        <f>ROW(EtalonRes!A196)</f>
        <v>196</v>
      </c>
      <c r="E236" s="3" t="s">
        <v>258</v>
      </c>
      <c r="F236" s="3" t="s">
        <v>67</v>
      </c>
      <c r="G236" s="3" t="s">
        <v>259</v>
      </c>
      <c r="H236" s="3" t="s">
        <v>26</v>
      </c>
      <c r="I236" s="3">
        <f>ROUND(58,9)</f>
        <v>58</v>
      </c>
      <c r="J236" s="3">
        <v>0</v>
      </c>
      <c r="K236" s="3">
        <f>ROUND(58,9)</f>
        <v>58</v>
      </c>
      <c r="O236" s="3">
        <f t="shared" si="146"/>
        <v>23318.02</v>
      </c>
      <c r="P236" s="3">
        <f t="shared" si="177"/>
        <v>599.26</v>
      </c>
      <c r="Q236" s="3">
        <f>(ROUND((ROUND((((ET236*1.2))*AV236*I236),2)*BB236),2)+ROUND((ROUND(((AE236-((EU236*1.2)))*AV236*I236),2)*BS236),2))</f>
        <v>4568.99</v>
      </c>
      <c r="R236" s="3">
        <f>(ROUND((ROUND((((EU236*1.2))*AV236*I236),2)*BS236),2)+ROUND((ROUND(((AE236-((EU236*1.2)))*AV236*I236),2)*BS236),2))</f>
        <v>1149.54</v>
      </c>
      <c r="S236" s="3">
        <f t="shared" si="147"/>
        <v>18149.77</v>
      </c>
      <c r="T236" s="3">
        <f t="shared" si="148"/>
        <v>0</v>
      </c>
      <c r="U236" s="3">
        <f t="shared" si="149"/>
        <v>25.504919999999998</v>
      </c>
      <c r="V236" s="3">
        <f t="shared" si="150"/>
        <v>0</v>
      </c>
      <c r="W236" s="3">
        <f t="shared" si="151"/>
        <v>0</v>
      </c>
      <c r="X236" s="3">
        <f>(ROUND((((S236+ROUND((ROUND((((EU236*1.2))*AV236*I236),2)*BS236),2))*AT236)/100),2)+ROUND(((ROUND((ROUND(((AE236-((EU236*1.2)))*AV236*I236),2)*BS236),2)*AT236)/100),2))</f>
        <v>17369.38</v>
      </c>
      <c r="Y236" s="3">
        <f>(ROUND((((S236+ROUND((ROUND((((EU236*1.2))*AV236*I236),2)*BS236),2))*AU236)/100),2)+ROUND(((ROUND((ROUND(((AE236-((EU236*1.2)))*AV236*I236),2)*BS236),2)*AU236)/100),2))</f>
        <v>8877.68</v>
      </c>
      <c r="AA236" s="3">
        <v>57034454</v>
      </c>
      <c r="AB236" s="3">
        <f t="shared" si="152"/>
        <v>11.826000000000001</v>
      </c>
      <c r="AC236" s="3">
        <f>ROUND(((ES236*1)),6)</f>
        <v>1.05</v>
      </c>
      <c r="AD236" s="3">
        <f>ROUND(((((ET236*1.2))-((EU236*1.2)))+AE236),6)</f>
        <v>5.4720000000000004</v>
      </c>
      <c r="AE236" s="3">
        <f>ROUND(((EU236*1.2)),6)</f>
        <v>0.33600000000000002</v>
      </c>
      <c r="AF236" s="3">
        <f>ROUND(((EV236*1.2)),6)</f>
        <v>5.3040000000000003</v>
      </c>
      <c r="AG236" s="3">
        <f t="shared" si="153"/>
        <v>0</v>
      </c>
      <c r="AH236" s="3">
        <f>((EW236*1.2))</f>
        <v>0.42</v>
      </c>
      <c r="AI236" s="3">
        <f>((EX236*1.2))</f>
        <v>0</v>
      </c>
      <c r="AJ236" s="3">
        <f t="shared" si="154"/>
        <v>0</v>
      </c>
      <c r="AK236" s="3">
        <v>10.029999999999999</v>
      </c>
      <c r="AL236" s="3">
        <v>1.05</v>
      </c>
      <c r="AM236" s="3">
        <v>4.5599999999999996</v>
      </c>
      <c r="AN236" s="3">
        <v>0.28000000000000003</v>
      </c>
      <c r="AO236" s="3">
        <v>4.42</v>
      </c>
      <c r="AP236" s="3">
        <v>0</v>
      </c>
      <c r="AQ236" s="3">
        <v>0.35</v>
      </c>
      <c r="AR236" s="3">
        <v>0</v>
      </c>
      <c r="AS236" s="3">
        <v>0</v>
      </c>
      <c r="AT236" s="3">
        <v>90</v>
      </c>
      <c r="AU236" s="3">
        <v>46</v>
      </c>
      <c r="AV236" s="3">
        <v>1.0469999999999999</v>
      </c>
      <c r="AW236" s="3">
        <v>1</v>
      </c>
      <c r="AZ236" s="3">
        <v>1</v>
      </c>
      <c r="BA236" s="3">
        <v>56.35</v>
      </c>
      <c r="BB236" s="3">
        <v>13.75</v>
      </c>
      <c r="BC236" s="3">
        <v>9.84</v>
      </c>
      <c r="BD236" s="3" t="s">
        <v>3</v>
      </c>
      <c r="BE236" s="3" t="s">
        <v>3</v>
      </c>
      <c r="BF236" s="3" t="s">
        <v>3</v>
      </c>
      <c r="BG236" s="3" t="s">
        <v>3</v>
      </c>
      <c r="BH236" s="3">
        <v>0</v>
      </c>
      <c r="BI236" s="3">
        <v>2</v>
      </c>
      <c r="BJ236" s="3" t="s">
        <v>69</v>
      </c>
      <c r="BM236" s="3">
        <v>68</v>
      </c>
      <c r="BN236" s="3">
        <v>0</v>
      </c>
      <c r="BO236" s="3" t="s">
        <v>67</v>
      </c>
      <c r="BP236" s="3">
        <v>1</v>
      </c>
      <c r="BQ236" s="3">
        <v>40</v>
      </c>
      <c r="BR236" s="3">
        <v>0</v>
      </c>
      <c r="BS236" s="3">
        <v>56.35</v>
      </c>
      <c r="BT236" s="3">
        <v>1</v>
      </c>
      <c r="BU236" s="3">
        <v>1</v>
      </c>
      <c r="BV236" s="3">
        <v>1</v>
      </c>
      <c r="BW236" s="3">
        <v>1</v>
      </c>
      <c r="BX236" s="3">
        <v>1</v>
      </c>
      <c r="BY236" s="3" t="s">
        <v>3</v>
      </c>
      <c r="BZ236" s="3">
        <v>90</v>
      </c>
      <c r="CA236" s="3">
        <v>46</v>
      </c>
      <c r="CB236" s="3" t="s">
        <v>3</v>
      </c>
      <c r="CE236" s="3">
        <v>1566</v>
      </c>
      <c r="CF236" s="3">
        <v>0</v>
      </c>
      <c r="CG236" s="3">
        <v>0</v>
      </c>
      <c r="CM236" s="3">
        <v>0</v>
      </c>
      <c r="CN236" s="3" t="s">
        <v>614</v>
      </c>
      <c r="CO236" s="3">
        <v>0</v>
      </c>
      <c r="CP236" s="3">
        <f t="shared" si="155"/>
        <v>23318.02</v>
      </c>
      <c r="CQ236" s="3">
        <f t="shared" si="178"/>
        <v>10.33</v>
      </c>
      <c r="CR236" s="3">
        <f>(ROUND((ROUND((((ET236*1.2))*AV236*1),2)*BB236),2)+ROUND((ROUND(((AE236-((EU236*1.2)))*AV236*1),2)*BS236),2))</f>
        <v>78.790000000000006</v>
      </c>
      <c r="CS236" s="3">
        <f>(ROUND((ROUND((((EU236*1.2))*AV236*1),2)*BS236),2)+ROUND((ROUND(((AE236-((EU236*1.2)))*AV236*1),2)*BS236),2))</f>
        <v>19.72</v>
      </c>
      <c r="CT236" s="3">
        <f t="shared" si="156"/>
        <v>312.74</v>
      </c>
      <c r="CU236" s="3">
        <f t="shared" si="157"/>
        <v>0</v>
      </c>
      <c r="CV236" s="3">
        <f t="shared" si="158"/>
        <v>0.43973999999999996</v>
      </c>
      <c r="CW236" s="3">
        <f t="shared" si="159"/>
        <v>0</v>
      </c>
      <c r="CX236" s="3">
        <f t="shared" si="160"/>
        <v>0</v>
      </c>
      <c r="CY236" s="3">
        <f>(ROUND((((S236+ROUND((ROUND((((EU236*1.2))*AV236*1),2)*BS236),2))*AT236)/100),2)+ROUND(((ROUND((ROUND(((AE236-((EU236*1.2)))*AV236*1),2)*BS236),2)*AT236)/100),2))</f>
        <v>16352.54</v>
      </c>
      <c r="CZ236" s="3">
        <f>(ROUND((((S236+ROUND((ROUND((((EU236*1.2))*AV236*1),2)*BS236),2))*AU236)/100),2)+ROUND(((ROUND((ROUND(((AE236-((EU236*1.2)))*AV236*1),2)*BS236),2)*AU236)/100),2))</f>
        <v>8357.9699999999993</v>
      </c>
      <c r="DB236" s="3">
        <v>108</v>
      </c>
      <c r="DC236" s="3" t="s">
        <v>3</v>
      </c>
      <c r="DD236" s="3" t="s">
        <v>104</v>
      </c>
      <c r="DE236" s="3" t="s">
        <v>105</v>
      </c>
      <c r="DF236" s="3" t="s">
        <v>105</v>
      </c>
      <c r="DG236" s="3" t="s">
        <v>105</v>
      </c>
      <c r="DH236" s="3" t="s">
        <v>3</v>
      </c>
      <c r="DI236" s="3" t="s">
        <v>105</v>
      </c>
      <c r="DJ236" s="3" t="s">
        <v>105</v>
      </c>
      <c r="DK236" s="3" t="s">
        <v>3</v>
      </c>
      <c r="DL236" s="3" t="s">
        <v>3</v>
      </c>
      <c r="DM236" s="3" t="s">
        <v>3</v>
      </c>
      <c r="DN236" s="3">
        <v>0</v>
      </c>
      <c r="DO236" s="3">
        <v>0</v>
      </c>
      <c r="DP236" s="3">
        <v>1</v>
      </c>
      <c r="DQ236" s="3">
        <v>1</v>
      </c>
      <c r="DU236" s="3">
        <v>1013</v>
      </c>
      <c r="DV236" s="3" t="s">
        <v>26</v>
      </c>
      <c r="DW236" s="3" t="s">
        <v>26</v>
      </c>
      <c r="DX236" s="3">
        <v>1</v>
      </c>
      <c r="DZ236" s="3" t="s">
        <v>3</v>
      </c>
      <c r="EA236" s="3" t="s">
        <v>3</v>
      </c>
      <c r="EB236" s="3" t="s">
        <v>3</v>
      </c>
      <c r="EC236" s="3" t="s">
        <v>3</v>
      </c>
      <c r="EE236" s="3">
        <v>57042958</v>
      </c>
      <c r="EF236" s="3">
        <v>40</v>
      </c>
      <c r="EG236" s="3" t="s">
        <v>30</v>
      </c>
      <c r="EH236" s="3">
        <v>0</v>
      </c>
      <c r="EI236" s="3" t="s">
        <v>3</v>
      </c>
      <c r="EJ236" s="3">
        <v>2</v>
      </c>
      <c r="EK236" s="3">
        <v>68</v>
      </c>
      <c r="EL236" s="3" t="s">
        <v>38</v>
      </c>
      <c r="EM236" s="3" t="s">
        <v>39</v>
      </c>
      <c r="EO236" s="3" t="s">
        <v>109</v>
      </c>
      <c r="EQ236" s="3">
        <v>131072</v>
      </c>
      <c r="ER236" s="3">
        <v>10.029999999999999</v>
      </c>
      <c r="ES236" s="3">
        <v>1.05</v>
      </c>
      <c r="ET236" s="3">
        <v>4.5599999999999996</v>
      </c>
      <c r="EU236" s="3">
        <v>0.28000000000000003</v>
      </c>
      <c r="EV236" s="3">
        <v>4.42</v>
      </c>
      <c r="EW236" s="3">
        <v>0.35</v>
      </c>
      <c r="EX236" s="3">
        <v>0</v>
      </c>
      <c r="EY236" s="3">
        <v>0</v>
      </c>
      <c r="FQ236" s="3">
        <v>0</v>
      </c>
      <c r="FR236" s="3">
        <v>0</v>
      </c>
      <c r="FS236" s="3">
        <v>0</v>
      </c>
      <c r="FX236" s="3">
        <v>90</v>
      </c>
      <c r="FY236" s="3">
        <v>46</v>
      </c>
      <c r="GA236" s="3" t="s">
        <v>3</v>
      </c>
      <c r="GD236" s="3">
        <v>1</v>
      </c>
      <c r="GF236" s="3">
        <v>837617534</v>
      </c>
      <c r="GG236" s="3">
        <v>2</v>
      </c>
      <c r="GH236" s="3">
        <v>1</v>
      </c>
      <c r="GI236" s="3">
        <v>2</v>
      </c>
      <c r="GJ236" s="3">
        <v>0</v>
      </c>
      <c r="GK236" s="3">
        <v>0</v>
      </c>
      <c r="GL236" s="3">
        <f t="shared" si="161"/>
        <v>0</v>
      </c>
      <c r="GM236" s="3">
        <f t="shared" si="162"/>
        <v>49565.08</v>
      </c>
      <c r="GN236" s="3">
        <f t="shared" si="163"/>
        <v>0</v>
      </c>
      <c r="GO236" s="3">
        <f t="shared" si="164"/>
        <v>49565.08</v>
      </c>
      <c r="GP236" s="3">
        <f t="shared" si="165"/>
        <v>0</v>
      </c>
      <c r="GR236" s="3">
        <v>0</v>
      </c>
      <c r="GS236" s="3">
        <v>3</v>
      </c>
      <c r="GT236" s="3">
        <v>0</v>
      </c>
      <c r="GU236" s="3" t="s">
        <v>3</v>
      </c>
      <c r="GV236" s="3">
        <f t="shared" si="166"/>
        <v>0</v>
      </c>
      <c r="GW236" s="3">
        <v>1</v>
      </c>
      <c r="GX236" s="3">
        <f t="shared" si="167"/>
        <v>0</v>
      </c>
      <c r="HA236" s="3">
        <v>0</v>
      </c>
      <c r="HB236" s="3">
        <v>0</v>
      </c>
      <c r="HC236" s="3">
        <f t="shared" si="168"/>
        <v>0</v>
      </c>
      <c r="HE236" s="3" t="s">
        <v>3</v>
      </c>
      <c r="HF236" s="3" t="s">
        <v>3</v>
      </c>
      <c r="HM236" s="3" t="s">
        <v>3</v>
      </c>
      <c r="HN236" s="3" t="s">
        <v>3</v>
      </c>
      <c r="HO236" s="3" t="s">
        <v>3</v>
      </c>
      <c r="HP236" s="3" t="s">
        <v>3</v>
      </c>
      <c r="HQ236" s="3" t="s">
        <v>3</v>
      </c>
      <c r="HS236" s="3">
        <v>0</v>
      </c>
      <c r="IK236" s="3">
        <v>0</v>
      </c>
    </row>
    <row r="237" spans="1:255" x14ac:dyDescent="0.25">
      <c r="A237" s="2">
        <v>18</v>
      </c>
      <c r="B237" s="2">
        <v>1</v>
      </c>
      <c r="C237" s="2">
        <v>178</v>
      </c>
      <c r="D237" s="2"/>
      <c r="E237" s="2" t="s">
        <v>260</v>
      </c>
      <c r="F237" s="2" t="s">
        <v>261</v>
      </c>
      <c r="G237" s="2" t="s">
        <v>262</v>
      </c>
      <c r="H237" s="2" t="s">
        <v>177</v>
      </c>
      <c r="I237" s="2">
        <f>I235*J237</f>
        <v>58</v>
      </c>
      <c r="J237" s="2">
        <v>1</v>
      </c>
      <c r="K237" s="2">
        <v>1</v>
      </c>
      <c r="L237" s="2"/>
      <c r="M237" s="2"/>
      <c r="N237" s="2"/>
      <c r="O237" s="2">
        <f t="shared" si="146"/>
        <v>898.42</v>
      </c>
      <c r="P237" s="2">
        <f t="shared" si="177"/>
        <v>898.42</v>
      </c>
      <c r="Q237" s="2">
        <f>(ROUND((ROUND(((ET237)*AV237*I237),2)*BB237),2)+ROUND((ROUND(((AE237-(EU237))*AV237*I237),2)*BS237),2))</f>
        <v>0</v>
      </c>
      <c r="R237" s="2">
        <f>(ROUND((ROUND(((EU237)*AV237*I237),2)*BS237),2)+ROUND((ROUND(((AE237-(EU237))*AV237*I237),2)*BS237),2))</f>
        <v>0</v>
      </c>
      <c r="S237" s="2">
        <f t="shared" si="147"/>
        <v>0</v>
      </c>
      <c r="T237" s="2">
        <f t="shared" si="148"/>
        <v>0</v>
      </c>
      <c r="U237" s="2">
        <f t="shared" si="149"/>
        <v>0</v>
      </c>
      <c r="V237" s="2">
        <f t="shared" si="150"/>
        <v>0</v>
      </c>
      <c r="W237" s="2">
        <f t="shared" si="151"/>
        <v>0</v>
      </c>
      <c r="X237" s="2">
        <f>(ROUND((((S237+ROUND((ROUND(((EU237)*AV237*I237),2)*BS237),2))*AT237)/100),2)+ROUND(((ROUND((ROUND(((AE237-(EU237))*AV237*I237),2)*BS237),2)*AT237)/100),2))</f>
        <v>0</v>
      </c>
      <c r="Y237" s="2">
        <f>(ROUND((((S237+ROUND((ROUND(((EU237)*AV237*I237),2)*BS237),2))*AU237)/100),2)+ROUND(((ROUND((ROUND(((AE237-(EU237))*AV237*I237),2)*BS237),2)*AU237)/100),2))</f>
        <v>0</v>
      </c>
      <c r="Z237" s="2"/>
      <c r="AA237" s="2">
        <v>57034452</v>
      </c>
      <c r="AB237" s="2">
        <f t="shared" si="152"/>
        <v>15.49</v>
      </c>
      <c r="AC237" s="2">
        <f>ROUND((ES237),6)</f>
        <v>15.49</v>
      </c>
      <c r="AD237" s="2">
        <f>ROUND((((ET237)-(EU237))+AE237),6)</f>
        <v>0</v>
      </c>
      <c r="AE237" s="2">
        <f>ROUND((EU237),6)</f>
        <v>0</v>
      </c>
      <c r="AF237" s="2">
        <f>ROUND((EV237),6)</f>
        <v>0</v>
      </c>
      <c r="AG237" s="2">
        <f t="shared" si="153"/>
        <v>0</v>
      </c>
      <c r="AH237" s="2">
        <f>(EW237)</f>
        <v>0</v>
      </c>
      <c r="AI237" s="2">
        <f>(EX237)</f>
        <v>0</v>
      </c>
      <c r="AJ237" s="2">
        <f t="shared" si="154"/>
        <v>0</v>
      </c>
      <c r="AK237" s="2">
        <v>15.49</v>
      </c>
      <c r="AL237" s="2">
        <v>15.49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90</v>
      </c>
      <c r="AU237" s="2">
        <v>46</v>
      </c>
      <c r="AV237" s="2">
        <v>1</v>
      </c>
      <c r="AW237" s="2">
        <v>1</v>
      </c>
      <c r="AX237" s="2"/>
      <c r="AY237" s="2"/>
      <c r="AZ237" s="2">
        <v>1</v>
      </c>
      <c r="BA237" s="2">
        <v>1</v>
      </c>
      <c r="BB237" s="2">
        <v>1</v>
      </c>
      <c r="BC237" s="2">
        <v>1</v>
      </c>
      <c r="BD237" s="2" t="s">
        <v>3</v>
      </c>
      <c r="BE237" s="2" t="s">
        <v>3</v>
      </c>
      <c r="BF237" s="2" t="s">
        <v>3</v>
      </c>
      <c r="BG237" s="2" t="s">
        <v>3</v>
      </c>
      <c r="BH237" s="2">
        <v>3</v>
      </c>
      <c r="BI237" s="2">
        <v>2</v>
      </c>
      <c r="BJ237" s="2" t="s">
        <v>263</v>
      </c>
      <c r="BK237" s="2"/>
      <c r="BL237" s="2"/>
      <c r="BM237" s="2">
        <v>68</v>
      </c>
      <c r="BN237" s="2">
        <v>0</v>
      </c>
      <c r="BO237" s="2" t="s">
        <v>3</v>
      </c>
      <c r="BP237" s="2">
        <v>0</v>
      </c>
      <c r="BQ237" s="2">
        <v>40</v>
      </c>
      <c r="BR237" s="2">
        <v>0</v>
      </c>
      <c r="BS237" s="2">
        <v>1</v>
      </c>
      <c r="BT237" s="2">
        <v>1</v>
      </c>
      <c r="BU237" s="2">
        <v>1</v>
      </c>
      <c r="BV237" s="2">
        <v>1</v>
      </c>
      <c r="BW237" s="2">
        <v>1</v>
      </c>
      <c r="BX237" s="2">
        <v>1</v>
      </c>
      <c r="BY237" s="2" t="s">
        <v>3</v>
      </c>
      <c r="BZ237" s="2">
        <v>90</v>
      </c>
      <c r="CA237" s="2">
        <v>46</v>
      </c>
      <c r="CB237" s="2" t="s">
        <v>3</v>
      </c>
      <c r="CC237" s="2"/>
      <c r="CD237" s="2"/>
      <c r="CE237" s="2">
        <v>1566</v>
      </c>
      <c r="CF237" s="2">
        <v>0</v>
      </c>
      <c r="CG237" s="2">
        <v>0</v>
      </c>
      <c r="CH237" s="2"/>
      <c r="CI237" s="2"/>
      <c r="CJ237" s="2"/>
      <c r="CK237" s="2"/>
      <c r="CL237" s="2"/>
      <c r="CM237" s="2">
        <v>0</v>
      </c>
      <c r="CN237" s="2" t="s">
        <v>615</v>
      </c>
      <c r="CO237" s="2">
        <v>0</v>
      </c>
      <c r="CP237" s="2">
        <f t="shared" si="155"/>
        <v>898.42</v>
      </c>
      <c r="CQ237" s="2">
        <f t="shared" si="178"/>
        <v>15.49</v>
      </c>
      <c r="CR237" s="2">
        <f>(ROUND((ROUND(((ET237)*AV237*1),2)*BB237),2)+ROUND((ROUND(((AE237-(EU237))*AV237*1),2)*BS237),2))</f>
        <v>0</v>
      </c>
      <c r="CS237" s="2">
        <f>(ROUND((ROUND(((EU237)*AV237*1),2)*BS237),2)+ROUND((ROUND(((AE237-(EU237))*AV237*1),2)*BS237),2))</f>
        <v>0</v>
      </c>
      <c r="CT237" s="2">
        <f t="shared" si="156"/>
        <v>0</v>
      </c>
      <c r="CU237" s="2">
        <f t="shared" si="157"/>
        <v>0</v>
      </c>
      <c r="CV237" s="2">
        <f t="shared" si="158"/>
        <v>0</v>
      </c>
      <c r="CW237" s="2">
        <f t="shared" si="159"/>
        <v>0</v>
      </c>
      <c r="CX237" s="2">
        <f t="shared" si="160"/>
        <v>0</v>
      </c>
      <c r="CY237" s="2">
        <f>(ROUND((((S237+ROUND((ROUND(((EU237)*AV237*1),2)*BS237),2))*AT237)/100),2)+ROUND(((ROUND((ROUND(((AE237-(EU237))*AV237*1),2)*BS237),2)*AT237)/100),2))</f>
        <v>0</v>
      </c>
      <c r="CZ237" s="2">
        <f>(ROUND((((S237+ROUND((ROUND(((EU237)*AV237*1),2)*BS237),2))*AU237)/100),2)+ROUND(((ROUND((ROUND(((AE237-(EU237))*AV237*1),2)*BS237),2)*AU237)/100),2))</f>
        <v>0</v>
      </c>
      <c r="DA237" s="2"/>
      <c r="DB237" s="2"/>
      <c r="DC237" s="2" t="s">
        <v>3</v>
      </c>
      <c r="DD237" s="2" t="s">
        <v>3</v>
      </c>
      <c r="DE237" s="2" t="s">
        <v>3</v>
      </c>
      <c r="DF237" s="2" t="s">
        <v>3</v>
      </c>
      <c r="DG237" s="2" t="s">
        <v>3</v>
      </c>
      <c r="DH237" s="2" t="s">
        <v>3</v>
      </c>
      <c r="DI237" s="2" t="s">
        <v>3</v>
      </c>
      <c r="DJ237" s="2" t="s">
        <v>3</v>
      </c>
      <c r="DK237" s="2" t="s">
        <v>3</v>
      </c>
      <c r="DL237" s="2" t="s">
        <v>3</v>
      </c>
      <c r="DM237" s="2" t="s">
        <v>3</v>
      </c>
      <c r="DN237" s="2">
        <v>0</v>
      </c>
      <c r="DO237" s="2">
        <v>0</v>
      </c>
      <c r="DP237" s="2">
        <v>1</v>
      </c>
      <c r="DQ237" s="2">
        <v>1</v>
      </c>
      <c r="DR237" s="2"/>
      <c r="DS237" s="2"/>
      <c r="DT237" s="2"/>
      <c r="DU237" s="2">
        <v>1010</v>
      </c>
      <c r="DV237" s="2" t="s">
        <v>177</v>
      </c>
      <c r="DW237" s="2" t="s">
        <v>177</v>
      </c>
      <c r="DX237" s="2">
        <v>1</v>
      </c>
      <c r="DY237" s="2"/>
      <c r="DZ237" s="2" t="s">
        <v>3</v>
      </c>
      <c r="EA237" s="2" t="s">
        <v>3</v>
      </c>
      <c r="EB237" s="2" t="s">
        <v>3</v>
      </c>
      <c r="EC237" s="2" t="s">
        <v>3</v>
      </c>
      <c r="ED237" s="2"/>
      <c r="EE237" s="2">
        <v>57042958</v>
      </c>
      <c r="EF237" s="2">
        <v>40</v>
      </c>
      <c r="EG237" s="2" t="s">
        <v>30</v>
      </c>
      <c r="EH237" s="2">
        <v>0</v>
      </c>
      <c r="EI237" s="2" t="s">
        <v>3</v>
      </c>
      <c r="EJ237" s="2">
        <v>2</v>
      </c>
      <c r="EK237" s="2">
        <v>68</v>
      </c>
      <c r="EL237" s="2" t="s">
        <v>38</v>
      </c>
      <c r="EM237" s="2" t="s">
        <v>39</v>
      </c>
      <c r="EN237" s="2"/>
      <c r="EO237" s="2" t="s">
        <v>109</v>
      </c>
      <c r="EP237" s="2"/>
      <c r="EQ237" s="2">
        <v>1572864</v>
      </c>
      <c r="ER237" s="2">
        <v>15.49</v>
      </c>
      <c r="ES237" s="2">
        <v>15.49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>
        <v>0</v>
      </c>
      <c r="FR237" s="2">
        <v>0</v>
      </c>
      <c r="FS237" s="2">
        <v>0</v>
      </c>
      <c r="FT237" s="2"/>
      <c r="FU237" s="2"/>
      <c r="FV237" s="2"/>
      <c r="FW237" s="2"/>
      <c r="FX237" s="2">
        <v>90</v>
      </c>
      <c r="FY237" s="2">
        <v>46</v>
      </c>
      <c r="FZ237" s="2"/>
      <c r="GA237" s="2" t="s">
        <v>3</v>
      </c>
      <c r="GB237" s="2"/>
      <c r="GC237" s="2"/>
      <c r="GD237" s="2">
        <v>1</v>
      </c>
      <c r="GE237" s="2"/>
      <c r="GF237" s="2">
        <v>-1974369850</v>
      </c>
      <c r="GG237" s="2">
        <v>2</v>
      </c>
      <c r="GH237" s="2">
        <v>1</v>
      </c>
      <c r="GI237" s="2">
        <v>-2</v>
      </c>
      <c r="GJ237" s="2">
        <v>0</v>
      </c>
      <c r="GK237" s="2">
        <v>0</v>
      </c>
      <c r="GL237" s="2">
        <f t="shared" si="161"/>
        <v>0</v>
      </c>
      <c r="GM237" s="2">
        <f t="shared" si="162"/>
        <v>898.42</v>
      </c>
      <c r="GN237" s="2">
        <f t="shared" si="163"/>
        <v>0</v>
      </c>
      <c r="GO237" s="2">
        <f t="shared" si="164"/>
        <v>898.42</v>
      </c>
      <c r="GP237" s="2">
        <f t="shared" si="165"/>
        <v>0</v>
      </c>
      <c r="GQ237" s="2"/>
      <c r="GR237" s="2">
        <v>0</v>
      </c>
      <c r="GS237" s="2">
        <v>3</v>
      </c>
      <c r="GT237" s="2">
        <v>0</v>
      </c>
      <c r="GU237" s="2" t="s">
        <v>3</v>
      </c>
      <c r="GV237" s="2">
        <f t="shared" si="166"/>
        <v>0</v>
      </c>
      <c r="GW237" s="2">
        <v>1</v>
      </c>
      <c r="GX237" s="2">
        <f t="shared" si="167"/>
        <v>0</v>
      </c>
      <c r="GY237" s="2"/>
      <c r="GZ237" s="2"/>
      <c r="HA237" s="2">
        <v>0</v>
      </c>
      <c r="HB237" s="2">
        <v>0</v>
      </c>
      <c r="HC237" s="2">
        <f t="shared" si="168"/>
        <v>0</v>
      </c>
      <c r="HD237" s="2"/>
      <c r="HE237" s="2" t="s">
        <v>3</v>
      </c>
      <c r="HF237" s="2" t="s">
        <v>3</v>
      </c>
      <c r="HG237" s="2"/>
      <c r="HH237" s="2"/>
      <c r="HI237" s="2"/>
      <c r="HJ237" s="2"/>
      <c r="HK237" s="2"/>
      <c r="HL237" s="2"/>
      <c r="HM237" s="2" t="s">
        <v>104</v>
      </c>
      <c r="HN237" s="2" t="s">
        <v>3</v>
      </c>
      <c r="HO237" s="2" t="s">
        <v>3</v>
      </c>
      <c r="HP237" s="2" t="s">
        <v>3</v>
      </c>
      <c r="HQ237" s="2" t="s">
        <v>3</v>
      </c>
      <c r="HR237" s="2"/>
      <c r="HS237" s="2">
        <v>0</v>
      </c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>
        <v>0</v>
      </c>
      <c r="IL237" s="2"/>
      <c r="IM237" s="2"/>
      <c r="IN237" s="2"/>
      <c r="IO237" s="2"/>
      <c r="IP237" s="2"/>
      <c r="IQ237" s="2"/>
      <c r="IR237" s="2"/>
      <c r="IS237" s="2"/>
      <c r="IT237" s="2"/>
      <c r="IU237" s="2"/>
    </row>
    <row r="238" spans="1:255" x14ac:dyDescent="0.25">
      <c r="A238" s="3">
        <v>18</v>
      </c>
      <c r="B238" s="3">
        <v>1</v>
      </c>
      <c r="C238" s="3">
        <v>180</v>
      </c>
      <c r="E238" s="3" t="s">
        <v>260</v>
      </c>
      <c r="F238" s="3" t="s">
        <v>261</v>
      </c>
      <c r="G238" s="3" t="s">
        <v>262</v>
      </c>
      <c r="H238" s="3" t="s">
        <v>177</v>
      </c>
      <c r="I238" s="3">
        <f>I236*J238</f>
        <v>58</v>
      </c>
      <c r="J238" s="3">
        <v>1</v>
      </c>
      <c r="K238" s="3">
        <v>1</v>
      </c>
      <c r="O238" s="3">
        <f t="shared" si="146"/>
        <v>6109.26</v>
      </c>
      <c r="P238" s="3">
        <f t="shared" si="177"/>
        <v>6109.26</v>
      </c>
      <c r="Q238" s="3">
        <f>(ROUND((ROUND(((ET238)*AV238*I238),2)*BB238),2)+ROUND((ROUND(((AE238-(EU238))*AV238*I238),2)*BS238),2))</f>
        <v>0</v>
      </c>
      <c r="R238" s="3">
        <f>(ROUND((ROUND(((EU238)*AV238*I238),2)*BS238),2)+ROUND((ROUND(((AE238-(EU238))*AV238*I238),2)*BS238),2))</f>
        <v>0</v>
      </c>
      <c r="S238" s="3">
        <f t="shared" si="147"/>
        <v>0</v>
      </c>
      <c r="T238" s="3">
        <f t="shared" si="148"/>
        <v>0</v>
      </c>
      <c r="U238" s="3">
        <f t="shared" si="149"/>
        <v>0</v>
      </c>
      <c r="V238" s="3">
        <f t="shared" si="150"/>
        <v>0</v>
      </c>
      <c r="W238" s="3">
        <f t="shared" si="151"/>
        <v>0</v>
      </c>
      <c r="X238" s="3">
        <f>(ROUND((((S238+ROUND((ROUND(((EU238)*AV238*I238),2)*BS238),2))*AT238)/100),2)+ROUND(((ROUND((ROUND(((AE238-(EU238))*AV238*I238),2)*BS238),2)*AT238)/100),2))</f>
        <v>0</v>
      </c>
      <c r="Y238" s="3">
        <f>(ROUND((((S238+ROUND((ROUND(((EU238)*AV238*I238),2)*BS238),2))*AU238)/100),2)+ROUND(((ROUND((ROUND(((AE238-(EU238))*AV238*I238),2)*BS238),2)*AU238)/100),2))</f>
        <v>0</v>
      </c>
      <c r="AA238" s="3">
        <v>57034454</v>
      </c>
      <c r="AB238" s="3">
        <f t="shared" si="152"/>
        <v>15.49</v>
      </c>
      <c r="AC238" s="3">
        <f>ROUND((ES238),6)</f>
        <v>15.49</v>
      </c>
      <c r="AD238" s="3">
        <f>ROUND((((ET238)-(EU238))+AE238),6)</f>
        <v>0</v>
      </c>
      <c r="AE238" s="3">
        <f>ROUND((EU238),6)</f>
        <v>0</v>
      </c>
      <c r="AF238" s="3">
        <f>ROUND((EV238),6)</f>
        <v>0</v>
      </c>
      <c r="AG238" s="3">
        <f t="shared" si="153"/>
        <v>0</v>
      </c>
      <c r="AH238" s="3">
        <f>(EW238)</f>
        <v>0</v>
      </c>
      <c r="AI238" s="3">
        <f>(EX238)</f>
        <v>0</v>
      </c>
      <c r="AJ238" s="3">
        <f t="shared" si="154"/>
        <v>0</v>
      </c>
      <c r="AK238" s="3">
        <v>15.49</v>
      </c>
      <c r="AL238" s="3">
        <v>15.49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90</v>
      </c>
      <c r="AU238" s="3">
        <v>46</v>
      </c>
      <c r="AV238" s="3">
        <v>1</v>
      </c>
      <c r="AW238" s="3">
        <v>1</v>
      </c>
      <c r="AZ238" s="3">
        <v>1</v>
      </c>
      <c r="BA238" s="3">
        <v>1</v>
      </c>
      <c r="BB238" s="3">
        <v>1</v>
      </c>
      <c r="BC238" s="3">
        <v>6.8</v>
      </c>
      <c r="BD238" s="3" t="s">
        <v>3</v>
      </c>
      <c r="BE238" s="3" t="s">
        <v>3</v>
      </c>
      <c r="BF238" s="3" t="s">
        <v>3</v>
      </c>
      <c r="BG238" s="3" t="s">
        <v>3</v>
      </c>
      <c r="BH238" s="3">
        <v>3</v>
      </c>
      <c r="BI238" s="3">
        <v>2</v>
      </c>
      <c r="BJ238" s="3" t="s">
        <v>263</v>
      </c>
      <c r="BM238" s="3">
        <v>68</v>
      </c>
      <c r="BN238" s="3">
        <v>0</v>
      </c>
      <c r="BO238" s="3" t="s">
        <v>261</v>
      </c>
      <c r="BP238" s="3">
        <v>1</v>
      </c>
      <c r="BQ238" s="3">
        <v>40</v>
      </c>
      <c r="BR238" s="3">
        <v>0</v>
      </c>
      <c r="BS238" s="3">
        <v>1</v>
      </c>
      <c r="BT238" s="3">
        <v>1</v>
      </c>
      <c r="BU238" s="3">
        <v>1</v>
      </c>
      <c r="BV238" s="3">
        <v>1</v>
      </c>
      <c r="BW238" s="3">
        <v>1</v>
      </c>
      <c r="BX238" s="3">
        <v>1</v>
      </c>
      <c r="BY238" s="3" t="s">
        <v>3</v>
      </c>
      <c r="BZ238" s="3">
        <v>90</v>
      </c>
      <c r="CA238" s="3">
        <v>46</v>
      </c>
      <c r="CB238" s="3" t="s">
        <v>3</v>
      </c>
      <c r="CE238" s="3">
        <v>1566</v>
      </c>
      <c r="CF238" s="3">
        <v>0</v>
      </c>
      <c r="CG238" s="3">
        <v>0</v>
      </c>
      <c r="CM238" s="3">
        <v>0</v>
      </c>
      <c r="CN238" s="3" t="s">
        <v>615</v>
      </c>
      <c r="CO238" s="3">
        <v>0</v>
      </c>
      <c r="CP238" s="3">
        <f t="shared" si="155"/>
        <v>6109.26</v>
      </c>
      <c r="CQ238" s="3">
        <f t="shared" si="178"/>
        <v>105.33</v>
      </c>
      <c r="CR238" s="3">
        <f>(ROUND((ROUND(((ET238)*AV238*1),2)*BB238),2)+ROUND((ROUND(((AE238-(EU238))*AV238*1),2)*BS238),2))</f>
        <v>0</v>
      </c>
      <c r="CS238" s="3">
        <f>(ROUND((ROUND(((EU238)*AV238*1),2)*BS238),2)+ROUND((ROUND(((AE238-(EU238))*AV238*1),2)*BS238),2))</f>
        <v>0</v>
      </c>
      <c r="CT238" s="3">
        <f t="shared" si="156"/>
        <v>0</v>
      </c>
      <c r="CU238" s="3">
        <f t="shared" si="157"/>
        <v>0</v>
      </c>
      <c r="CV238" s="3">
        <f t="shared" si="158"/>
        <v>0</v>
      </c>
      <c r="CW238" s="3">
        <f t="shared" si="159"/>
        <v>0</v>
      </c>
      <c r="CX238" s="3">
        <f t="shared" si="160"/>
        <v>0</v>
      </c>
      <c r="CY238" s="3">
        <f>(ROUND((((S238+ROUND((ROUND(((EU238)*AV238*1),2)*BS238),2))*AT238)/100),2)+ROUND(((ROUND((ROUND(((AE238-(EU238))*AV238*1),2)*BS238),2)*AT238)/100),2))</f>
        <v>0</v>
      </c>
      <c r="CZ238" s="3">
        <f>(ROUND((((S238+ROUND((ROUND(((EU238)*AV238*1),2)*BS238),2))*AU238)/100),2)+ROUND(((ROUND((ROUND(((AE238-(EU238))*AV238*1),2)*BS238),2)*AU238)/100),2))</f>
        <v>0</v>
      </c>
      <c r="DC238" s="3" t="s">
        <v>3</v>
      </c>
      <c r="DD238" s="3" t="s">
        <v>3</v>
      </c>
      <c r="DE238" s="3" t="s">
        <v>3</v>
      </c>
      <c r="DF238" s="3" t="s">
        <v>3</v>
      </c>
      <c r="DG238" s="3" t="s">
        <v>3</v>
      </c>
      <c r="DH238" s="3" t="s">
        <v>3</v>
      </c>
      <c r="DI238" s="3" t="s">
        <v>3</v>
      </c>
      <c r="DJ238" s="3" t="s">
        <v>3</v>
      </c>
      <c r="DK238" s="3" t="s">
        <v>3</v>
      </c>
      <c r="DL238" s="3" t="s">
        <v>3</v>
      </c>
      <c r="DM238" s="3" t="s">
        <v>3</v>
      </c>
      <c r="DN238" s="3">
        <v>0</v>
      </c>
      <c r="DO238" s="3">
        <v>0</v>
      </c>
      <c r="DP238" s="3">
        <v>1</v>
      </c>
      <c r="DQ238" s="3">
        <v>1</v>
      </c>
      <c r="DU238" s="3">
        <v>1010</v>
      </c>
      <c r="DV238" s="3" t="s">
        <v>177</v>
      </c>
      <c r="DW238" s="3" t="s">
        <v>177</v>
      </c>
      <c r="DX238" s="3">
        <v>1</v>
      </c>
      <c r="DZ238" s="3" t="s">
        <v>3</v>
      </c>
      <c r="EA238" s="3" t="s">
        <v>3</v>
      </c>
      <c r="EB238" s="3" t="s">
        <v>3</v>
      </c>
      <c r="EC238" s="3" t="s">
        <v>3</v>
      </c>
      <c r="EE238" s="3">
        <v>57042958</v>
      </c>
      <c r="EF238" s="3">
        <v>40</v>
      </c>
      <c r="EG238" s="3" t="s">
        <v>30</v>
      </c>
      <c r="EH238" s="3">
        <v>0</v>
      </c>
      <c r="EI238" s="3" t="s">
        <v>3</v>
      </c>
      <c r="EJ238" s="3">
        <v>2</v>
      </c>
      <c r="EK238" s="3">
        <v>68</v>
      </c>
      <c r="EL238" s="3" t="s">
        <v>38</v>
      </c>
      <c r="EM238" s="3" t="s">
        <v>39</v>
      </c>
      <c r="EO238" s="3" t="s">
        <v>109</v>
      </c>
      <c r="EQ238" s="3">
        <v>1572864</v>
      </c>
      <c r="ER238" s="3">
        <v>15.49</v>
      </c>
      <c r="ES238" s="3">
        <v>15.49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FQ238" s="3">
        <v>0</v>
      </c>
      <c r="FR238" s="3">
        <v>0</v>
      </c>
      <c r="FS238" s="3">
        <v>0</v>
      </c>
      <c r="FX238" s="3">
        <v>90</v>
      </c>
      <c r="FY238" s="3">
        <v>46</v>
      </c>
      <c r="GA238" s="3" t="s">
        <v>3</v>
      </c>
      <c r="GD238" s="3">
        <v>1</v>
      </c>
      <c r="GF238" s="3">
        <v>-1974369850</v>
      </c>
      <c r="GG238" s="3">
        <v>2</v>
      </c>
      <c r="GH238" s="3">
        <v>1</v>
      </c>
      <c r="GI238" s="3">
        <v>2</v>
      </c>
      <c r="GJ238" s="3">
        <v>0</v>
      </c>
      <c r="GK238" s="3">
        <v>0</v>
      </c>
      <c r="GL238" s="3">
        <f t="shared" si="161"/>
        <v>0</v>
      </c>
      <c r="GM238" s="3">
        <f t="shared" si="162"/>
        <v>6109.26</v>
      </c>
      <c r="GN238" s="3">
        <f t="shared" si="163"/>
        <v>0</v>
      </c>
      <c r="GO238" s="3">
        <f t="shared" si="164"/>
        <v>6109.26</v>
      </c>
      <c r="GP238" s="3">
        <f t="shared" si="165"/>
        <v>0</v>
      </c>
      <c r="GR238" s="3">
        <v>0</v>
      </c>
      <c r="GS238" s="3">
        <v>3</v>
      </c>
      <c r="GT238" s="3">
        <v>0</v>
      </c>
      <c r="GU238" s="3" t="s">
        <v>3</v>
      </c>
      <c r="GV238" s="3">
        <f t="shared" si="166"/>
        <v>0</v>
      </c>
      <c r="GW238" s="3">
        <v>1</v>
      </c>
      <c r="GX238" s="3">
        <f t="shared" si="167"/>
        <v>0</v>
      </c>
      <c r="HA238" s="3">
        <v>0</v>
      </c>
      <c r="HB238" s="3">
        <v>0</v>
      </c>
      <c r="HC238" s="3">
        <f t="shared" si="168"/>
        <v>0</v>
      </c>
      <c r="HE238" s="3" t="s">
        <v>3</v>
      </c>
      <c r="HF238" s="3" t="s">
        <v>3</v>
      </c>
      <c r="HM238" s="3" t="s">
        <v>104</v>
      </c>
      <c r="HN238" s="3" t="s">
        <v>3</v>
      </c>
      <c r="HO238" s="3" t="s">
        <v>3</v>
      </c>
      <c r="HP238" s="3" t="s">
        <v>3</v>
      </c>
      <c r="HQ238" s="3" t="s">
        <v>3</v>
      </c>
      <c r="HS238" s="3">
        <v>0</v>
      </c>
      <c r="IK238" s="3">
        <v>0</v>
      </c>
    </row>
    <row r="240" spans="1:255" ht="13" x14ac:dyDescent="0.3">
      <c r="A240" s="11">
        <v>51</v>
      </c>
      <c r="B240" s="11">
        <f>B197</f>
        <v>1</v>
      </c>
      <c r="C240" s="11">
        <f>A197</f>
        <v>4</v>
      </c>
      <c r="D240" s="11">
        <f>ROW(A197)</f>
        <v>197</v>
      </c>
      <c r="E240" s="11"/>
      <c r="F240" s="11" t="str">
        <f>IF(F197&lt;&gt;"",F197,"")</f>
        <v>Новый раздел</v>
      </c>
      <c r="G240" s="11" t="str">
        <f>IF(G197&lt;&gt;"",G197,"")</f>
        <v>Оконечное оборудование СПС. Автоматические и ручные пожарные и охранные извещатели.</v>
      </c>
      <c r="H240" s="11">
        <v>0</v>
      </c>
      <c r="I240" s="11"/>
      <c r="J240" s="11"/>
      <c r="K240" s="11"/>
      <c r="L240" s="11"/>
      <c r="M240" s="11"/>
      <c r="N240" s="11"/>
      <c r="O240" s="11">
        <f t="shared" ref="O240:T240" si="181">ROUND(AB240,2)</f>
        <v>140225.26999999999</v>
      </c>
      <c r="P240" s="11">
        <f t="shared" si="181"/>
        <v>122423.15</v>
      </c>
      <c r="Q240" s="11">
        <f t="shared" si="181"/>
        <v>378.7</v>
      </c>
      <c r="R240" s="11">
        <f t="shared" si="181"/>
        <v>28.29</v>
      </c>
      <c r="S240" s="11">
        <f t="shared" si="181"/>
        <v>17423.419999999998</v>
      </c>
      <c r="T240" s="11">
        <f t="shared" si="181"/>
        <v>0</v>
      </c>
      <c r="U240" s="11">
        <f>AH240</f>
        <v>1375.5318479999999</v>
      </c>
      <c r="V240" s="11">
        <f>AI240</f>
        <v>0</v>
      </c>
      <c r="W240" s="11">
        <f>ROUND(AJ240,2)</f>
        <v>0</v>
      </c>
      <c r="X240" s="11">
        <f>ROUND(AK240,2)</f>
        <v>15752.1</v>
      </c>
      <c r="Y240" s="11">
        <f>ROUND(AL240,2)</f>
        <v>8091.57</v>
      </c>
      <c r="Z240" s="11"/>
      <c r="AA240" s="11"/>
      <c r="AB240" s="11">
        <f>ROUND(SUMIF(AA201:AA238,"=57034452",O201:O238),2)</f>
        <v>140225.26999999999</v>
      </c>
      <c r="AC240" s="11">
        <f>ROUND(SUMIF(AA201:AA238,"=57034452",P201:P238),2)</f>
        <v>122423.15</v>
      </c>
      <c r="AD240" s="11">
        <f>ROUND(SUMIF(AA201:AA238,"=57034452",Q201:Q238),2)</f>
        <v>378.7</v>
      </c>
      <c r="AE240" s="11">
        <f>ROUND(SUMIF(AA201:AA238,"=57034452",R201:R238),2)</f>
        <v>28.29</v>
      </c>
      <c r="AF240" s="11">
        <f>ROUND(SUMIF(AA201:AA238,"=57034452",S201:S238),2)</f>
        <v>17423.419999999998</v>
      </c>
      <c r="AG240" s="11">
        <f>ROUND(SUMIF(AA201:AA238,"=57034452",T201:T238),2)</f>
        <v>0</v>
      </c>
      <c r="AH240" s="11">
        <f>SUMIF(AA201:AA238,"=57034452",U201:U238)</f>
        <v>1375.5318479999999</v>
      </c>
      <c r="AI240" s="11">
        <f>SUMIF(AA201:AA238,"=57034452",V201:V238)</f>
        <v>0</v>
      </c>
      <c r="AJ240" s="11">
        <f>ROUND(SUMIF(AA201:AA238,"=57034452",W201:W238),2)</f>
        <v>0</v>
      </c>
      <c r="AK240" s="11">
        <f>ROUND(SUMIF(AA201:AA238,"=57034452",X201:X238),2)</f>
        <v>15752.1</v>
      </c>
      <c r="AL240" s="11">
        <f>ROUND(SUMIF(AA201:AA238,"=57034452",Y201:Y238),2)</f>
        <v>8091.57</v>
      </c>
      <c r="AM240" s="11"/>
      <c r="AN240" s="11"/>
      <c r="AO240" s="11">
        <f t="shared" ref="AO240:BD240" si="182">ROUND(BX240,2)</f>
        <v>0</v>
      </c>
      <c r="AP240" s="11">
        <f t="shared" si="182"/>
        <v>120492.28</v>
      </c>
      <c r="AQ240" s="11">
        <f t="shared" si="182"/>
        <v>0</v>
      </c>
      <c r="AR240" s="11">
        <f t="shared" si="182"/>
        <v>164068.94</v>
      </c>
      <c r="AS240" s="11">
        <f t="shared" si="182"/>
        <v>0</v>
      </c>
      <c r="AT240" s="11">
        <f t="shared" si="182"/>
        <v>43576.66</v>
      </c>
      <c r="AU240" s="11">
        <f t="shared" si="182"/>
        <v>0</v>
      </c>
      <c r="AV240" s="11">
        <f t="shared" si="182"/>
        <v>122423.15</v>
      </c>
      <c r="AW240" s="11">
        <f t="shared" si="182"/>
        <v>1930.87</v>
      </c>
      <c r="AX240" s="11">
        <f t="shared" si="182"/>
        <v>0</v>
      </c>
      <c r="AY240" s="11">
        <f t="shared" si="182"/>
        <v>1930.87</v>
      </c>
      <c r="AZ240" s="11">
        <f t="shared" si="182"/>
        <v>120492.28</v>
      </c>
      <c r="BA240" s="11">
        <f t="shared" si="182"/>
        <v>0</v>
      </c>
      <c r="BB240" s="11">
        <f t="shared" si="182"/>
        <v>0</v>
      </c>
      <c r="BC240" s="11">
        <f t="shared" si="182"/>
        <v>0</v>
      </c>
      <c r="BD240" s="11">
        <f t="shared" si="182"/>
        <v>0</v>
      </c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>
        <f>ROUND(SUMIF(AA201:AA238,"=57034452",FQ201:FQ238),2)</f>
        <v>0</v>
      </c>
      <c r="BY240" s="11">
        <f>ROUND(SUMIF(AA201:AA238,"=57034452",FR201:FR238),2)</f>
        <v>120492.28</v>
      </c>
      <c r="BZ240" s="11">
        <f>ROUND(SUMIF(AA201:AA238,"=57034452",GL201:GL238),2)</f>
        <v>0</v>
      </c>
      <c r="CA240" s="11">
        <f>ROUND(SUMIF(AA201:AA238,"=57034452",GM201:GM238),2)</f>
        <v>164068.94</v>
      </c>
      <c r="CB240" s="11">
        <f>ROUND(SUMIF(AA201:AA238,"=57034452",GN201:GN238),2)</f>
        <v>0</v>
      </c>
      <c r="CC240" s="11">
        <f>ROUND(SUMIF(AA201:AA238,"=57034452",GO201:GO238),2)</f>
        <v>43576.66</v>
      </c>
      <c r="CD240" s="11">
        <f>ROUND(SUMIF(AA201:AA238,"=57034452",GP201:GP238),2)</f>
        <v>0</v>
      </c>
      <c r="CE240" s="11">
        <f>AC240-BX240</f>
        <v>122423.15</v>
      </c>
      <c r="CF240" s="11">
        <f>AC240-BY240</f>
        <v>1930.8699999999953</v>
      </c>
      <c r="CG240" s="11">
        <f>BX240-BZ240</f>
        <v>0</v>
      </c>
      <c r="CH240" s="11">
        <f>AC240-BX240-BY240+BZ240</f>
        <v>1930.8699999999953</v>
      </c>
      <c r="CI240" s="11">
        <f>BY240-BZ240</f>
        <v>120492.28</v>
      </c>
      <c r="CJ240" s="11">
        <f>ROUND(SUMIF(AA201:AA238,"=57034452",GX201:GX238),2)</f>
        <v>0</v>
      </c>
      <c r="CK240" s="11">
        <f>ROUND(SUMIF(AA201:AA238,"=57034452",GY201:GY238),2)</f>
        <v>0</v>
      </c>
      <c r="CL240" s="11">
        <f>ROUND(SUMIF(AA201:AA238,"=57034452",GZ201:GZ238),2)</f>
        <v>0</v>
      </c>
      <c r="CM240" s="11">
        <f>ROUND(SUMIF(AA201:AA238,"=57034452",HD201:HD238),2)</f>
        <v>0</v>
      </c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2">
        <f t="shared" ref="DG240:DL240" si="183">ROUND(DT240,2)</f>
        <v>1940858.61</v>
      </c>
      <c r="DH240" s="12">
        <f t="shared" si="183"/>
        <v>953614.37</v>
      </c>
      <c r="DI240" s="12">
        <f t="shared" si="183"/>
        <v>5434.52</v>
      </c>
      <c r="DJ240" s="12">
        <f t="shared" si="183"/>
        <v>1594.14</v>
      </c>
      <c r="DK240" s="12">
        <f t="shared" si="183"/>
        <v>981809.72</v>
      </c>
      <c r="DL240" s="12">
        <f t="shared" si="183"/>
        <v>0</v>
      </c>
      <c r="DM240" s="12">
        <f>DZ240</f>
        <v>1375.5318479999999</v>
      </c>
      <c r="DN240" s="12">
        <f>EA240</f>
        <v>0</v>
      </c>
      <c r="DO240" s="12">
        <f>ROUND(EB240,2)</f>
        <v>0</v>
      </c>
      <c r="DP240" s="12">
        <f>ROUND(EC240,2)</f>
        <v>887630.92</v>
      </c>
      <c r="DQ240" s="12">
        <f>ROUND(ED240,2)</f>
        <v>455960.2</v>
      </c>
      <c r="DR240" s="12"/>
      <c r="DS240" s="12"/>
      <c r="DT240" s="12">
        <f>ROUND(SUMIF(AA201:AA238,"=57034454",O201:O238),2)</f>
        <v>1940858.61</v>
      </c>
      <c r="DU240" s="12">
        <f>ROUND(SUMIF(AA201:AA238,"=57034454",P201:P238),2)</f>
        <v>953614.37</v>
      </c>
      <c r="DV240" s="12">
        <f>ROUND(SUMIF(AA201:AA238,"=57034454",Q201:Q238),2)</f>
        <v>5434.52</v>
      </c>
      <c r="DW240" s="12">
        <f>ROUND(SUMIF(AA201:AA238,"=57034454",R201:R238),2)</f>
        <v>1594.14</v>
      </c>
      <c r="DX240" s="12">
        <f>ROUND(SUMIF(AA201:AA238,"=57034454",S201:S238),2)</f>
        <v>981809.72</v>
      </c>
      <c r="DY240" s="12">
        <f>ROUND(SUMIF(AA201:AA238,"=57034454",T201:T238),2)</f>
        <v>0</v>
      </c>
      <c r="DZ240" s="12">
        <f>SUMIF(AA201:AA238,"=57034454",U201:U238)</f>
        <v>1375.5318479999999</v>
      </c>
      <c r="EA240" s="12">
        <f>SUMIF(AA201:AA238,"=57034454",V201:V238)</f>
        <v>0</v>
      </c>
      <c r="EB240" s="12">
        <f>ROUND(SUMIF(AA201:AA238,"=57034454",W201:W238),2)</f>
        <v>0</v>
      </c>
      <c r="EC240" s="12">
        <f>ROUND(SUMIF(AA201:AA238,"=57034454",X201:X238),2)</f>
        <v>887630.92</v>
      </c>
      <c r="ED240" s="12">
        <f>ROUND(SUMIF(AA201:AA238,"=57034454",Y201:Y238),2)</f>
        <v>455960.2</v>
      </c>
      <c r="EE240" s="12"/>
      <c r="EF240" s="12"/>
      <c r="EG240" s="12">
        <f t="shared" ref="EG240:EV240" si="184">ROUND(FP240,2)</f>
        <v>0</v>
      </c>
      <c r="EH240" s="12">
        <f t="shared" si="184"/>
        <v>936527.78</v>
      </c>
      <c r="EI240" s="12">
        <f t="shared" si="184"/>
        <v>0</v>
      </c>
      <c r="EJ240" s="12">
        <f t="shared" si="184"/>
        <v>3284449.73</v>
      </c>
      <c r="EK240" s="12">
        <f t="shared" si="184"/>
        <v>0</v>
      </c>
      <c r="EL240" s="12">
        <f t="shared" si="184"/>
        <v>2347921.9500000002</v>
      </c>
      <c r="EM240" s="12">
        <f t="shared" si="184"/>
        <v>0</v>
      </c>
      <c r="EN240" s="12">
        <f t="shared" si="184"/>
        <v>953614.37</v>
      </c>
      <c r="EO240" s="12">
        <f t="shared" si="184"/>
        <v>17086.59</v>
      </c>
      <c r="EP240" s="12">
        <f t="shared" si="184"/>
        <v>0</v>
      </c>
      <c r="EQ240" s="12">
        <f t="shared" si="184"/>
        <v>17086.59</v>
      </c>
      <c r="ER240" s="12">
        <f t="shared" si="184"/>
        <v>936527.78</v>
      </c>
      <c r="ES240" s="12">
        <f t="shared" si="184"/>
        <v>0</v>
      </c>
      <c r="ET240" s="12">
        <f t="shared" si="184"/>
        <v>0</v>
      </c>
      <c r="EU240" s="12">
        <f t="shared" si="184"/>
        <v>0</v>
      </c>
      <c r="EV240" s="12">
        <f t="shared" si="184"/>
        <v>0</v>
      </c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>
        <f>ROUND(SUMIF(AA201:AA238,"=57034454",FQ201:FQ238),2)</f>
        <v>0</v>
      </c>
      <c r="FQ240" s="12">
        <f>ROUND(SUMIF(AA201:AA238,"=57034454",FR201:FR238),2)</f>
        <v>936527.78</v>
      </c>
      <c r="FR240" s="12">
        <f>ROUND(SUMIF(AA201:AA238,"=57034454",GL201:GL238),2)</f>
        <v>0</v>
      </c>
      <c r="FS240" s="12">
        <f>ROUND(SUMIF(AA201:AA238,"=57034454",GM201:GM238),2)</f>
        <v>3284449.73</v>
      </c>
      <c r="FT240" s="12">
        <f>ROUND(SUMIF(AA201:AA238,"=57034454",GN201:GN238),2)</f>
        <v>0</v>
      </c>
      <c r="FU240" s="12">
        <f>ROUND(SUMIF(AA201:AA238,"=57034454",GO201:GO238),2)</f>
        <v>2347921.9500000002</v>
      </c>
      <c r="FV240" s="12">
        <f>ROUND(SUMIF(AA201:AA238,"=57034454",GP201:GP238),2)</f>
        <v>0</v>
      </c>
      <c r="FW240" s="12">
        <f>DU240-FP240</f>
        <v>953614.37</v>
      </c>
      <c r="FX240" s="12">
        <f>DU240-FQ240</f>
        <v>17086.589999999967</v>
      </c>
      <c r="FY240" s="12">
        <f>FP240-FR240</f>
        <v>0</v>
      </c>
      <c r="FZ240" s="12">
        <f>DU240-FP240-FQ240+FR240</f>
        <v>17086.589999999967</v>
      </c>
      <c r="GA240" s="12">
        <f>FQ240-FR240</f>
        <v>936527.78</v>
      </c>
      <c r="GB240" s="12">
        <f>ROUND(SUMIF(AA201:AA238,"=57034454",GX201:GX238),2)</f>
        <v>0</v>
      </c>
      <c r="GC240" s="12">
        <f>ROUND(SUMIF(AA201:AA238,"=57034454",GY201:GY238),2)</f>
        <v>0</v>
      </c>
      <c r="GD240" s="12">
        <f>ROUND(SUMIF(AA201:AA238,"=57034454",GZ201:GZ238),2)</f>
        <v>0</v>
      </c>
      <c r="GE240" s="12">
        <f>ROUND(SUMIF(AA201:AA238,"=57034454",HD201:HD238),2)</f>
        <v>0</v>
      </c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>
        <v>0</v>
      </c>
    </row>
    <row r="242" spans="1:28" ht="13" x14ac:dyDescent="0.3">
      <c r="A242" s="13">
        <v>50</v>
      </c>
      <c r="B242" s="13">
        <v>0</v>
      </c>
      <c r="C242" s="13">
        <v>0</v>
      </c>
      <c r="D242" s="13">
        <v>1</v>
      </c>
      <c r="E242" s="13">
        <v>201</v>
      </c>
      <c r="F242" s="13">
        <f>ROUND(Source!O240,O242)</f>
        <v>140225.26999999999</v>
      </c>
      <c r="G242" s="13" t="s">
        <v>117</v>
      </c>
      <c r="H242" s="13" t="s">
        <v>118</v>
      </c>
      <c r="I242" s="13"/>
      <c r="J242" s="13"/>
      <c r="K242" s="13">
        <v>201</v>
      </c>
      <c r="L242" s="13">
        <v>1</v>
      </c>
      <c r="M242" s="13">
        <v>3</v>
      </c>
      <c r="N242" s="13" t="s">
        <v>3</v>
      </c>
      <c r="O242" s="13">
        <v>2</v>
      </c>
      <c r="P242" s="13">
        <f>ROUND(Source!DG240,O242)</f>
        <v>1940858.61</v>
      </c>
      <c r="Q242" s="13"/>
      <c r="R242" s="13"/>
      <c r="S242" s="13"/>
      <c r="T242" s="13"/>
      <c r="U242" s="13"/>
      <c r="V242" s="13"/>
      <c r="W242" s="13">
        <v>140225.26999999999</v>
      </c>
      <c r="X242" s="13">
        <v>1</v>
      </c>
      <c r="Y242" s="13">
        <v>140225.26999999999</v>
      </c>
      <c r="Z242" s="13">
        <v>1940858.61</v>
      </c>
      <c r="AA242" s="13">
        <v>1</v>
      </c>
      <c r="AB242" s="13">
        <v>1940858.61</v>
      </c>
    </row>
    <row r="243" spans="1:28" ht="13" x14ac:dyDescent="0.3">
      <c r="A243" s="13">
        <v>50</v>
      </c>
      <c r="B243" s="13">
        <v>0</v>
      </c>
      <c r="C243" s="13">
        <v>0</v>
      </c>
      <c r="D243" s="13">
        <v>1</v>
      </c>
      <c r="E243" s="13">
        <v>202</v>
      </c>
      <c r="F243" s="13">
        <f>ROUND(Source!P240,O243)</f>
        <v>122423.15</v>
      </c>
      <c r="G243" s="13" t="s">
        <v>119</v>
      </c>
      <c r="H243" s="13" t="s">
        <v>120</v>
      </c>
      <c r="I243" s="13"/>
      <c r="J243" s="13"/>
      <c r="K243" s="13">
        <v>202</v>
      </c>
      <c r="L243" s="13">
        <v>2</v>
      </c>
      <c r="M243" s="13">
        <v>3</v>
      </c>
      <c r="N243" s="13" t="s">
        <v>3</v>
      </c>
      <c r="O243" s="13">
        <v>2</v>
      </c>
      <c r="P243" s="13">
        <f>ROUND(Source!DH240,O243)</f>
        <v>953614.37</v>
      </c>
      <c r="Q243" s="13"/>
      <c r="R243" s="13"/>
      <c r="S243" s="13"/>
      <c r="T243" s="13"/>
      <c r="U243" s="13"/>
      <c r="V243" s="13"/>
      <c r="W243" s="13">
        <v>122423.15</v>
      </c>
      <c r="X243" s="13">
        <v>1</v>
      </c>
      <c r="Y243" s="13">
        <v>122423.15</v>
      </c>
      <c r="Z243" s="13">
        <v>953614.37</v>
      </c>
      <c r="AA243" s="13">
        <v>1</v>
      </c>
      <c r="AB243" s="13">
        <v>953614.37</v>
      </c>
    </row>
    <row r="244" spans="1:28" ht="13" x14ac:dyDescent="0.3">
      <c r="A244" s="13">
        <v>50</v>
      </c>
      <c r="B244" s="13">
        <v>0</v>
      </c>
      <c r="C244" s="13">
        <v>0</v>
      </c>
      <c r="D244" s="13">
        <v>1</v>
      </c>
      <c r="E244" s="13">
        <v>222</v>
      </c>
      <c r="F244" s="13">
        <f>ROUND(Source!AO240,O244)</f>
        <v>0</v>
      </c>
      <c r="G244" s="13" t="s">
        <v>121</v>
      </c>
      <c r="H244" s="13" t="s">
        <v>122</v>
      </c>
      <c r="I244" s="13"/>
      <c r="J244" s="13"/>
      <c r="K244" s="13">
        <v>222</v>
      </c>
      <c r="L244" s="13">
        <v>3</v>
      </c>
      <c r="M244" s="13">
        <v>3</v>
      </c>
      <c r="N244" s="13" t="s">
        <v>3</v>
      </c>
      <c r="O244" s="13">
        <v>2</v>
      </c>
      <c r="P244" s="13">
        <f>ROUND(Source!EG240,O244)</f>
        <v>0</v>
      </c>
      <c r="Q244" s="13"/>
      <c r="R244" s="13"/>
      <c r="S244" s="13"/>
      <c r="T244" s="13"/>
      <c r="U244" s="13"/>
      <c r="V244" s="13"/>
      <c r="W244" s="13">
        <v>0</v>
      </c>
      <c r="X244" s="13">
        <v>1</v>
      </c>
      <c r="Y244" s="13">
        <v>0</v>
      </c>
      <c r="Z244" s="13">
        <v>0</v>
      </c>
      <c r="AA244" s="13">
        <v>1</v>
      </c>
      <c r="AB244" s="13">
        <v>0</v>
      </c>
    </row>
    <row r="245" spans="1:28" ht="13" x14ac:dyDescent="0.3">
      <c r="A245" s="13">
        <v>50</v>
      </c>
      <c r="B245" s="13">
        <v>0</v>
      </c>
      <c r="C245" s="13">
        <v>0</v>
      </c>
      <c r="D245" s="13">
        <v>1</v>
      </c>
      <c r="E245" s="13">
        <v>225</v>
      </c>
      <c r="F245" s="13">
        <f>ROUND(Source!AV240,O245)</f>
        <v>122423.15</v>
      </c>
      <c r="G245" s="13" t="s">
        <v>123</v>
      </c>
      <c r="H245" s="13" t="s">
        <v>124</v>
      </c>
      <c r="I245" s="13"/>
      <c r="J245" s="13"/>
      <c r="K245" s="13">
        <v>225</v>
      </c>
      <c r="L245" s="13">
        <v>4</v>
      </c>
      <c r="M245" s="13">
        <v>3</v>
      </c>
      <c r="N245" s="13" t="s">
        <v>3</v>
      </c>
      <c r="O245" s="13">
        <v>2</v>
      </c>
      <c r="P245" s="13">
        <f>ROUND(Source!EN240,O245)</f>
        <v>953614.37</v>
      </c>
      <c r="Q245" s="13"/>
      <c r="R245" s="13"/>
      <c r="S245" s="13"/>
      <c r="T245" s="13"/>
      <c r="U245" s="13"/>
      <c r="V245" s="13"/>
      <c r="W245" s="13">
        <v>122423.15</v>
      </c>
      <c r="X245" s="13">
        <v>1</v>
      </c>
      <c r="Y245" s="13">
        <v>122423.15</v>
      </c>
      <c r="Z245" s="13">
        <v>953614.37</v>
      </c>
      <c r="AA245" s="13">
        <v>1</v>
      </c>
      <c r="AB245" s="13">
        <v>953614.37</v>
      </c>
    </row>
    <row r="246" spans="1:28" ht="13" x14ac:dyDescent="0.3">
      <c r="A246" s="13">
        <v>50</v>
      </c>
      <c r="B246" s="13">
        <v>0</v>
      </c>
      <c r="C246" s="13">
        <v>0</v>
      </c>
      <c r="D246" s="13">
        <v>1</v>
      </c>
      <c r="E246" s="13">
        <v>226</v>
      </c>
      <c r="F246" s="13">
        <f>ROUND(Source!AW240,O246)</f>
        <v>1930.87</v>
      </c>
      <c r="G246" s="13" t="s">
        <v>125</v>
      </c>
      <c r="H246" s="13" t="s">
        <v>126</v>
      </c>
      <c r="I246" s="13"/>
      <c r="J246" s="13"/>
      <c r="K246" s="13">
        <v>226</v>
      </c>
      <c r="L246" s="13">
        <v>5</v>
      </c>
      <c r="M246" s="13">
        <v>3</v>
      </c>
      <c r="N246" s="13" t="s">
        <v>3</v>
      </c>
      <c r="O246" s="13">
        <v>2</v>
      </c>
      <c r="P246" s="13">
        <f>ROUND(Source!EO240,O246)</f>
        <v>17086.59</v>
      </c>
      <c r="Q246" s="13"/>
      <c r="R246" s="13"/>
      <c r="S246" s="13"/>
      <c r="T246" s="13"/>
      <c r="U246" s="13"/>
      <c r="V246" s="13"/>
      <c r="W246" s="13">
        <v>1930.87</v>
      </c>
      <c r="X246" s="13">
        <v>1</v>
      </c>
      <c r="Y246" s="13">
        <v>1930.87</v>
      </c>
      <c r="Z246" s="13">
        <v>17086.59</v>
      </c>
      <c r="AA246" s="13">
        <v>1</v>
      </c>
      <c r="AB246" s="13">
        <v>17086.59</v>
      </c>
    </row>
    <row r="247" spans="1:28" ht="13" x14ac:dyDescent="0.3">
      <c r="A247" s="13">
        <v>50</v>
      </c>
      <c r="B247" s="13">
        <v>0</v>
      </c>
      <c r="C247" s="13">
        <v>0</v>
      </c>
      <c r="D247" s="13">
        <v>1</v>
      </c>
      <c r="E247" s="13">
        <v>227</v>
      </c>
      <c r="F247" s="13">
        <f>ROUND(Source!AX240,O247)</f>
        <v>0</v>
      </c>
      <c r="G247" s="13" t="s">
        <v>127</v>
      </c>
      <c r="H247" s="13" t="s">
        <v>128</v>
      </c>
      <c r="I247" s="13"/>
      <c r="J247" s="13"/>
      <c r="K247" s="13">
        <v>227</v>
      </c>
      <c r="L247" s="13">
        <v>6</v>
      </c>
      <c r="M247" s="13">
        <v>3</v>
      </c>
      <c r="N247" s="13" t="s">
        <v>3</v>
      </c>
      <c r="O247" s="13">
        <v>2</v>
      </c>
      <c r="P247" s="13">
        <f>ROUND(Source!EP240,O247)</f>
        <v>0</v>
      </c>
      <c r="Q247" s="13"/>
      <c r="R247" s="13"/>
      <c r="S247" s="13"/>
      <c r="T247" s="13"/>
      <c r="U247" s="13"/>
      <c r="V247" s="13"/>
      <c r="W247" s="13">
        <v>0</v>
      </c>
      <c r="X247" s="13">
        <v>1</v>
      </c>
      <c r="Y247" s="13">
        <v>0</v>
      </c>
      <c r="Z247" s="13">
        <v>0</v>
      </c>
      <c r="AA247" s="13">
        <v>1</v>
      </c>
      <c r="AB247" s="13">
        <v>0</v>
      </c>
    </row>
    <row r="248" spans="1:28" ht="13" x14ac:dyDescent="0.3">
      <c r="A248" s="13">
        <v>50</v>
      </c>
      <c r="B248" s="13">
        <v>0</v>
      </c>
      <c r="C248" s="13">
        <v>0</v>
      </c>
      <c r="D248" s="13">
        <v>1</v>
      </c>
      <c r="E248" s="13">
        <v>228</v>
      </c>
      <c r="F248" s="13">
        <f>ROUND(Source!AY240,O248)</f>
        <v>1930.87</v>
      </c>
      <c r="G248" s="13" t="s">
        <v>129</v>
      </c>
      <c r="H248" s="13" t="s">
        <v>130</v>
      </c>
      <c r="I248" s="13"/>
      <c r="J248" s="13"/>
      <c r="K248" s="13">
        <v>228</v>
      </c>
      <c r="L248" s="13">
        <v>7</v>
      </c>
      <c r="M248" s="13">
        <v>3</v>
      </c>
      <c r="N248" s="13" t="s">
        <v>3</v>
      </c>
      <c r="O248" s="13">
        <v>2</v>
      </c>
      <c r="P248" s="13">
        <f>ROUND(Source!EQ240,O248)</f>
        <v>17086.59</v>
      </c>
      <c r="Q248" s="13"/>
      <c r="R248" s="13"/>
      <c r="S248" s="13"/>
      <c r="T248" s="13"/>
      <c r="U248" s="13"/>
      <c r="V248" s="13"/>
      <c r="W248" s="13">
        <v>1930.87</v>
      </c>
      <c r="X248" s="13">
        <v>1</v>
      </c>
      <c r="Y248" s="13">
        <v>1930.87</v>
      </c>
      <c r="Z248" s="13">
        <v>17086.59</v>
      </c>
      <c r="AA248" s="13">
        <v>1</v>
      </c>
      <c r="AB248" s="13">
        <v>17086.59</v>
      </c>
    </row>
    <row r="249" spans="1:28" ht="13" x14ac:dyDescent="0.3">
      <c r="A249" s="13">
        <v>50</v>
      </c>
      <c r="B249" s="13">
        <v>0</v>
      </c>
      <c r="C249" s="13">
        <v>0</v>
      </c>
      <c r="D249" s="13">
        <v>1</v>
      </c>
      <c r="E249" s="13">
        <v>216</v>
      </c>
      <c r="F249" s="13">
        <f>ROUND(Source!AP240,O249)</f>
        <v>120492.28</v>
      </c>
      <c r="G249" s="13" t="s">
        <v>131</v>
      </c>
      <c r="H249" s="13" t="s">
        <v>132</v>
      </c>
      <c r="I249" s="13"/>
      <c r="J249" s="13"/>
      <c r="K249" s="13">
        <v>216</v>
      </c>
      <c r="L249" s="13">
        <v>8</v>
      </c>
      <c r="M249" s="13">
        <v>3</v>
      </c>
      <c r="N249" s="13" t="s">
        <v>3</v>
      </c>
      <c r="O249" s="13">
        <v>2</v>
      </c>
      <c r="P249" s="13">
        <f>ROUND(Source!EH240,O249)</f>
        <v>936527.78</v>
      </c>
      <c r="Q249" s="13"/>
      <c r="R249" s="13"/>
      <c r="S249" s="13"/>
      <c r="T249" s="13"/>
      <c r="U249" s="13"/>
      <c r="V249" s="13"/>
      <c r="W249" s="13">
        <v>120492.28</v>
      </c>
      <c r="X249" s="13">
        <v>1</v>
      </c>
      <c r="Y249" s="13">
        <v>120492.28</v>
      </c>
      <c r="Z249" s="13">
        <v>936527.78</v>
      </c>
      <c r="AA249" s="13">
        <v>1</v>
      </c>
      <c r="AB249" s="13">
        <v>936527.78</v>
      </c>
    </row>
    <row r="250" spans="1:28" ht="13" x14ac:dyDescent="0.3">
      <c r="A250" s="13">
        <v>50</v>
      </c>
      <c r="B250" s="13">
        <v>0</v>
      </c>
      <c r="C250" s="13">
        <v>0</v>
      </c>
      <c r="D250" s="13">
        <v>1</v>
      </c>
      <c r="E250" s="13">
        <v>223</v>
      </c>
      <c r="F250" s="13">
        <f>ROUND(Source!AQ240,O250)</f>
        <v>0</v>
      </c>
      <c r="G250" s="13" t="s">
        <v>133</v>
      </c>
      <c r="H250" s="13" t="s">
        <v>134</v>
      </c>
      <c r="I250" s="13"/>
      <c r="J250" s="13"/>
      <c r="K250" s="13">
        <v>223</v>
      </c>
      <c r="L250" s="13">
        <v>9</v>
      </c>
      <c r="M250" s="13">
        <v>3</v>
      </c>
      <c r="N250" s="13" t="s">
        <v>3</v>
      </c>
      <c r="O250" s="13">
        <v>2</v>
      </c>
      <c r="P250" s="13">
        <f>ROUND(Source!EI240,O250)</f>
        <v>0</v>
      </c>
      <c r="Q250" s="13"/>
      <c r="R250" s="13"/>
      <c r="S250" s="13"/>
      <c r="T250" s="13"/>
      <c r="U250" s="13"/>
      <c r="V250" s="13"/>
      <c r="W250" s="13">
        <v>0</v>
      </c>
      <c r="X250" s="13">
        <v>1</v>
      </c>
      <c r="Y250" s="13">
        <v>0</v>
      </c>
      <c r="Z250" s="13">
        <v>0</v>
      </c>
      <c r="AA250" s="13">
        <v>1</v>
      </c>
      <c r="AB250" s="13">
        <v>0</v>
      </c>
    </row>
    <row r="251" spans="1:28" ht="13" x14ac:dyDescent="0.3">
      <c r="A251" s="13">
        <v>50</v>
      </c>
      <c r="B251" s="13">
        <v>0</v>
      </c>
      <c r="C251" s="13">
        <v>0</v>
      </c>
      <c r="D251" s="13">
        <v>1</v>
      </c>
      <c r="E251" s="13">
        <v>229</v>
      </c>
      <c r="F251" s="13">
        <f>ROUND(Source!AZ240,O251)</f>
        <v>120492.28</v>
      </c>
      <c r="G251" s="13" t="s">
        <v>135</v>
      </c>
      <c r="H251" s="13" t="s">
        <v>136</v>
      </c>
      <c r="I251" s="13"/>
      <c r="J251" s="13"/>
      <c r="K251" s="13">
        <v>229</v>
      </c>
      <c r="L251" s="13">
        <v>10</v>
      </c>
      <c r="M251" s="13">
        <v>3</v>
      </c>
      <c r="N251" s="13" t="s">
        <v>3</v>
      </c>
      <c r="O251" s="13">
        <v>2</v>
      </c>
      <c r="P251" s="13">
        <f>ROUND(Source!ER240,O251)</f>
        <v>936527.78</v>
      </c>
      <c r="Q251" s="13"/>
      <c r="R251" s="13"/>
      <c r="S251" s="13"/>
      <c r="T251" s="13"/>
      <c r="U251" s="13"/>
      <c r="V251" s="13"/>
      <c r="W251" s="13">
        <v>120492.28</v>
      </c>
      <c r="X251" s="13">
        <v>1</v>
      </c>
      <c r="Y251" s="13">
        <v>120492.28</v>
      </c>
      <c r="Z251" s="13">
        <v>936527.78</v>
      </c>
      <c r="AA251" s="13">
        <v>1</v>
      </c>
      <c r="AB251" s="13">
        <v>936527.78</v>
      </c>
    </row>
    <row r="252" spans="1:28" ht="13" x14ac:dyDescent="0.3">
      <c r="A252" s="13">
        <v>50</v>
      </c>
      <c r="B252" s="13">
        <v>0</v>
      </c>
      <c r="C252" s="13">
        <v>0</v>
      </c>
      <c r="D252" s="13">
        <v>1</v>
      </c>
      <c r="E252" s="13">
        <v>203</v>
      </c>
      <c r="F252" s="13">
        <f>ROUND(Source!Q240,O252)</f>
        <v>378.7</v>
      </c>
      <c r="G252" s="13" t="s">
        <v>137</v>
      </c>
      <c r="H252" s="13" t="s">
        <v>138</v>
      </c>
      <c r="I252" s="13"/>
      <c r="J252" s="13"/>
      <c r="K252" s="13">
        <v>203</v>
      </c>
      <c r="L252" s="13">
        <v>11</v>
      </c>
      <c r="M252" s="13">
        <v>3</v>
      </c>
      <c r="N252" s="13" t="s">
        <v>3</v>
      </c>
      <c r="O252" s="13">
        <v>2</v>
      </c>
      <c r="P252" s="13">
        <f>ROUND(Source!DI240,O252)</f>
        <v>5434.52</v>
      </c>
      <c r="Q252" s="13"/>
      <c r="R252" s="13"/>
      <c r="S252" s="13"/>
      <c r="T252" s="13"/>
      <c r="U252" s="13"/>
      <c r="V252" s="13"/>
      <c r="W252" s="13">
        <v>378.7</v>
      </c>
      <c r="X252" s="13">
        <v>1</v>
      </c>
      <c r="Y252" s="13">
        <v>378.7</v>
      </c>
      <c r="Z252" s="13">
        <v>5434.52</v>
      </c>
      <c r="AA252" s="13">
        <v>1</v>
      </c>
      <c r="AB252" s="13">
        <v>5434.52</v>
      </c>
    </row>
    <row r="253" spans="1:28" ht="13" x14ac:dyDescent="0.3">
      <c r="A253" s="13">
        <v>50</v>
      </c>
      <c r="B253" s="13">
        <v>0</v>
      </c>
      <c r="C253" s="13">
        <v>0</v>
      </c>
      <c r="D253" s="13">
        <v>1</v>
      </c>
      <c r="E253" s="13">
        <v>231</v>
      </c>
      <c r="F253" s="13">
        <f>ROUND(Source!BB240,O253)</f>
        <v>0</v>
      </c>
      <c r="G253" s="13" t="s">
        <v>139</v>
      </c>
      <c r="H253" s="13" t="s">
        <v>140</v>
      </c>
      <c r="I253" s="13"/>
      <c r="J253" s="13"/>
      <c r="K253" s="13">
        <v>231</v>
      </c>
      <c r="L253" s="13">
        <v>12</v>
      </c>
      <c r="M253" s="13">
        <v>3</v>
      </c>
      <c r="N253" s="13" t="s">
        <v>3</v>
      </c>
      <c r="O253" s="13">
        <v>2</v>
      </c>
      <c r="P253" s="13">
        <f>ROUND(Source!ET240,O253)</f>
        <v>0</v>
      </c>
      <c r="Q253" s="13"/>
      <c r="R253" s="13"/>
      <c r="S253" s="13"/>
      <c r="T253" s="13"/>
      <c r="U253" s="13"/>
      <c r="V253" s="13"/>
      <c r="W253" s="13">
        <v>0</v>
      </c>
      <c r="X253" s="13">
        <v>1</v>
      </c>
      <c r="Y253" s="13">
        <v>0</v>
      </c>
      <c r="Z253" s="13">
        <v>0</v>
      </c>
      <c r="AA253" s="13">
        <v>1</v>
      </c>
      <c r="AB253" s="13">
        <v>0</v>
      </c>
    </row>
    <row r="254" spans="1:28" ht="13" x14ac:dyDescent="0.3">
      <c r="A254" s="13">
        <v>50</v>
      </c>
      <c r="B254" s="13">
        <v>0</v>
      </c>
      <c r="C254" s="13">
        <v>0</v>
      </c>
      <c r="D254" s="13">
        <v>1</v>
      </c>
      <c r="E254" s="13">
        <v>204</v>
      </c>
      <c r="F254" s="13">
        <f>ROUND(Source!R240,O254)</f>
        <v>28.29</v>
      </c>
      <c r="G254" s="13" t="s">
        <v>141</v>
      </c>
      <c r="H254" s="13" t="s">
        <v>142</v>
      </c>
      <c r="I254" s="13"/>
      <c r="J254" s="13"/>
      <c r="K254" s="13">
        <v>204</v>
      </c>
      <c r="L254" s="13">
        <v>13</v>
      </c>
      <c r="M254" s="13">
        <v>3</v>
      </c>
      <c r="N254" s="13" t="s">
        <v>3</v>
      </c>
      <c r="O254" s="13">
        <v>2</v>
      </c>
      <c r="P254" s="13">
        <f>ROUND(Source!DJ240,O254)</f>
        <v>1594.14</v>
      </c>
      <c r="Q254" s="13"/>
      <c r="R254" s="13"/>
      <c r="S254" s="13"/>
      <c r="T254" s="13"/>
      <c r="U254" s="13"/>
      <c r="V254" s="13"/>
      <c r="W254" s="13">
        <v>28.29</v>
      </c>
      <c r="X254" s="13">
        <v>1</v>
      </c>
      <c r="Y254" s="13">
        <v>28.29</v>
      </c>
      <c r="Z254" s="13">
        <v>1594.14</v>
      </c>
      <c r="AA254" s="13">
        <v>1</v>
      </c>
      <c r="AB254" s="13">
        <v>1594.14</v>
      </c>
    </row>
    <row r="255" spans="1:28" ht="13" x14ac:dyDescent="0.3">
      <c r="A255" s="13">
        <v>50</v>
      </c>
      <c r="B255" s="13">
        <v>0</v>
      </c>
      <c r="C255" s="13">
        <v>0</v>
      </c>
      <c r="D255" s="13">
        <v>1</v>
      </c>
      <c r="E255" s="13">
        <v>205</v>
      </c>
      <c r="F255" s="13">
        <f>ROUND(Source!S240,O255)</f>
        <v>17423.419999999998</v>
      </c>
      <c r="G255" s="13" t="s">
        <v>143</v>
      </c>
      <c r="H255" s="13" t="s">
        <v>144</v>
      </c>
      <c r="I255" s="13"/>
      <c r="J255" s="13"/>
      <c r="K255" s="13">
        <v>205</v>
      </c>
      <c r="L255" s="13">
        <v>14</v>
      </c>
      <c r="M255" s="13">
        <v>3</v>
      </c>
      <c r="N255" s="13" t="s">
        <v>3</v>
      </c>
      <c r="O255" s="13">
        <v>2</v>
      </c>
      <c r="P255" s="13">
        <f>ROUND(Source!DK240,O255)</f>
        <v>981809.72</v>
      </c>
      <c r="Q255" s="13"/>
      <c r="R255" s="13"/>
      <c r="S255" s="13"/>
      <c r="T255" s="13"/>
      <c r="U255" s="13"/>
      <c r="V255" s="13"/>
      <c r="W255" s="13">
        <v>17423.419999999998</v>
      </c>
      <c r="X255" s="13">
        <v>1</v>
      </c>
      <c r="Y255" s="13">
        <v>17423.419999999998</v>
      </c>
      <c r="Z255" s="13">
        <v>981809.72</v>
      </c>
      <c r="AA255" s="13">
        <v>1</v>
      </c>
      <c r="AB255" s="13">
        <v>981809.72</v>
      </c>
    </row>
    <row r="256" spans="1:28" ht="13" x14ac:dyDescent="0.3">
      <c r="A256" s="13">
        <v>50</v>
      </c>
      <c r="B256" s="13">
        <v>0</v>
      </c>
      <c r="C256" s="13">
        <v>0</v>
      </c>
      <c r="D256" s="13">
        <v>1</v>
      </c>
      <c r="E256" s="13">
        <v>232</v>
      </c>
      <c r="F256" s="13">
        <f>ROUND(Source!BC240,O256)</f>
        <v>0</v>
      </c>
      <c r="G256" s="13" t="s">
        <v>145</v>
      </c>
      <c r="H256" s="13" t="s">
        <v>146</v>
      </c>
      <c r="I256" s="13"/>
      <c r="J256" s="13"/>
      <c r="K256" s="13">
        <v>232</v>
      </c>
      <c r="L256" s="13">
        <v>15</v>
      </c>
      <c r="M256" s="13">
        <v>3</v>
      </c>
      <c r="N256" s="13" t="s">
        <v>3</v>
      </c>
      <c r="O256" s="13">
        <v>2</v>
      </c>
      <c r="P256" s="13">
        <f>ROUND(Source!EU240,O256)</f>
        <v>0</v>
      </c>
      <c r="Q256" s="13"/>
      <c r="R256" s="13"/>
      <c r="S256" s="13"/>
      <c r="T256" s="13"/>
      <c r="U256" s="13"/>
      <c r="V256" s="13"/>
      <c r="W256" s="13">
        <v>0</v>
      </c>
      <c r="X256" s="13">
        <v>1</v>
      </c>
      <c r="Y256" s="13">
        <v>0</v>
      </c>
      <c r="Z256" s="13">
        <v>0</v>
      </c>
      <c r="AA256" s="13">
        <v>1</v>
      </c>
      <c r="AB256" s="13">
        <v>0</v>
      </c>
    </row>
    <row r="257" spans="1:206" ht="13" x14ac:dyDescent="0.3">
      <c r="A257" s="13">
        <v>50</v>
      </c>
      <c r="B257" s="13">
        <v>0</v>
      </c>
      <c r="C257" s="13">
        <v>0</v>
      </c>
      <c r="D257" s="13">
        <v>1</v>
      </c>
      <c r="E257" s="13">
        <v>214</v>
      </c>
      <c r="F257" s="13">
        <f>ROUND(Source!AS240,O257)</f>
        <v>0</v>
      </c>
      <c r="G257" s="13" t="s">
        <v>147</v>
      </c>
      <c r="H257" s="13" t="s">
        <v>148</v>
      </c>
      <c r="I257" s="13"/>
      <c r="J257" s="13"/>
      <c r="K257" s="13">
        <v>214</v>
      </c>
      <c r="L257" s="13">
        <v>16</v>
      </c>
      <c r="M257" s="13">
        <v>3</v>
      </c>
      <c r="N257" s="13" t="s">
        <v>3</v>
      </c>
      <c r="O257" s="13">
        <v>2</v>
      </c>
      <c r="P257" s="13">
        <f>ROUND(Source!EK240,O257)</f>
        <v>0</v>
      </c>
      <c r="Q257" s="13"/>
      <c r="R257" s="13"/>
      <c r="S257" s="13"/>
      <c r="T257" s="13"/>
      <c r="U257" s="13"/>
      <c r="V257" s="13"/>
      <c r="W257" s="13">
        <v>0</v>
      </c>
      <c r="X257" s="13">
        <v>1</v>
      </c>
      <c r="Y257" s="13">
        <v>0</v>
      </c>
      <c r="Z257" s="13">
        <v>0</v>
      </c>
      <c r="AA257" s="13">
        <v>1</v>
      </c>
      <c r="AB257" s="13">
        <v>0</v>
      </c>
    </row>
    <row r="258" spans="1:206" ht="13" x14ac:dyDescent="0.3">
      <c r="A258" s="13">
        <v>50</v>
      </c>
      <c r="B258" s="13">
        <v>0</v>
      </c>
      <c r="C258" s="13">
        <v>0</v>
      </c>
      <c r="D258" s="13">
        <v>1</v>
      </c>
      <c r="E258" s="13">
        <v>215</v>
      </c>
      <c r="F258" s="13">
        <f>ROUND(Source!AT240,O258)</f>
        <v>43576.66</v>
      </c>
      <c r="G258" s="13" t="s">
        <v>149</v>
      </c>
      <c r="H258" s="13" t="s">
        <v>150</v>
      </c>
      <c r="I258" s="13"/>
      <c r="J258" s="13"/>
      <c r="K258" s="13">
        <v>215</v>
      </c>
      <c r="L258" s="13">
        <v>17</v>
      </c>
      <c r="M258" s="13">
        <v>3</v>
      </c>
      <c r="N258" s="13" t="s">
        <v>3</v>
      </c>
      <c r="O258" s="13">
        <v>2</v>
      </c>
      <c r="P258" s="13">
        <f>ROUND(Source!EL240,O258)</f>
        <v>2347921.9500000002</v>
      </c>
      <c r="Q258" s="13"/>
      <c r="R258" s="13"/>
      <c r="S258" s="13"/>
      <c r="T258" s="13"/>
      <c r="U258" s="13"/>
      <c r="V258" s="13"/>
      <c r="W258" s="13">
        <v>43576.66</v>
      </c>
      <c r="X258" s="13">
        <v>1</v>
      </c>
      <c r="Y258" s="13">
        <v>43576.66</v>
      </c>
      <c r="Z258" s="13">
        <v>2347921.9500000002</v>
      </c>
      <c r="AA258" s="13">
        <v>1</v>
      </c>
      <c r="AB258" s="13">
        <v>2347921.9500000002</v>
      </c>
    </row>
    <row r="259" spans="1:206" ht="13" x14ac:dyDescent="0.3">
      <c r="A259" s="13">
        <v>50</v>
      </c>
      <c r="B259" s="13">
        <v>0</v>
      </c>
      <c r="C259" s="13">
        <v>0</v>
      </c>
      <c r="D259" s="13">
        <v>1</v>
      </c>
      <c r="E259" s="13">
        <v>217</v>
      </c>
      <c r="F259" s="13">
        <f>ROUND(Source!AU240,O259)</f>
        <v>0</v>
      </c>
      <c r="G259" s="13" t="s">
        <v>151</v>
      </c>
      <c r="H259" s="13" t="s">
        <v>152</v>
      </c>
      <c r="I259" s="13"/>
      <c r="J259" s="13"/>
      <c r="K259" s="13">
        <v>217</v>
      </c>
      <c r="L259" s="13">
        <v>18</v>
      </c>
      <c r="M259" s="13">
        <v>3</v>
      </c>
      <c r="N259" s="13" t="s">
        <v>3</v>
      </c>
      <c r="O259" s="13">
        <v>2</v>
      </c>
      <c r="P259" s="13">
        <f>ROUND(Source!EM240,O259)</f>
        <v>0</v>
      </c>
      <c r="Q259" s="13"/>
      <c r="R259" s="13"/>
      <c r="S259" s="13"/>
      <c r="T259" s="13"/>
      <c r="U259" s="13"/>
      <c r="V259" s="13"/>
      <c r="W259" s="13">
        <v>0</v>
      </c>
      <c r="X259" s="13">
        <v>1</v>
      </c>
      <c r="Y259" s="13">
        <v>0</v>
      </c>
      <c r="Z259" s="13">
        <v>0</v>
      </c>
      <c r="AA259" s="13">
        <v>1</v>
      </c>
      <c r="AB259" s="13">
        <v>0</v>
      </c>
    </row>
    <row r="260" spans="1:206" ht="13" x14ac:dyDescent="0.3">
      <c r="A260" s="13">
        <v>50</v>
      </c>
      <c r="B260" s="13">
        <v>0</v>
      </c>
      <c r="C260" s="13">
        <v>0</v>
      </c>
      <c r="D260" s="13">
        <v>1</v>
      </c>
      <c r="E260" s="13">
        <v>230</v>
      </c>
      <c r="F260" s="13">
        <f>ROUND(Source!BA240,O260)</f>
        <v>0</v>
      </c>
      <c r="G260" s="13" t="s">
        <v>153</v>
      </c>
      <c r="H260" s="13" t="s">
        <v>154</v>
      </c>
      <c r="I260" s="13"/>
      <c r="J260" s="13"/>
      <c r="K260" s="13">
        <v>230</v>
      </c>
      <c r="L260" s="13">
        <v>19</v>
      </c>
      <c r="M260" s="13">
        <v>3</v>
      </c>
      <c r="N260" s="13" t="s">
        <v>3</v>
      </c>
      <c r="O260" s="13">
        <v>2</v>
      </c>
      <c r="P260" s="13">
        <f>ROUND(Source!ES240,O260)</f>
        <v>0</v>
      </c>
      <c r="Q260" s="13"/>
      <c r="R260" s="13"/>
      <c r="S260" s="13"/>
      <c r="T260" s="13"/>
      <c r="U260" s="13"/>
      <c r="V260" s="13"/>
      <c r="W260" s="13">
        <v>0</v>
      </c>
      <c r="X260" s="13">
        <v>1</v>
      </c>
      <c r="Y260" s="13">
        <v>0</v>
      </c>
      <c r="Z260" s="13">
        <v>0</v>
      </c>
      <c r="AA260" s="13">
        <v>1</v>
      </c>
      <c r="AB260" s="13">
        <v>0</v>
      </c>
    </row>
    <row r="261" spans="1:206" ht="13" x14ac:dyDescent="0.3">
      <c r="A261" s="13">
        <v>50</v>
      </c>
      <c r="B261" s="13">
        <v>0</v>
      </c>
      <c r="C261" s="13">
        <v>0</v>
      </c>
      <c r="D261" s="13">
        <v>1</v>
      </c>
      <c r="E261" s="13">
        <v>206</v>
      </c>
      <c r="F261" s="13">
        <f>ROUND(Source!T240,O261)</f>
        <v>0</v>
      </c>
      <c r="G261" s="13" t="s">
        <v>155</v>
      </c>
      <c r="H261" s="13" t="s">
        <v>156</v>
      </c>
      <c r="I261" s="13"/>
      <c r="J261" s="13"/>
      <c r="K261" s="13">
        <v>206</v>
      </c>
      <c r="L261" s="13">
        <v>20</v>
      </c>
      <c r="M261" s="13">
        <v>3</v>
      </c>
      <c r="N261" s="13" t="s">
        <v>3</v>
      </c>
      <c r="O261" s="13">
        <v>2</v>
      </c>
      <c r="P261" s="13">
        <f>ROUND(Source!DL240,O261)</f>
        <v>0</v>
      </c>
      <c r="Q261" s="13"/>
      <c r="R261" s="13"/>
      <c r="S261" s="13"/>
      <c r="T261" s="13"/>
      <c r="U261" s="13"/>
      <c r="V261" s="13"/>
      <c r="W261" s="13">
        <v>0</v>
      </c>
      <c r="X261" s="13">
        <v>1</v>
      </c>
      <c r="Y261" s="13">
        <v>0</v>
      </c>
      <c r="Z261" s="13">
        <v>0</v>
      </c>
      <c r="AA261" s="13">
        <v>1</v>
      </c>
      <c r="AB261" s="13">
        <v>0</v>
      </c>
    </row>
    <row r="262" spans="1:206" ht="13" x14ac:dyDescent="0.3">
      <c r="A262" s="13">
        <v>50</v>
      </c>
      <c r="B262" s="13">
        <v>0</v>
      </c>
      <c r="C262" s="13">
        <v>0</v>
      </c>
      <c r="D262" s="13">
        <v>1</v>
      </c>
      <c r="E262" s="13">
        <v>207</v>
      </c>
      <c r="F262" s="13">
        <f>Source!U240</f>
        <v>1375.5318479999999</v>
      </c>
      <c r="G262" s="13" t="s">
        <v>157</v>
      </c>
      <c r="H262" s="13" t="s">
        <v>158</v>
      </c>
      <c r="I262" s="13"/>
      <c r="J262" s="13"/>
      <c r="K262" s="13">
        <v>207</v>
      </c>
      <c r="L262" s="13">
        <v>21</v>
      </c>
      <c r="M262" s="13">
        <v>3</v>
      </c>
      <c r="N262" s="13" t="s">
        <v>3</v>
      </c>
      <c r="O262" s="13">
        <v>-1</v>
      </c>
      <c r="P262" s="13">
        <f>Source!DM240</f>
        <v>1375.5318479999999</v>
      </c>
      <c r="Q262" s="13"/>
      <c r="R262" s="13"/>
      <c r="S262" s="13"/>
      <c r="T262" s="13"/>
      <c r="U262" s="13"/>
      <c r="V262" s="13"/>
      <c r="W262" s="13">
        <v>1375.5318480000001</v>
      </c>
      <c r="X262" s="13">
        <v>1</v>
      </c>
      <c r="Y262" s="13">
        <v>1375.5318480000001</v>
      </c>
      <c r="Z262" s="13">
        <v>1375.5318480000001</v>
      </c>
      <c r="AA262" s="13">
        <v>1</v>
      </c>
      <c r="AB262" s="13">
        <v>1375.5318480000001</v>
      </c>
    </row>
    <row r="263" spans="1:206" ht="13" x14ac:dyDescent="0.3">
      <c r="A263" s="13">
        <v>50</v>
      </c>
      <c r="B263" s="13">
        <v>0</v>
      </c>
      <c r="C263" s="13">
        <v>0</v>
      </c>
      <c r="D263" s="13">
        <v>1</v>
      </c>
      <c r="E263" s="13">
        <v>208</v>
      </c>
      <c r="F263" s="13">
        <f>Source!V240</f>
        <v>0</v>
      </c>
      <c r="G263" s="13" t="s">
        <v>159</v>
      </c>
      <c r="H263" s="13" t="s">
        <v>160</v>
      </c>
      <c r="I263" s="13"/>
      <c r="J263" s="13"/>
      <c r="K263" s="13">
        <v>208</v>
      </c>
      <c r="L263" s="13">
        <v>22</v>
      </c>
      <c r="M263" s="13">
        <v>3</v>
      </c>
      <c r="N263" s="13" t="s">
        <v>3</v>
      </c>
      <c r="O263" s="13">
        <v>-1</v>
      </c>
      <c r="P263" s="13">
        <f>Source!DN240</f>
        <v>0</v>
      </c>
      <c r="Q263" s="13"/>
      <c r="R263" s="13"/>
      <c r="S263" s="13"/>
      <c r="T263" s="13"/>
      <c r="U263" s="13"/>
      <c r="V263" s="13"/>
      <c r="W263" s="13">
        <v>0</v>
      </c>
      <c r="X263" s="13">
        <v>1</v>
      </c>
      <c r="Y263" s="13">
        <v>0</v>
      </c>
      <c r="Z263" s="13">
        <v>0</v>
      </c>
      <c r="AA263" s="13">
        <v>1</v>
      </c>
      <c r="AB263" s="13">
        <v>0</v>
      </c>
    </row>
    <row r="264" spans="1:206" ht="13" x14ac:dyDescent="0.3">
      <c r="A264" s="13">
        <v>50</v>
      </c>
      <c r="B264" s="13">
        <v>0</v>
      </c>
      <c r="C264" s="13">
        <v>0</v>
      </c>
      <c r="D264" s="13">
        <v>1</v>
      </c>
      <c r="E264" s="13">
        <v>209</v>
      </c>
      <c r="F264" s="13">
        <f>ROUND(Source!W240,O264)</f>
        <v>0</v>
      </c>
      <c r="G264" s="13" t="s">
        <v>161</v>
      </c>
      <c r="H264" s="13" t="s">
        <v>162</v>
      </c>
      <c r="I264" s="13"/>
      <c r="J264" s="13"/>
      <c r="K264" s="13">
        <v>209</v>
      </c>
      <c r="L264" s="13">
        <v>23</v>
      </c>
      <c r="M264" s="13">
        <v>3</v>
      </c>
      <c r="N264" s="13" t="s">
        <v>3</v>
      </c>
      <c r="O264" s="13">
        <v>2</v>
      </c>
      <c r="P264" s="13">
        <f>ROUND(Source!DO240,O264)</f>
        <v>0</v>
      </c>
      <c r="Q264" s="13"/>
      <c r="R264" s="13"/>
      <c r="S264" s="13"/>
      <c r="T264" s="13"/>
      <c r="U264" s="13"/>
      <c r="V264" s="13"/>
      <c r="W264" s="13">
        <v>0</v>
      </c>
      <c r="X264" s="13">
        <v>1</v>
      </c>
      <c r="Y264" s="13">
        <v>0</v>
      </c>
      <c r="Z264" s="13">
        <v>0</v>
      </c>
      <c r="AA264" s="13">
        <v>1</v>
      </c>
      <c r="AB264" s="13">
        <v>0</v>
      </c>
    </row>
    <row r="265" spans="1:206" ht="13" x14ac:dyDescent="0.3">
      <c r="A265" s="13">
        <v>50</v>
      </c>
      <c r="B265" s="13">
        <v>0</v>
      </c>
      <c r="C265" s="13">
        <v>0</v>
      </c>
      <c r="D265" s="13">
        <v>1</v>
      </c>
      <c r="E265" s="13">
        <v>233</v>
      </c>
      <c r="F265" s="13">
        <f>ROUND(Source!BD240,O265)</f>
        <v>0</v>
      </c>
      <c r="G265" s="13" t="s">
        <v>163</v>
      </c>
      <c r="H265" s="13" t="s">
        <v>164</v>
      </c>
      <c r="I265" s="13"/>
      <c r="J265" s="13"/>
      <c r="K265" s="13">
        <v>233</v>
      </c>
      <c r="L265" s="13">
        <v>24</v>
      </c>
      <c r="M265" s="13">
        <v>3</v>
      </c>
      <c r="N265" s="13" t="s">
        <v>3</v>
      </c>
      <c r="O265" s="13">
        <v>2</v>
      </c>
      <c r="P265" s="13">
        <f>ROUND(Source!EV240,O265)</f>
        <v>0</v>
      </c>
      <c r="Q265" s="13"/>
      <c r="R265" s="13"/>
      <c r="S265" s="13"/>
      <c r="T265" s="13"/>
      <c r="U265" s="13"/>
      <c r="V265" s="13"/>
      <c r="W265" s="13">
        <v>0</v>
      </c>
      <c r="X265" s="13">
        <v>1</v>
      </c>
      <c r="Y265" s="13">
        <v>0</v>
      </c>
      <c r="Z265" s="13">
        <v>0</v>
      </c>
      <c r="AA265" s="13">
        <v>1</v>
      </c>
      <c r="AB265" s="13">
        <v>0</v>
      </c>
    </row>
    <row r="266" spans="1:206" ht="13" x14ac:dyDescent="0.3">
      <c r="A266" s="13">
        <v>50</v>
      </c>
      <c r="B266" s="13">
        <v>0</v>
      </c>
      <c r="C266" s="13">
        <v>0</v>
      </c>
      <c r="D266" s="13">
        <v>1</v>
      </c>
      <c r="E266" s="13">
        <v>210</v>
      </c>
      <c r="F266" s="13">
        <f>ROUND(Source!X240,O266)</f>
        <v>15752.1</v>
      </c>
      <c r="G266" s="13" t="s">
        <v>165</v>
      </c>
      <c r="H266" s="13" t="s">
        <v>166</v>
      </c>
      <c r="I266" s="13"/>
      <c r="J266" s="13"/>
      <c r="K266" s="13">
        <v>210</v>
      </c>
      <c r="L266" s="13">
        <v>25</v>
      </c>
      <c r="M266" s="13">
        <v>3</v>
      </c>
      <c r="N266" s="13" t="s">
        <v>3</v>
      </c>
      <c r="O266" s="13">
        <v>2</v>
      </c>
      <c r="P266" s="13">
        <f>ROUND(Source!DP240,O266)</f>
        <v>887630.92</v>
      </c>
      <c r="Q266" s="13"/>
      <c r="R266" s="13"/>
      <c r="S266" s="13"/>
      <c r="T266" s="13"/>
      <c r="U266" s="13"/>
      <c r="V266" s="13"/>
      <c r="W266" s="13">
        <v>15752.1</v>
      </c>
      <c r="X266" s="13">
        <v>1</v>
      </c>
      <c r="Y266" s="13">
        <v>15752.1</v>
      </c>
      <c r="Z266" s="13">
        <v>887630.92</v>
      </c>
      <c r="AA266" s="13">
        <v>1</v>
      </c>
      <c r="AB266" s="13">
        <v>887630.92</v>
      </c>
    </row>
    <row r="267" spans="1:206" ht="13" x14ac:dyDescent="0.3">
      <c r="A267" s="13">
        <v>50</v>
      </c>
      <c r="B267" s="13">
        <v>0</v>
      </c>
      <c r="C267" s="13">
        <v>0</v>
      </c>
      <c r="D267" s="13">
        <v>1</v>
      </c>
      <c r="E267" s="13">
        <v>211</v>
      </c>
      <c r="F267" s="13">
        <f>ROUND(Source!Y240,O267)</f>
        <v>8091.57</v>
      </c>
      <c r="G267" s="13" t="s">
        <v>167</v>
      </c>
      <c r="H267" s="13" t="s">
        <v>168</v>
      </c>
      <c r="I267" s="13"/>
      <c r="J267" s="13"/>
      <c r="K267" s="13">
        <v>211</v>
      </c>
      <c r="L267" s="13">
        <v>26</v>
      </c>
      <c r="M267" s="13">
        <v>3</v>
      </c>
      <c r="N267" s="13" t="s">
        <v>3</v>
      </c>
      <c r="O267" s="13">
        <v>2</v>
      </c>
      <c r="P267" s="13">
        <f>ROUND(Source!DQ240,O267)</f>
        <v>455960.2</v>
      </c>
      <c r="Q267" s="13"/>
      <c r="R267" s="13"/>
      <c r="S267" s="13"/>
      <c r="T267" s="13"/>
      <c r="U267" s="13"/>
      <c r="V267" s="13"/>
      <c r="W267" s="13">
        <v>8091.57</v>
      </c>
      <c r="X267" s="13">
        <v>1</v>
      </c>
      <c r="Y267" s="13">
        <v>8091.57</v>
      </c>
      <c r="Z267" s="13">
        <v>455960.2</v>
      </c>
      <c r="AA267" s="13">
        <v>1</v>
      </c>
      <c r="AB267" s="13">
        <v>455960.2</v>
      </c>
    </row>
    <row r="268" spans="1:206" ht="13" x14ac:dyDescent="0.3">
      <c r="A268" s="13">
        <v>50</v>
      </c>
      <c r="B268" s="13">
        <v>0</v>
      </c>
      <c r="C268" s="13">
        <v>0</v>
      </c>
      <c r="D268" s="13">
        <v>1</v>
      </c>
      <c r="E268" s="13">
        <v>224</v>
      </c>
      <c r="F268" s="13">
        <f>ROUND(Source!AR240,O268)</f>
        <v>164068.94</v>
      </c>
      <c r="G268" s="13" t="s">
        <v>169</v>
      </c>
      <c r="H268" s="13" t="s">
        <v>170</v>
      </c>
      <c r="I268" s="13"/>
      <c r="J268" s="13"/>
      <c r="K268" s="13">
        <v>224</v>
      </c>
      <c r="L268" s="13">
        <v>27</v>
      </c>
      <c r="M268" s="13">
        <v>3</v>
      </c>
      <c r="N268" s="13" t="s">
        <v>3</v>
      </c>
      <c r="O268" s="13">
        <v>2</v>
      </c>
      <c r="P268" s="13">
        <f>ROUND(Source!EJ240,O268)</f>
        <v>3284449.73</v>
      </c>
      <c r="Q268" s="13"/>
      <c r="R268" s="13"/>
      <c r="S268" s="13"/>
      <c r="T268" s="13"/>
      <c r="U268" s="13"/>
      <c r="V268" s="13"/>
      <c r="W268" s="13">
        <v>164068.94</v>
      </c>
      <c r="X268" s="13">
        <v>1</v>
      </c>
      <c r="Y268" s="13">
        <v>164068.94</v>
      </c>
      <c r="Z268" s="13">
        <v>3284449.73</v>
      </c>
      <c r="AA268" s="13">
        <v>1</v>
      </c>
      <c r="AB268" s="13">
        <v>3284449.73</v>
      </c>
    </row>
    <row r="270" spans="1:206" ht="13" x14ac:dyDescent="0.3">
      <c r="A270" s="10">
        <v>4</v>
      </c>
      <c r="B270" s="10">
        <v>1</v>
      </c>
      <c r="C270" s="10"/>
      <c r="D270" s="10">
        <f>ROW(A281)</f>
        <v>281</v>
      </c>
      <c r="E270" s="10"/>
      <c r="F270" s="10" t="s">
        <v>21</v>
      </c>
      <c r="G270" s="10" t="s">
        <v>264</v>
      </c>
      <c r="H270" s="10" t="s">
        <v>3</v>
      </c>
      <c r="I270" s="10">
        <v>0</v>
      </c>
      <c r="J270" s="10"/>
      <c r="K270" s="10">
        <v>0</v>
      </c>
      <c r="L270" s="10"/>
      <c r="M270" s="10" t="s">
        <v>3</v>
      </c>
      <c r="N270" s="10"/>
      <c r="O270" s="10"/>
      <c r="P270" s="10"/>
      <c r="Q270" s="10"/>
      <c r="R270" s="10"/>
      <c r="S270" s="10">
        <v>0</v>
      </c>
      <c r="T270" s="10">
        <v>0</v>
      </c>
      <c r="U270" s="10" t="s">
        <v>3</v>
      </c>
      <c r="V270" s="10">
        <v>2</v>
      </c>
      <c r="W270" s="10"/>
      <c r="X270" s="10"/>
      <c r="Y270" s="10"/>
      <c r="Z270" s="10"/>
      <c r="AA270" s="10"/>
      <c r="AB270" s="10" t="s">
        <v>3</v>
      </c>
      <c r="AC270" s="10" t="s">
        <v>3</v>
      </c>
      <c r="AD270" s="10" t="s">
        <v>3</v>
      </c>
      <c r="AE270" s="10" t="s">
        <v>3</v>
      </c>
      <c r="AF270" s="10" t="s">
        <v>3</v>
      </c>
      <c r="AG270" s="10" t="s">
        <v>3</v>
      </c>
      <c r="AH270" s="10"/>
      <c r="AI270" s="10"/>
      <c r="AJ270" s="10"/>
      <c r="AK270" s="10"/>
      <c r="AL270" s="10"/>
      <c r="AM270" s="10"/>
      <c r="AN270" s="10"/>
      <c r="AO270" s="10"/>
      <c r="AP270" s="10" t="s">
        <v>3</v>
      </c>
      <c r="AQ270" s="10" t="s">
        <v>3</v>
      </c>
      <c r="AR270" s="10" t="s">
        <v>3</v>
      </c>
      <c r="AS270" s="10"/>
      <c r="AT270" s="10"/>
      <c r="AU270" s="10"/>
      <c r="AV270" s="10"/>
      <c r="AW270" s="10"/>
      <c r="AX270" s="10"/>
      <c r="AY270" s="10"/>
      <c r="AZ270" s="10" t="s">
        <v>3</v>
      </c>
      <c r="BA270" s="10"/>
      <c r="BB270" s="10" t="s">
        <v>3</v>
      </c>
      <c r="BC270" s="10" t="s">
        <v>3</v>
      </c>
      <c r="BD270" s="10" t="s">
        <v>3</v>
      </c>
      <c r="BE270" s="10" t="s">
        <v>3</v>
      </c>
      <c r="BF270" s="10" t="s">
        <v>3</v>
      </c>
      <c r="BG270" s="10" t="s">
        <v>3</v>
      </c>
      <c r="BH270" s="10" t="s">
        <v>3</v>
      </c>
      <c r="BI270" s="10" t="s">
        <v>3</v>
      </c>
      <c r="BJ270" s="10" t="s">
        <v>3</v>
      </c>
      <c r="BK270" s="10" t="s">
        <v>3</v>
      </c>
      <c r="BL270" s="10" t="s">
        <v>3</v>
      </c>
      <c r="BM270" s="10" t="s">
        <v>3</v>
      </c>
      <c r="BN270" s="10" t="s">
        <v>3</v>
      </c>
      <c r="BO270" s="10" t="s">
        <v>3</v>
      </c>
      <c r="BP270" s="10" t="s">
        <v>3</v>
      </c>
      <c r="BQ270" s="10"/>
      <c r="BR270" s="10"/>
      <c r="BS270" s="10"/>
      <c r="BT270" s="10"/>
      <c r="BU270" s="10"/>
      <c r="BV270" s="10"/>
      <c r="BW270" s="10"/>
      <c r="BX270" s="10">
        <v>0</v>
      </c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>
        <v>0</v>
      </c>
    </row>
    <row r="272" spans="1:206" ht="13" x14ac:dyDescent="0.3">
      <c r="A272" s="11">
        <v>52</v>
      </c>
      <c r="B272" s="11">
        <f t="shared" ref="B272:G272" si="185">B281</f>
        <v>1</v>
      </c>
      <c r="C272" s="11">
        <f t="shared" si="185"/>
        <v>4</v>
      </c>
      <c r="D272" s="11">
        <f t="shared" si="185"/>
        <v>270</v>
      </c>
      <c r="E272" s="11">
        <f t="shared" si="185"/>
        <v>0</v>
      </c>
      <c r="F272" s="11" t="str">
        <f t="shared" si="185"/>
        <v>Новый раздел</v>
      </c>
      <c r="G272" s="11" t="str">
        <f t="shared" si="185"/>
        <v>Материалы, поставляемые с оборудованием СПС,</v>
      </c>
      <c r="H272" s="11"/>
      <c r="I272" s="11"/>
      <c r="J272" s="11"/>
      <c r="K272" s="11"/>
      <c r="L272" s="11"/>
      <c r="M272" s="11"/>
      <c r="N272" s="11"/>
      <c r="O272" s="11">
        <f t="shared" ref="O272:AT272" si="186">O281</f>
        <v>6601.56</v>
      </c>
      <c r="P272" s="11">
        <f t="shared" si="186"/>
        <v>6601.56</v>
      </c>
      <c r="Q272" s="11">
        <f t="shared" si="186"/>
        <v>0</v>
      </c>
      <c r="R272" s="11">
        <f t="shared" si="186"/>
        <v>0</v>
      </c>
      <c r="S272" s="11">
        <f t="shared" si="186"/>
        <v>0</v>
      </c>
      <c r="T272" s="11">
        <f t="shared" si="186"/>
        <v>0</v>
      </c>
      <c r="U272" s="11">
        <f t="shared" si="186"/>
        <v>0</v>
      </c>
      <c r="V272" s="11">
        <f t="shared" si="186"/>
        <v>0</v>
      </c>
      <c r="W272" s="11">
        <f t="shared" si="186"/>
        <v>0</v>
      </c>
      <c r="X272" s="11">
        <f t="shared" si="186"/>
        <v>0</v>
      </c>
      <c r="Y272" s="11">
        <f t="shared" si="186"/>
        <v>0</v>
      </c>
      <c r="Z272" s="11">
        <f t="shared" si="186"/>
        <v>0</v>
      </c>
      <c r="AA272" s="11">
        <f t="shared" si="186"/>
        <v>0</v>
      </c>
      <c r="AB272" s="11">
        <f t="shared" si="186"/>
        <v>6601.56</v>
      </c>
      <c r="AC272" s="11">
        <f t="shared" si="186"/>
        <v>6601.56</v>
      </c>
      <c r="AD272" s="11">
        <f t="shared" si="186"/>
        <v>0</v>
      </c>
      <c r="AE272" s="11">
        <f t="shared" si="186"/>
        <v>0</v>
      </c>
      <c r="AF272" s="11">
        <f t="shared" si="186"/>
        <v>0</v>
      </c>
      <c r="AG272" s="11">
        <f t="shared" si="186"/>
        <v>0</v>
      </c>
      <c r="AH272" s="11">
        <f t="shared" si="186"/>
        <v>0</v>
      </c>
      <c r="AI272" s="11">
        <f t="shared" si="186"/>
        <v>0</v>
      </c>
      <c r="AJ272" s="11">
        <f t="shared" si="186"/>
        <v>0</v>
      </c>
      <c r="AK272" s="11">
        <f t="shared" si="186"/>
        <v>0</v>
      </c>
      <c r="AL272" s="11">
        <f t="shared" si="186"/>
        <v>0</v>
      </c>
      <c r="AM272" s="11">
        <f t="shared" si="186"/>
        <v>0</v>
      </c>
      <c r="AN272" s="11">
        <f t="shared" si="186"/>
        <v>0</v>
      </c>
      <c r="AO272" s="11">
        <f t="shared" si="186"/>
        <v>0</v>
      </c>
      <c r="AP272" s="11">
        <f t="shared" si="186"/>
        <v>6601.56</v>
      </c>
      <c r="AQ272" s="11">
        <f t="shared" si="186"/>
        <v>0</v>
      </c>
      <c r="AR272" s="11">
        <f t="shared" si="186"/>
        <v>6601.56</v>
      </c>
      <c r="AS272" s="11">
        <f t="shared" si="186"/>
        <v>0</v>
      </c>
      <c r="AT272" s="11">
        <f t="shared" si="186"/>
        <v>0</v>
      </c>
      <c r="AU272" s="11">
        <f t="shared" ref="AU272:BZ272" si="187">AU281</f>
        <v>0</v>
      </c>
      <c r="AV272" s="11">
        <f t="shared" si="187"/>
        <v>6601.56</v>
      </c>
      <c r="AW272" s="11">
        <f t="shared" si="187"/>
        <v>0</v>
      </c>
      <c r="AX272" s="11">
        <f t="shared" si="187"/>
        <v>0</v>
      </c>
      <c r="AY272" s="11">
        <f t="shared" si="187"/>
        <v>0</v>
      </c>
      <c r="AZ272" s="11">
        <f t="shared" si="187"/>
        <v>6601.56</v>
      </c>
      <c r="BA272" s="11">
        <f t="shared" si="187"/>
        <v>0</v>
      </c>
      <c r="BB272" s="11">
        <f t="shared" si="187"/>
        <v>0</v>
      </c>
      <c r="BC272" s="11">
        <f t="shared" si="187"/>
        <v>0</v>
      </c>
      <c r="BD272" s="11">
        <f t="shared" si="187"/>
        <v>0</v>
      </c>
      <c r="BE272" s="11">
        <f t="shared" si="187"/>
        <v>0</v>
      </c>
      <c r="BF272" s="11">
        <f t="shared" si="187"/>
        <v>0</v>
      </c>
      <c r="BG272" s="11">
        <f t="shared" si="187"/>
        <v>0</v>
      </c>
      <c r="BH272" s="11">
        <f t="shared" si="187"/>
        <v>0</v>
      </c>
      <c r="BI272" s="11">
        <f t="shared" si="187"/>
        <v>0</v>
      </c>
      <c r="BJ272" s="11">
        <f t="shared" si="187"/>
        <v>0</v>
      </c>
      <c r="BK272" s="11">
        <f t="shared" si="187"/>
        <v>0</v>
      </c>
      <c r="BL272" s="11">
        <f t="shared" si="187"/>
        <v>0</v>
      </c>
      <c r="BM272" s="11">
        <f t="shared" si="187"/>
        <v>0</v>
      </c>
      <c r="BN272" s="11">
        <f t="shared" si="187"/>
        <v>0</v>
      </c>
      <c r="BO272" s="11">
        <f t="shared" si="187"/>
        <v>0</v>
      </c>
      <c r="BP272" s="11">
        <f t="shared" si="187"/>
        <v>0</v>
      </c>
      <c r="BQ272" s="11">
        <f t="shared" si="187"/>
        <v>0</v>
      </c>
      <c r="BR272" s="11">
        <f t="shared" si="187"/>
        <v>0</v>
      </c>
      <c r="BS272" s="11">
        <f t="shared" si="187"/>
        <v>0</v>
      </c>
      <c r="BT272" s="11">
        <f t="shared" si="187"/>
        <v>0</v>
      </c>
      <c r="BU272" s="11">
        <f t="shared" si="187"/>
        <v>0</v>
      </c>
      <c r="BV272" s="11">
        <f t="shared" si="187"/>
        <v>0</v>
      </c>
      <c r="BW272" s="11">
        <f t="shared" si="187"/>
        <v>0</v>
      </c>
      <c r="BX272" s="11">
        <f t="shared" si="187"/>
        <v>0</v>
      </c>
      <c r="BY272" s="11">
        <f t="shared" si="187"/>
        <v>6601.56</v>
      </c>
      <c r="BZ272" s="11">
        <f t="shared" si="187"/>
        <v>0</v>
      </c>
      <c r="CA272" s="11">
        <f t="shared" ref="CA272:DF272" si="188">CA281</f>
        <v>6601.56</v>
      </c>
      <c r="CB272" s="11">
        <f t="shared" si="188"/>
        <v>0</v>
      </c>
      <c r="CC272" s="11">
        <f t="shared" si="188"/>
        <v>0</v>
      </c>
      <c r="CD272" s="11">
        <f t="shared" si="188"/>
        <v>0</v>
      </c>
      <c r="CE272" s="11">
        <f t="shared" si="188"/>
        <v>6601.56</v>
      </c>
      <c r="CF272" s="11">
        <f t="shared" si="188"/>
        <v>0</v>
      </c>
      <c r="CG272" s="11">
        <f t="shared" si="188"/>
        <v>0</v>
      </c>
      <c r="CH272" s="11">
        <f t="shared" si="188"/>
        <v>0</v>
      </c>
      <c r="CI272" s="11">
        <f t="shared" si="188"/>
        <v>6601.56</v>
      </c>
      <c r="CJ272" s="11">
        <f t="shared" si="188"/>
        <v>0</v>
      </c>
      <c r="CK272" s="11">
        <f t="shared" si="188"/>
        <v>0</v>
      </c>
      <c r="CL272" s="11">
        <f t="shared" si="188"/>
        <v>0</v>
      </c>
      <c r="CM272" s="11">
        <f t="shared" si="188"/>
        <v>0</v>
      </c>
      <c r="CN272" s="11">
        <f t="shared" si="188"/>
        <v>0</v>
      </c>
      <c r="CO272" s="11">
        <f t="shared" si="188"/>
        <v>0</v>
      </c>
      <c r="CP272" s="11">
        <f t="shared" si="188"/>
        <v>0</v>
      </c>
      <c r="CQ272" s="11">
        <f t="shared" si="188"/>
        <v>0</v>
      </c>
      <c r="CR272" s="11">
        <f t="shared" si="188"/>
        <v>0</v>
      </c>
      <c r="CS272" s="11">
        <f t="shared" si="188"/>
        <v>0</v>
      </c>
      <c r="CT272" s="11">
        <f t="shared" si="188"/>
        <v>0</v>
      </c>
      <c r="CU272" s="11">
        <f t="shared" si="188"/>
        <v>0</v>
      </c>
      <c r="CV272" s="11">
        <f t="shared" si="188"/>
        <v>0</v>
      </c>
      <c r="CW272" s="11">
        <f t="shared" si="188"/>
        <v>0</v>
      </c>
      <c r="CX272" s="11">
        <f t="shared" si="188"/>
        <v>0</v>
      </c>
      <c r="CY272" s="11">
        <f t="shared" si="188"/>
        <v>0</v>
      </c>
      <c r="CZ272" s="11">
        <f t="shared" si="188"/>
        <v>0</v>
      </c>
      <c r="DA272" s="11">
        <f t="shared" si="188"/>
        <v>0</v>
      </c>
      <c r="DB272" s="11">
        <f t="shared" si="188"/>
        <v>0</v>
      </c>
      <c r="DC272" s="11">
        <f t="shared" si="188"/>
        <v>0</v>
      </c>
      <c r="DD272" s="11">
        <f t="shared" si="188"/>
        <v>0</v>
      </c>
      <c r="DE272" s="11">
        <f t="shared" si="188"/>
        <v>0</v>
      </c>
      <c r="DF272" s="11">
        <f t="shared" si="188"/>
        <v>0</v>
      </c>
      <c r="DG272" s="12">
        <f t="shared" ref="DG272:EL272" si="189">DG281</f>
        <v>49973.81</v>
      </c>
      <c r="DH272" s="12">
        <f t="shared" si="189"/>
        <v>49973.81</v>
      </c>
      <c r="DI272" s="12">
        <f t="shared" si="189"/>
        <v>0</v>
      </c>
      <c r="DJ272" s="12">
        <f t="shared" si="189"/>
        <v>0</v>
      </c>
      <c r="DK272" s="12">
        <f t="shared" si="189"/>
        <v>0</v>
      </c>
      <c r="DL272" s="12">
        <f t="shared" si="189"/>
        <v>0</v>
      </c>
      <c r="DM272" s="12">
        <f t="shared" si="189"/>
        <v>0</v>
      </c>
      <c r="DN272" s="12">
        <f t="shared" si="189"/>
        <v>0</v>
      </c>
      <c r="DO272" s="12">
        <f t="shared" si="189"/>
        <v>0</v>
      </c>
      <c r="DP272" s="12">
        <f t="shared" si="189"/>
        <v>0</v>
      </c>
      <c r="DQ272" s="12">
        <f t="shared" si="189"/>
        <v>0</v>
      </c>
      <c r="DR272" s="12">
        <f t="shared" si="189"/>
        <v>0</v>
      </c>
      <c r="DS272" s="12">
        <f t="shared" si="189"/>
        <v>0</v>
      </c>
      <c r="DT272" s="12">
        <f t="shared" si="189"/>
        <v>49973.81</v>
      </c>
      <c r="DU272" s="12">
        <f t="shared" si="189"/>
        <v>49973.81</v>
      </c>
      <c r="DV272" s="12">
        <f t="shared" si="189"/>
        <v>0</v>
      </c>
      <c r="DW272" s="12">
        <f t="shared" si="189"/>
        <v>0</v>
      </c>
      <c r="DX272" s="12">
        <f t="shared" si="189"/>
        <v>0</v>
      </c>
      <c r="DY272" s="12">
        <f t="shared" si="189"/>
        <v>0</v>
      </c>
      <c r="DZ272" s="12">
        <f t="shared" si="189"/>
        <v>0</v>
      </c>
      <c r="EA272" s="12">
        <f t="shared" si="189"/>
        <v>0</v>
      </c>
      <c r="EB272" s="12">
        <f t="shared" si="189"/>
        <v>0</v>
      </c>
      <c r="EC272" s="12">
        <f t="shared" si="189"/>
        <v>0</v>
      </c>
      <c r="ED272" s="12">
        <f t="shared" si="189"/>
        <v>0</v>
      </c>
      <c r="EE272" s="12">
        <f t="shared" si="189"/>
        <v>0</v>
      </c>
      <c r="EF272" s="12">
        <f t="shared" si="189"/>
        <v>0</v>
      </c>
      <c r="EG272" s="12">
        <f t="shared" si="189"/>
        <v>0</v>
      </c>
      <c r="EH272" s="12">
        <f t="shared" si="189"/>
        <v>49973.81</v>
      </c>
      <c r="EI272" s="12">
        <f t="shared" si="189"/>
        <v>0</v>
      </c>
      <c r="EJ272" s="12">
        <f t="shared" si="189"/>
        <v>49973.81</v>
      </c>
      <c r="EK272" s="12">
        <f t="shared" si="189"/>
        <v>0</v>
      </c>
      <c r="EL272" s="12">
        <f t="shared" si="189"/>
        <v>0</v>
      </c>
      <c r="EM272" s="12">
        <f t="shared" ref="EM272:FR272" si="190">EM281</f>
        <v>0</v>
      </c>
      <c r="EN272" s="12">
        <f t="shared" si="190"/>
        <v>49973.81</v>
      </c>
      <c r="EO272" s="12">
        <f t="shared" si="190"/>
        <v>0</v>
      </c>
      <c r="EP272" s="12">
        <f t="shared" si="190"/>
        <v>0</v>
      </c>
      <c r="EQ272" s="12">
        <f t="shared" si="190"/>
        <v>0</v>
      </c>
      <c r="ER272" s="12">
        <f t="shared" si="190"/>
        <v>49973.81</v>
      </c>
      <c r="ES272" s="12">
        <f t="shared" si="190"/>
        <v>0</v>
      </c>
      <c r="ET272" s="12">
        <f t="shared" si="190"/>
        <v>0</v>
      </c>
      <c r="EU272" s="12">
        <f t="shared" si="190"/>
        <v>0</v>
      </c>
      <c r="EV272" s="12">
        <f t="shared" si="190"/>
        <v>0</v>
      </c>
      <c r="EW272" s="12">
        <f t="shared" si="190"/>
        <v>0</v>
      </c>
      <c r="EX272" s="12">
        <f t="shared" si="190"/>
        <v>0</v>
      </c>
      <c r="EY272" s="12">
        <f t="shared" si="190"/>
        <v>0</v>
      </c>
      <c r="EZ272" s="12">
        <f t="shared" si="190"/>
        <v>0</v>
      </c>
      <c r="FA272" s="12">
        <f t="shared" si="190"/>
        <v>0</v>
      </c>
      <c r="FB272" s="12">
        <f t="shared" si="190"/>
        <v>0</v>
      </c>
      <c r="FC272" s="12">
        <f t="shared" si="190"/>
        <v>0</v>
      </c>
      <c r="FD272" s="12">
        <f t="shared" si="190"/>
        <v>0</v>
      </c>
      <c r="FE272" s="12">
        <f t="shared" si="190"/>
        <v>0</v>
      </c>
      <c r="FF272" s="12">
        <f t="shared" si="190"/>
        <v>0</v>
      </c>
      <c r="FG272" s="12">
        <f t="shared" si="190"/>
        <v>0</v>
      </c>
      <c r="FH272" s="12">
        <f t="shared" si="190"/>
        <v>0</v>
      </c>
      <c r="FI272" s="12">
        <f t="shared" si="190"/>
        <v>0</v>
      </c>
      <c r="FJ272" s="12">
        <f t="shared" si="190"/>
        <v>0</v>
      </c>
      <c r="FK272" s="12">
        <f t="shared" si="190"/>
        <v>0</v>
      </c>
      <c r="FL272" s="12">
        <f t="shared" si="190"/>
        <v>0</v>
      </c>
      <c r="FM272" s="12">
        <f t="shared" si="190"/>
        <v>0</v>
      </c>
      <c r="FN272" s="12">
        <f t="shared" si="190"/>
        <v>0</v>
      </c>
      <c r="FO272" s="12">
        <f t="shared" si="190"/>
        <v>0</v>
      </c>
      <c r="FP272" s="12">
        <f t="shared" si="190"/>
        <v>0</v>
      </c>
      <c r="FQ272" s="12">
        <f t="shared" si="190"/>
        <v>49973.81</v>
      </c>
      <c r="FR272" s="12">
        <f t="shared" si="190"/>
        <v>0</v>
      </c>
      <c r="FS272" s="12">
        <f t="shared" ref="FS272:GX272" si="191">FS281</f>
        <v>49973.81</v>
      </c>
      <c r="FT272" s="12">
        <f t="shared" si="191"/>
        <v>0</v>
      </c>
      <c r="FU272" s="12">
        <f t="shared" si="191"/>
        <v>0</v>
      </c>
      <c r="FV272" s="12">
        <f t="shared" si="191"/>
        <v>0</v>
      </c>
      <c r="FW272" s="12">
        <f t="shared" si="191"/>
        <v>49973.81</v>
      </c>
      <c r="FX272" s="12">
        <f t="shared" si="191"/>
        <v>0</v>
      </c>
      <c r="FY272" s="12">
        <f t="shared" si="191"/>
        <v>0</v>
      </c>
      <c r="FZ272" s="12">
        <f t="shared" si="191"/>
        <v>0</v>
      </c>
      <c r="GA272" s="12">
        <f t="shared" si="191"/>
        <v>49973.81</v>
      </c>
      <c r="GB272" s="12">
        <f t="shared" si="191"/>
        <v>0</v>
      </c>
      <c r="GC272" s="12">
        <f t="shared" si="191"/>
        <v>0</v>
      </c>
      <c r="GD272" s="12">
        <f t="shared" si="191"/>
        <v>0</v>
      </c>
      <c r="GE272" s="12">
        <f t="shared" si="191"/>
        <v>0</v>
      </c>
      <c r="GF272" s="12">
        <f t="shared" si="191"/>
        <v>0</v>
      </c>
      <c r="GG272" s="12">
        <f t="shared" si="191"/>
        <v>0</v>
      </c>
      <c r="GH272" s="12">
        <f t="shared" si="191"/>
        <v>0</v>
      </c>
      <c r="GI272" s="12">
        <f t="shared" si="191"/>
        <v>0</v>
      </c>
      <c r="GJ272" s="12">
        <f t="shared" si="191"/>
        <v>0</v>
      </c>
      <c r="GK272" s="12">
        <f t="shared" si="191"/>
        <v>0</v>
      </c>
      <c r="GL272" s="12">
        <f t="shared" si="191"/>
        <v>0</v>
      </c>
      <c r="GM272" s="12">
        <f t="shared" si="191"/>
        <v>0</v>
      </c>
      <c r="GN272" s="12">
        <f t="shared" si="191"/>
        <v>0</v>
      </c>
      <c r="GO272" s="12">
        <f t="shared" si="191"/>
        <v>0</v>
      </c>
      <c r="GP272" s="12">
        <f t="shared" si="191"/>
        <v>0</v>
      </c>
      <c r="GQ272" s="12">
        <f t="shared" si="191"/>
        <v>0</v>
      </c>
      <c r="GR272" s="12">
        <f t="shared" si="191"/>
        <v>0</v>
      </c>
      <c r="GS272" s="12">
        <f t="shared" si="191"/>
        <v>0</v>
      </c>
      <c r="GT272" s="12">
        <f t="shared" si="191"/>
        <v>0</v>
      </c>
      <c r="GU272" s="12">
        <f t="shared" si="191"/>
        <v>0</v>
      </c>
      <c r="GV272" s="12">
        <f t="shared" si="191"/>
        <v>0</v>
      </c>
      <c r="GW272" s="12">
        <f t="shared" si="191"/>
        <v>0</v>
      </c>
      <c r="GX272" s="12">
        <f t="shared" si="191"/>
        <v>0</v>
      </c>
    </row>
    <row r="274" spans="1:255" x14ac:dyDescent="0.25">
      <c r="A274" s="2">
        <v>17</v>
      </c>
      <c r="B274" s="2">
        <v>1</v>
      </c>
      <c r="C274" s="2"/>
      <c r="D274" s="2"/>
      <c r="E274" s="2" t="s">
        <v>265</v>
      </c>
      <c r="F274" s="2" t="s">
        <v>266</v>
      </c>
      <c r="G274" s="2" t="s">
        <v>267</v>
      </c>
      <c r="H274" s="2" t="s">
        <v>177</v>
      </c>
      <c r="I274" s="2">
        <v>2</v>
      </c>
      <c r="J274" s="2">
        <v>0</v>
      </c>
      <c r="K274" s="2">
        <v>2</v>
      </c>
      <c r="L274" s="2"/>
      <c r="M274" s="2"/>
      <c r="N274" s="2"/>
      <c r="O274" s="2">
        <f t="shared" ref="O274:O279" si="192">ROUND(CP274,2)</f>
        <v>757.5</v>
      </c>
      <c r="P274" s="2">
        <f t="shared" ref="P274:P279" si="193">ROUND((ROUND((AC274*I274),2)*BC274),2)</f>
        <v>757.5</v>
      </c>
      <c r="Q274" s="2">
        <f t="shared" ref="Q274:Q279" si="194">(ROUND((ROUND(((ET274)*AV274*I274),2)*BB274),2)+ROUND((ROUND(((AE274-(EU274))*AV274*I274),2)*BS274),2))</f>
        <v>0</v>
      </c>
      <c r="R274" s="2">
        <f t="shared" ref="R274:R279" si="195">(ROUND((ROUND(((EU274)*AV274*I274),2)*BS274),2)+ROUND((ROUND(((AE274-(EU274))*AV274*I274),2)*BS274),2))</f>
        <v>0</v>
      </c>
      <c r="S274" s="2">
        <f t="shared" ref="S274:S279" si="196">ROUND((ROUND((AF274*AV274*I274),2)*BA274),2)</f>
        <v>0</v>
      </c>
      <c r="T274" s="2">
        <f t="shared" ref="T274:T279" si="197">ROUND(CU274*I274,2)</f>
        <v>0</v>
      </c>
      <c r="U274" s="2">
        <f t="shared" ref="U274:U279" si="198">CV274*I274</f>
        <v>0</v>
      </c>
      <c r="V274" s="2">
        <f t="shared" ref="V274:V279" si="199">CW274*I274</f>
        <v>0</v>
      </c>
      <c r="W274" s="2">
        <f t="shared" ref="W274:W279" si="200">ROUND(CX274*I274,2)</f>
        <v>0</v>
      </c>
      <c r="X274" s="2">
        <f t="shared" ref="X274:X279" si="201">(ROUND((((S274+ROUND((ROUND(((EU274)*AV274*I274),2)*BS274),2))*AT274)/100),2)+ROUND(((ROUND((ROUND(((AE274-(EU274))*AV274*I274),2)*BS274),2)*AT274)/100),2))</f>
        <v>0</v>
      </c>
      <c r="Y274" s="2">
        <f t="shared" ref="Y274:Y279" si="202">(ROUND((((S274+ROUND((ROUND(((EU274)*AV274*I274),2)*BS274),2))*AU274)/100),2)+ROUND(((ROUND((ROUND(((AE274-(EU274))*AV274*I274),2)*BS274),2)*AU274)/100),2))</f>
        <v>0</v>
      </c>
      <c r="Z274" s="2"/>
      <c r="AA274" s="2">
        <v>57034452</v>
      </c>
      <c r="AB274" s="2">
        <f t="shared" ref="AB274:AB279" si="203">ROUND((AC274+AD274+AF274),6)</f>
        <v>378.75</v>
      </c>
      <c r="AC274" s="2">
        <f t="shared" ref="AC274:AC279" si="204">ROUND((ES274),6)</f>
        <v>378.75</v>
      </c>
      <c r="AD274" s="2">
        <f t="shared" ref="AD274:AD279" si="205">ROUND((((ET274)-(EU274))+AE274),6)</f>
        <v>0</v>
      </c>
      <c r="AE274" s="2">
        <f t="shared" ref="AE274:AF279" si="206">ROUND((EU274),6)</f>
        <v>0</v>
      </c>
      <c r="AF274" s="2">
        <f t="shared" si="206"/>
        <v>0</v>
      </c>
      <c r="AG274" s="2">
        <f t="shared" ref="AG274:AG279" si="207">ROUND((AP274),6)</f>
        <v>0</v>
      </c>
      <c r="AH274" s="2">
        <f t="shared" ref="AH274:AI279" si="208">(EW274)</f>
        <v>0</v>
      </c>
      <c r="AI274" s="2">
        <f t="shared" si="208"/>
        <v>0</v>
      </c>
      <c r="AJ274" s="2">
        <f t="shared" ref="AJ274:AJ279" si="209">(AS274)</f>
        <v>0</v>
      </c>
      <c r="AK274" s="2">
        <v>378.75</v>
      </c>
      <c r="AL274" s="2">
        <v>378.75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1</v>
      </c>
      <c r="AW274" s="2">
        <v>1</v>
      </c>
      <c r="AX274" s="2"/>
      <c r="AY274" s="2"/>
      <c r="AZ274" s="2">
        <v>1</v>
      </c>
      <c r="BA274" s="2">
        <v>1</v>
      </c>
      <c r="BB274" s="2">
        <v>1</v>
      </c>
      <c r="BC274" s="2">
        <v>1</v>
      </c>
      <c r="BD274" s="2" t="s">
        <v>3</v>
      </c>
      <c r="BE274" s="2" t="s">
        <v>3</v>
      </c>
      <c r="BF274" s="2" t="s">
        <v>3</v>
      </c>
      <c r="BG274" s="2" t="s">
        <v>3</v>
      </c>
      <c r="BH274" s="2">
        <v>3</v>
      </c>
      <c r="BI274" s="2">
        <v>3</v>
      </c>
      <c r="BJ274" s="2" t="s">
        <v>3</v>
      </c>
      <c r="BK274" s="2"/>
      <c r="BL274" s="2"/>
      <c r="BM274" s="2">
        <v>746</v>
      </c>
      <c r="BN274" s="2">
        <v>0</v>
      </c>
      <c r="BO274" s="2" t="s">
        <v>3</v>
      </c>
      <c r="BP274" s="2">
        <v>0</v>
      </c>
      <c r="BQ274" s="2">
        <v>130</v>
      </c>
      <c r="BR274" s="2">
        <v>0</v>
      </c>
      <c r="BS274" s="2">
        <v>1</v>
      </c>
      <c r="BT274" s="2">
        <v>1</v>
      </c>
      <c r="BU274" s="2">
        <v>1</v>
      </c>
      <c r="BV274" s="2">
        <v>1</v>
      </c>
      <c r="BW274" s="2">
        <v>1</v>
      </c>
      <c r="BX274" s="2">
        <v>1</v>
      </c>
      <c r="BY274" s="2" t="s">
        <v>3</v>
      </c>
      <c r="BZ274" s="2">
        <v>0</v>
      </c>
      <c r="CA274" s="2">
        <v>0</v>
      </c>
      <c r="CB274" s="2" t="s">
        <v>3</v>
      </c>
      <c r="CC274" s="2"/>
      <c r="CD274" s="2"/>
      <c r="CE274" s="2">
        <v>1566</v>
      </c>
      <c r="CF274" s="2">
        <v>0</v>
      </c>
      <c r="CG274" s="2">
        <v>0</v>
      </c>
      <c r="CH274" s="2"/>
      <c r="CI274" s="2"/>
      <c r="CJ274" s="2"/>
      <c r="CK274" s="2"/>
      <c r="CL274" s="2"/>
      <c r="CM274" s="2">
        <v>0</v>
      </c>
      <c r="CN274" s="2" t="s">
        <v>3</v>
      </c>
      <c r="CO274" s="2">
        <v>0</v>
      </c>
      <c r="CP274" s="2">
        <f t="shared" ref="CP274:CP279" si="210">(P274+Q274+S274)</f>
        <v>757.5</v>
      </c>
      <c r="CQ274" s="2">
        <f t="shared" ref="CQ274:CQ279" si="211">ROUND((ROUND((AC274*1),2)*BC274),2)</f>
        <v>378.75</v>
      </c>
      <c r="CR274" s="2">
        <f t="shared" ref="CR274:CR279" si="212">(ROUND((ROUND(((ET274)*AV274*1),2)*BB274),2)+ROUND((ROUND(((AE274-(EU274))*AV274*1),2)*BS274),2))</f>
        <v>0</v>
      </c>
      <c r="CS274" s="2">
        <f t="shared" ref="CS274:CS279" si="213">(ROUND((ROUND(((EU274)*AV274*1),2)*BS274),2)+ROUND((ROUND(((AE274-(EU274))*AV274*1),2)*BS274),2))</f>
        <v>0</v>
      </c>
      <c r="CT274" s="2">
        <f t="shared" ref="CT274:CT279" si="214">ROUND((ROUND((AF274*AV274*1),2)*BA274),2)</f>
        <v>0</v>
      </c>
      <c r="CU274" s="2">
        <f t="shared" ref="CU274:CU279" si="215">AG274</f>
        <v>0</v>
      </c>
      <c r="CV274" s="2">
        <f t="shared" ref="CV274:CV279" si="216">(AH274*AV274)</f>
        <v>0</v>
      </c>
      <c r="CW274" s="2">
        <f t="shared" ref="CW274:CX279" si="217">AI274</f>
        <v>0</v>
      </c>
      <c r="CX274" s="2">
        <f t="shared" si="217"/>
        <v>0</v>
      </c>
      <c r="CY274" s="2">
        <f t="shared" ref="CY274:CY279" si="218">(ROUND((((S274+ROUND((ROUND(((EU274)*AV274*1),2)*BS274),2))*AT274)/100),2)+ROUND(((ROUND((ROUND(((AE274-(EU274))*AV274*1),2)*BS274),2)*AT274)/100),2))</f>
        <v>0</v>
      </c>
      <c r="CZ274" s="2">
        <f t="shared" ref="CZ274:CZ279" si="219">(ROUND((((S274+ROUND((ROUND(((EU274)*AV274*1),2)*BS274),2))*AU274)/100),2)+ROUND(((ROUND((ROUND(((AE274-(EU274))*AV274*1),2)*BS274),2)*AU274)/100),2))</f>
        <v>0</v>
      </c>
      <c r="DA274" s="2"/>
      <c r="DB274" s="2"/>
      <c r="DC274" s="2" t="s">
        <v>3</v>
      </c>
      <c r="DD274" s="2" t="s">
        <v>3</v>
      </c>
      <c r="DE274" s="2" t="s">
        <v>3</v>
      </c>
      <c r="DF274" s="2" t="s">
        <v>3</v>
      </c>
      <c r="DG274" s="2" t="s">
        <v>3</v>
      </c>
      <c r="DH274" s="2" t="s">
        <v>3</v>
      </c>
      <c r="DI274" s="2" t="s">
        <v>3</v>
      </c>
      <c r="DJ274" s="2" t="s">
        <v>3</v>
      </c>
      <c r="DK274" s="2" t="s">
        <v>3</v>
      </c>
      <c r="DL274" s="2" t="s">
        <v>3</v>
      </c>
      <c r="DM274" s="2" t="s">
        <v>3</v>
      </c>
      <c r="DN274" s="2">
        <v>0</v>
      </c>
      <c r="DO274" s="2">
        <v>0</v>
      </c>
      <c r="DP274" s="2">
        <v>1</v>
      </c>
      <c r="DQ274" s="2">
        <v>1</v>
      </c>
      <c r="DR274" s="2"/>
      <c r="DS274" s="2"/>
      <c r="DT274" s="2"/>
      <c r="DU274" s="2">
        <v>1010</v>
      </c>
      <c r="DV274" s="2" t="s">
        <v>177</v>
      </c>
      <c r="DW274" s="2" t="s">
        <v>177</v>
      </c>
      <c r="DX274" s="2">
        <v>1</v>
      </c>
      <c r="DY274" s="2"/>
      <c r="DZ274" s="2" t="s">
        <v>3</v>
      </c>
      <c r="EA274" s="2" t="s">
        <v>3</v>
      </c>
      <c r="EB274" s="2" t="s">
        <v>3</v>
      </c>
      <c r="EC274" s="2" t="s">
        <v>3</v>
      </c>
      <c r="ED274" s="2"/>
      <c r="EE274" s="2">
        <v>57043064</v>
      </c>
      <c r="EF274" s="2">
        <v>130</v>
      </c>
      <c r="EG274" s="2" t="s">
        <v>178</v>
      </c>
      <c r="EH274" s="2">
        <v>0</v>
      </c>
      <c r="EI274" s="2" t="s">
        <v>3</v>
      </c>
      <c r="EJ274" s="2">
        <v>3</v>
      </c>
      <c r="EK274" s="2">
        <v>746</v>
      </c>
      <c r="EL274" s="2" t="s">
        <v>179</v>
      </c>
      <c r="EM274" s="2" t="s">
        <v>180</v>
      </c>
      <c r="EN274" s="2"/>
      <c r="EO274" s="2" t="s">
        <v>3</v>
      </c>
      <c r="EP274" s="2"/>
      <c r="EQ274" s="2">
        <v>2228224</v>
      </c>
      <c r="ER274" s="2">
        <v>0</v>
      </c>
      <c r="ES274" s="2">
        <v>378.75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>
        <v>0</v>
      </c>
      <c r="FR274" s="2">
        <f t="shared" ref="FR274:FR279" si="220">P274</f>
        <v>757.5</v>
      </c>
      <c r="FS274" s="2">
        <v>0</v>
      </c>
      <c r="FT274" s="2"/>
      <c r="FU274" s="2"/>
      <c r="FV274" s="2"/>
      <c r="FW274" s="2"/>
      <c r="FX274" s="2">
        <v>0</v>
      </c>
      <c r="FY274" s="2">
        <v>0</v>
      </c>
      <c r="FZ274" s="2"/>
      <c r="GA274" s="2" t="s">
        <v>268</v>
      </c>
      <c r="GB274" s="2"/>
      <c r="GC274" s="2"/>
      <c r="GD274" s="2">
        <v>1</v>
      </c>
      <c r="GE274" s="2"/>
      <c r="GF274" s="2">
        <v>184226683</v>
      </c>
      <c r="GG274" s="2">
        <v>2</v>
      </c>
      <c r="GH274" s="2">
        <v>4</v>
      </c>
      <c r="GI274" s="2">
        <v>-2</v>
      </c>
      <c r="GJ274" s="2">
        <v>0</v>
      </c>
      <c r="GK274" s="2">
        <v>0</v>
      </c>
      <c r="GL274" s="2">
        <f t="shared" ref="GL274:GL279" si="221">ROUND(IF(AND(BH274=3,BI274=3,FS274&lt;&gt;0),P274,0),2)</f>
        <v>0</v>
      </c>
      <c r="GM274" s="2">
        <f t="shared" ref="GM274:GM279" si="222">ROUND(O274+X274+Y274,2)+GX274</f>
        <v>757.5</v>
      </c>
      <c r="GN274" s="2">
        <f t="shared" ref="GN274:GN279" si="223">IF(OR(BI274=0,BI274=1),GM274-GX274,0)</f>
        <v>0</v>
      </c>
      <c r="GO274" s="2">
        <f t="shared" ref="GO274:GO279" si="224">IF(BI274=2,GM274-GX274,0)</f>
        <v>0</v>
      </c>
      <c r="GP274" s="2">
        <f t="shared" ref="GP274:GP279" si="225">IF(BI274=4,GM274-GX274,0)</f>
        <v>0</v>
      </c>
      <c r="GQ274" s="2"/>
      <c r="GR274" s="2">
        <v>0</v>
      </c>
      <c r="GS274" s="2">
        <v>2</v>
      </c>
      <c r="GT274" s="2">
        <v>0</v>
      </c>
      <c r="GU274" s="2" t="s">
        <v>3</v>
      </c>
      <c r="GV274" s="2">
        <f t="shared" ref="GV274:GV279" si="226">ROUND((GT274),6)</f>
        <v>0</v>
      </c>
      <c r="GW274" s="2">
        <v>1</v>
      </c>
      <c r="GX274" s="2">
        <f t="shared" ref="GX274:GX279" si="227">ROUND(HC274*I274,2)</f>
        <v>0</v>
      </c>
      <c r="GY274" s="2"/>
      <c r="GZ274" s="2"/>
      <c r="HA274" s="2">
        <v>0</v>
      </c>
      <c r="HB274" s="2">
        <v>0</v>
      </c>
      <c r="HC274" s="2">
        <f t="shared" ref="HC274:HC279" si="228">GV274*GW274</f>
        <v>0</v>
      </c>
      <c r="HD274" s="2"/>
      <c r="HE274" s="2" t="s">
        <v>40</v>
      </c>
      <c r="HF274" s="2" t="s">
        <v>182</v>
      </c>
      <c r="HG274" s="2"/>
      <c r="HH274" s="2"/>
      <c r="HI274" s="2"/>
      <c r="HJ274" s="2"/>
      <c r="HK274" s="2"/>
      <c r="HL274" s="2"/>
      <c r="HM274" s="2" t="s">
        <v>3</v>
      </c>
      <c r="HN274" s="2" t="s">
        <v>3</v>
      </c>
      <c r="HO274" s="2" t="s">
        <v>3</v>
      </c>
      <c r="HP274" s="2" t="s">
        <v>3</v>
      </c>
      <c r="HQ274" s="2" t="s">
        <v>3</v>
      </c>
      <c r="HR274" s="2"/>
      <c r="HS274" s="2">
        <v>0</v>
      </c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>
        <v>0</v>
      </c>
      <c r="IL274" s="2"/>
      <c r="IM274" s="2"/>
      <c r="IN274" s="2"/>
      <c r="IO274" s="2"/>
      <c r="IP274" s="2"/>
      <c r="IQ274" s="2"/>
      <c r="IR274" s="2"/>
      <c r="IS274" s="2"/>
      <c r="IT274" s="2"/>
      <c r="IU274" s="2"/>
    </row>
    <row r="275" spans="1:255" x14ac:dyDescent="0.25">
      <c r="A275" s="3">
        <v>17</v>
      </c>
      <c r="B275" s="3">
        <v>1</v>
      </c>
      <c r="E275" s="3" t="s">
        <v>265</v>
      </c>
      <c r="F275" s="3" t="s">
        <v>266</v>
      </c>
      <c r="G275" s="3" t="s">
        <v>267</v>
      </c>
      <c r="H275" s="3" t="s">
        <v>177</v>
      </c>
      <c r="I275" s="3">
        <v>2</v>
      </c>
      <c r="J275" s="3">
        <v>0</v>
      </c>
      <c r="K275" s="3">
        <v>2</v>
      </c>
      <c r="O275" s="3">
        <f t="shared" si="192"/>
        <v>5734.28</v>
      </c>
      <c r="P275" s="3">
        <f t="shared" si="193"/>
        <v>5734.28</v>
      </c>
      <c r="Q275" s="3">
        <f t="shared" si="194"/>
        <v>0</v>
      </c>
      <c r="R275" s="3">
        <f t="shared" si="195"/>
        <v>0</v>
      </c>
      <c r="S275" s="3">
        <f t="shared" si="196"/>
        <v>0</v>
      </c>
      <c r="T275" s="3">
        <f t="shared" si="197"/>
        <v>0</v>
      </c>
      <c r="U275" s="3">
        <f t="shared" si="198"/>
        <v>0</v>
      </c>
      <c r="V275" s="3">
        <f t="shared" si="199"/>
        <v>0</v>
      </c>
      <c r="W275" s="3">
        <f t="shared" si="200"/>
        <v>0</v>
      </c>
      <c r="X275" s="3">
        <f t="shared" si="201"/>
        <v>0</v>
      </c>
      <c r="Y275" s="3">
        <f t="shared" si="202"/>
        <v>0</v>
      </c>
      <c r="AA275" s="3">
        <v>57034454</v>
      </c>
      <c r="AB275" s="3">
        <f t="shared" si="203"/>
        <v>378.75</v>
      </c>
      <c r="AC275" s="3">
        <f t="shared" si="204"/>
        <v>378.75</v>
      </c>
      <c r="AD275" s="3">
        <f t="shared" si="205"/>
        <v>0</v>
      </c>
      <c r="AE275" s="3">
        <f t="shared" si="206"/>
        <v>0</v>
      </c>
      <c r="AF275" s="3">
        <f t="shared" si="206"/>
        <v>0</v>
      </c>
      <c r="AG275" s="3">
        <f t="shared" si="207"/>
        <v>0</v>
      </c>
      <c r="AH275" s="3">
        <f t="shared" si="208"/>
        <v>0</v>
      </c>
      <c r="AI275" s="3">
        <f t="shared" si="208"/>
        <v>0</v>
      </c>
      <c r="AJ275" s="3">
        <f t="shared" si="209"/>
        <v>0</v>
      </c>
      <c r="AK275" s="3">
        <v>378.75</v>
      </c>
      <c r="AL275" s="3">
        <v>378.75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1</v>
      </c>
      <c r="AW275" s="3">
        <v>1</v>
      </c>
      <c r="AZ275" s="3">
        <v>1</v>
      </c>
      <c r="BA275" s="3">
        <v>1</v>
      </c>
      <c r="BB275" s="3">
        <v>1</v>
      </c>
      <c r="BC275" s="3">
        <v>7.57</v>
      </c>
      <c r="BD275" s="3" t="s">
        <v>3</v>
      </c>
      <c r="BE275" s="3" t="s">
        <v>3</v>
      </c>
      <c r="BF275" s="3" t="s">
        <v>3</v>
      </c>
      <c r="BG275" s="3" t="s">
        <v>3</v>
      </c>
      <c r="BH275" s="3">
        <v>3</v>
      </c>
      <c r="BI275" s="3">
        <v>3</v>
      </c>
      <c r="BJ275" s="3" t="s">
        <v>3</v>
      </c>
      <c r="BM275" s="3">
        <v>746</v>
      </c>
      <c r="BN275" s="3">
        <v>0</v>
      </c>
      <c r="BO275" s="3" t="s">
        <v>3</v>
      </c>
      <c r="BP275" s="3">
        <v>0</v>
      </c>
      <c r="BQ275" s="3">
        <v>130</v>
      </c>
      <c r="BR275" s="3">
        <v>0</v>
      </c>
      <c r="BS275" s="3">
        <v>1</v>
      </c>
      <c r="BT275" s="3">
        <v>1</v>
      </c>
      <c r="BU275" s="3">
        <v>1</v>
      </c>
      <c r="BV275" s="3">
        <v>1</v>
      </c>
      <c r="BW275" s="3">
        <v>1</v>
      </c>
      <c r="BX275" s="3">
        <v>1</v>
      </c>
      <c r="BY275" s="3" t="s">
        <v>3</v>
      </c>
      <c r="BZ275" s="3">
        <v>0</v>
      </c>
      <c r="CA275" s="3">
        <v>0</v>
      </c>
      <c r="CB275" s="3" t="s">
        <v>3</v>
      </c>
      <c r="CE275" s="3">
        <v>1566</v>
      </c>
      <c r="CF275" s="3">
        <v>0</v>
      </c>
      <c r="CG275" s="3">
        <v>0</v>
      </c>
      <c r="CM275" s="3">
        <v>0</v>
      </c>
      <c r="CN275" s="3" t="s">
        <v>3</v>
      </c>
      <c r="CO275" s="3">
        <v>0</v>
      </c>
      <c r="CP275" s="3">
        <f t="shared" si="210"/>
        <v>5734.28</v>
      </c>
      <c r="CQ275" s="3">
        <f t="shared" si="211"/>
        <v>2867.14</v>
      </c>
      <c r="CR275" s="3">
        <f t="shared" si="212"/>
        <v>0</v>
      </c>
      <c r="CS275" s="3">
        <f t="shared" si="213"/>
        <v>0</v>
      </c>
      <c r="CT275" s="3">
        <f t="shared" si="214"/>
        <v>0</v>
      </c>
      <c r="CU275" s="3">
        <f t="shared" si="215"/>
        <v>0</v>
      </c>
      <c r="CV275" s="3">
        <f t="shared" si="216"/>
        <v>0</v>
      </c>
      <c r="CW275" s="3">
        <f t="shared" si="217"/>
        <v>0</v>
      </c>
      <c r="CX275" s="3">
        <f t="shared" si="217"/>
        <v>0</v>
      </c>
      <c r="CY275" s="3">
        <f t="shared" si="218"/>
        <v>0</v>
      </c>
      <c r="CZ275" s="3">
        <f t="shared" si="219"/>
        <v>0</v>
      </c>
      <c r="DC275" s="3" t="s">
        <v>3</v>
      </c>
      <c r="DD275" s="3" t="s">
        <v>3</v>
      </c>
      <c r="DE275" s="3" t="s">
        <v>3</v>
      </c>
      <c r="DF275" s="3" t="s">
        <v>3</v>
      </c>
      <c r="DG275" s="3" t="s">
        <v>3</v>
      </c>
      <c r="DH275" s="3" t="s">
        <v>3</v>
      </c>
      <c r="DI275" s="3" t="s">
        <v>3</v>
      </c>
      <c r="DJ275" s="3" t="s">
        <v>3</v>
      </c>
      <c r="DK275" s="3" t="s">
        <v>3</v>
      </c>
      <c r="DL275" s="3" t="s">
        <v>3</v>
      </c>
      <c r="DM275" s="3" t="s">
        <v>3</v>
      </c>
      <c r="DN275" s="3">
        <v>0</v>
      </c>
      <c r="DO275" s="3">
        <v>0</v>
      </c>
      <c r="DP275" s="3">
        <v>1</v>
      </c>
      <c r="DQ275" s="3">
        <v>1</v>
      </c>
      <c r="DU275" s="3">
        <v>1010</v>
      </c>
      <c r="DV275" s="3" t="s">
        <v>177</v>
      </c>
      <c r="DW275" s="3" t="s">
        <v>177</v>
      </c>
      <c r="DX275" s="3">
        <v>1</v>
      </c>
      <c r="DZ275" s="3" t="s">
        <v>3</v>
      </c>
      <c r="EA275" s="3" t="s">
        <v>3</v>
      </c>
      <c r="EB275" s="3" t="s">
        <v>3</v>
      </c>
      <c r="EC275" s="3" t="s">
        <v>3</v>
      </c>
      <c r="EE275" s="3">
        <v>57043064</v>
      </c>
      <c r="EF275" s="3">
        <v>130</v>
      </c>
      <c r="EG275" s="3" t="s">
        <v>178</v>
      </c>
      <c r="EH275" s="3">
        <v>0</v>
      </c>
      <c r="EI275" s="3" t="s">
        <v>3</v>
      </c>
      <c r="EJ275" s="3">
        <v>3</v>
      </c>
      <c r="EK275" s="3">
        <v>746</v>
      </c>
      <c r="EL275" s="3" t="s">
        <v>179</v>
      </c>
      <c r="EM275" s="3" t="s">
        <v>180</v>
      </c>
      <c r="EO275" s="3" t="s">
        <v>3</v>
      </c>
      <c r="EQ275" s="3">
        <v>2228224</v>
      </c>
      <c r="ER275" s="3">
        <v>285.13</v>
      </c>
      <c r="ES275" s="3">
        <v>378.75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0</v>
      </c>
      <c r="EZ275" s="3">
        <v>5</v>
      </c>
      <c r="FC275" s="3">
        <v>1</v>
      </c>
      <c r="FD275" s="3">
        <v>18</v>
      </c>
      <c r="FF275" s="3">
        <v>3355.81</v>
      </c>
      <c r="FQ275" s="3">
        <v>0</v>
      </c>
      <c r="FR275" s="3">
        <f t="shared" si="220"/>
        <v>5734.28</v>
      </c>
      <c r="FS275" s="3">
        <v>0</v>
      </c>
      <c r="FX275" s="3">
        <v>0</v>
      </c>
      <c r="FY275" s="3">
        <v>0</v>
      </c>
      <c r="GA275" s="3" t="s">
        <v>268</v>
      </c>
      <c r="GD275" s="3">
        <v>1</v>
      </c>
      <c r="GF275" s="3">
        <v>184226683</v>
      </c>
      <c r="GG275" s="3">
        <v>2</v>
      </c>
      <c r="GH275" s="3">
        <v>3</v>
      </c>
      <c r="GI275" s="3">
        <v>5</v>
      </c>
      <c r="GJ275" s="3">
        <v>0</v>
      </c>
      <c r="GK275" s="3">
        <v>0</v>
      </c>
      <c r="GL275" s="3">
        <f t="shared" si="221"/>
        <v>0</v>
      </c>
      <c r="GM275" s="3">
        <f t="shared" si="222"/>
        <v>5734.28</v>
      </c>
      <c r="GN275" s="3">
        <f t="shared" si="223"/>
        <v>0</v>
      </c>
      <c r="GO275" s="3">
        <f t="shared" si="224"/>
        <v>0</v>
      </c>
      <c r="GP275" s="3">
        <f t="shared" si="225"/>
        <v>0</v>
      </c>
      <c r="GR275" s="3">
        <v>1</v>
      </c>
      <c r="GS275" s="3">
        <v>1</v>
      </c>
      <c r="GT275" s="3">
        <v>0</v>
      </c>
      <c r="GU275" s="3" t="s">
        <v>3</v>
      </c>
      <c r="GV275" s="3">
        <f t="shared" si="226"/>
        <v>0</v>
      </c>
      <c r="GW275" s="3">
        <v>1</v>
      </c>
      <c r="GX275" s="3">
        <f t="shared" si="227"/>
        <v>0</v>
      </c>
      <c r="HA275" s="3">
        <v>0</v>
      </c>
      <c r="HB275" s="3">
        <v>0</v>
      </c>
      <c r="HC275" s="3">
        <f t="shared" si="228"/>
        <v>0</v>
      </c>
      <c r="HE275" s="3" t="s">
        <v>40</v>
      </c>
      <c r="HF275" s="3" t="s">
        <v>182</v>
      </c>
      <c r="HM275" s="3" t="s">
        <v>3</v>
      </c>
      <c r="HN275" s="3" t="s">
        <v>3</v>
      </c>
      <c r="HO275" s="3" t="s">
        <v>3</v>
      </c>
      <c r="HP275" s="3" t="s">
        <v>3</v>
      </c>
      <c r="HQ275" s="3" t="s">
        <v>3</v>
      </c>
      <c r="HS275" s="3">
        <v>0</v>
      </c>
      <c r="IK275" s="3">
        <v>0</v>
      </c>
    </row>
    <row r="276" spans="1:255" x14ac:dyDescent="0.25">
      <c r="A276" s="2">
        <v>17</v>
      </c>
      <c r="B276" s="2">
        <v>1</v>
      </c>
      <c r="C276" s="2"/>
      <c r="D276" s="2"/>
      <c r="E276" s="2" t="s">
        <v>269</v>
      </c>
      <c r="F276" s="2" t="s">
        <v>270</v>
      </c>
      <c r="G276" s="2" t="s">
        <v>271</v>
      </c>
      <c r="H276" s="2" t="s">
        <v>177</v>
      </c>
      <c r="I276" s="2">
        <v>4</v>
      </c>
      <c r="J276" s="2">
        <v>0</v>
      </c>
      <c r="K276" s="2">
        <v>4</v>
      </c>
      <c r="L276" s="2"/>
      <c r="M276" s="2"/>
      <c r="N276" s="2"/>
      <c r="O276" s="2">
        <f t="shared" si="192"/>
        <v>2500.3200000000002</v>
      </c>
      <c r="P276" s="2">
        <f t="shared" si="193"/>
        <v>2500.3200000000002</v>
      </c>
      <c r="Q276" s="2">
        <f t="shared" si="194"/>
        <v>0</v>
      </c>
      <c r="R276" s="2">
        <f t="shared" si="195"/>
        <v>0</v>
      </c>
      <c r="S276" s="2">
        <f t="shared" si="196"/>
        <v>0</v>
      </c>
      <c r="T276" s="2">
        <f t="shared" si="197"/>
        <v>0</v>
      </c>
      <c r="U276" s="2">
        <f t="shared" si="198"/>
        <v>0</v>
      </c>
      <c r="V276" s="2">
        <f t="shared" si="199"/>
        <v>0</v>
      </c>
      <c r="W276" s="2">
        <f t="shared" si="200"/>
        <v>0</v>
      </c>
      <c r="X276" s="2">
        <f t="shared" si="201"/>
        <v>0</v>
      </c>
      <c r="Y276" s="2">
        <f t="shared" si="202"/>
        <v>0</v>
      </c>
      <c r="Z276" s="2"/>
      <c r="AA276" s="2">
        <v>57034452</v>
      </c>
      <c r="AB276" s="2">
        <f t="shared" si="203"/>
        <v>625.08000000000004</v>
      </c>
      <c r="AC276" s="2">
        <f t="shared" si="204"/>
        <v>625.08000000000004</v>
      </c>
      <c r="AD276" s="2">
        <f t="shared" si="205"/>
        <v>0</v>
      </c>
      <c r="AE276" s="2">
        <f t="shared" si="206"/>
        <v>0</v>
      </c>
      <c r="AF276" s="2">
        <f t="shared" si="206"/>
        <v>0</v>
      </c>
      <c r="AG276" s="2">
        <f t="shared" si="207"/>
        <v>0</v>
      </c>
      <c r="AH276" s="2">
        <f t="shared" si="208"/>
        <v>0</v>
      </c>
      <c r="AI276" s="2">
        <f t="shared" si="208"/>
        <v>0</v>
      </c>
      <c r="AJ276" s="2">
        <f t="shared" si="209"/>
        <v>0</v>
      </c>
      <c r="AK276" s="2">
        <v>625.07999999999993</v>
      </c>
      <c r="AL276" s="2">
        <v>625.07999999999993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1</v>
      </c>
      <c r="AW276" s="2">
        <v>1</v>
      </c>
      <c r="AX276" s="2"/>
      <c r="AY276" s="2"/>
      <c r="AZ276" s="2">
        <v>1</v>
      </c>
      <c r="BA276" s="2">
        <v>1</v>
      </c>
      <c r="BB276" s="2">
        <v>1</v>
      </c>
      <c r="BC276" s="2">
        <v>1</v>
      </c>
      <c r="BD276" s="2" t="s">
        <v>3</v>
      </c>
      <c r="BE276" s="2" t="s">
        <v>3</v>
      </c>
      <c r="BF276" s="2" t="s">
        <v>3</v>
      </c>
      <c r="BG276" s="2" t="s">
        <v>3</v>
      </c>
      <c r="BH276" s="2">
        <v>3</v>
      </c>
      <c r="BI276" s="2">
        <v>3</v>
      </c>
      <c r="BJ276" s="2" t="s">
        <v>3</v>
      </c>
      <c r="BK276" s="2"/>
      <c r="BL276" s="2"/>
      <c r="BM276" s="2">
        <v>746</v>
      </c>
      <c r="BN276" s="2">
        <v>0</v>
      </c>
      <c r="BO276" s="2" t="s">
        <v>3</v>
      </c>
      <c r="BP276" s="2">
        <v>0</v>
      </c>
      <c r="BQ276" s="2">
        <v>130</v>
      </c>
      <c r="BR276" s="2">
        <v>0</v>
      </c>
      <c r="BS276" s="2">
        <v>1</v>
      </c>
      <c r="BT276" s="2">
        <v>1</v>
      </c>
      <c r="BU276" s="2">
        <v>1</v>
      </c>
      <c r="BV276" s="2">
        <v>1</v>
      </c>
      <c r="BW276" s="2">
        <v>1</v>
      </c>
      <c r="BX276" s="2">
        <v>1</v>
      </c>
      <c r="BY276" s="2" t="s">
        <v>3</v>
      </c>
      <c r="BZ276" s="2">
        <v>0</v>
      </c>
      <c r="CA276" s="2">
        <v>0</v>
      </c>
      <c r="CB276" s="2" t="s">
        <v>3</v>
      </c>
      <c r="CC276" s="2"/>
      <c r="CD276" s="2"/>
      <c r="CE276" s="2">
        <v>1566</v>
      </c>
      <c r="CF276" s="2">
        <v>0</v>
      </c>
      <c r="CG276" s="2">
        <v>0</v>
      </c>
      <c r="CH276" s="2"/>
      <c r="CI276" s="2"/>
      <c r="CJ276" s="2"/>
      <c r="CK276" s="2"/>
      <c r="CL276" s="2"/>
      <c r="CM276" s="2">
        <v>0</v>
      </c>
      <c r="CN276" s="2" t="s">
        <v>3</v>
      </c>
      <c r="CO276" s="2">
        <v>0</v>
      </c>
      <c r="CP276" s="2">
        <f t="shared" si="210"/>
        <v>2500.3200000000002</v>
      </c>
      <c r="CQ276" s="2">
        <f t="shared" si="211"/>
        <v>625.08000000000004</v>
      </c>
      <c r="CR276" s="2">
        <f t="shared" si="212"/>
        <v>0</v>
      </c>
      <c r="CS276" s="2">
        <f t="shared" si="213"/>
        <v>0</v>
      </c>
      <c r="CT276" s="2">
        <f t="shared" si="214"/>
        <v>0</v>
      </c>
      <c r="CU276" s="2">
        <f t="shared" si="215"/>
        <v>0</v>
      </c>
      <c r="CV276" s="2">
        <f t="shared" si="216"/>
        <v>0</v>
      </c>
      <c r="CW276" s="2">
        <f t="shared" si="217"/>
        <v>0</v>
      </c>
      <c r="CX276" s="2">
        <f t="shared" si="217"/>
        <v>0</v>
      </c>
      <c r="CY276" s="2">
        <f t="shared" si="218"/>
        <v>0</v>
      </c>
      <c r="CZ276" s="2">
        <f t="shared" si="219"/>
        <v>0</v>
      </c>
      <c r="DA276" s="2"/>
      <c r="DB276" s="2"/>
      <c r="DC276" s="2" t="s">
        <v>3</v>
      </c>
      <c r="DD276" s="2" t="s">
        <v>3</v>
      </c>
      <c r="DE276" s="2" t="s">
        <v>3</v>
      </c>
      <c r="DF276" s="2" t="s">
        <v>3</v>
      </c>
      <c r="DG276" s="2" t="s">
        <v>3</v>
      </c>
      <c r="DH276" s="2" t="s">
        <v>3</v>
      </c>
      <c r="DI276" s="2" t="s">
        <v>3</v>
      </c>
      <c r="DJ276" s="2" t="s">
        <v>3</v>
      </c>
      <c r="DK276" s="2" t="s">
        <v>3</v>
      </c>
      <c r="DL276" s="2" t="s">
        <v>3</v>
      </c>
      <c r="DM276" s="2" t="s">
        <v>3</v>
      </c>
      <c r="DN276" s="2">
        <v>0</v>
      </c>
      <c r="DO276" s="2">
        <v>0</v>
      </c>
      <c r="DP276" s="2">
        <v>1</v>
      </c>
      <c r="DQ276" s="2">
        <v>1</v>
      </c>
      <c r="DR276" s="2"/>
      <c r="DS276" s="2"/>
      <c r="DT276" s="2"/>
      <c r="DU276" s="2">
        <v>1010</v>
      </c>
      <c r="DV276" s="2" t="s">
        <v>177</v>
      </c>
      <c r="DW276" s="2" t="s">
        <v>177</v>
      </c>
      <c r="DX276" s="2">
        <v>1</v>
      </c>
      <c r="DY276" s="2"/>
      <c r="DZ276" s="2" t="s">
        <v>3</v>
      </c>
      <c r="EA276" s="2" t="s">
        <v>3</v>
      </c>
      <c r="EB276" s="2" t="s">
        <v>3</v>
      </c>
      <c r="EC276" s="2" t="s">
        <v>3</v>
      </c>
      <c r="ED276" s="2"/>
      <c r="EE276" s="2">
        <v>57043064</v>
      </c>
      <c r="EF276" s="2">
        <v>130</v>
      </c>
      <c r="EG276" s="2" t="s">
        <v>178</v>
      </c>
      <c r="EH276" s="2">
        <v>0</v>
      </c>
      <c r="EI276" s="2" t="s">
        <v>3</v>
      </c>
      <c r="EJ276" s="2">
        <v>3</v>
      </c>
      <c r="EK276" s="2">
        <v>746</v>
      </c>
      <c r="EL276" s="2" t="s">
        <v>179</v>
      </c>
      <c r="EM276" s="2" t="s">
        <v>180</v>
      </c>
      <c r="EN276" s="2"/>
      <c r="EO276" s="2" t="s">
        <v>3</v>
      </c>
      <c r="EP276" s="2"/>
      <c r="EQ276" s="2">
        <v>2228224</v>
      </c>
      <c r="ER276" s="2">
        <v>0</v>
      </c>
      <c r="ES276" s="2">
        <v>625.07999999999993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>
        <v>0</v>
      </c>
      <c r="FR276" s="2">
        <f t="shared" si="220"/>
        <v>2500.3200000000002</v>
      </c>
      <c r="FS276" s="2">
        <v>0</v>
      </c>
      <c r="FT276" s="2"/>
      <c r="FU276" s="2"/>
      <c r="FV276" s="2"/>
      <c r="FW276" s="2"/>
      <c r="FX276" s="2">
        <v>0</v>
      </c>
      <c r="FY276" s="2">
        <v>0</v>
      </c>
      <c r="FZ276" s="2"/>
      <c r="GA276" s="2" t="s">
        <v>272</v>
      </c>
      <c r="GB276" s="2"/>
      <c r="GC276" s="2"/>
      <c r="GD276" s="2">
        <v>1</v>
      </c>
      <c r="GE276" s="2"/>
      <c r="GF276" s="2">
        <v>1148918955</v>
      </c>
      <c r="GG276" s="2">
        <v>2</v>
      </c>
      <c r="GH276" s="2">
        <v>4</v>
      </c>
      <c r="GI276" s="2">
        <v>-2</v>
      </c>
      <c r="GJ276" s="2">
        <v>0</v>
      </c>
      <c r="GK276" s="2">
        <v>0</v>
      </c>
      <c r="GL276" s="2">
        <f t="shared" si="221"/>
        <v>0</v>
      </c>
      <c r="GM276" s="2">
        <f t="shared" si="222"/>
        <v>2500.3200000000002</v>
      </c>
      <c r="GN276" s="2">
        <f t="shared" si="223"/>
        <v>0</v>
      </c>
      <c r="GO276" s="2">
        <f t="shared" si="224"/>
        <v>0</v>
      </c>
      <c r="GP276" s="2">
        <f t="shared" si="225"/>
        <v>0</v>
      </c>
      <c r="GQ276" s="2"/>
      <c r="GR276" s="2">
        <v>0</v>
      </c>
      <c r="GS276" s="2">
        <v>2</v>
      </c>
      <c r="GT276" s="2">
        <v>0</v>
      </c>
      <c r="GU276" s="2" t="s">
        <v>3</v>
      </c>
      <c r="GV276" s="2">
        <f t="shared" si="226"/>
        <v>0</v>
      </c>
      <c r="GW276" s="2">
        <v>1</v>
      </c>
      <c r="GX276" s="2">
        <f t="shared" si="227"/>
        <v>0</v>
      </c>
      <c r="GY276" s="2"/>
      <c r="GZ276" s="2"/>
      <c r="HA276" s="2">
        <v>0</v>
      </c>
      <c r="HB276" s="2">
        <v>0</v>
      </c>
      <c r="HC276" s="2">
        <f t="shared" si="228"/>
        <v>0</v>
      </c>
      <c r="HD276" s="2"/>
      <c r="HE276" s="2" t="s">
        <v>40</v>
      </c>
      <c r="HF276" s="2" t="s">
        <v>182</v>
      </c>
      <c r="HG276" s="2"/>
      <c r="HH276" s="2"/>
      <c r="HI276" s="2"/>
      <c r="HJ276" s="2"/>
      <c r="HK276" s="2"/>
      <c r="HL276" s="2"/>
      <c r="HM276" s="2" t="s">
        <v>3</v>
      </c>
      <c r="HN276" s="2" t="s">
        <v>3</v>
      </c>
      <c r="HO276" s="2" t="s">
        <v>3</v>
      </c>
      <c r="HP276" s="2" t="s">
        <v>3</v>
      </c>
      <c r="HQ276" s="2" t="s">
        <v>3</v>
      </c>
      <c r="HR276" s="2"/>
      <c r="HS276" s="2">
        <v>0</v>
      </c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>
        <v>0</v>
      </c>
      <c r="IL276" s="2"/>
      <c r="IM276" s="2"/>
      <c r="IN276" s="2"/>
      <c r="IO276" s="2"/>
      <c r="IP276" s="2"/>
      <c r="IQ276" s="2"/>
      <c r="IR276" s="2"/>
      <c r="IS276" s="2"/>
      <c r="IT276" s="2"/>
      <c r="IU276" s="2"/>
    </row>
    <row r="277" spans="1:255" x14ac:dyDescent="0.25">
      <c r="A277" s="3">
        <v>17</v>
      </c>
      <c r="B277" s="3">
        <v>1</v>
      </c>
      <c r="E277" s="3" t="s">
        <v>269</v>
      </c>
      <c r="F277" s="3" t="s">
        <v>270</v>
      </c>
      <c r="G277" s="3" t="s">
        <v>271</v>
      </c>
      <c r="H277" s="3" t="s">
        <v>177</v>
      </c>
      <c r="I277" s="3">
        <v>4</v>
      </c>
      <c r="J277" s="3">
        <v>0</v>
      </c>
      <c r="K277" s="3">
        <v>4</v>
      </c>
      <c r="O277" s="3">
        <f t="shared" si="192"/>
        <v>18927.419999999998</v>
      </c>
      <c r="P277" s="3">
        <f t="shared" si="193"/>
        <v>18927.419999999998</v>
      </c>
      <c r="Q277" s="3">
        <f t="shared" si="194"/>
        <v>0</v>
      </c>
      <c r="R277" s="3">
        <f t="shared" si="195"/>
        <v>0</v>
      </c>
      <c r="S277" s="3">
        <f t="shared" si="196"/>
        <v>0</v>
      </c>
      <c r="T277" s="3">
        <f t="shared" si="197"/>
        <v>0</v>
      </c>
      <c r="U277" s="3">
        <f t="shared" si="198"/>
        <v>0</v>
      </c>
      <c r="V277" s="3">
        <f t="shared" si="199"/>
        <v>0</v>
      </c>
      <c r="W277" s="3">
        <f t="shared" si="200"/>
        <v>0</v>
      </c>
      <c r="X277" s="3">
        <f t="shared" si="201"/>
        <v>0</v>
      </c>
      <c r="Y277" s="3">
        <f t="shared" si="202"/>
        <v>0</v>
      </c>
      <c r="AA277" s="3">
        <v>57034454</v>
      </c>
      <c r="AB277" s="3">
        <f t="shared" si="203"/>
        <v>625.08000000000004</v>
      </c>
      <c r="AC277" s="3">
        <f t="shared" si="204"/>
        <v>625.08000000000004</v>
      </c>
      <c r="AD277" s="3">
        <f t="shared" si="205"/>
        <v>0</v>
      </c>
      <c r="AE277" s="3">
        <f t="shared" si="206"/>
        <v>0</v>
      </c>
      <c r="AF277" s="3">
        <f t="shared" si="206"/>
        <v>0</v>
      </c>
      <c r="AG277" s="3">
        <f t="shared" si="207"/>
        <v>0</v>
      </c>
      <c r="AH277" s="3">
        <f t="shared" si="208"/>
        <v>0</v>
      </c>
      <c r="AI277" s="3">
        <f t="shared" si="208"/>
        <v>0</v>
      </c>
      <c r="AJ277" s="3">
        <f t="shared" si="209"/>
        <v>0</v>
      </c>
      <c r="AK277" s="3">
        <v>625.07999999999993</v>
      </c>
      <c r="AL277" s="3">
        <v>625.07999999999993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1</v>
      </c>
      <c r="AW277" s="3">
        <v>1</v>
      </c>
      <c r="AZ277" s="3">
        <v>1</v>
      </c>
      <c r="BA277" s="3">
        <v>1</v>
      </c>
      <c r="BB277" s="3">
        <v>1</v>
      </c>
      <c r="BC277" s="3">
        <v>7.57</v>
      </c>
      <c r="BD277" s="3" t="s">
        <v>3</v>
      </c>
      <c r="BE277" s="3" t="s">
        <v>3</v>
      </c>
      <c r="BF277" s="3" t="s">
        <v>3</v>
      </c>
      <c r="BG277" s="3" t="s">
        <v>3</v>
      </c>
      <c r="BH277" s="3">
        <v>3</v>
      </c>
      <c r="BI277" s="3">
        <v>3</v>
      </c>
      <c r="BJ277" s="3" t="s">
        <v>3</v>
      </c>
      <c r="BM277" s="3">
        <v>746</v>
      </c>
      <c r="BN277" s="3">
        <v>0</v>
      </c>
      <c r="BO277" s="3" t="s">
        <v>3</v>
      </c>
      <c r="BP277" s="3">
        <v>0</v>
      </c>
      <c r="BQ277" s="3">
        <v>130</v>
      </c>
      <c r="BR277" s="3">
        <v>0</v>
      </c>
      <c r="BS277" s="3">
        <v>1</v>
      </c>
      <c r="BT277" s="3">
        <v>1</v>
      </c>
      <c r="BU277" s="3">
        <v>1</v>
      </c>
      <c r="BV277" s="3">
        <v>1</v>
      </c>
      <c r="BW277" s="3">
        <v>1</v>
      </c>
      <c r="BX277" s="3">
        <v>1</v>
      </c>
      <c r="BY277" s="3" t="s">
        <v>3</v>
      </c>
      <c r="BZ277" s="3">
        <v>0</v>
      </c>
      <c r="CA277" s="3">
        <v>0</v>
      </c>
      <c r="CB277" s="3" t="s">
        <v>3</v>
      </c>
      <c r="CE277" s="3">
        <v>1566</v>
      </c>
      <c r="CF277" s="3">
        <v>0</v>
      </c>
      <c r="CG277" s="3">
        <v>0</v>
      </c>
      <c r="CM277" s="3">
        <v>0</v>
      </c>
      <c r="CN277" s="3" t="s">
        <v>3</v>
      </c>
      <c r="CO277" s="3">
        <v>0</v>
      </c>
      <c r="CP277" s="3">
        <f t="shared" si="210"/>
        <v>18927.419999999998</v>
      </c>
      <c r="CQ277" s="3">
        <f t="shared" si="211"/>
        <v>4731.8599999999997</v>
      </c>
      <c r="CR277" s="3">
        <f t="shared" si="212"/>
        <v>0</v>
      </c>
      <c r="CS277" s="3">
        <f t="shared" si="213"/>
        <v>0</v>
      </c>
      <c r="CT277" s="3">
        <f t="shared" si="214"/>
        <v>0</v>
      </c>
      <c r="CU277" s="3">
        <f t="shared" si="215"/>
        <v>0</v>
      </c>
      <c r="CV277" s="3">
        <f t="shared" si="216"/>
        <v>0</v>
      </c>
      <c r="CW277" s="3">
        <f t="shared" si="217"/>
        <v>0</v>
      </c>
      <c r="CX277" s="3">
        <f t="shared" si="217"/>
        <v>0</v>
      </c>
      <c r="CY277" s="3">
        <f t="shared" si="218"/>
        <v>0</v>
      </c>
      <c r="CZ277" s="3">
        <f t="shared" si="219"/>
        <v>0</v>
      </c>
      <c r="DC277" s="3" t="s">
        <v>3</v>
      </c>
      <c r="DD277" s="3" t="s">
        <v>3</v>
      </c>
      <c r="DE277" s="3" t="s">
        <v>3</v>
      </c>
      <c r="DF277" s="3" t="s">
        <v>3</v>
      </c>
      <c r="DG277" s="3" t="s">
        <v>3</v>
      </c>
      <c r="DH277" s="3" t="s">
        <v>3</v>
      </c>
      <c r="DI277" s="3" t="s">
        <v>3</v>
      </c>
      <c r="DJ277" s="3" t="s">
        <v>3</v>
      </c>
      <c r="DK277" s="3" t="s">
        <v>3</v>
      </c>
      <c r="DL277" s="3" t="s">
        <v>3</v>
      </c>
      <c r="DM277" s="3" t="s">
        <v>3</v>
      </c>
      <c r="DN277" s="3">
        <v>0</v>
      </c>
      <c r="DO277" s="3">
        <v>0</v>
      </c>
      <c r="DP277" s="3">
        <v>1</v>
      </c>
      <c r="DQ277" s="3">
        <v>1</v>
      </c>
      <c r="DU277" s="3">
        <v>1010</v>
      </c>
      <c r="DV277" s="3" t="s">
        <v>177</v>
      </c>
      <c r="DW277" s="3" t="s">
        <v>177</v>
      </c>
      <c r="DX277" s="3">
        <v>1</v>
      </c>
      <c r="DZ277" s="3" t="s">
        <v>3</v>
      </c>
      <c r="EA277" s="3" t="s">
        <v>3</v>
      </c>
      <c r="EB277" s="3" t="s">
        <v>3</v>
      </c>
      <c r="EC277" s="3" t="s">
        <v>3</v>
      </c>
      <c r="EE277" s="3">
        <v>57043064</v>
      </c>
      <c r="EF277" s="3">
        <v>130</v>
      </c>
      <c r="EG277" s="3" t="s">
        <v>178</v>
      </c>
      <c r="EH277" s="3">
        <v>0</v>
      </c>
      <c r="EI277" s="3" t="s">
        <v>3</v>
      </c>
      <c r="EJ277" s="3">
        <v>3</v>
      </c>
      <c r="EK277" s="3">
        <v>746</v>
      </c>
      <c r="EL277" s="3" t="s">
        <v>179</v>
      </c>
      <c r="EM277" s="3" t="s">
        <v>180</v>
      </c>
      <c r="EO277" s="3" t="s">
        <v>3</v>
      </c>
      <c r="EQ277" s="3">
        <v>2228224</v>
      </c>
      <c r="ER277" s="3">
        <v>470.57</v>
      </c>
      <c r="ES277" s="3">
        <v>625.07999999999993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5</v>
      </c>
      <c r="FC277" s="3">
        <v>1</v>
      </c>
      <c r="FD277" s="3">
        <v>18</v>
      </c>
      <c r="FF277" s="3">
        <v>5538.25</v>
      </c>
      <c r="FQ277" s="3">
        <v>0</v>
      </c>
      <c r="FR277" s="3">
        <f t="shared" si="220"/>
        <v>18927.419999999998</v>
      </c>
      <c r="FS277" s="3">
        <v>0</v>
      </c>
      <c r="FX277" s="3">
        <v>0</v>
      </c>
      <c r="FY277" s="3">
        <v>0</v>
      </c>
      <c r="GA277" s="3" t="s">
        <v>272</v>
      </c>
      <c r="GD277" s="3">
        <v>1</v>
      </c>
      <c r="GF277" s="3">
        <v>1148918955</v>
      </c>
      <c r="GG277" s="3">
        <v>2</v>
      </c>
      <c r="GH277" s="3">
        <v>3</v>
      </c>
      <c r="GI277" s="3">
        <v>5</v>
      </c>
      <c r="GJ277" s="3">
        <v>0</v>
      </c>
      <c r="GK277" s="3">
        <v>0</v>
      </c>
      <c r="GL277" s="3">
        <f t="shared" si="221"/>
        <v>0</v>
      </c>
      <c r="GM277" s="3">
        <f t="shared" si="222"/>
        <v>18927.419999999998</v>
      </c>
      <c r="GN277" s="3">
        <f t="shared" si="223"/>
        <v>0</v>
      </c>
      <c r="GO277" s="3">
        <f t="shared" si="224"/>
        <v>0</v>
      </c>
      <c r="GP277" s="3">
        <f t="shared" si="225"/>
        <v>0</v>
      </c>
      <c r="GR277" s="3">
        <v>1</v>
      </c>
      <c r="GS277" s="3">
        <v>1</v>
      </c>
      <c r="GT277" s="3">
        <v>0</v>
      </c>
      <c r="GU277" s="3" t="s">
        <v>3</v>
      </c>
      <c r="GV277" s="3">
        <f t="shared" si="226"/>
        <v>0</v>
      </c>
      <c r="GW277" s="3">
        <v>1</v>
      </c>
      <c r="GX277" s="3">
        <f t="shared" si="227"/>
        <v>0</v>
      </c>
      <c r="HA277" s="3">
        <v>0</v>
      </c>
      <c r="HB277" s="3">
        <v>0</v>
      </c>
      <c r="HC277" s="3">
        <f t="shared" si="228"/>
        <v>0</v>
      </c>
      <c r="HE277" s="3" t="s">
        <v>40</v>
      </c>
      <c r="HF277" s="3" t="s">
        <v>182</v>
      </c>
      <c r="HM277" s="3" t="s">
        <v>3</v>
      </c>
      <c r="HN277" s="3" t="s">
        <v>3</v>
      </c>
      <c r="HO277" s="3" t="s">
        <v>3</v>
      </c>
      <c r="HP277" s="3" t="s">
        <v>3</v>
      </c>
      <c r="HQ277" s="3" t="s">
        <v>3</v>
      </c>
      <c r="HS277" s="3">
        <v>0</v>
      </c>
      <c r="IK277" s="3">
        <v>0</v>
      </c>
    </row>
    <row r="278" spans="1:255" x14ac:dyDescent="0.25">
      <c r="A278" s="2">
        <v>17</v>
      </c>
      <c r="B278" s="2">
        <v>1</v>
      </c>
      <c r="C278" s="2"/>
      <c r="D278" s="2"/>
      <c r="E278" s="2" t="s">
        <v>273</v>
      </c>
      <c r="F278" s="2" t="s">
        <v>274</v>
      </c>
      <c r="G278" s="2" t="s">
        <v>275</v>
      </c>
      <c r="H278" s="2" t="s">
        <v>177</v>
      </c>
      <c r="I278" s="2">
        <v>2</v>
      </c>
      <c r="J278" s="2">
        <v>0</v>
      </c>
      <c r="K278" s="2">
        <v>2</v>
      </c>
      <c r="L278" s="2"/>
      <c r="M278" s="2"/>
      <c r="N278" s="2"/>
      <c r="O278" s="2">
        <f t="shared" si="192"/>
        <v>3343.74</v>
      </c>
      <c r="P278" s="2">
        <f t="shared" si="193"/>
        <v>3343.74</v>
      </c>
      <c r="Q278" s="2">
        <f t="shared" si="194"/>
        <v>0</v>
      </c>
      <c r="R278" s="2">
        <f t="shared" si="195"/>
        <v>0</v>
      </c>
      <c r="S278" s="2">
        <f t="shared" si="196"/>
        <v>0</v>
      </c>
      <c r="T278" s="2">
        <f t="shared" si="197"/>
        <v>0</v>
      </c>
      <c r="U278" s="2">
        <f t="shared" si="198"/>
        <v>0</v>
      </c>
      <c r="V278" s="2">
        <f t="shared" si="199"/>
        <v>0</v>
      </c>
      <c r="W278" s="2">
        <f t="shared" si="200"/>
        <v>0</v>
      </c>
      <c r="X278" s="2">
        <f t="shared" si="201"/>
        <v>0</v>
      </c>
      <c r="Y278" s="2">
        <f t="shared" si="202"/>
        <v>0</v>
      </c>
      <c r="Z278" s="2"/>
      <c r="AA278" s="2">
        <v>57034452</v>
      </c>
      <c r="AB278" s="2">
        <f t="shared" si="203"/>
        <v>1671.87</v>
      </c>
      <c r="AC278" s="2">
        <f t="shared" si="204"/>
        <v>1671.87</v>
      </c>
      <c r="AD278" s="2">
        <f t="shared" si="205"/>
        <v>0</v>
      </c>
      <c r="AE278" s="2">
        <f t="shared" si="206"/>
        <v>0</v>
      </c>
      <c r="AF278" s="2">
        <f t="shared" si="206"/>
        <v>0</v>
      </c>
      <c r="AG278" s="2">
        <f t="shared" si="207"/>
        <v>0</v>
      </c>
      <c r="AH278" s="2">
        <f t="shared" si="208"/>
        <v>0</v>
      </c>
      <c r="AI278" s="2">
        <f t="shared" si="208"/>
        <v>0</v>
      </c>
      <c r="AJ278" s="2">
        <f t="shared" si="209"/>
        <v>0</v>
      </c>
      <c r="AK278" s="2">
        <v>1671.87</v>
      </c>
      <c r="AL278" s="2">
        <v>1671.87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1</v>
      </c>
      <c r="AW278" s="2">
        <v>1</v>
      </c>
      <c r="AX278" s="2"/>
      <c r="AY278" s="2"/>
      <c r="AZ278" s="2">
        <v>1</v>
      </c>
      <c r="BA278" s="2">
        <v>1</v>
      </c>
      <c r="BB278" s="2">
        <v>1</v>
      </c>
      <c r="BC278" s="2">
        <v>1</v>
      </c>
      <c r="BD278" s="2" t="s">
        <v>3</v>
      </c>
      <c r="BE278" s="2" t="s">
        <v>3</v>
      </c>
      <c r="BF278" s="2" t="s">
        <v>3</v>
      </c>
      <c r="BG278" s="2" t="s">
        <v>3</v>
      </c>
      <c r="BH278" s="2">
        <v>3</v>
      </c>
      <c r="BI278" s="2">
        <v>3</v>
      </c>
      <c r="BJ278" s="2" t="s">
        <v>3</v>
      </c>
      <c r="BK278" s="2"/>
      <c r="BL278" s="2"/>
      <c r="BM278" s="2">
        <v>746</v>
      </c>
      <c r="BN278" s="2">
        <v>0</v>
      </c>
      <c r="BO278" s="2" t="s">
        <v>3</v>
      </c>
      <c r="BP278" s="2">
        <v>0</v>
      </c>
      <c r="BQ278" s="2">
        <v>130</v>
      </c>
      <c r="BR278" s="2">
        <v>0</v>
      </c>
      <c r="BS278" s="2">
        <v>1</v>
      </c>
      <c r="BT278" s="2">
        <v>1</v>
      </c>
      <c r="BU278" s="2">
        <v>1</v>
      </c>
      <c r="BV278" s="2">
        <v>1</v>
      </c>
      <c r="BW278" s="2">
        <v>1</v>
      </c>
      <c r="BX278" s="2">
        <v>1</v>
      </c>
      <c r="BY278" s="2" t="s">
        <v>3</v>
      </c>
      <c r="BZ278" s="2">
        <v>0</v>
      </c>
      <c r="CA278" s="2">
        <v>0</v>
      </c>
      <c r="CB278" s="2" t="s">
        <v>3</v>
      </c>
      <c r="CC278" s="2"/>
      <c r="CD278" s="2"/>
      <c r="CE278" s="2">
        <v>1566</v>
      </c>
      <c r="CF278" s="2">
        <v>0</v>
      </c>
      <c r="CG278" s="2">
        <v>0</v>
      </c>
      <c r="CH278" s="2"/>
      <c r="CI278" s="2"/>
      <c r="CJ278" s="2"/>
      <c r="CK278" s="2"/>
      <c r="CL278" s="2"/>
      <c r="CM278" s="2">
        <v>0</v>
      </c>
      <c r="CN278" s="2" t="s">
        <v>3</v>
      </c>
      <c r="CO278" s="2">
        <v>0</v>
      </c>
      <c r="CP278" s="2">
        <f t="shared" si="210"/>
        <v>3343.74</v>
      </c>
      <c r="CQ278" s="2">
        <f t="shared" si="211"/>
        <v>1671.87</v>
      </c>
      <c r="CR278" s="2">
        <f t="shared" si="212"/>
        <v>0</v>
      </c>
      <c r="CS278" s="2">
        <f t="shared" si="213"/>
        <v>0</v>
      </c>
      <c r="CT278" s="2">
        <f t="shared" si="214"/>
        <v>0</v>
      </c>
      <c r="CU278" s="2">
        <f t="shared" si="215"/>
        <v>0</v>
      </c>
      <c r="CV278" s="2">
        <f t="shared" si="216"/>
        <v>0</v>
      </c>
      <c r="CW278" s="2">
        <f t="shared" si="217"/>
        <v>0</v>
      </c>
      <c r="CX278" s="2">
        <f t="shared" si="217"/>
        <v>0</v>
      </c>
      <c r="CY278" s="2">
        <f t="shared" si="218"/>
        <v>0</v>
      </c>
      <c r="CZ278" s="2">
        <f t="shared" si="219"/>
        <v>0</v>
      </c>
      <c r="DA278" s="2"/>
      <c r="DB278" s="2"/>
      <c r="DC278" s="2" t="s">
        <v>3</v>
      </c>
      <c r="DD278" s="2" t="s">
        <v>3</v>
      </c>
      <c r="DE278" s="2" t="s">
        <v>3</v>
      </c>
      <c r="DF278" s="2" t="s">
        <v>3</v>
      </c>
      <c r="DG278" s="2" t="s">
        <v>3</v>
      </c>
      <c r="DH278" s="2" t="s">
        <v>3</v>
      </c>
      <c r="DI278" s="2" t="s">
        <v>3</v>
      </c>
      <c r="DJ278" s="2" t="s">
        <v>3</v>
      </c>
      <c r="DK278" s="2" t="s">
        <v>3</v>
      </c>
      <c r="DL278" s="2" t="s">
        <v>3</v>
      </c>
      <c r="DM278" s="2" t="s">
        <v>3</v>
      </c>
      <c r="DN278" s="2">
        <v>0</v>
      </c>
      <c r="DO278" s="2">
        <v>0</v>
      </c>
      <c r="DP278" s="2">
        <v>1</v>
      </c>
      <c r="DQ278" s="2">
        <v>1</v>
      </c>
      <c r="DR278" s="2"/>
      <c r="DS278" s="2"/>
      <c r="DT278" s="2"/>
      <c r="DU278" s="2">
        <v>1010</v>
      </c>
      <c r="DV278" s="2" t="s">
        <v>177</v>
      </c>
      <c r="DW278" s="2" t="s">
        <v>177</v>
      </c>
      <c r="DX278" s="2">
        <v>1</v>
      </c>
      <c r="DY278" s="2"/>
      <c r="DZ278" s="2" t="s">
        <v>3</v>
      </c>
      <c r="EA278" s="2" t="s">
        <v>3</v>
      </c>
      <c r="EB278" s="2" t="s">
        <v>3</v>
      </c>
      <c r="EC278" s="2" t="s">
        <v>3</v>
      </c>
      <c r="ED278" s="2"/>
      <c r="EE278" s="2">
        <v>57043064</v>
      </c>
      <c r="EF278" s="2">
        <v>130</v>
      </c>
      <c r="EG278" s="2" t="s">
        <v>178</v>
      </c>
      <c r="EH278" s="2">
        <v>0</v>
      </c>
      <c r="EI278" s="2" t="s">
        <v>3</v>
      </c>
      <c r="EJ278" s="2">
        <v>3</v>
      </c>
      <c r="EK278" s="2">
        <v>746</v>
      </c>
      <c r="EL278" s="2" t="s">
        <v>179</v>
      </c>
      <c r="EM278" s="2" t="s">
        <v>180</v>
      </c>
      <c r="EN278" s="2"/>
      <c r="EO278" s="2" t="s">
        <v>3</v>
      </c>
      <c r="EP278" s="2"/>
      <c r="EQ278" s="2">
        <v>2228224</v>
      </c>
      <c r="ER278" s="2">
        <v>0</v>
      </c>
      <c r="ES278" s="2">
        <v>1671.87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>
        <v>0</v>
      </c>
      <c r="FR278" s="2">
        <f t="shared" si="220"/>
        <v>3343.74</v>
      </c>
      <c r="FS278" s="2">
        <v>0</v>
      </c>
      <c r="FT278" s="2"/>
      <c r="FU278" s="2"/>
      <c r="FV278" s="2"/>
      <c r="FW278" s="2"/>
      <c r="FX278" s="2">
        <v>0</v>
      </c>
      <c r="FY278" s="2">
        <v>0</v>
      </c>
      <c r="FZ278" s="2"/>
      <c r="GA278" s="2" t="s">
        <v>276</v>
      </c>
      <c r="GB278" s="2"/>
      <c r="GC278" s="2"/>
      <c r="GD278" s="2">
        <v>1</v>
      </c>
      <c r="GE278" s="2"/>
      <c r="GF278" s="2">
        <v>-1413150604</v>
      </c>
      <c r="GG278" s="2">
        <v>2</v>
      </c>
      <c r="GH278" s="2">
        <v>4</v>
      </c>
      <c r="GI278" s="2">
        <v>-2</v>
      </c>
      <c r="GJ278" s="2">
        <v>0</v>
      </c>
      <c r="GK278" s="2">
        <v>0</v>
      </c>
      <c r="GL278" s="2">
        <f t="shared" si="221"/>
        <v>0</v>
      </c>
      <c r="GM278" s="2">
        <f t="shared" si="222"/>
        <v>3343.74</v>
      </c>
      <c r="GN278" s="2">
        <f t="shared" si="223"/>
        <v>0</v>
      </c>
      <c r="GO278" s="2">
        <f t="shared" si="224"/>
        <v>0</v>
      </c>
      <c r="GP278" s="2">
        <f t="shared" si="225"/>
        <v>0</v>
      </c>
      <c r="GQ278" s="2"/>
      <c r="GR278" s="2">
        <v>0</v>
      </c>
      <c r="GS278" s="2">
        <v>2</v>
      </c>
      <c r="GT278" s="2">
        <v>0</v>
      </c>
      <c r="GU278" s="2" t="s">
        <v>3</v>
      </c>
      <c r="GV278" s="2">
        <f t="shared" si="226"/>
        <v>0</v>
      </c>
      <c r="GW278" s="2">
        <v>1</v>
      </c>
      <c r="GX278" s="2">
        <f t="shared" si="227"/>
        <v>0</v>
      </c>
      <c r="GY278" s="2"/>
      <c r="GZ278" s="2"/>
      <c r="HA278" s="2">
        <v>0</v>
      </c>
      <c r="HB278" s="2">
        <v>0</v>
      </c>
      <c r="HC278" s="2">
        <f t="shared" si="228"/>
        <v>0</v>
      </c>
      <c r="HD278" s="2"/>
      <c r="HE278" s="2" t="s">
        <v>40</v>
      </c>
      <c r="HF278" s="2" t="s">
        <v>182</v>
      </c>
      <c r="HG278" s="2"/>
      <c r="HH278" s="2"/>
      <c r="HI278" s="2"/>
      <c r="HJ278" s="2"/>
      <c r="HK278" s="2"/>
      <c r="HL278" s="2"/>
      <c r="HM278" s="2" t="s">
        <v>3</v>
      </c>
      <c r="HN278" s="2" t="s">
        <v>3</v>
      </c>
      <c r="HO278" s="2" t="s">
        <v>3</v>
      </c>
      <c r="HP278" s="2" t="s">
        <v>3</v>
      </c>
      <c r="HQ278" s="2" t="s">
        <v>3</v>
      </c>
      <c r="HR278" s="2"/>
      <c r="HS278" s="2">
        <v>0</v>
      </c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>
        <v>0</v>
      </c>
      <c r="IL278" s="2"/>
      <c r="IM278" s="2"/>
      <c r="IN278" s="2"/>
      <c r="IO278" s="2"/>
      <c r="IP278" s="2"/>
      <c r="IQ278" s="2"/>
      <c r="IR278" s="2"/>
      <c r="IS278" s="2"/>
      <c r="IT278" s="2"/>
      <c r="IU278" s="2"/>
    </row>
    <row r="279" spans="1:255" x14ac:dyDescent="0.25">
      <c r="A279" s="3">
        <v>17</v>
      </c>
      <c r="B279" s="3">
        <v>1</v>
      </c>
      <c r="E279" s="3" t="s">
        <v>273</v>
      </c>
      <c r="F279" s="3" t="s">
        <v>274</v>
      </c>
      <c r="G279" s="3" t="s">
        <v>275</v>
      </c>
      <c r="H279" s="3" t="s">
        <v>177</v>
      </c>
      <c r="I279" s="3">
        <v>2</v>
      </c>
      <c r="J279" s="3">
        <v>0</v>
      </c>
      <c r="K279" s="3">
        <v>2</v>
      </c>
      <c r="O279" s="3">
        <f t="shared" si="192"/>
        <v>25312.11</v>
      </c>
      <c r="P279" s="3">
        <f t="shared" si="193"/>
        <v>25312.11</v>
      </c>
      <c r="Q279" s="3">
        <f t="shared" si="194"/>
        <v>0</v>
      </c>
      <c r="R279" s="3">
        <f t="shared" si="195"/>
        <v>0</v>
      </c>
      <c r="S279" s="3">
        <f t="shared" si="196"/>
        <v>0</v>
      </c>
      <c r="T279" s="3">
        <f t="shared" si="197"/>
        <v>0</v>
      </c>
      <c r="U279" s="3">
        <f t="shared" si="198"/>
        <v>0</v>
      </c>
      <c r="V279" s="3">
        <f t="shared" si="199"/>
        <v>0</v>
      </c>
      <c r="W279" s="3">
        <f t="shared" si="200"/>
        <v>0</v>
      </c>
      <c r="X279" s="3">
        <f t="shared" si="201"/>
        <v>0</v>
      </c>
      <c r="Y279" s="3">
        <f t="shared" si="202"/>
        <v>0</v>
      </c>
      <c r="AA279" s="3">
        <v>57034454</v>
      </c>
      <c r="AB279" s="3">
        <f t="shared" si="203"/>
        <v>1671.87</v>
      </c>
      <c r="AC279" s="3">
        <f t="shared" si="204"/>
        <v>1671.87</v>
      </c>
      <c r="AD279" s="3">
        <f t="shared" si="205"/>
        <v>0</v>
      </c>
      <c r="AE279" s="3">
        <f t="shared" si="206"/>
        <v>0</v>
      </c>
      <c r="AF279" s="3">
        <f t="shared" si="206"/>
        <v>0</v>
      </c>
      <c r="AG279" s="3">
        <f t="shared" si="207"/>
        <v>0</v>
      </c>
      <c r="AH279" s="3">
        <f t="shared" si="208"/>
        <v>0</v>
      </c>
      <c r="AI279" s="3">
        <f t="shared" si="208"/>
        <v>0</v>
      </c>
      <c r="AJ279" s="3">
        <f t="shared" si="209"/>
        <v>0</v>
      </c>
      <c r="AK279" s="3">
        <v>1671.87</v>
      </c>
      <c r="AL279" s="3">
        <v>1671.87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1</v>
      </c>
      <c r="AW279" s="3">
        <v>1</v>
      </c>
      <c r="AZ279" s="3">
        <v>1</v>
      </c>
      <c r="BA279" s="3">
        <v>1</v>
      </c>
      <c r="BB279" s="3">
        <v>1</v>
      </c>
      <c r="BC279" s="3">
        <v>7.57</v>
      </c>
      <c r="BD279" s="3" t="s">
        <v>3</v>
      </c>
      <c r="BE279" s="3" t="s">
        <v>3</v>
      </c>
      <c r="BF279" s="3" t="s">
        <v>3</v>
      </c>
      <c r="BG279" s="3" t="s">
        <v>3</v>
      </c>
      <c r="BH279" s="3">
        <v>3</v>
      </c>
      <c r="BI279" s="3">
        <v>3</v>
      </c>
      <c r="BJ279" s="3" t="s">
        <v>3</v>
      </c>
      <c r="BM279" s="3">
        <v>746</v>
      </c>
      <c r="BN279" s="3">
        <v>0</v>
      </c>
      <c r="BO279" s="3" t="s">
        <v>3</v>
      </c>
      <c r="BP279" s="3">
        <v>0</v>
      </c>
      <c r="BQ279" s="3">
        <v>130</v>
      </c>
      <c r="BR279" s="3">
        <v>0</v>
      </c>
      <c r="BS279" s="3">
        <v>1</v>
      </c>
      <c r="BT279" s="3">
        <v>1</v>
      </c>
      <c r="BU279" s="3">
        <v>1</v>
      </c>
      <c r="BV279" s="3">
        <v>1</v>
      </c>
      <c r="BW279" s="3">
        <v>1</v>
      </c>
      <c r="BX279" s="3">
        <v>1</v>
      </c>
      <c r="BY279" s="3" t="s">
        <v>3</v>
      </c>
      <c r="BZ279" s="3">
        <v>0</v>
      </c>
      <c r="CA279" s="3">
        <v>0</v>
      </c>
      <c r="CB279" s="3" t="s">
        <v>3</v>
      </c>
      <c r="CE279" s="3">
        <v>1566</v>
      </c>
      <c r="CF279" s="3">
        <v>0</v>
      </c>
      <c r="CG279" s="3">
        <v>0</v>
      </c>
      <c r="CM279" s="3">
        <v>0</v>
      </c>
      <c r="CN279" s="3" t="s">
        <v>3</v>
      </c>
      <c r="CO279" s="3">
        <v>0</v>
      </c>
      <c r="CP279" s="3">
        <f t="shared" si="210"/>
        <v>25312.11</v>
      </c>
      <c r="CQ279" s="3">
        <f t="shared" si="211"/>
        <v>12656.06</v>
      </c>
      <c r="CR279" s="3">
        <f t="shared" si="212"/>
        <v>0</v>
      </c>
      <c r="CS279" s="3">
        <f t="shared" si="213"/>
        <v>0</v>
      </c>
      <c r="CT279" s="3">
        <f t="shared" si="214"/>
        <v>0</v>
      </c>
      <c r="CU279" s="3">
        <f t="shared" si="215"/>
        <v>0</v>
      </c>
      <c r="CV279" s="3">
        <f t="shared" si="216"/>
        <v>0</v>
      </c>
      <c r="CW279" s="3">
        <f t="shared" si="217"/>
        <v>0</v>
      </c>
      <c r="CX279" s="3">
        <f t="shared" si="217"/>
        <v>0</v>
      </c>
      <c r="CY279" s="3">
        <f t="shared" si="218"/>
        <v>0</v>
      </c>
      <c r="CZ279" s="3">
        <f t="shared" si="219"/>
        <v>0</v>
      </c>
      <c r="DC279" s="3" t="s">
        <v>3</v>
      </c>
      <c r="DD279" s="3" t="s">
        <v>3</v>
      </c>
      <c r="DE279" s="3" t="s">
        <v>3</v>
      </c>
      <c r="DF279" s="3" t="s">
        <v>3</v>
      </c>
      <c r="DG279" s="3" t="s">
        <v>3</v>
      </c>
      <c r="DH279" s="3" t="s">
        <v>3</v>
      </c>
      <c r="DI279" s="3" t="s">
        <v>3</v>
      </c>
      <c r="DJ279" s="3" t="s">
        <v>3</v>
      </c>
      <c r="DK279" s="3" t="s">
        <v>3</v>
      </c>
      <c r="DL279" s="3" t="s">
        <v>3</v>
      </c>
      <c r="DM279" s="3" t="s">
        <v>3</v>
      </c>
      <c r="DN279" s="3">
        <v>0</v>
      </c>
      <c r="DO279" s="3">
        <v>0</v>
      </c>
      <c r="DP279" s="3">
        <v>1</v>
      </c>
      <c r="DQ279" s="3">
        <v>1</v>
      </c>
      <c r="DU279" s="3">
        <v>1010</v>
      </c>
      <c r="DV279" s="3" t="s">
        <v>177</v>
      </c>
      <c r="DW279" s="3" t="s">
        <v>177</v>
      </c>
      <c r="DX279" s="3">
        <v>1</v>
      </c>
      <c r="DZ279" s="3" t="s">
        <v>3</v>
      </c>
      <c r="EA279" s="3" t="s">
        <v>3</v>
      </c>
      <c r="EB279" s="3" t="s">
        <v>3</v>
      </c>
      <c r="EC279" s="3" t="s">
        <v>3</v>
      </c>
      <c r="EE279" s="3">
        <v>57043064</v>
      </c>
      <c r="EF279" s="3">
        <v>130</v>
      </c>
      <c r="EG279" s="3" t="s">
        <v>178</v>
      </c>
      <c r="EH279" s="3">
        <v>0</v>
      </c>
      <c r="EI279" s="3" t="s">
        <v>3</v>
      </c>
      <c r="EJ279" s="3">
        <v>3</v>
      </c>
      <c r="EK279" s="3">
        <v>746</v>
      </c>
      <c r="EL279" s="3" t="s">
        <v>179</v>
      </c>
      <c r="EM279" s="3" t="s">
        <v>180</v>
      </c>
      <c r="EO279" s="3" t="s">
        <v>3</v>
      </c>
      <c r="EQ279" s="3">
        <v>2228224</v>
      </c>
      <c r="ER279" s="3">
        <v>1258.5900000000001</v>
      </c>
      <c r="ES279" s="3">
        <v>1671.87</v>
      </c>
      <c r="ET279" s="3">
        <v>0</v>
      </c>
      <c r="EU279" s="3">
        <v>0</v>
      </c>
      <c r="EV279" s="3">
        <v>0</v>
      </c>
      <c r="EW279" s="3">
        <v>0</v>
      </c>
      <c r="EX279" s="3">
        <v>0</v>
      </c>
      <c r="EY279" s="3">
        <v>0</v>
      </c>
      <c r="EZ279" s="3">
        <v>5</v>
      </c>
      <c r="FC279" s="3">
        <v>1</v>
      </c>
      <c r="FD279" s="3">
        <v>18</v>
      </c>
      <c r="FF279" s="3">
        <v>14812.89</v>
      </c>
      <c r="FQ279" s="3">
        <v>0</v>
      </c>
      <c r="FR279" s="3">
        <f t="shared" si="220"/>
        <v>25312.11</v>
      </c>
      <c r="FS279" s="3">
        <v>0</v>
      </c>
      <c r="FX279" s="3">
        <v>0</v>
      </c>
      <c r="FY279" s="3">
        <v>0</v>
      </c>
      <c r="GA279" s="3" t="s">
        <v>276</v>
      </c>
      <c r="GD279" s="3">
        <v>1</v>
      </c>
      <c r="GF279" s="3">
        <v>-1413150604</v>
      </c>
      <c r="GG279" s="3">
        <v>2</v>
      </c>
      <c r="GH279" s="3">
        <v>3</v>
      </c>
      <c r="GI279" s="3">
        <v>5</v>
      </c>
      <c r="GJ279" s="3">
        <v>0</v>
      </c>
      <c r="GK279" s="3">
        <v>0</v>
      </c>
      <c r="GL279" s="3">
        <f t="shared" si="221"/>
        <v>0</v>
      </c>
      <c r="GM279" s="3">
        <f t="shared" si="222"/>
        <v>25312.11</v>
      </c>
      <c r="GN279" s="3">
        <f t="shared" si="223"/>
        <v>0</v>
      </c>
      <c r="GO279" s="3">
        <f t="shared" si="224"/>
        <v>0</v>
      </c>
      <c r="GP279" s="3">
        <f t="shared" si="225"/>
        <v>0</v>
      </c>
      <c r="GR279" s="3">
        <v>1</v>
      </c>
      <c r="GS279" s="3">
        <v>1</v>
      </c>
      <c r="GT279" s="3">
        <v>0</v>
      </c>
      <c r="GU279" s="3" t="s">
        <v>3</v>
      </c>
      <c r="GV279" s="3">
        <f t="shared" si="226"/>
        <v>0</v>
      </c>
      <c r="GW279" s="3">
        <v>1</v>
      </c>
      <c r="GX279" s="3">
        <f t="shared" si="227"/>
        <v>0</v>
      </c>
      <c r="HA279" s="3">
        <v>0</v>
      </c>
      <c r="HB279" s="3">
        <v>0</v>
      </c>
      <c r="HC279" s="3">
        <f t="shared" si="228"/>
        <v>0</v>
      </c>
      <c r="HE279" s="3" t="s">
        <v>40</v>
      </c>
      <c r="HF279" s="3" t="s">
        <v>182</v>
      </c>
      <c r="HM279" s="3" t="s">
        <v>3</v>
      </c>
      <c r="HN279" s="3" t="s">
        <v>3</v>
      </c>
      <c r="HO279" s="3" t="s">
        <v>3</v>
      </c>
      <c r="HP279" s="3" t="s">
        <v>3</v>
      </c>
      <c r="HQ279" s="3" t="s">
        <v>3</v>
      </c>
      <c r="HS279" s="3">
        <v>0</v>
      </c>
      <c r="IK279" s="3">
        <v>0</v>
      </c>
    </row>
    <row r="281" spans="1:255" ht="13" x14ac:dyDescent="0.3">
      <c r="A281" s="11">
        <v>51</v>
      </c>
      <c r="B281" s="11">
        <f>B270</f>
        <v>1</v>
      </c>
      <c r="C281" s="11">
        <f>A270</f>
        <v>4</v>
      </c>
      <c r="D281" s="11">
        <f>ROW(A270)</f>
        <v>270</v>
      </c>
      <c r="E281" s="11"/>
      <c r="F281" s="11" t="str">
        <f>IF(F270&lt;&gt;"",F270,"")</f>
        <v>Новый раздел</v>
      </c>
      <c r="G281" s="11" t="str">
        <f>IF(G270&lt;&gt;"",G270,"")</f>
        <v>Материалы, поставляемые с оборудованием СПС,</v>
      </c>
      <c r="H281" s="11">
        <v>0</v>
      </c>
      <c r="I281" s="11"/>
      <c r="J281" s="11"/>
      <c r="K281" s="11"/>
      <c r="L281" s="11"/>
      <c r="M281" s="11"/>
      <c r="N281" s="11"/>
      <c r="O281" s="11">
        <f t="shared" ref="O281:T281" si="229">ROUND(AB281,2)</f>
        <v>6601.56</v>
      </c>
      <c r="P281" s="11">
        <f t="shared" si="229"/>
        <v>6601.56</v>
      </c>
      <c r="Q281" s="11">
        <f t="shared" si="229"/>
        <v>0</v>
      </c>
      <c r="R281" s="11">
        <f t="shared" si="229"/>
        <v>0</v>
      </c>
      <c r="S281" s="11">
        <f t="shared" si="229"/>
        <v>0</v>
      </c>
      <c r="T281" s="11">
        <f t="shared" si="229"/>
        <v>0</v>
      </c>
      <c r="U281" s="11">
        <f>AH281</f>
        <v>0</v>
      </c>
      <c r="V281" s="11">
        <f>AI281</f>
        <v>0</v>
      </c>
      <c r="W281" s="11">
        <f>ROUND(AJ281,2)</f>
        <v>0</v>
      </c>
      <c r="X281" s="11">
        <f>ROUND(AK281,2)</f>
        <v>0</v>
      </c>
      <c r="Y281" s="11">
        <f>ROUND(AL281,2)</f>
        <v>0</v>
      </c>
      <c r="Z281" s="11"/>
      <c r="AA281" s="11"/>
      <c r="AB281" s="11">
        <f>ROUND(SUMIF(AA274:AA279,"=57034452",O274:O279),2)</f>
        <v>6601.56</v>
      </c>
      <c r="AC281" s="11">
        <f>ROUND(SUMIF(AA274:AA279,"=57034452",P274:P279),2)</f>
        <v>6601.56</v>
      </c>
      <c r="AD281" s="11">
        <f>ROUND(SUMIF(AA274:AA279,"=57034452",Q274:Q279),2)</f>
        <v>0</v>
      </c>
      <c r="AE281" s="11">
        <f>ROUND(SUMIF(AA274:AA279,"=57034452",R274:R279),2)</f>
        <v>0</v>
      </c>
      <c r="AF281" s="11">
        <f>ROUND(SUMIF(AA274:AA279,"=57034452",S274:S279),2)</f>
        <v>0</v>
      </c>
      <c r="AG281" s="11">
        <f>ROUND(SUMIF(AA274:AA279,"=57034452",T274:T279),2)</f>
        <v>0</v>
      </c>
      <c r="AH281" s="11">
        <f>SUMIF(AA274:AA279,"=57034452",U274:U279)</f>
        <v>0</v>
      </c>
      <c r="AI281" s="11">
        <f>SUMIF(AA274:AA279,"=57034452",V274:V279)</f>
        <v>0</v>
      </c>
      <c r="AJ281" s="11">
        <f>ROUND(SUMIF(AA274:AA279,"=57034452",W274:W279),2)</f>
        <v>0</v>
      </c>
      <c r="AK281" s="11">
        <f>ROUND(SUMIF(AA274:AA279,"=57034452",X274:X279),2)</f>
        <v>0</v>
      </c>
      <c r="AL281" s="11">
        <f>ROUND(SUMIF(AA274:AA279,"=57034452",Y274:Y279),2)</f>
        <v>0</v>
      </c>
      <c r="AM281" s="11"/>
      <c r="AN281" s="11"/>
      <c r="AO281" s="11">
        <f t="shared" ref="AO281:BD281" si="230">ROUND(BX281,2)</f>
        <v>0</v>
      </c>
      <c r="AP281" s="11">
        <f t="shared" si="230"/>
        <v>6601.56</v>
      </c>
      <c r="AQ281" s="11">
        <f t="shared" si="230"/>
        <v>0</v>
      </c>
      <c r="AR281" s="11">
        <f t="shared" si="230"/>
        <v>6601.56</v>
      </c>
      <c r="AS281" s="11">
        <f t="shared" si="230"/>
        <v>0</v>
      </c>
      <c r="AT281" s="11">
        <f t="shared" si="230"/>
        <v>0</v>
      </c>
      <c r="AU281" s="11">
        <f t="shared" si="230"/>
        <v>0</v>
      </c>
      <c r="AV281" s="11">
        <f t="shared" si="230"/>
        <v>6601.56</v>
      </c>
      <c r="AW281" s="11">
        <f t="shared" si="230"/>
        <v>0</v>
      </c>
      <c r="AX281" s="11">
        <f t="shared" si="230"/>
        <v>0</v>
      </c>
      <c r="AY281" s="11">
        <f t="shared" si="230"/>
        <v>0</v>
      </c>
      <c r="AZ281" s="11">
        <f t="shared" si="230"/>
        <v>6601.56</v>
      </c>
      <c r="BA281" s="11">
        <f t="shared" si="230"/>
        <v>0</v>
      </c>
      <c r="BB281" s="11">
        <f t="shared" si="230"/>
        <v>0</v>
      </c>
      <c r="BC281" s="11">
        <f t="shared" si="230"/>
        <v>0</v>
      </c>
      <c r="BD281" s="11">
        <f t="shared" si="230"/>
        <v>0</v>
      </c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>
        <f>ROUND(SUMIF(AA274:AA279,"=57034452",FQ274:FQ279),2)</f>
        <v>0</v>
      </c>
      <c r="BY281" s="11">
        <f>ROUND(SUMIF(AA274:AA279,"=57034452",FR274:FR279),2)</f>
        <v>6601.56</v>
      </c>
      <c r="BZ281" s="11">
        <f>ROUND(SUMIF(AA274:AA279,"=57034452",GL274:GL279),2)</f>
        <v>0</v>
      </c>
      <c r="CA281" s="11">
        <f>ROUND(SUMIF(AA274:AA279,"=57034452",GM274:GM279),2)</f>
        <v>6601.56</v>
      </c>
      <c r="CB281" s="11">
        <f>ROUND(SUMIF(AA274:AA279,"=57034452",GN274:GN279),2)</f>
        <v>0</v>
      </c>
      <c r="CC281" s="11">
        <f>ROUND(SUMIF(AA274:AA279,"=57034452",GO274:GO279),2)</f>
        <v>0</v>
      </c>
      <c r="CD281" s="11">
        <f>ROUND(SUMIF(AA274:AA279,"=57034452",GP274:GP279),2)</f>
        <v>0</v>
      </c>
      <c r="CE281" s="11">
        <f>AC281-BX281</f>
        <v>6601.56</v>
      </c>
      <c r="CF281" s="11">
        <f>AC281-BY281</f>
        <v>0</v>
      </c>
      <c r="CG281" s="11">
        <f>BX281-BZ281</f>
        <v>0</v>
      </c>
      <c r="CH281" s="11">
        <f>AC281-BX281-BY281+BZ281</f>
        <v>0</v>
      </c>
      <c r="CI281" s="11">
        <f>BY281-BZ281</f>
        <v>6601.56</v>
      </c>
      <c r="CJ281" s="11">
        <f>ROUND(SUMIF(AA274:AA279,"=57034452",GX274:GX279),2)</f>
        <v>0</v>
      </c>
      <c r="CK281" s="11">
        <f>ROUND(SUMIF(AA274:AA279,"=57034452",GY274:GY279),2)</f>
        <v>0</v>
      </c>
      <c r="CL281" s="11">
        <f>ROUND(SUMIF(AA274:AA279,"=57034452",GZ274:GZ279),2)</f>
        <v>0</v>
      </c>
      <c r="CM281" s="11">
        <f>ROUND(SUMIF(AA274:AA279,"=57034452",HD274:HD279),2)</f>
        <v>0</v>
      </c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2">
        <f t="shared" ref="DG281:DL281" si="231">ROUND(DT281,2)</f>
        <v>49973.81</v>
      </c>
      <c r="DH281" s="12">
        <f t="shared" si="231"/>
        <v>49973.81</v>
      </c>
      <c r="DI281" s="12">
        <f t="shared" si="231"/>
        <v>0</v>
      </c>
      <c r="DJ281" s="12">
        <f t="shared" si="231"/>
        <v>0</v>
      </c>
      <c r="DK281" s="12">
        <f t="shared" si="231"/>
        <v>0</v>
      </c>
      <c r="DL281" s="12">
        <f t="shared" si="231"/>
        <v>0</v>
      </c>
      <c r="DM281" s="12">
        <f>DZ281</f>
        <v>0</v>
      </c>
      <c r="DN281" s="12">
        <f>EA281</f>
        <v>0</v>
      </c>
      <c r="DO281" s="12">
        <f>ROUND(EB281,2)</f>
        <v>0</v>
      </c>
      <c r="DP281" s="12">
        <f>ROUND(EC281,2)</f>
        <v>0</v>
      </c>
      <c r="DQ281" s="12">
        <f>ROUND(ED281,2)</f>
        <v>0</v>
      </c>
      <c r="DR281" s="12"/>
      <c r="DS281" s="12"/>
      <c r="DT281" s="12">
        <f>ROUND(SUMIF(AA274:AA279,"=57034454",O274:O279),2)</f>
        <v>49973.81</v>
      </c>
      <c r="DU281" s="12">
        <f>ROUND(SUMIF(AA274:AA279,"=57034454",P274:P279),2)</f>
        <v>49973.81</v>
      </c>
      <c r="DV281" s="12">
        <f>ROUND(SUMIF(AA274:AA279,"=57034454",Q274:Q279),2)</f>
        <v>0</v>
      </c>
      <c r="DW281" s="12">
        <f>ROUND(SUMIF(AA274:AA279,"=57034454",R274:R279),2)</f>
        <v>0</v>
      </c>
      <c r="DX281" s="12">
        <f>ROUND(SUMIF(AA274:AA279,"=57034454",S274:S279),2)</f>
        <v>0</v>
      </c>
      <c r="DY281" s="12">
        <f>ROUND(SUMIF(AA274:AA279,"=57034454",T274:T279),2)</f>
        <v>0</v>
      </c>
      <c r="DZ281" s="12">
        <f>SUMIF(AA274:AA279,"=57034454",U274:U279)</f>
        <v>0</v>
      </c>
      <c r="EA281" s="12">
        <f>SUMIF(AA274:AA279,"=57034454",V274:V279)</f>
        <v>0</v>
      </c>
      <c r="EB281" s="12">
        <f>ROUND(SUMIF(AA274:AA279,"=57034454",W274:W279),2)</f>
        <v>0</v>
      </c>
      <c r="EC281" s="12">
        <f>ROUND(SUMIF(AA274:AA279,"=57034454",X274:X279),2)</f>
        <v>0</v>
      </c>
      <c r="ED281" s="12">
        <f>ROUND(SUMIF(AA274:AA279,"=57034454",Y274:Y279),2)</f>
        <v>0</v>
      </c>
      <c r="EE281" s="12"/>
      <c r="EF281" s="12"/>
      <c r="EG281" s="12">
        <f t="shared" ref="EG281:EV281" si="232">ROUND(FP281,2)</f>
        <v>0</v>
      </c>
      <c r="EH281" s="12">
        <f t="shared" si="232"/>
        <v>49973.81</v>
      </c>
      <c r="EI281" s="12">
        <f t="shared" si="232"/>
        <v>0</v>
      </c>
      <c r="EJ281" s="12">
        <f t="shared" si="232"/>
        <v>49973.81</v>
      </c>
      <c r="EK281" s="12">
        <f t="shared" si="232"/>
        <v>0</v>
      </c>
      <c r="EL281" s="12">
        <f t="shared" si="232"/>
        <v>0</v>
      </c>
      <c r="EM281" s="12">
        <f t="shared" si="232"/>
        <v>0</v>
      </c>
      <c r="EN281" s="12">
        <f t="shared" si="232"/>
        <v>49973.81</v>
      </c>
      <c r="EO281" s="12">
        <f t="shared" si="232"/>
        <v>0</v>
      </c>
      <c r="EP281" s="12">
        <f t="shared" si="232"/>
        <v>0</v>
      </c>
      <c r="EQ281" s="12">
        <f t="shared" si="232"/>
        <v>0</v>
      </c>
      <c r="ER281" s="12">
        <f t="shared" si="232"/>
        <v>49973.81</v>
      </c>
      <c r="ES281" s="12">
        <f t="shared" si="232"/>
        <v>0</v>
      </c>
      <c r="ET281" s="12">
        <f t="shared" si="232"/>
        <v>0</v>
      </c>
      <c r="EU281" s="12">
        <f t="shared" si="232"/>
        <v>0</v>
      </c>
      <c r="EV281" s="12">
        <f t="shared" si="232"/>
        <v>0</v>
      </c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>
        <f>ROUND(SUMIF(AA274:AA279,"=57034454",FQ274:FQ279),2)</f>
        <v>0</v>
      </c>
      <c r="FQ281" s="12">
        <f>ROUND(SUMIF(AA274:AA279,"=57034454",FR274:FR279),2)</f>
        <v>49973.81</v>
      </c>
      <c r="FR281" s="12">
        <f>ROUND(SUMIF(AA274:AA279,"=57034454",GL274:GL279),2)</f>
        <v>0</v>
      </c>
      <c r="FS281" s="12">
        <f>ROUND(SUMIF(AA274:AA279,"=57034454",GM274:GM279),2)</f>
        <v>49973.81</v>
      </c>
      <c r="FT281" s="12">
        <f>ROUND(SUMIF(AA274:AA279,"=57034454",GN274:GN279),2)</f>
        <v>0</v>
      </c>
      <c r="FU281" s="12">
        <f>ROUND(SUMIF(AA274:AA279,"=57034454",GO274:GO279),2)</f>
        <v>0</v>
      </c>
      <c r="FV281" s="12">
        <f>ROUND(SUMIF(AA274:AA279,"=57034454",GP274:GP279),2)</f>
        <v>0</v>
      </c>
      <c r="FW281" s="12">
        <f>DU281-FP281</f>
        <v>49973.81</v>
      </c>
      <c r="FX281" s="12">
        <f>DU281-FQ281</f>
        <v>0</v>
      </c>
      <c r="FY281" s="12">
        <f>FP281-FR281</f>
        <v>0</v>
      </c>
      <c r="FZ281" s="12">
        <f>DU281-FP281-FQ281+FR281</f>
        <v>0</v>
      </c>
      <c r="GA281" s="12">
        <f>FQ281-FR281</f>
        <v>49973.81</v>
      </c>
      <c r="GB281" s="12">
        <f>ROUND(SUMIF(AA274:AA279,"=57034454",GX274:GX279),2)</f>
        <v>0</v>
      </c>
      <c r="GC281" s="12">
        <f>ROUND(SUMIF(AA274:AA279,"=57034454",GY274:GY279),2)</f>
        <v>0</v>
      </c>
      <c r="GD281" s="12">
        <f>ROUND(SUMIF(AA274:AA279,"=57034454",GZ274:GZ279),2)</f>
        <v>0</v>
      </c>
      <c r="GE281" s="12">
        <f>ROUND(SUMIF(AA274:AA279,"=57034454",HD274:HD279),2)</f>
        <v>0</v>
      </c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>
        <v>0</v>
      </c>
    </row>
    <row r="283" spans="1:255" ht="13" x14ac:dyDescent="0.3">
      <c r="A283" s="13">
        <v>50</v>
      </c>
      <c r="B283" s="13">
        <v>0</v>
      </c>
      <c r="C283" s="13">
        <v>0</v>
      </c>
      <c r="D283" s="13">
        <v>1</v>
      </c>
      <c r="E283" s="13">
        <v>201</v>
      </c>
      <c r="F283" s="13">
        <f>ROUND(Source!O281,O283)</f>
        <v>6601.56</v>
      </c>
      <c r="G283" s="13" t="s">
        <v>117</v>
      </c>
      <c r="H283" s="13" t="s">
        <v>118</v>
      </c>
      <c r="I283" s="13"/>
      <c r="J283" s="13"/>
      <c r="K283" s="13">
        <v>201</v>
      </c>
      <c r="L283" s="13">
        <v>1</v>
      </c>
      <c r="M283" s="13">
        <v>3</v>
      </c>
      <c r="N283" s="13" t="s">
        <v>3</v>
      </c>
      <c r="O283" s="13">
        <v>2</v>
      </c>
      <c r="P283" s="13">
        <f>ROUND(Source!DG281,O283)</f>
        <v>49973.81</v>
      </c>
      <c r="Q283" s="13"/>
      <c r="R283" s="13"/>
      <c r="S283" s="13"/>
      <c r="T283" s="13"/>
      <c r="U283" s="13"/>
      <c r="V283" s="13"/>
      <c r="W283" s="13">
        <v>6601.56</v>
      </c>
      <c r="X283" s="13">
        <v>1</v>
      </c>
      <c r="Y283" s="13">
        <v>6601.56</v>
      </c>
      <c r="Z283" s="13">
        <v>49973.81</v>
      </c>
      <c r="AA283" s="13">
        <v>1</v>
      </c>
      <c r="AB283" s="13">
        <v>49973.81</v>
      </c>
    </row>
    <row r="284" spans="1:255" ht="13" x14ac:dyDescent="0.3">
      <c r="A284" s="13">
        <v>50</v>
      </c>
      <c r="B284" s="13">
        <v>0</v>
      </c>
      <c r="C284" s="13">
        <v>0</v>
      </c>
      <c r="D284" s="13">
        <v>1</v>
      </c>
      <c r="E284" s="13">
        <v>202</v>
      </c>
      <c r="F284" s="13">
        <f>ROUND(Source!P281,O284)</f>
        <v>6601.56</v>
      </c>
      <c r="G284" s="13" t="s">
        <v>119</v>
      </c>
      <c r="H284" s="13" t="s">
        <v>120</v>
      </c>
      <c r="I284" s="13"/>
      <c r="J284" s="13"/>
      <c r="K284" s="13">
        <v>202</v>
      </c>
      <c r="L284" s="13">
        <v>2</v>
      </c>
      <c r="M284" s="13">
        <v>3</v>
      </c>
      <c r="N284" s="13" t="s">
        <v>3</v>
      </c>
      <c r="O284" s="13">
        <v>2</v>
      </c>
      <c r="P284" s="13">
        <f>ROUND(Source!DH281,O284)</f>
        <v>49973.81</v>
      </c>
      <c r="Q284" s="13"/>
      <c r="R284" s="13"/>
      <c r="S284" s="13"/>
      <c r="T284" s="13"/>
      <c r="U284" s="13"/>
      <c r="V284" s="13"/>
      <c r="W284" s="13">
        <v>6601.56</v>
      </c>
      <c r="X284" s="13">
        <v>1</v>
      </c>
      <c r="Y284" s="13">
        <v>6601.56</v>
      </c>
      <c r="Z284" s="13">
        <v>49973.81</v>
      </c>
      <c r="AA284" s="13">
        <v>1</v>
      </c>
      <c r="AB284" s="13">
        <v>49973.81</v>
      </c>
    </row>
    <row r="285" spans="1:255" ht="13" x14ac:dyDescent="0.3">
      <c r="A285" s="13">
        <v>50</v>
      </c>
      <c r="B285" s="13">
        <v>0</v>
      </c>
      <c r="C285" s="13">
        <v>0</v>
      </c>
      <c r="D285" s="13">
        <v>1</v>
      </c>
      <c r="E285" s="13">
        <v>222</v>
      </c>
      <c r="F285" s="13">
        <f>ROUND(Source!AO281,O285)</f>
        <v>0</v>
      </c>
      <c r="G285" s="13" t="s">
        <v>121</v>
      </c>
      <c r="H285" s="13" t="s">
        <v>122</v>
      </c>
      <c r="I285" s="13"/>
      <c r="J285" s="13"/>
      <c r="K285" s="13">
        <v>222</v>
      </c>
      <c r="L285" s="13">
        <v>3</v>
      </c>
      <c r="M285" s="13">
        <v>3</v>
      </c>
      <c r="N285" s="13" t="s">
        <v>3</v>
      </c>
      <c r="O285" s="13">
        <v>2</v>
      </c>
      <c r="P285" s="13">
        <f>ROUND(Source!EG281,O285)</f>
        <v>0</v>
      </c>
      <c r="Q285" s="13"/>
      <c r="R285" s="13"/>
      <c r="S285" s="13"/>
      <c r="T285" s="13"/>
      <c r="U285" s="13"/>
      <c r="V285" s="13"/>
      <c r="W285" s="13">
        <v>0</v>
      </c>
      <c r="X285" s="13">
        <v>1</v>
      </c>
      <c r="Y285" s="13">
        <v>0</v>
      </c>
      <c r="Z285" s="13">
        <v>0</v>
      </c>
      <c r="AA285" s="13">
        <v>1</v>
      </c>
      <c r="AB285" s="13">
        <v>0</v>
      </c>
    </row>
    <row r="286" spans="1:255" ht="13" x14ac:dyDescent="0.3">
      <c r="A286" s="13">
        <v>50</v>
      </c>
      <c r="B286" s="13">
        <v>0</v>
      </c>
      <c r="C286" s="13">
        <v>0</v>
      </c>
      <c r="D286" s="13">
        <v>1</v>
      </c>
      <c r="E286" s="13">
        <v>225</v>
      </c>
      <c r="F286" s="13">
        <f>ROUND(Source!AV281,O286)</f>
        <v>6601.56</v>
      </c>
      <c r="G286" s="13" t="s">
        <v>123</v>
      </c>
      <c r="H286" s="13" t="s">
        <v>124</v>
      </c>
      <c r="I286" s="13"/>
      <c r="J286" s="13"/>
      <c r="K286" s="13">
        <v>225</v>
      </c>
      <c r="L286" s="13">
        <v>4</v>
      </c>
      <c r="M286" s="13">
        <v>3</v>
      </c>
      <c r="N286" s="13" t="s">
        <v>3</v>
      </c>
      <c r="O286" s="13">
        <v>2</v>
      </c>
      <c r="P286" s="13">
        <f>ROUND(Source!EN281,O286)</f>
        <v>49973.81</v>
      </c>
      <c r="Q286" s="13"/>
      <c r="R286" s="13"/>
      <c r="S286" s="13"/>
      <c r="T286" s="13"/>
      <c r="U286" s="13"/>
      <c r="V286" s="13"/>
      <c r="W286" s="13">
        <v>6601.56</v>
      </c>
      <c r="X286" s="13">
        <v>1</v>
      </c>
      <c r="Y286" s="13">
        <v>6601.56</v>
      </c>
      <c r="Z286" s="13">
        <v>49973.81</v>
      </c>
      <c r="AA286" s="13">
        <v>1</v>
      </c>
      <c r="AB286" s="13">
        <v>49973.81</v>
      </c>
    </row>
    <row r="287" spans="1:255" ht="13" x14ac:dyDescent="0.3">
      <c r="A287" s="13">
        <v>50</v>
      </c>
      <c r="B287" s="13">
        <v>0</v>
      </c>
      <c r="C287" s="13">
        <v>0</v>
      </c>
      <c r="D287" s="13">
        <v>1</v>
      </c>
      <c r="E287" s="13">
        <v>226</v>
      </c>
      <c r="F287" s="13">
        <f>ROUND(Source!AW281,O287)</f>
        <v>0</v>
      </c>
      <c r="G287" s="13" t="s">
        <v>125</v>
      </c>
      <c r="H287" s="13" t="s">
        <v>126</v>
      </c>
      <c r="I287" s="13"/>
      <c r="J287" s="13"/>
      <c r="K287" s="13">
        <v>226</v>
      </c>
      <c r="L287" s="13">
        <v>5</v>
      </c>
      <c r="M287" s="13">
        <v>3</v>
      </c>
      <c r="N287" s="13" t="s">
        <v>3</v>
      </c>
      <c r="O287" s="13">
        <v>2</v>
      </c>
      <c r="P287" s="13">
        <f>ROUND(Source!EO281,O287)</f>
        <v>0</v>
      </c>
      <c r="Q287" s="13"/>
      <c r="R287" s="13"/>
      <c r="S287" s="13"/>
      <c r="T287" s="13"/>
      <c r="U287" s="13"/>
      <c r="V287" s="13"/>
      <c r="W287" s="13">
        <v>0</v>
      </c>
      <c r="X287" s="13">
        <v>1</v>
      </c>
      <c r="Y287" s="13">
        <v>0</v>
      </c>
      <c r="Z287" s="13">
        <v>0</v>
      </c>
      <c r="AA287" s="13">
        <v>1</v>
      </c>
      <c r="AB287" s="13">
        <v>0</v>
      </c>
    </row>
    <row r="288" spans="1:255" ht="13" x14ac:dyDescent="0.3">
      <c r="A288" s="13">
        <v>50</v>
      </c>
      <c r="B288" s="13">
        <v>0</v>
      </c>
      <c r="C288" s="13">
        <v>0</v>
      </c>
      <c r="D288" s="13">
        <v>1</v>
      </c>
      <c r="E288" s="13">
        <v>227</v>
      </c>
      <c r="F288" s="13">
        <f>ROUND(Source!AX281,O288)</f>
        <v>0</v>
      </c>
      <c r="G288" s="13" t="s">
        <v>127</v>
      </c>
      <c r="H288" s="13" t="s">
        <v>128</v>
      </c>
      <c r="I288" s="13"/>
      <c r="J288" s="13"/>
      <c r="K288" s="13">
        <v>227</v>
      </c>
      <c r="L288" s="13">
        <v>6</v>
      </c>
      <c r="M288" s="13">
        <v>3</v>
      </c>
      <c r="N288" s="13" t="s">
        <v>3</v>
      </c>
      <c r="O288" s="13">
        <v>2</v>
      </c>
      <c r="P288" s="13">
        <f>ROUND(Source!EP281,O288)</f>
        <v>0</v>
      </c>
      <c r="Q288" s="13"/>
      <c r="R288" s="13"/>
      <c r="S288" s="13"/>
      <c r="T288" s="13"/>
      <c r="U288" s="13"/>
      <c r="V288" s="13"/>
      <c r="W288" s="13">
        <v>0</v>
      </c>
      <c r="X288" s="13">
        <v>1</v>
      </c>
      <c r="Y288" s="13">
        <v>0</v>
      </c>
      <c r="Z288" s="13">
        <v>0</v>
      </c>
      <c r="AA288" s="13">
        <v>1</v>
      </c>
      <c r="AB288" s="13">
        <v>0</v>
      </c>
    </row>
    <row r="289" spans="1:28" ht="13" x14ac:dyDescent="0.3">
      <c r="A289" s="13">
        <v>50</v>
      </c>
      <c r="B289" s="13">
        <v>0</v>
      </c>
      <c r="C289" s="13">
        <v>0</v>
      </c>
      <c r="D289" s="13">
        <v>1</v>
      </c>
      <c r="E289" s="13">
        <v>228</v>
      </c>
      <c r="F289" s="13">
        <f>ROUND(Source!AY281,O289)</f>
        <v>0</v>
      </c>
      <c r="G289" s="13" t="s">
        <v>129</v>
      </c>
      <c r="H289" s="13" t="s">
        <v>130</v>
      </c>
      <c r="I289" s="13"/>
      <c r="J289" s="13"/>
      <c r="K289" s="13">
        <v>228</v>
      </c>
      <c r="L289" s="13">
        <v>7</v>
      </c>
      <c r="M289" s="13">
        <v>3</v>
      </c>
      <c r="N289" s="13" t="s">
        <v>3</v>
      </c>
      <c r="O289" s="13">
        <v>2</v>
      </c>
      <c r="P289" s="13">
        <f>ROUND(Source!EQ281,O289)</f>
        <v>0</v>
      </c>
      <c r="Q289" s="13"/>
      <c r="R289" s="13"/>
      <c r="S289" s="13"/>
      <c r="T289" s="13"/>
      <c r="U289" s="13"/>
      <c r="V289" s="13"/>
      <c r="W289" s="13">
        <v>0</v>
      </c>
      <c r="X289" s="13">
        <v>1</v>
      </c>
      <c r="Y289" s="13">
        <v>0</v>
      </c>
      <c r="Z289" s="13">
        <v>0</v>
      </c>
      <c r="AA289" s="13">
        <v>1</v>
      </c>
      <c r="AB289" s="13">
        <v>0</v>
      </c>
    </row>
    <row r="290" spans="1:28" ht="13" x14ac:dyDescent="0.3">
      <c r="A290" s="13">
        <v>50</v>
      </c>
      <c r="B290" s="13">
        <v>0</v>
      </c>
      <c r="C290" s="13">
        <v>0</v>
      </c>
      <c r="D290" s="13">
        <v>1</v>
      </c>
      <c r="E290" s="13">
        <v>216</v>
      </c>
      <c r="F290" s="13">
        <f>ROUND(Source!AP281,O290)</f>
        <v>6601.56</v>
      </c>
      <c r="G290" s="13" t="s">
        <v>131</v>
      </c>
      <c r="H290" s="13" t="s">
        <v>132</v>
      </c>
      <c r="I290" s="13"/>
      <c r="J290" s="13"/>
      <c r="K290" s="13">
        <v>216</v>
      </c>
      <c r="L290" s="13">
        <v>8</v>
      </c>
      <c r="M290" s="13">
        <v>3</v>
      </c>
      <c r="N290" s="13" t="s">
        <v>3</v>
      </c>
      <c r="O290" s="13">
        <v>2</v>
      </c>
      <c r="P290" s="13">
        <f>ROUND(Source!EH281,O290)</f>
        <v>49973.81</v>
      </c>
      <c r="Q290" s="13"/>
      <c r="R290" s="13"/>
      <c r="S290" s="13"/>
      <c r="T290" s="13"/>
      <c r="U290" s="13"/>
      <c r="V290" s="13"/>
      <c r="W290" s="13">
        <v>6601.56</v>
      </c>
      <c r="X290" s="13">
        <v>1</v>
      </c>
      <c r="Y290" s="13">
        <v>6601.56</v>
      </c>
      <c r="Z290" s="13">
        <v>49973.81</v>
      </c>
      <c r="AA290" s="13">
        <v>1</v>
      </c>
      <c r="AB290" s="13">
        <v>49973.81</v>
      </c>
    </row>
    <row r="291" spans="1:28" ht="13" x14ac:dyDescent="0.3">
      <c r="A291" s="13">
        <v>50</v>
      </c>
      <c r="B291" s="13">
        <v>0</v>
      </c>
      <c r="C291" s="13">
        <v>0</v>
      </c>
      <c r="D291" s="13">
        <v>1</v>
      </c>
      <c r="E291" s="13">
        <v>223</v>
      </c>
      <c r="F291" s="13">
        <f>ROUND(Source!AQ281,O291)</f>
        <v>0</v>
      </c>
      <c r="G291" s="13" t="s">
        <v>133</v>
      </c>
      <c r="H291" s="13" t="s">
        <v>134</v>
      </c>
      <c r="I291" s="13"/>
      <c r="J291" s="13"/>
      <c r="K291" s="13">
        <v>223</v>
      </c>
      <c r="L291" s="13">
        <v>9</v>
      </c>
      <c r="M291" s="13">
        <v>3</v>
      </c>
      <c r="N291" s="13" t="s">
        <v>3</v>
      </c>
      <c r="O291" s="13">
        <v>2</v>
      </c>
      <c r="P291" s="13">
        <f>ROUND(Source!EI281,O291)</f>
        <v>0</v>
      </c>
      <c r="Q291" s="13"/>
      <c r="R291" s="13"/>
      <c r="S291" s="13"/>
      <c r="T291" s="13"/>
      <c r="U291" s="13"/>
      <c r="V291" s="13"/>
      <c r="W291" s="13">
        <v>0</v>
      </c>
      <c r="X291" s="13">
        <v>1</v>
      </c>
      <c r="Y291" s="13">
        <v>0</v>
      </c>
      <c r="Z291" s="13">
        <v>0</v>
      </c>
      <c r="AA291" s="13">
        <v>1</v>
      </c>
      <c r="AB291" s="13">
        <v>0</v>
      </c>
    </row>
    <row r="292" spans="1:28" ht="13" x14ac:dyDescent="0.3">
      <c r="A292" s="13">
        <v>50</v>
      </c>
      <c r="B292" s="13">
        <v>0</v>
      </c>
      <c r="C292" s="13">
        <v>0</v>
      </c>
      <c r="D292" s="13">
        <v>1</v>
      </c>
      <c r="E292" s="13">
        <v>229</v>
      </c>
      <c r="F292" s="13">
        <f>ROUND(Source!AZ281,O292)</f>
        <v>6601.56</v>
      </c>
      <c r="G292" s="13" t="s">
        <v>135</v>
      </c>
      <c r="H292" s="13" t="s">
        <v>136</v>
      </c>
      <c r="I292" s="13"/>
      <c r="J292" s="13"/>
      <c r="K292" s="13">
        <v>229</v>
      </c>
      <c r="L292" s="13">
        <v>10</v>
      </c>
      <c r="M292" s="13">
        <v>3</v>
      </c>
      <c r="N292" s="13" t="s">
        <v>3</v>
      </c>
      <c r="O292" s="13">
        <v>2</v>
      </c>
      <c r="P292" s="13">
        <f>ROUND(Source!ER281,O292)</f>
        <v>49973.81</v>
      </c>
      <c r="Q292" s="13"/>
      <c r="R292" s="13"/>
      <c r="S292" s="13"/>
      <c r="T292" s="13"/>
      <c r="U292" s="13"/>
      <c r="V292" s="13"/>
      <c r="W292" s="13">
        <v>6601.56</v>
      </c>
      <c r="X292" s="13">
        <v>1</v>
      </c>
      <c r="Y292" s="13">
        <v>6601.56</v>
      </c>
      <c r="Z292" s="13">
        <v>49973.81</v>
      </c>
      <c r="AA292" s="13">
        <v>1</v>
      </c>
      <c r="AB292" s="13">
        <v>49973.81</v>
      </c>
    </row>
    <row r="293" spans="1:28" ht="13" x14ac:dyDescent="0.3">
      <c r="A293" s="13">
        <v>50</v>
      </c>
      <c r="B293" s="13">
        <v>0</v>
      </c>
      <c r="C293" s="13">
        <v>0</v>
      </c>
      <c r="D293" s="13">
        <v>1</v>
      </c>
      <c r="E293" s="13">
        <v>203</v>
      </c>
      <c r="F293" s="13">
        <f>ROUND(Source!Q281,O293)</f>
        <v>0</v>
      </c>
      <c r="G293" s="13" t="s">
        <v>137</v>
      </c>
      <c r="H293" s="13" t="s">
        <v>138</v>
      </c>
      <c r="I293" s="13"/>
      <c r="J293" s="13"/>
      <c r="K293" s="13">
        <v>203</v>
      </c>
      <c r="L293" s="13">
        <v>11</v>
      </c>
      <c r="M293" s="13">
        <v>3</v>
      </c>
      <c r="N293" s="13" t="s">
        <v>3</v>
      </c>
      <c r="O293" s="13">
        <v>2</v>
      </c>
      <c r="P293" s="13">
        <f>ROUND(Source!DI281,O293)</f>
        <v>0</v>
      </c>
      <c r="Q293" s="13"/>
      <c r="R293" s="13"/>
      <c r="S293" s="13"/>
      <c r="T293" s="13"/>
      <c r="U293" s="13"/>
      <c r="V293" s="13"/>
      <c r="W293" s="13">
        <v>0</v>
      </c>
      <c r="X293" s="13">
        <v>1</v>
      </c>
      <c r="Y293" s="13">
        <v>0</v>
      </c>
      <c r="Z293" s="13">
        <v>0</v>
      </c>
      <c r="AA293" s="13">
        <v>1</v>
      </c>
      <c r="AB293" s="13">
        <v>0</v>
      </c>
    </row>
    <row r="294" spans="1:28" ht="13" x14ac:dyDescent="0.3">
      <c r="A294" s="13">
        <v>50</v>
      </c>
      <c r="B294" s="13">
        <v>0</v>
      </c>
      <c r="C294" s="13">
        <v>0</v>
      </c>
      <c r="D294" s="13">
        <v>1</v>
      </c>
      <c r="E294" s="13">
        <v>231</v>
      </c>
      <c r="F294" s="13">
        <f>ROUND(Source!BB281,O294)</f>
        <v>0</v>
      </c>
      <c r="G294" s="13" t="s">
        <v>139</v>
      </c>
      <c r="H294" s="13" t="s">
        <v>140</v>
      </c>
      <c r="I294" s="13"/>
      <c r="J294" s="13"/>
      <c r="K294" s="13">
        <v>231</v>
      </c>
      <c r="L294" s="13">
        <v>12</v>
      </c>
      <c r="M294" s="13">
        <v>3</v>
      </c>
      <c r="N294" s="13" t="s">
        <v>3</v>
      </c>
      <c r="O294" s="13">
        <v>2</v>
      </c>
      <c r="P294" s="13">
        <f>ROUND(Source!ET281,O294)</f>
        <v>0</v>
      </c>
      <c r="Q294" s="13"/>
      <c r="R294" s="13"/>
      <c r="S294" s="13"/>
      <c r="T294" s="13"/>
      <c r="U294" s="13"/>
      <c r="V294" s="13"/>
      <c r="W294" s="13">
        <v>0</v>
      </c>
      <c r="X294" s="13">
        <v>1</v>
      </c>
      <c r="Y294" s="13">
        <v>0</v>
      </c>
      <c r="Z294" s="13">
        <v>0</v>
      </c>
      <c r="AA294" s="13">
        <v>1</v>
      </c>
      <c r="AB294" s="13">
        <v>0</v>
      </c>
    </row>
    <row r="295" spans="1:28" ht="13" x14ac:dyDescent="0.3">
      <c r="A295" s="13">
        <v>50</v>
      </c>
      <c r="B295" s="13">
        <v>0</v>
      </c>
      <c r="C295" s="13">
        <v>0</v>
      </c>
      <c r="D295" s="13">
        <v>1</v>
      </c>
      <c r="E295" s="13">
        <v>204</v>
      </c>
      <c r="F295" s="13">
        <f>ROUND(Source!R281,O295)</f>
        <v>0</v>
      </c>
      <c r="G295" s="13" t="s">
        <v>141</v>
      </c>
      <c r="H295" s="13" t="s">
        <v>142</v>
      </c>
      <c r="I295" s="13"/>
      <c r="J295" s="13"/>
      <c r="K295" s="13">
        <v>204</v>
      </c>
      <c r="L295" s="13">
        <v>13</v>
      </c>
      <c r="M295" s="13">
        <v>3</v>
      </c>
      <c r="N295" s="13" t="s">
        <v>3</v>
      </c>
      <c r="O295" s="13">
        <v>2</v>
      </c>
      <c r="P295" s="13">
        <f>ROUND(Source!DJ281,O295)</f>
        <v>0</v>
      </c>
      <c r="Q295" s="13"/>
      <c r="R295" s="13"/>
      <c r="S295" s="13"/>
      <c r="T295" s="13"/>
      <c r="U295" s="13"/>
      <c r="V295" s="13"/>
      <c r="W295" s="13">
        <v>0</v>
      </c>
      <c r="X295" s="13">
        <v>1</v>
      </c>
      <c r="Y295" s="13">
        <v>0</v>
      </c>
      <c r="Z295" s="13">
        <v>0</v>
      </c>
      <c r="AA295" s="13">
        <v>1</v>
      </c>
      <c r="AB295" s="13">
        <v>0</v>
      </c>
    </row>
    <row r="296" spans="1:28" ht="13" x14ac:dyDescent="0.3">
      <c r="A296" s="13">
        <v>50</v>
      </c>
      <c r="B296" s="13">
        <v>0</v>
      </c>
      <c r="C296" s="13">
        <v>0</v>
      </c>
      <c r="D296" s="13">
        <v>1</v>
      </c>
      <c r="E296" s="13">
        <v>205</v>
      </c>
      <c r="F296" s="13">
        <f>ROUND(Source!S281,O296)</f>
        <v>0</v>
      </c>
      <c r="G296" s="13" t="s">
        <v>143</v>
      </c>
      <c r="H296" s="13" t="s">
        <v>144</v>
      </c>
      <c r="I296" s="13"/>
      <c r="J296" s="13"/>
      <c r="K296" s="13">
        <v>205</v>
      </c>
      <c r="L296" s="13">
        <v>14</v>
      </c>
      <c r="M296" s="13">
        <v>3</v>
      </c>
      <c r="N296" s="13" t="s">
        <v>3</v>
      </c>
      <c r="O296" s="13">
        <v>2</v>
      </c>
      <c r="P296" s="13">
        <f>ROUND(Source!DK281,O296)</f>
        <v>0</v>
      </c>
      <c r="Q296" s="13"/>
      <c r="R296" s="13"/>
      <c r="S296" s="13"/>
      <c r="T296" s="13"/>
      <c r="U296" s="13"/>
      <c r="V296" s="13"/>
      <c r="W296" s="13">
        <v>0</v>
      </c>
      <c r="X296" s="13">
        <v>1</v>
      </c>
      <c r="Y296" s="13">
        <v>0</v>
      </c>
      <c r="Z296" s="13">
        <v>0</v>
      </c>
      <c r="AA296" s="13">
        <v>1</v>
      </c>
      <c r="AB296" s="13">
        <v>0</v>
      </c>
    </row>
    <row r="297" spans="1:28" ht="13" x14ac:dyDescent="0.3">
      <c r="A297" s="13">
        <v>50</v>
      </c>
      <c r="B297" s="13">
        <v>0</v>
      </c>
      <c r="C297" s="13">
        <v>0</v>
      </c>
      <c r="D297" s="13">
        <v>1</v>
      </c>
      <c r="E297" s="13">
        <v>232</v>
      </c>
      <c r="F297" s="13">
        <f>ROUND(Source!BC281,O297)</f>
        <v>0</v>
      </c>
      <c r="G297" s="13" t="s">
        <v>145</v>
      </c>
      <c r="H297" s="13" t="s">
        <v>146</v>
      </c>
      <c r="I297" s="13"/>
      <c r="J297" s="13"/>
      <c r="K297" s="13">
        <v>232</v>
      </c>
      <c r="L297" s="13">
        <v>15</v>
      </c>
      <c r="M297" s="13">
        <v>3</v>
      </c>
      <c r="N297" s="13" t="s">
        <v>3</v>
      </c>
      <c r="O297" s="13">
        <v>2</v>
      </c>
      <c r="P297" s="13">
        <f>ROUND(Source!EU281,O297)</f>
        <v>0</v>
      </c>
      <c r="Q297" s="13"/>
      <c r="R297" s="13"/>
      <c r="S297" s="13"/>
      <c r="T297" s="13"/>
      <c r="U297" s="13"/>
      <c r="V297" s="13"/>
      <c r="W297" s="13">
        <v>0</v>
      </c>
      <c r="X297" s="13">
        <v>1</v>
      </c>
      <c r="Y297" s="13">
        <v>0</v>
      </c>
      <c r="Z297" s="13">
        <v>0</v>
      </c>
      <c r="AA297" s="13">
        <v>1</v>
      </c>
      <c r="AB297" s="13">
        <v>0</v>
      </c>
    </row>
    <row r="298" spans="1:28" ht="13" x14ac:dyDescent="0.3">
      <c r="A298" s="13">
        <v>50</v>
      </c>
      <c r="B298" s="13">
        <v>0</v>
      </c>
      <c r="C298" s="13">
        <v>0</v>
      </c>
      <c r="D298" s="13">
        <v>1</v>
      </c>
      <c r="E298" s="13">
        <v>214</v>
      </c>
      <c r="F298" s="13">
        <f>ROUND(Source!AS281,O298)</f>
        <v>0</v>
      </c>
      <c r="G298" s="13" t="s">
        <v>147</v>
      </c>
      <c r="H298" s="13" t="s">
        <v>148</v>
      </c>
      <c r="I298" s="13"/>
      <c r="J298" s="13"/>
      <c r="K298" s="13">
        <v>214</v>
      </c>
      <c r="L298" s="13">
        <v>16</v>
      </c>
      <c r="M298" s="13">
        <v>3</v>
      </c>
      <c r="N298" s="13" t="s">
        <v>3</v>
      </c>
      <c r="O298" s="13">
        <v>2</v>
      </c>
      <c r="P298" s="13">
        <f>ROUND(Source!EK281,O298)</f>
        <v>0</v>
      </c>
      <c r="Q298" s="13"/>
      <c r="R298" s="13"/>
      <c r="S298" s="13"/>
      <c r="T298" s="13"/>
      <c r="U298" s="13"/>
      <c r="V298" s="13"/>
      <c r="W298" s="13">
        <v>0</v>
      </c>
      <c r="X298" s="13">
        <v>1</v>
      </c>
      <c r="Y298" s="13">
        <v>0</v>
      </c>
      <c r="Z298" s="13">
        <v>0</v>
      </c>
      <c r="AA298" s="13">
        <v>1</v>
      </c>
      <c r="AB298" s="13">
        <v>0</v>
      </c>
    </row>
    <row r="299" spans="1:28" ht="13" x14ac:dyDescent="0.3">
      <c r="A299" s="13">
        <v>50</v>
      </c>
      <c r="B299" s="13">
        <v>0</v>
      </c>
      <c r="C299" s="13">
        <v>0</v>
      </c>
      <c r="D299" s="13">
        <v>1</v>
      </c>
      <c r="E299" s="13">
        <v>215</v>
      </c>
      <c r="F299" s="13">
        <f>ROUND(Source!AT281,O299)</f>
        <v>0</v>
      </c>
      <c r="G299" s="13" t="s">
        <v>149</v>
      </c>
      <c r="H299" s="13" t="s">
        <v>150</v>
      </c>
      <c r="I299" s="13"/>
      <c r="J299" s="13"/>
      <c r="K299" s="13">
        <v>215</v>
      </c>
      <c r="L299" s="13">
        <v>17</v>
      </c>
      <c r="M299" s="13">
        <v>3</v>
      </c>
      <c r="N299" s="13" t="s">
        <v>3</v>
      </c>
      <c r="O299" s="13">
        <v>2</v>
      </c>
      <c r="P299" s="13">
        <f>ROUND(Source!EL281,O299)</f>
        <v>0</v>
      </c>
      <c r="Q299" s="13"/>
      <c r="R299" s="13"/>
      <c r="S299" s="13"/>
      <c r="T299" s="13"/>
      <c r="U299" s="13"/>
      <c r="V299" s="13"/>
      <c r="W299" s="13">
        <v>0</v>
      </c>
      <c r="X299" s="13">
        <v>1</v>
      </c>
      <c r="Y299" s="13">
        <v>0</v>
      </c>
      <c r="Z299" s="13">
        <v>0</v>
      </c>
      <c r="AA299" s="13">
        <v>1</v>
      </c>
      <c r="AB299" s="13">
        <v>0</v>
      </c>
    </row>
    <row r="300" spans="1:28" ht="13" x14ac:dyDescent="0.3">
      <c r="A300" s="13">
        <v>50</v>
      </c>
      <c r="B300" s="13">
        <v>0</v>
      </c>
      <c r="C300" s="13">
        <v>0</v>
      </c>
      <c r="D300" s="13">
        <v>1</v>
      </c>
      <c r="E300" s="13">
        <v>217</v>
      </c>
      <c r="F300" s="13">
        <f>ROUND(Source!AU281,O300)</f>
        <v>0</v>
      </c>
      <c r="G300" s="13" t="s">
        <v>151</v>
      </c>
      <c r="H300" s="13" t="s">
        <v>152</v>
      </c>
      <c r="I300" s="13"/>
      <c r="J300" s="13"/>
      <c r="K300" s="13">
        <v>217</v>
      </c>
      <c r="L300" s="13">
        <v>18</v>
      </c>
      <c r="M300" s="13">
        <v>3</v>
      </c>
      <c r="N300" s="13" t="s">
        <v>3</v>
      </c>
      <c r="O300" s="13">
        <v>2</v>
      </c>
      <c r="P300" s="13">
        <f>ROUND(Source!EM281,O300)</f>
        <v>0</v>
      </c>
      <c r="Q300" s="13"/>
      <c r="R300" s="13"/>
      <c r="S300" s="13"/>
      <c r="T300" s="13"/>
      <c r="U300" s="13"/>
      <c r="V300" s="13"/>
      <c r="W300" s="13">
        <v>0</v>
      </c>
      <c r="X300" s="13">
        <v>1</v>
      </c>
      <c r="Y300" s="13">
        <v>0</v>
      </c>
      <c r="Z300" s="13">
        <v>0</v>
      </c>
      <c r="AA300" s="13">
        <v>1</v>
      </c>
      <c r="AB300" s="13">
        <v>0</v>
      </c>
    </row>
    <row r="301" spans="1:28" ht="13" x14ac:dyDescent="0.3">
      <c r="A301" s="13">
        <v>50</v>
      </c>
      <c r="B301" s="13">
        <v>0</v>
      </c>
      <c r="C301" s="13">
        <v>0</v>
      </c>
      <c r="D301" s="13">
        <v>1</v>
      </c>
      <c r="E301" s="13">
        <v>230</v>
      </c>
      <c r="F301" s="13">
        <f>ROUND(Source!BA281,O301)</f>
        <v>0</v>
      </c>
      <c r="G301" s="13" t="s">
        <v>153</v>
      </c>
      <c r="H301" s="13" t="s">
        <v>154</v>
      </c>
      <c r="I301" s="13"/>
      <c r="J301" s="13"/>
      <c r="K301" s="13">
        <v>230</v>
      </c>
      <c r="L301" s="13">
        <v>19</v>
      </c>
      <c r="M301" s="13">
        <v>3</v>
      </c>
      <c r="N301" s="13" t="s">
        <v>3</v>
      </c>
      <c r="O301" s="13">
        <v>2</v>
      </c>
      <c r="P301" s="13">
        <f>ROUND(Source!ES281,O301)</f>
        <v>0</v>
      </c>
      <c r="Q301" s="13"/>
      <c r="R301" s="13"/>
      <c r="S301" s="13"/>
      <c r="T301" s="13"/>
      <c r="U301" s="13"/>
      <c r="V301" s="13"/>
      <c r="W301" s="13">
        <v>0</v>
      </c>
      <c r="X301" s="13">
        <v>1</v>
      </c>
      <c r="Y301" s="13">
        <v>0</v>
      </c>
      <c r="Z301" s="13">
        <v>0</v>
      </c>
      <c r="AA301" s="13">
        <v>1</v>
      </c>
      <c r="AB301" s="13">
        <v>0</v>
      </c>
    </row>
    <row r="302" spans="1:28" ht="13" x14ac:dyDescent="0.3">
      <c r="A302" s="13">
        <v>50</v>
      </c>
      <c r="B302" s="13">
        <v>0</v>
      </c>
      <c r="C302" s="13">
        <v>0</v>
      </c>
      <c r="D302" s="13">
        <v>1</v>
      </c>
      <c r="E302" s="13">
        <v>206</v>
      </c>
      <c r="F302" s="13">
        <f>ROUND(Source!T281,O302)</f>
        <v>0</v>
      </c>
      <c r="G302" s="13" t="s">
        <v>155</v>
      </c>
      <c r="H302" s="13" t="s">
        <v>156</v>
      </c>
      <c r="I302" s="13"/>
      <c r="J302" s="13"/>
      <c r="K302" s="13">
        <v>206</v>
      </c>
      <c r="L302" s="13">
        <v>20</v>
      </c>
      <c r="M302" s="13">
        <v>3</v>
      </c>
      <c r="N302" s="13" t="s">
        <v>3</v>
      </c>
      <c r="O302" s="13">
        <v>2</v>
      </c>
      <c r="P302" s="13">
        <f>ROUND(Source!DL281,O302)</f>
        <v>0</v>
      </c>
      <c r="Q302" s="13"/>
      <c r="R302" s="13"/>
      <c r="S302" s="13"/>
      <c r="T302" s="13"/>
      <c r="U302" s="13"/>
      <c r="V302" s="13"/>
      <c r="W302" s="13">
        <v>0</v>
      </c>
      <c r="X302" s="13">
        <v>1</v>
      </c>
      <c r="Y302" s="13">
        <v>0</v>
      </c>
      <c r="Z302" s="13">
        <v>0</v>
      </c>
      <c r="AA302" s="13">
        <v>1</v>
      </c>
      <c r="AB302" s="13">
        <v>0</v>
      </c>
    </row>
    <row r="303" spans="1:28" ht="13" x14ac:dyDescent="0.3">
      <c r="A303" s="13">
        <v>50</v>
      </c>
      <c r="B303" s="13">
        <v>0</v>
      </c>
      <c r="C303" s="13">
        <v>0</v>
      </c>
      <c r="D303" s="13">
        <v>1</v>
      </c>
      <c r="E303" s="13">
        <v>207</v>
      </c>
      <c r="F303" s="13">
        <f>Source!U281</f>
        <v>0</v>
      </c>
      <c r="G303" s="13" t="s">
        <v>157</v>
      </c>
      <c r="H303" s="13" t="s">
        <v>158</v>
      </c>
      <c r="I303" s="13"/>
      <c r="J303" s="13"/>
      <c r="K303" s="13">
        <v>207</v>
      </c>
      <c r="L303" s="13">
        <v>21</v>
      </c>
      <c r="M303" s="13">
        <v>3</v>
      </c>
      <c r="N303" s="13" t="s">
        <v>3</v>
      </c>
      <c r="O303" s="13">
        <v>-1</v>
      </c>
      <c r="P303" s="13">
        <f>Source!DM281</f>
        <v>0</v>
      </c>
      <c r="Q303" s="13"/>
      <c r="R303" s="13"/>
      <c r="S303" s="13"/>
      <c r="T303" s="13"/>
      <c r="U303" s="13"/>
      <c r="V303" s="13"/>
      <c r="W303" s="13">
        <v>0</v>
      </c>
      <c r="X303" s="13">
        <v>1</v>
      </c>
      <c r="Y303" s="13">
        <v>0</v>
      </c>
      <c r="Z303" s="13">
        <v>0</v>
      </c>
      <c r="AA303" s="13">
        <v>1</v>
      </c>
      <c r="AB303" s="13">
        <v>0</v>
      </c>
    </row>
    <row r="304" spans="1:28" ht="13" x14ac:dyDescent="0.3">
      <c r="A304" s="13">
        <v>50</v>
      </c>
      <c r="B304" s="13">
        <v>0</v>
      </c>
      <c r="C304" s="13">
        <v>0</v>
      </c>
      <c r="D304" s="13">
        <v>1</v>
      </c>
      <c r="E304" s="13">
        <v>208</v>
      </c>
      <c r="F304" s="13">
        <f>Source!V281</f>
        <v>0</v>
      </c>
      <c r="G304" s="13" t="s">
        <v>159</v>
      </c>
      <c r="H304" s="13" t="s">
        <v>160</v>
      </c>
      <c r="I304" s="13"/>
      <c r="J304" s="13"/>
      <c r="K304" s="13">
        <v>208</v>
      </c>
      <c r="L304" s="13">
        <v>22</v>
      </c>
      <c r="M304" s="13">
        <v>3</v>
      </c>
      <c r="N304" s="13" t="s">
        <v>3</v>
      </c>
      <c r="O304" s="13">
        <v>-1</v>
      </c>
      <c r="P304" s="13">
        <f>Source!DN281</f>
        <v>0</v>
      </c>
      <c r="Q304" s="13"/>
      <c r="R304" s="13"/>
      <c r="S304" s="13"/>
      <c r="T304" s="13"/>
      <c r="U304" s="13"/>
      <c r="V304" s="13"/>
      <c r="W304" s="13">
        <v>0</v>
      </c>
      <c r="X304" s="13">
        <v>1</v>
      </c>
      <c r="Y304" s="13">
        <v>0</v>
      </c>
      <c r="Z304" s="13">
        <v>0</v>
      </c>
      <c r="AA304" s="13">
        <v>1</v>
      </c>
      <c r="AB304" s="13">
        <v>0</v>
      </c>
    </row>
    <row r="305" spans="1:255" ht="13" x14ac:dyDescent="0.3">
      <c r="A305" s="13">
        <v>50</v>
      </c>
      <c r="B305" s="13">
        <v>0</v>
      </c>
      <c r="C305" s="13">
        <v>0</v>
      </c>
      <c r="D305" s="13">
        <v>1</v>
      </c>
      <c r="E305" s="13">
        <v>209</v>
      </c>
      <c r="F305" s="13">
        <f>ROUND(Source!W281,O305)</f>
        <v>0</v>
      </c>
      <c r="G305" s="13" t="s">
        <v>161</v>
      </c>
      <c r="H305" s="13" t="s">
        <v>162</v>
      </c>
      <c r="I305" s="13"/>
      <c r="J305" s="13"/>
      <c r="K305" s="13">
        <v>209</v>
      </c>
      <c r="L305" s="13">
        <v>23</v>
      </c>
      <c r="M305" s="13">
        <v>3</v>
      </c>
      <c r="N305" s="13" t="s">
        <v>3</v>
      </c>
      <c r="O305" s="13">
        <v>2</v>
      </c>
      <c r="P305" s="13">
        <f>ROUND(Source!DO281,O305)</f>
        <v>0</v>
      </c>
      <c r="Q305" s="13"/>
      <c r="R305" s="13"/>
      <c r="S305" s="13"/>
      <c r="T305" s="13"/>
      <c r="U305" s="13"/>
      <c r="V305" s="13"/>
      <c r="W305" s="13">
        <v>0</v>
      </c>
      <c r="X305" s="13">
        <v>1</v>
      </c>
      <c r="Y305" s="13">
        <v>0</v>
      </c>
      <c r="Z305" s="13">
        <v>0</v>
      </c>
      <c r="AA305" s="13">
        <v>1</v>
      </c>
      <c r="AB305" s="13">
        <v>0</v>
      </c>
    </row>
    <row r="306" spans="1:255" ht="13" x14ac:dyDescent="0.3">
      <c r="A306" s="13">
        <v>50</v>
      </c>
      <c r="B306" s="13">
        <v>0</v>
      </c>
      <c r="C306" s="13">
        <v>0</v>
      </c>
      <c r="D306" s="13">
        <v>1</v>
      </c>
      <c r="E306" s="13">
        <v>233</v>
      </c>
      <c r="F306" s="13">
        <f>ROUND(Source!BD281,O306)</f>
        <v>0</v>
      </c>
      <c r="G306" s="13" t="s">
        <v>163</v>
      </c>
      <c r="H306" s="13" t="s">
        <v>164</v>
      </c>
      <c r="I306" s="13"/>
      <c r="J306" s="13"/>
      <c r="K306" s="13">
        <v>233</v>
      </c>
      <c r="L306" s="13">
        <v>24</v>
      </c>
      <c r="M306" s="13">
        <v>3</v>
      </c>
      <c r="N306" s="13" t="s">
        <v>3</v>
      </c>
      <c r="O306" s="13">
        <v>2</v>
      </c>
      <c r="P306" s="13">
        <f>ROUND(Source!EV281,O306)</f>
        <v>0</v>
      </c>
      <c r="Q306" s="13"/>
      <c r="R306" s="13"/>
      <c r="S306" s="13"/>
      <c r="T306" s="13"/>
      <c r="U306" s="13"/>
      <c r="V306" s="13"/>
      <c r="W306" s="13">
        <v>0</v>
      </c>
      <c r="X306" s="13">
        <v>1</v>
      </c>
      <c r="Y306" s="13">
        <v>0</v>
      </c>
      <c r="Z306" s="13">
        <v>0</v>
      </c>
      <c r="AA306" s="13">
        <v>1</v>
      </c>
      <c r="AB306" s="13">
        <v>0</v>
      </c>
    </row>
    <row r="307" spans="1:255" ht="13" x14ac:dyDescent="0.3">
      <c r="A307" s="13">
        <v>50</v>
      </c>
      <c r="B307" s="13">
        <v>0</v>
      </c>
      <c r="C307" s="13">
        <v>0</v>
      </c>
      <c r="D307" s="13">
        <v>1</v>
      </c>
      <c r="E307" s="13">
        <v>210</v>
      </c>
      <c r="F307" s="13">
        <f>ROUND(Source!X281,O307)</f>
        <v>0</v>
      </c>
      <c r="G307" s="13" t="s">
        <v>165</v>
      </c>
      <c r="H307" s="13" t="s">
        <v>166</v>
      </c>
      <c r="I307" s="13"/>
      <c r="J307" s="13"/>
      <c r="K307" s="13">
        <v>210</v>
      </c>
      <c r="L307" s="13">
        <v>25</v>
      </c>
      <c r="M307" s="13">
        <v>3</v>
      </c>
      <c r="N307" s="13" t="s">
        <v>3</v>
      </c>
      <c r="O307" s="13">
        <v>2</v>
      </c>
      <c r="P307" s="13">
        <f>ROUND(Source!DP281,O307)</f>
        <v>0</v>
      </c>
      <c r="Q307" s="13"/>
      <c r="R307" s="13"/>
      <c r="S307" s="13"/>
      <c r="T307" s="13"/>
      <c r="U307" s="13"/>
      <c r="V307" s="13"/>
      <c r="W307" s="13">
        <v>0</v>
      </c>
      <c r="X307" s="13">
        <v>1</v>
      </c>
      <c r="Y307" s="13">
        <v>0</v>
      </c>
      <c r="Z307" s="13">
        <v>0</v>
      </c>
      <c r="AA307" s="13">
        <v>1</v>
      </c>
      <c r="AB307" s="13">
        <v>0</v>
      </c>
    </row>
    <row r="308" spans="1:255" ht="13" x14ac:dyDescent="0.3">
      <c r="A308" s="13">
        <v>50</v>
      </c>
      <c r="B308" s="13">
        <v>0</v>
      </c>
      <c r="C308" s="13">
        <v>0</v>
      </c>
      <c r="D308" s="13">
        <v>1</v>
      </c>
      <c r="E308" s="13">
        <v>211</v>
      </c>
      <c r="F308" s="13">
        <f>ROUND(Source!Y281,O308)</f>
        <v>0</v>
      </c>
      <c r="G308" s="13" t="s">
        <v>167</v>
      </c>
      <c r="H308" s="13" t="s">
        <v>168</v>
      </c>
      <c r="I308" s="13"/>
      <c r="J308" s="13"/>
      <c r="K308" s="13">
        <v>211</v>
      </c>
      <c r="L308" s="13">
        <v>26</v>
      </c>
      <c r="M308" s="13">
        <v>3</v>
      </c>
      <c r="N308" s="13" t="s">
        <v>3</v>
      </c>
      <c r="O308" s="13">
        <v>2</v>
      </c>
      <c r="P308" s="13">
        <f>ROUND(Source!DQ281,O308)</f>
        <v>0</v>
      </c>
      <c r="Q308" s="13"/>
      <c r="R308" s="13"/>
      <c r="S308" s="13"/>
      <c r="T308" s="13"/>
      <c r="U308" s="13"/>
      <c r="V308" s="13"/>
      <c r="W308" s="13">
        <v>0</v>
      </c>
      <c r="X308" s="13">
        <v>1</v>
      </c>
      <c r="Y308" s="13">
        <v>0</v>
      </c>
      <c r="Z308" s="13">
        <v>0</v>
      </c>
      <c r="AA308" s="13">
        <v>1</v>
      </c>
      <c r="AB308" s="13">
        <v>0</v>
      </c>
    </row>
    <row r="309" spans="1:255" ht="13" x14ac:dyDescent="0.3">
      <c r="A309" s="13">
        <v>50</v>
      </c>
      <c r="B309" s="13">
        <v>0</v>
      </c>
      <c r="C309" s="13">
        <v>0</v>
      </c>
      <c r="D309" s="13">
        <v>1</v>
      </c>
      <c r="E309" s="13">
        <v>224</v>
      </c>
      <c r="F309" s="13">
        <f>ROUND(Source!AR281,O309)</f>
        <v>6601.56</v>
      </c>
      <c r="G309" s="13" t="s">
        <v>169</v>
      </c>
      <c r="H309" s="13" t="s">
        <v>170</v>
      </c>
      <c r="I309" s="13"/>
      <c r="J309" s="13"/>
      <c r="K309" s="13">
        <v>224</v>
      </c>
      <c r="L309" s="13">
        <v>27</v>
      </c>
      <c r="M309" s="13">
        <v>3</v>
      </c>
      <c r="N309" s="13" t="s">
        <v>3</v>
      </c>
      <c r="O309" s="13">
        <v>2</v>
      </c>
      <c r="P309" s="13">
        <f>ROUND(Source!EJ281,O309)</f>
        <v>49973.81</v>
      </c>
      <c r="Q309" s="13"/>
      <c r="R309" s="13"/>
      <c r="S309" s="13"/>
      <c r="T309" s="13"/>
      <c r="U309" s="13"/>
      <c r="V309" s="13"/>
      <c r="W309" s="13">
        <v>6601.56</v>
      </c>
      <c r="X309" s="13">
        <v>1</v>
      </c>
      <c r="Y309" s="13">
        <v>6601.56</v>
      </c>
      <c r="Z309" s="13">
        <v>49973.81</v>
      </c>
      <c r="AA309" s="13">
        <v>1</v>
      </c>
      <c r="AB309" s="13">
        <v>49973.81</v>
      </c>
    </row>
    <row r="311" spans="1:255" ht="13" x14ac:dyDescent="0.3">
      <c r="A311" s="10">
        <v>4</v>
      </c>
      <c r="B311" s="10">
        <v>1</v>
      </c>
      <c r="C311" s="10"/>
      <c r="D311" s="10">
        <f>ROW(A334)</f>
        <v>334</v>
      </c>
      <c r="E311" s="10"/>
      <c r="F311" s="10" t="s">
        <v>21</v>
      </c>
      <c r="G311" s="10" t="s">
        <v>277</v>
      </c>
      <c r="H311" s="10" t="s">
        <v>3</v>
      </c>
      <c r="I311" s="10">
        <v>0</v>
      </c>
      <c r="J311" s="10"/>
      <c r="K311" s="10">
        <v>0</v>
      </c>
      <c r="L311" s="10"/>
      <c r="M311" s="10" t="s">
        <v>3</v>
      </c>
      <c r="N311" s="10"/>
      <c r="O311" s="10"/>
      <c r="P311" s="10"/>
      <c r="Q311" s="10"/>
      <c r="R311" s="10"/>
      <c r="S311" s="10">
        <v>0</v>
      </c>
      <c r="T311" s="10">
        <v>0</v>
      </c>
      <c r="U311" s="10" t="s">
        <v>3</v>
      </c>
      <c r="V311" s="10">
        <v>2</v>
      </c>
      <c r="W311" s="10"/>
      <c r="X311" s="10"/>
      <c r="Y311" s="10"/>
      <c r="Z311" s="10"/>
      <c r="AA311" s="10"/>
      <c r="AB311" s="10" t="s">
        <v>3</v>
      </c>
      <c r="AC311" s="10" t="s">
        <v>3</v>
      </c>
      <c r="AD311" s="10" t="s">
        <v>3</v>
      </c>
      <c r="AE311" s="10" t="s">
        <v>3</v>
      </c>
      <c r="AF311" s="10" t="s">
        <v>3</v>
      </c>
      <c r="AG311" s="10" t="s">
        <v>3</v>
      </c>
      <c r="AH311" s="10"/>
      <c r="AI311" s="10"/>
      <c r="AJ311" s="10"/>
      <c r="AK311" s="10"/>
      <c r="AL311" s="10"/>
      <c r="AM311" s="10"/>
      <c r="AN311" s="10"/>
      <c r="AO311" s="10"/>
      <c r="AP311" s="10" t="s">
        <v>3</v>
      </c>
      <c r="AQ311" s="10" t="s">
        <v>3</v>
      </c>
      <c r="AR311" s="10" t="s">
        <v>3</v>
      </c>
      <c r="AS311" s="10"/>
      <c r="AT311" s="10"/>
      <c r="AU311" s="10"/>
      <c r="AV311" s="10"/>
      <c r="AW311" s="10"/>
      <c r="AX311" s="10"/>
      <c r="AY311" s="10"/>
      <c r="AZ311" s="10" t="s">
        <v>3</v>
      </c>
      <c r="BA311" s="10"/>
      <c r="BB311" s="10" t="s">
        <v>3</v>
      </c>
      <c r="BC311" s="10" t="s">
        <v>3</v>
      </c>
      <c r="BD311" s="10" t="s">
        <v>3</v>
      </c>
      <c r="BE311" s="10" t="s">
        <v>3</v>
      </c>
      <c r="BF311" s="10" t="s">
        <v>3</v>
      </c>
      <c r="BG311" s="10" t="s">
        <v>3</v>
      </c>
      <c r="BH311" s="10" t="s">
        <v>3</v>
      </c>
      <c r="BI311" s="10" t="s">
        <v>3</v>
      </c>
      <c r="BJ311" s="10" t="s">
        <v>3</v>
      </c>
      <c r="BK311" s="10" t="s">
        <v>3</v>
      </c>
      <c r="BL311" s="10" t="s">
        <v>3</v>
      </c>
      <c r="BM311" s="10" t="s">
        <v>3</v>
      </c>
      <c r="BN311" s="10" t="s">
        <v>3</v>
      </c>
      <c r="BO311" s="10" t="s">
        <v>3</v>
      </c>
      <c r="BP311" s="10" t="s">
        <v>3</v>
      </c>
      <c r="BQ311" s="10"/>
      <c r="BR311" s="10"/>
      <c r="BS311" s="10"/>
      <c r="BT311" s="10"/>
      <c r="BU311" s="10"/>
      <c r="BV311" s="10"/>
      <c r="BW311" s="10"/>
      <c r="BX311" s="10">
        <v>0</v>
      </c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>
        <v>0</v>
      </c>
    </row>
    <row r="313" spans="1:255" ht="13" x14ac:dyDescent="0.3">
      <c r="A313" s="11">
        <v>52</v>
      </c>
      <c r="B313" s="11">
        <f t="shared" ref="B313:G313" si="233">B334</f>
        <v>1</v>
      </c>
      <c r="C313" s="11">
        <f t="shared" si="233"/>
        <v>4</v>
      </c>
      <c r="D313" s="11">
        <f t="shared" si="233"/>
        <v>311</v>
      </c>
      <c r="E313" s="11">
        <f t="shared" si="233"/>
        <v>0</v>
      </c>
      <c r="F313" s="11" t="str">
        <f t="shared" si="233"/>
        <v>Новый раздел</v>
      </c>
      <c r="G313" s="11" t="str">
        <f t="shared" si="233"/>
        <v>Базовое оборудование СПА.</v>
      </c>
      <c r="H313" s="11"/>
      <c r="I313" s="11"/>
      <c r="J313" s="11"/>
      <c r="K313" s="11"/>
      <c r="L313" s="11"/>
      <c r="M313" s="11"/>
      <c r="N313" s="11"/>
      <c r="O313" s="11">
        <f t="shared" ref="O313:AT313" si="234">O334</f>
        <v>15044.74</v>
      </c>
      <c r="P313" s="11">
        <f t="shared" si="234"/>
        <v>14717.62</v>
      </c>
      <c r="Q313" s="11">
        <f t="shared" si="234"/>
        <v>0.33</v>
      </c>
      <c r="R313" s="11">
        <f t="shared" si="234"/>
        <v>0.06</v>
      </c>
      <c r="S313" s="11">
        <f t="shared" si="234"/>
        <v>326.79000000000002</v>
      </c>
      <c r="T313" s="11">
        <f t="shared" si="234"/>
        <v>0</v>
      </c>
      <c r="U313" s="11">
        <f t="shared" si="234"/>
        <v>24.524928000000003</v>
      </c>
      <c r="V313" s="11">
        <f t="shared" si="234"/>
        <v>0</v>
      </c>
      <c r="W313" s="11">
        <f t="shared" si="234"/>
        <v>0</v>
      </c>
      <c r="X313" s="11">
        <f t="shared" si="234"/>
        <v>294.17</v>
      </c>
      <c r="Y313" s="11">
        <f t="shared" si="234"/>
        <v>150.35</v>
      </c>
      <c r="Z313" s="11">
        <f t="shared" si="234"/>
        <v>0</v>
      </c>
      <c r="AA313" s="11">
        <f t="shared" si="234"/>
        <v>0</v>
      </c>
      <c r="AB313" s="11">
        <f t="shared" si="234"/>
        <v>15044.74</v>
      </c>
      <c r="AC313" s="11">
        <f t="shared" si="234"/>
        <v>14717.62</v>
      </c>
      <c r="AD313" s="11">
        <f t="shared" si="234"/>
        <v>0.33</v>
      </c>
      <c r="AE313" s="11">
        <f t="shared" si="234"/>
        <v>0.06</v>
      </c>
      <c r="AF313" s="11">
        <f t="shared" si="234"/>
        <v>326.79000000000002</v>
      </c>
      <c r="AG313" s="11">
        <f t="shared" si="234"/>
        <v>0</v>
      </c>
      <c r="AH313" s="11">
        <f t="shared" si="234"/>
        <v>24.524928000000003</v>
      </c>
      <c r="AI313" s="11">
        <f t="shared" si="234"/>
        <v>0</v>
      </c>
      <c r="AJ313" s="11">
        <f t="shared" si="234"/>
        <v>0</v>
      </c>
      <c r="AK313" s="11">
        <f t="shared" si="234"/>
        <v>294.17</v>
      </c>
      <c r="AL313" s="11">
        <f t="shared" si="234"/>
        <v>150.35</v>
      </c>
      <c r="AM313" s="11">
        <f t="shared" si="234"/>
        <v>0</v>
      </c>
      <c r="AN313" s="11">
        <f t="shared" si="234"/>
        <v>0</v>
      </c>
      <c r="AO313" s="11">
        <f t="shared" si="234"/>
        <v>0</v>
      </c>
      <c r="AP313" s="11">
        <f t="shared" si="234"/>
        <v>14683.96</v>
      </c>
      <c r="AQ313" s="11">
        <f t="shared" si="234"/>
        <v>0</v>
      </c>
      <c r="AR313" s="11">
        <f t="shared" si="234"/>
        <v>15489.26</v>
      </c>
      <c r="AS313" s="11">
        <f t="shared" si="234"/>
        <v>0</v>
      </c>
      <c r="AT313" s="11">
        <f t="shared" si="234"/>
        <v>805.3</v>
      </c>
      <c r="AU313" s="11">
        <f t="shared" ref="AU313:BZ313" si="235">AU334</f>
        <v>0</v>
      </c>
      <c r="AV313" s="11">
        <f t="shared" si="235"/>
        <v>14717.62</v>
      </c>
      <c r="AW313" s="11">
        <f t="shared" si="235"/>
        <v>33.659999999999997</v>
      </c>
      <c r="AX313" s="11">
        <f t="shared" si="235"/>
        <v>0</v>
      </c>
      <c r="AY313" s="11">
        <f t="shared" si="235"/>
        <v>33.659999999999997</v>
      </c>
      <c r="AZ313" s="11">
        <f t="shared" si="235"/>
        <v>14683.96</v>
      </c>
      <c r="BA313" s="11">
        <f t="shared" si="235"/>
        <v>0</v>
      </c>
      <c r="BB313" s="11">
        <f t="shared" si="235"/>
        <v>0</v>
      </c>
      <c r="BC313" s="11">
        <f t="shared" si="235"/>
        <v>0</v>
      </c>
      <c r="BD313" s="11">
        <f t="shared" si="235"/>
        <v>0</v>
      </c>
      <c r="BE313" s="11">
        <f t="shared" si="235"/>
        <v>0</v>
      </c>
      <c r="BF313" s="11">
        <f t="shared" si="235"/>
        <v>0</v>
      </c>
      <c r="BG313" s="11">
        <f t="shared" si="235"/>
        <v>0</v>
      </c>
      <c r="BH313" s="11">
        <f t="shared" si="235"/>
        <v>0</v>
      </c>
      <c r="BI313" s="11">
        <f t="shared" si="235"/>
        <v>0</v>
      </c>
      <c r="BJ313" s="11">
        <f t="shared" si="235"/>
        <v>0</v>
      </c>
      <c r="BK313" s="11">
        <f t="shared" si="235"/>
        <v>0</v>
      </c>
      <c r="BL313" s="11">
        <f t="shared" si="235"/>
        <v>0</v>
      </c>
      <c r="BM313" s="11">
        <f t="shared" si="235"/>
        <v>0</v>
      </c>
      <c r="BN313" s="11">
        <f t="shared" si="235"/>
        <v>0</v>
      </c>
      <c r="BO313" s="11">
        <f t="shared" si="235"/>
        <v>0</v>
      </c>
      <c r="BP313" s="11">
        <f t="shared" si="235"/>
        <v>0</v>
      </c>
      <c r="BQ313" s="11">
        <f t="shared" si="235"/>
        <v>0</v>
      </c>
      <c r="BR313" s="11">
        <f t="shared" si="235"/>
        <v>0</v>
      </c>
      <c r="BS313" s="11">
        <f t="shared" si="235"/>
        <v>0</v>
      </c>
      <c r="BT313" s="11">
        <f t="shared" si="235"/>
        <v>0</v>
      </c>
      <c r="BU313" s="11">
        <f t="shared" si="235"/>
        <v>0</v>
      </c>
      <c r="BV313" s="11">
        <f t="shared" si="235"/>
        <v>0</v>
      </c>
      <c r="BW313" s="11">
        <f t="shared" si="235"/>
        <v>0</v>
      </c>
      <c r="BX313" s="11">
        <f t="shared" si="235"/>
        <v>0</v>
      </c>
      <c r="BY313" s="11">
        <f t="shared" si="235"/>
        <v>14683.96</v>
      </c>
      <c r="BZ313" s="11">
        <f t="shared" si="235"/>
        <v>0</v>
      </c>
      <c r="CA313" s="11">
        <f t="shared" ref="CA313:DF313" si="236">CA334</f>
        <v>15489.26</v>
      </c>
      <c r="CB313" s="11">
        <f t="shared" si="236"/>
        <v>0</v>
      </c>
      <c r="CC313" s="11">
        <f t="shared" si="236"/>
        <v>805.3</v>
      </c>
      <c r="CD313" s="11">
        <f t="shared" si="236"/>
        <v>0</v>
      </c>
      <c r="CE313" s="11">
        <f t="shared" si="236"/>
        <v>14717.62</v>
      </c>
      <c r="CF313" s="11">
        <f t="shared" si="236"/>
        <v>33.660000000001673</v>
      </c>
      <c r="CG313" s="11">
        <f t="shared" si="236"/>
        <v>0</v>
      </c>
      <c r="CH313" s="11">
        <f t="shared" si="236"/>
        <v>33.660000000001673</v>
      </c>
      <c r="CI313" s="11">
        <f t="shared" si="236"/>
        <v>14683.96</v>
      </c>
      <c r="CJ313" s="11">
        <f t="shared" si="236"/>
        <v>0</v>
      </c>
      <c r="CK313" s="11">
        <f t="shared" si="236"/>
        <v>0</v>
      </c>
      <c r="CL313" s="11">
        <f t="shared" si="236"/>
        <v>0</v>
      </c>
      <c r="CM313" s="11">
        <f t="shared" si="236"/>
        <v>0</v>
      </c>
      <c r="CN313" s="11">
        <f t="shared" si="236"/>
        <v>0</v>
      </c>
      <c r="CO313" s="11">
        <f t="shared" si="236"/>
        <v>0</v>
      </c>
      <c r="CP313" s="11">
        <f t="shared" si="236"/>
        <v>0</v>
      </c>
      <c r="CQ313" s="11">
        <f t="shared" si="236"/>
        <v>0</v>
      </c>
      <c r="CR313" s="11">
        <f t="shared" si="236"/>
        <v>0</v>
      </c>
      <c r="CS313" s="11">
        <f t="shared" si="236"/>
        <v>0</v>
      </c>
      <c r="CT313" s="11">
        <f t="shared" si="236"/>
        <v>0</v>
      </c>
      <c r="CU313" s="11">
        <f t="shared" si="236"/>
        <v>0</v>
      </c>
      <c r="CV313" s="11">
        <f t="shared" si="236"/>
        <v>0</v>
      </c>
      <c r="CW313" s="11">
        <f t="shared" si="236"/>
        <v>0</v>
      </c>
      <c r="CX313" s="11">
        <f t="shared" si="236"/>
        <v>0</v>
      </c>
      <c r="CY313" s="11">
        <f t="shared" si="236"/>
        <v>0</v>
      </c>
      <c r="CZ313" s="11">
        <f t="shared" si="236"/>
        <v>0</v>
      </c>
      <c r="DA313" s="11">
        <f t="shared" si="236"/>
        <v>0</v>
      </c>
      <c r="DB313" s="11">
        <f t="shared" si="236"/>
        <v>0</v>
      </c>
      <c r="DC313" s="11">
        <f t="shared" si="236"/>
        <v>0</v>
      </c>
      <c r="DD313" s="11">
        <f t="shared" si="236"/>
        <v>0</v>
      </c>
      <c r="DE313" s="11">
        <f t="shared" si="236"/>
        <v>0</v>
      </c>
      <c r="DF313" s="11">
        <f t="shared" si="236"/>
        <v>0</v>
      </c>
      <c r="DG313" s="12">
        <f t="shared" ref="DG313:EL313" si="237">DG334</f>
        <v>129911.21</v>
      </c>
      <c r="DH313" s="12">
        <f t="shared" si="237"/>
        <v>111490.66</v>
      </c>
      <c r="DI313" s="12">
        <f t="shared" si="237"/>
        <v>5.93</v>
      </c>
      <c r="DJ313" s="12">
        <f t="shared" si="237"/>
        <v>3.38</v>
      </c>
      <c r="DK313" s="12">
        <f t="shared" si="237"/>
        <v>18414.62</v>
      </c>
      <c r="DL313" s="12">
        <f t="shared" si="237"/>
        <v>0</v>
      </c>
      <c r="DM313" s="12">
        <f t="shared" si="237"/>
        <v>24.524928000000003</v>
      </c>
      <c r="DN313" s="12">
        <f t="shared" si="237"/>
        <v>0</v>
      </c>
      <c r="DO313" s="12">
        <f t="shared" si="237"/>
        <v>0</v>
      </c>
      <c r="DP313" s="12">
        <f t="shared" si="237"/>
        <v>16576.2</v>
      </c>
      <c r="DQ313" s="12">
        <f t="shared" si="237"/>
        <v>8472.2800000000007</v>
      </c>
      <c r="DR313" s="12">
        <f t="shared" si="237"/>
        <v>0</v>
      </c>
      <c r="DS313" s="12">
        <f t="shared" si="237"/>
        <v>0</v>
      </c>
      <c r="DT313" s="12">
        <f t="shared" si="237"/>
        <v>129911.21</v>
      </c>
      <c r="DU313" s="12">
        <f t="shared" si="237"/>
        <v>111490.66</v>
      </c>
      <c r="DV313" s="12">
        <f t="shared" si="237"/>
        <v>5.93</v>
      </c>
      <c r="DW313" s="12">
        <f t="shared" si="237"/>
        <v>3.38</v>
      </c>
      <c r="DX313" s="12">
        <f t="shared" si="237"/>
        <v>18414.62</v>
      </c>
      <c r="DY313" s="12">
        <f t="shared" si="237"/>
        <v>0</v>
      </c>
      <c r="DZ313" s="12">
        <f t="shared" si="237"/>
        <v>24.524928000000003</v>
      </c>
      <c r="EA313" s="12">
        <f t="shared" si="237"/>
        <v>0</v>
      </c>
      <c r="EB313" s="12">
        <f t="shared" si="237"/>
        <v>0</v>
      </c>
      <c r="EC313" s="12">
        <f t="shared" si="237"/>
        <v>16576.2</v>
      </c>
      <c r="ED313" s="12">
        <f t="shared" si="237"/>
        <v>8472.2800000000007</v>
      </c>
      <c r="EE313" s="12">
        <f t="shared" si="237"/>
        <v>0</v>
      </c>
      <c r="EF313" s="12">
        <f t="shared" si="237"/>
        <v>0</v>
      </c>
      <c r="EG313" s="12">
        <f t="shared" si="237"/>
        <v>0</v>
      </c>
      <c r="EH313" s="12">
        <f t="shared" si="237"/>
        <v>111157.58</v>
      </c>
      <c r="EI313" s="12">
        <f t="shared" si="237"/>
        <v>0</v>
      </c>
      <c r="EJ313" s="12">
        <f t="shared" si="237"/>
        <v>154959.69</v>
      </c>
      <c r="EK313" s="12">
        <f t="shared" si="237"/>
        <v>0</v>
      </c>
      <c r="EL313" s="12">
        <f t="shared" si="237"/>
        <v>43802.11</v>
      </c>
      <c r="EM313" s="12">
        <f t="shared" ref="EM313:FR313" si="238">EM334</f>
        <v>0</v>
      </c>
      <c r="EN313" s="12">
        <f t="shared" si="238"/>
        <v>111490.66</v>
      </c>
      <c r="EO313" s="12">
        <f t="shared" si="238"/>
        <v>333.08</v>
      </c>
      <c r="EP313" s="12">
        <f t="shared" si="238"/>
        <v>0</v>
      </c>
      <c r="EQ313" s="12">
        <f t="shared" si="238"/>
        <v>333.08</v>
      </c>
      <c r="ER313" s="12">
        <f t="shared" si="238"/>
        <v>111157.58</v>
      </c>
      <c r="ES313" s="12">
        <f t="shared" si="238"/>
        <v>0</v>
      </c>
      <c r="ET313" s="12">
        <f t="shared" si="238"/>
        <v>0</v>
      </c>
      <c r="EU313" s="12">
        <f t="shared" si="238"/>
        <v>0</v>
      </c>
      <c r="EV313" s="12">
        <f t="shared" si="238"/>
        <v>0</v>
      </c>
      <c r="EW313" s="12">
        <f t="shared" si="238"/>
        <v>0</v>
      </c>
      <c r="EX313" s="12">
        <f t="shared" si="238"/>
        <v>0</v>
      </c>
      <c r="EY313" s="12">
        <f t="shared" si="238"/>
        <v>0</v>
      </c>
      <c r="EZ313" s="12">
        <f t="shared" si="238"/>
        <v>0</v>
      </c>
      <c r="FA313" s="12">
        <f t="shared" si="238"/>
        <v>0</v>
      </c>
      <c r="FB313" s="12">
        <f t="shared" si="238"/>
        <v>0</v>
      </c>
      <c r="FC313" s="12">
        <f t="shared" si="238"/>
        <v>0</v>
      </c>
      <c r="FD313" s="12">
        <f t="shared" si="238"/>
        <v>0</v>
      </c>
      <c r="FE313" s="12">
        <f t="shared" si="238"/>
        <v>0</v>
      </c>
      <c r="FF313" s="12">
        <f t="shared" si="238"/>
        <v>0</v>
      </c>
      <c r="FG313" s="12">
        <f t="shared" si="238"/>
        <v>0</v>
      </c>
      <c r="FH313" s="12">
        <f t="shared" si="238"/>
        <v>0</v>
      </c>
      <c r="FI313" s="12">
        <f t="shared" si="238"/>
        <v>0</v>
      </c>
      <c r="FJ313" s="12">
        <f t="shared" si="238"/>
        <v>0</v>
      </c>
      <c r="FK313" s="12">
        <f t="shared" si="238"/>
        <v>0</v>
      </c>
      <c r="FL313" s="12">
        <f t="shared" si="238"/>
        <v>0</v>
      </c>
      <c r="FM313" s="12">
        <f t="shared" si="238"/>
        <v>0</v>
      </c>
      <c r="FN313" s="12">
        <f t="shared" si="238"/>
        <v>0</v>
      </c>
      <c r="FO313" s="12">
        <f t="shared" si="238"/>
        <v>0</v>
      </c>
      <c r="FP313" s="12">
        <f t="shared" si="238"/>
        <v>0</v>
      </c>
      <c r="FQ313" s="12">
        <f t="shared" si="238"/>
        <v>111157.58</v>
      </c>
      <c r="FR313" s="12">
        <f t="shared" si="238"/>
        <v>0</v>
      </c>
      <c r="FS313" s="12">
        <f t="shared" ref="FS313:GX313" si="239">FS334</f>
        <v>154959.69</v>
      </c>
      <c r="FT313" s="12">
        <f t="shared" si="239"/>
        <v>0</v>
      </c>
      <c r="FU313" s="12">
        <f t="shared" si="239"/>
        <v>43802.11</v>
      </c>
      <c r="FV313" s="12">
        <f t="shared" si="239"/>
        <v>0</v>
      </c>
      <c r="FW313" s="12">
        <f t="shared" si="239"/>
        <v>111490.66</v>
      </c>
      <c r="FX313" s="12">
        <f t="shared" si="239"/>
        <v>333.08000000000175</v>
      </c>
      <c r="FY313" s="12">
        <f t="shared" si="239"/>
        <v>0</v>
      </c>
      <c r="FZ313" s="12">
        <f t="shared" si="239"/>
        <v>333.08000000000175</v>
      </c>
      <c r="GA313" s="12">
        <f t="shared" si="239"/>
        <v>111157.58</v>
      </c>
      <c r="GB313" s="12">
        <f t="shared" si="239"/>
        <v>0</v>
      </c>
      <c r="GC313" s="12">
        <f t="shared" si="239"/>
        <v>0</v>
      </c>
      <c r="GD313" s="12">
        <f t="shared" si="239"/>
        <v>0</v>
      </c>
      <c r="GE313" s="12">
        <f t="shared" si="239"/>
        <v>0</v>
      </c>
      <c r="GF313" s="12">
        <f t="shared" si="239"/>
        <v>0</v>
      </c>
      <c r="GG313" s="12">
        <f t="shared" si="239"/>
        <v>0</v>
      </c>
      <c r="GH313" s="12">
        <f t="shared" si="239"/>
        <v>0</v>
      </c>
      <c r="GI313" s="12">
        <f t="shared" si="239"/>
        <v>0</v>
      </c>
      <c r="GJ313" s="12">
        <f t="shared" si="239"/>
        <v>0</v>
      </c>
      <c r="GK313" s="12">
        <f t="shared" si="239"/>
        <v>0</v>
      </c>
      <c r="GL313" s="12">
        <f t="shared" si="239"/>
        <v>0</v>
      </c>
      <c r="GM313" s="12">
        <f t="shared" si="239"/>
        <v>0</v>
      </c>
      <c r="GN313" s="12">
        <f t="shared" si="239"/>
        <v>0</v>
      </c>
      <c r="GO313" s="12">
        <f t="shared" si="239"/>
        <v>0</v>
      </c>
      <c r="GP313" s="12">
        <f t="shared" si="239"/>
        <v>0</v>
      </c>
      <c r="GQ313" s="12">
        <f t="shared" si="239"/>
        <v>0</v>
      </c>
      <c r="GR313" s="12">
        <f t="shared" si="239"/>
        <v>0</v>
      </c>
      <c r="GS313" s="12">
        <f t="shared" si="239"/>
        <v>0</v>
      </c>
      <c r="GT313" s="12">
        <f t="shared" si="239"/>
        <v>0</v>
      </c>
      <c r="GU313" s="12">
        <f t="shared" si="239"/>
        <v>0</v>
      </c>
      <c r="GV313" s="12">
        <f t="shared" si="239"/>
        <v>0</v>
      </c>
      <c r="GW313" s="12">
        <f t="shared" si="239"/>
        <v>0</v>
      </c>
      <c r="GX313" s="12">
        <f t="shared" si="239"/>
        <v>0</v>
      </c>
    </row>
    <row r="315" spans="1:255" x14ac:dyDescent="0.25">
      <c r="A315" s="2">
        <v>17</v>
      </c>
      <c r="B315" s="2">
        <v>1</v>
      </c>
      <c r="C315" s="2">
        <f>ROW(SmtRes!A181)</f>
        <v>181</v>
      </c>
      <c r="D315" s="2">
        <f>ROW(EtalonRes!A197)</f>
        <v>197</v>
      </c>
      <c r="E315" s="2" t="s">
        <v>278</v>
      </c>
      <c r="F315" s="2" t="s">
        <v>185</v>
      </c>
      <c r="G315" s="2" t="s">
        <v>186</v>
      </c>
      <c r="H315" s="2" t="s">
        <v>26</v>
      </c>
      <c r="I315" s="2">
        <v>2</v>
      </c>
      <c r="J315" s="2">
        <v>0</v>
      </c>
      <c r="K315" s="2">
        <v>2</v>
      </c>
      <c r="L315" s="2"/>
      <c r="M315" s="2"/>
      <c r="N315" s="2"/>
      <c r="O315" s="2">
        <f t="shared" ref="O315:O332" si="240">ROUND(CP315,2)</f>
        <v>264.02999999999997</v>
      </c>
      <c r="P315" s="2">
        <f>ROUND((ROUND((AC315*AW315*I315),2)*BC315),2)</f>
        <v>25.06</v>
      </c>
      <c r="Q315" s="2">
        <f>(ROUND((ROUND((((ET315*1.2))*AV315*I315),2)*BB315),2)+ROUND((ROUND(((AE315-((EU315*1.2)))*AV315*I315),2)*BS315),2))</f>
        <v>0.15</v>
      </c>
      <c r="R315" s="2">
        <f>(ROUND((ROUND((((EU315*1.2))*AV315*I315),2)*BS315),2)+ROUND((ROUND(((AE315-((EU315*1.2)))*AV315*I315),2)*BS315),2))</f>
        <v>0.03</v>
      </c>
      <c r="S315" s="2">
        <f t="shared" ref="S315:S332" si="241">ROUND((ROUND((AF315*AV315*I315),2)*BA315),2)</f>
        <v>238.82</v>
      </c>
      <c r="T315" s="2">
        <f t="shared" ref="T315:T332" si="242">ROUND(CU315*I315,2)</f>
        <v>0</v>
      </c>
      <c r="U315" s="2">
        <f t="shared" ref="U315:U332" si="243">CV315*I315</f>
        <v>18.09216</v>
      </c>
      <c r="V315" s="2">
        <f t="shared" ref="V315:V332" si="244">CW315*I315</f>
        <v>0</v>
      </c>
      <c r="W315" s="2">
        <f t="shared" ref="W315:W332" si="245">ROUND(CX315*I315,2)</f>
        <v>0</v>
      </c>
      <c r="X315" s="2">
        <f>(ROUND((((S315+ROUND((ROUND((((EU315*1.2))*AV315*I315),2)*BS315),2))*AT315)/100),2)+ROUND(((ROUND((ROUND(((AE315-((EU315*1.2)))*AV315*I315),2)*BS315),2)*AT315)/100),2))</f>
        <v>214.97</v>
      </c>
      <c r="Y315" s="2">
        <f>(ROUND((((S315+ROUND((ROUND((((EU315*1.2))*AV315*I315),2)*BS315),2))*AU315)/100),2)+ROUND(((ROUND((ROUND(((AE315-((EU315*1.2)))*AV315*I315),2)*BS315),2)*AU315)/100),2))</f>
        <v>109.87</v>
      </c>
      <c r="Z315" s="2"/>
      <c r="AA315" s="2">
        <v>57034452</v>
      </c>
      <c r="AB315" s="2">
        <f t="shared" ref="AB315:AB332" si="246">ROUND((AC315+AD315+AF315),6)</f>
        <v>126.65</v>
      </c>
      <c r="AC315" s="2">
        <f>ROUND(((ES315*1)),6)</f>
        <v>12.53</v>
      </c>
      <c r="AD315" s="2">
        <f>ROUND(((((ET315*1.2))-((EU315*1.2)))+AE315),6)</f>
        <v>7.1999999999999995E-2</v>
      </c>
      <c r="AE315" s="2">
        <f>ROUND(((EU315*1.2)),6)</f>
        <v>1.2E-2</v>
      </c>
      <c r="AF315" s="2">
        <f>ROUND(((EV315*1.2)),6)</f>
        <v>114.048</v>
      </c>
      <c r="AG315" s="2">
        <f t="shared" ref="AG315:AG332" si="247">ROUND((AP315),6)</f>
        <v>0</v>
      </c>
      <c r="AH315" s="2">
        <f>((EW315*1.2))</f>
        <v>8.64</v>
      </c>
      <c r="AI315" s="2">
        <f>((EX315*1.2))</f>
        <v>0</v>
      </c>
      <c r="AJ315" s="2">
        <f t="shared" ref="AJ315:AJ332" si="248">(AS315)</f>
        <v>0</v>
      </c>
      <c r="AK315" s="2">
        <v>107.63</v>
      </c>
      <c r="AL315" s="2">
        <v>12.53</v>
      </c>
      <c r="AM315" s="2">
        <v>0.06</v>
      </c>
      <c r="AN315" s="2">
        <v>0.01</v>
      </c>
      <c r="AO315" s="2">
        <v>95.04</v>
      </c>
      <c r="AP315" s="2">
        <v>0</v>
      </c>
      <c r="AQ315" s="2">
        <v>7.2</v>
      </c>
      <c r="AR315" s="2">
        <v>0</v>
      </c>
      <c r="AS315" s="2">
        <v>0</v>
      </c>
      <c r="AT315" s="2">
        <v>90</v>
      </c>
      <c r="AU315" s="2">
        <v>46</v>
      </c>
      <c r="AV315" s="2">
        <v>1.0469999999999999</v>
      </c>
      <c r="AW315" s="2">
        <v>1</v>
      </c>
      <c r="AX315" s="2"/>
      <c r="AY315" s="2"/>
      <c r="AZ315" s="2">
        <v>1</v>
      </c>
      <c r="BA315" s="2">
        <v>1</v>
      </c>
      <c r="BB315" s="2">
        <v>1</v>
      </c>
      <c r="BC315" s="2">
        <v>1</v>
      </c>
      <c r="BD315" s="2" t="s">
        <v>3</v>
      </c>
      <c r="BE315" s="2" t="s">
        <v>3</v>
      </c>
      <c r="BF315" s="2" t="s">
        <v>3</v>
      </c>
      <c r="BG315" s="2" t="s">
        <v>3</v>
      </c>
      <c r="BH315" s="2">
        <v>0</v>
      </c>
      <c r="BI315" s="2">
        <v>2</v>
      </c>
      <c r="BJ315" s="2" t="s">
        <v>187</v>
      </c>
      <c r="BK315" s="2"/>
      <c r="BL315" s="2"/>
      <c r="BM315" s="2">
        <v>68</v>
      </c>
      <c r="BN315" s="2">
        <v>0</v>
      </c>
      <c r="BO315" s="2" t="s">
        <v>185</v>
      </c>
      <c r="BP315" s="2">
        <v>1</v>
      </c>
      <c r="BQ315" s="2">
        <v>40</v>
      </c>
      <c r="BR315" s="2">
        <v>0</v>
      </c>
      <c r="BS315" s="2">
        <v>1</v>
      </c>
      <c r="BT315" s="2">
        <v>1</v>
      </c>
      <c r="BU315" s="2">
        <v>1</v>
      </c>
      <c r="BV315" s="2">
        <v>1</v>
      </c>
      <c r="BW315" s="2">
        <v>1</v>
      </c>
      <c r="BX315" s="2">
        <v>1</v>
      </c>
      <c r="BY315" s="2" t="s">
        <v>3</v>
      </c>
      <c r="BZ315" s="2">
        <v>90</v>
      </c>
      <c r="CA315" s="2">
        <v>46</v>
      </c>
      <c r="CB315" s="2" t="s">
        <v>3</v>
      </c>
      <c r="CC315" s="2"/>
      <c r="CD315" s="2"/>
      <c r="CE315" s="2">
        <v>1566</v>
      </c>
      <c r="CF315" s="2">
        <v>0</v>
      </c>
      <c r="CG315" s="2">
        <v>0</v>
      </c>
      <c r="CH315" s="2"/>
      <c r="CI315" s="2"/>
      <c r="CJ315" s="2"/>
      <c r="CK315" s="2"/>
      <c r="CL315" s="2"/>
      <c r="CM315" s="2">
        <v>0</v>
      </c>
      <c r="CN315" s="2" t="s">
        <v>614</v>
      </c>
      <c r="CO315" s="2">
        <v>0</v>
      </c>
      <c r="CP315" s="2">
        <f t="shared" ref="CP315:CP332" si="249">(P315+Q315+S315)</f>
        <v>264.02999999999997</v>
      </c>
      <c r="CQ315" s="2">
        <f>ROUND((ROUND((AC315*AW315*1),2)*BC315),2)</f>
        <v>12.53</v>
      </c>
      <c r="CR315" s="2">
        <f>(ROUND((ROUND((((ET315*1.2))*AV315*1),2)*BB315),2)+ROUND((ROUND(((AE315-((EU315*1.2)))*AV315*1),2)*BS315),2))</f>
        <v>0.08</v>
      </c>
      <c r="CS315" s="2">
        <f>(ROUND((ROUND((((EU315*1.2))*AV315*1),2)*BS315),2)+ROUND((ROUND(((AE315-((EU315*1.2)))*AV315*1),2)*BS315),2))</f>
        <v>0.01</v>
      </c>
      <c r="CT315" s="2">
        <f t="shared" ref="CT315:CT332" si="250">ROUND((ROUND((AF315*AV315*1),2)*BA315),2)</f>
        <v>119.41</v>
      </c>
      <c r="CU315" s="2">
        <f t="shared" ref="CU315:CU332" si="251">AG315</f>
        <v>0</v>
      </c>
      <c r="CV315" s="2">
        <f t="shared" ref="CV315:CV332" si="252">(AH315*AV315)</f>
        <v>9.0460799999999999</v>
      </c>
      <c r="CW315" s="2">
        <f t="shared" ref="CW315:CW332" si="253">AI315</f>
        <v>0</v>
      </c>
      <c r="CX315" s="2">
        <f t="shared" ref="CX315:CX332" si="254">AJ315</f>
        <v>0</v>
      </c>
      <c r="CY315" s="2">
        <f>(ROUND((((S315+ROUND((ROUND((((EU315*1.2))*AV315*1),2)*BS315),2))*AT315)/100),2)+ROUND(((ROUND((ROUND(((AE315-((EU315*1.2)))*AV315*1),2)*BS315),2)*AT315)/100),2))</f>
        <v>214.95</v>
      </c>
      <c r="CZ315" s="2">
        <f>(ROUND((((S315+ROUND((ROUND((((EU315*1.2))*AV315*1),2)*BS315),2))*AU315)/100),2)+ROUND(((ROUND((ROUND(((AE315-((EU315*1.2)))*AV315*1),2)*BS315),2)*AU315)/100),2))</f>
        <v>109.86</v>
      </c>
      <c r="DA315" s="2"/>
      <c r="DB315" s="2">
        <v>109</v>
      </c>
      <c r="DC315" s="2" t="s">
        <v>3</v>
      </c>
      <c r="DD315" s="2" t="s">
        <v>104</v>
      </c>
      <c r="DE315" s="2" t="s">
        <v>105</v>
      </c>
      <c r="DF315" s="2" t="s">
        <v>105</v>
      </c>
      <c r="DG315" s="2" t="s">
        <v>105</v>
      </c>
      <c r="DH315" s="2" t="s">
        <v>3</v>
      </c>
      <c r="DI315" s="2" t="s">
        <v>105</v>
      </c>
      <c r="DJ315" s="2" t="s">
        <v>105</v>
      </c>
      <c r="DK315" s="2" t="s">
        <v>3</v>
      </c>
      <c r="DL315" s="2" t="s">
        <v>3</v>
      </c>
      <c r="DM315" s="2" t="s">
        <v>3</v>
      </c>
      <c r="DN315" s="2">
        <v>0</v>
      </c>
      <c r="DO315" s="2">
        <v>0</v>
      </c>
      <c r="DP315" s="2">
        <v>1</v>
      </c>
      <c r="DQ315" s="2">
        <v>1</v>
      </c>
      <c r="DR315" s="2"/>
      <c r="DS315" s="2"/>
      <c r="DT315" s="2"/>
      <c r="DU315" s="2">
        <v>1013</v>
      </c>
      <c r="DV315" s="2" t="s">
        <v>26</v>
      </c>
      <c r="DW315" s="2" t="s">
        <v>26</v>
      </c>
      <c r="DX315" s="2">
        <v>1</v>
      </c>
      <c r="DY315" s="2"/>
      <c r="DZ315" s="2" t="s">
        <v>3</v>
      </c>
      <c r="EA315" s="2" t="s">
        <v>3</v>
      </c>
      <c r="EB315" s="2" t="s">
        <v>3</v>
      </c>
      <c r="EC315" s="2" t="s">
        <v>3</v>
      </c>
      <c r="ED315" s="2"/>
      <c r="EE315" s="2">
        <v>57042958</v>
      </c>
      <c r="EF315" s="2">
        <v>40</v>
      </c>
      <c r="EG315" s="2" t="s">
        <v>30</v>
      </c>
      <c r="EH315" s="2">
        <v>0</v>
      </c>
      <c r="EI315" s="2" t="s">
        <v>3</v>
      </c>
      <c r="EJ315" s="2">
        <v>2</v>
      </c>
      <c r="EK315" s="2">
        <v>68</v>
      </c>
      <c r="EL315" s="2" t="s">
        <v>38</v>
      </c>
      <c r="EM315" s="2" t="s">
        <v>39</v>
      </c>
      <c r="EN315" s="2"/>
      <c r="EO315" s="2" t="s">
        <v>109</v>
      </c>
      <c r="EP315" s="2"/>
      <c r="EQ315" s="2">
        <v>0</v>
      </c>
      <c r="ER315" s="2">
        <v>107.63</v>
      </c>
      <c r="ES315" s="2">
        <v>12.53</v>
      </c>
      <c r="ET315" s="2">
        <v>0.06</v>
      </c>
      <c r="EU315" s="2">
        <v>0.01</v>
      </c>
      <c r="EV315" s="2">
        <v>95.04</v>
      </c>
      <c r="EW315" s="2">
        <v>7.2</v>
      </c>
      <c r="EX315" s="2">
        <v>0</v>
      </c>
      <c r="EY315" s="2">
        <v>0</v>
      </c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>
        <v>0</v>
      </c>
      <c r="FR315" s="2">
        <v>0</v>
      </c>
      <c r="FS315" s="2">
        <v>0</v>
      </c>
      <c r="FT315" s="2"/>
      <c r="FU315" s="2"/>
      <c r="FV315" s="2"/>
      <c r="FW315" s="2"/>
      <c r="FX315" s="2">
        <v>90</v>
      </c>
      <c r="FY315" s="2">
        <v>46</v>
      </c>
      <c r="FZ315" s="2"/>
      <c r="GA315" s="2" t="s">
        <v>3</v>
      </c>
      <c r="GB315" s="2"/>
      <c r="GC315" s="2"/>
      <c r="GD315" s="2">
        <v>1</v>
      </c>
      <c r="GE315" s="2"/>
      <c r="GF315" s="2">
        <v>-488197810</v>
      </c>
      <c r="GG315" s="2">
        <v>2</v>
      </c>
      <c r="GH315" s="2">
        <v>1</v>
      </c>
      <c r="GI315" s="2">
        <v>2</v>
      </c>
      <c r="GJ315" s="2">
        <v>0</v>
      </c>
      <c r="GK315" s="2">
        <v>0</v>
      </c>
      <c r="GL315" s="2">
        <f t="shared" ref="GL315:GL332" si="255">ROUND(IF(AND(BH315=3,BI315=3,FS315&lt;&gt;0),P315,0),2)</f>
        <v>0</v>
      </c>
      <c r="GM315" s="2">
        <f t="shared" ref="GM315:GM332" si="256">ROUND(O315+X315+Y315,2)+GX315</f>
        <v>588.87</v>
      </c>
      <c r="GN315" s="2">
        <f t="shared" ref="GN315:GN332" si="257">IF(OR(BI315=0,BI315=1),GM315-GX315,0)</f>
        <v>0</v>
      </c>
      <c r="GO315" s="2">
        <f t="shared" ref="GO315:GO332" si="258">IF(BI315=2,GM315-GX315,0)</f>
        <v>588.87</v>
      </c>
      <c r="GP315" s="2">
        <f t="shared" ref="GP315:GP332" si="259">IF(BI315=4,GM315-GX315,0)</f>
        <v>0</v>
      </c>
      <c r="GQ315" s="2"/>
      <c r="GR315" s="2">
        <v>0</v>
      </c>
      <c r="GS315" s="2">
        <v>3</v>
      </c>
      <c r="GT315" s="2">
        <v>0</v>
      </c>
      <c r="GU315" s="2" t="s">
        <v>3</v>
      </c>
      <c r="GV315" s="2">
        <f t="shared" ref="GV315:GV332" si="260">ROUND((GT315),6)</f>
        <v>0</v>
      </c>
      <c r="GW315" s="2">
        <v>1</v>
      </c>
      <c r="GX315" s="2">
        <f t="shared" ref="GX315:GX332" si="261">ROUND(HC315*I315,2)</f>
        <v>0</v>
      </c>
      <c r="GY315" s="2"/>
      <c r="GZ315" s="2"/>
      <c r="HA315" s="2">
        <v>0</v>
      </c>
      <c r="HB315" s="2">
        <v>0</v>
      </c>
      <c r="HC315" s="2">
        <f t="shared" ref="HC315:HC332" si="262">GV315*GW315</f>
        <v>0</v>
      </c>
      <c r="HD315" s="2"/>
      <c r="HE315" s="2" t="s">
        <v>3</v>
      </c>
      <c r="HF315" s="2" t="s">
        <v>3</v>
      </c>
      <c r="HG315" s="2"/>
      <c r="HH315" s="2"/>
      <c r="HI315" s="2"/>
      <c r="HJ315" s="2"/>
      <c r="HK315" s="2"/>
      <c r="HL315" s="2"/>
      <c r="HM315" s="2" t="s">
        <v>3</v>
      </c>
      <c r="HN315" s="2" t="s">
        <v>3</v>
      </c>
      <c r="HO315" s="2" t="s">
        <v>3</v>
      </c>
      <c r="HP315" s="2" t="s">
        <v>3</v>
      </c>
      <c r="HQ315" s="2" t="s">
        <v>3</v>
      </c>
      <c r="HR315" s="2"/>
      <c r="HS315" s="2">
        <v>0</v>
      </c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>
        <v>0</v>
      </c>
      <c r="IL315" s="2"/>
      <c r="IM315" s="2"/>
      <c r="IN315" s="2"/>
      <c r="IO315" s="2"/>
      <c r="IP315" s="2"/>
      <c r="IQ315" s="2"/>
      <c r="IR315" s="2"/>
      <c r="IS315" s="2"/>
      <c r="IT315" s="2"/>
      <c r="IU315" s="2"/>
    </row>
    <row r="316" spans="1:255" x14ac:dyDescent="0.25">
      <c r="A316" s="3">
        <v>17</v>
      </c>
      <c r="B316" s="3">
        <v>1</v>
      </c>
      <c r="C316" s="3">
        <f>ROW(SmtRes!A182)</f>
        <v>182</v>
      </c>
      <c r="D316" s="3">
        <f>ROW(EtalonRes!A198)</f>
        <v>198</v>
      </c>
      <c r="E316" s="3" t="s">
        <v>278</v>
      </c>
      <c r="F316" s="3" t="s">
        <v>185</v>
      </c>
      <c r="G316" s="3" t="s">
        <v>186</v>
      </c>
      <c r="H316" s="3" t="s">
        <v>26</v>
      </c>
      <c r="I316" s="3">
        <v>2</v>
      </c>
      <c r="J316" s="3">
        <v>0</v>
      </c>
      <c r="K316" s="3">
        <v>2</v>
      </c>
      <c r="O316" s="3">
        <f t="shared" si="240"/>
        <v>13706.88</v>
      </c>
      <c r="P316" s="3">
        <f>ROUND((ROUND((AC316*AW316*I316),2)*BC316),2)</f>
        <v>246.59</v>
      </c>
      <c r="Q316" s="3">
        <f>(ROUND((ROUND((((ET316*1.2))*AV316*I316),2)*BB316),2)+ROUND((ROUND(((AE316-((EU316*1.2)))*AV316*I316),2)*BS316),2))</f>
        <v>2.78</v>
      </c>
      <c r="R316" s="3">
        <f>(ROUND((ROUND((((EU316*1.2))*AV316*I316),2)*BS316),2)+ROUND((ROUND(((AE316-((EU316*1.2)))*AV316*I316),2)*BS316),2))</f>
        <v>1.69</v>
      </c>
      <c r="S316" s="3">
        <f t="shared" si="241"/>
        <v>13457.51</v>
      </c>
      <c r="T316" s="3">
        <f t="shared" si="242"/>
        <v>0</v>
      </c>
      <c r="U316" s="3">
        <f t="shared" si="243"/>
        <v>18.09216</v>
      </c>
      <c r="V316" s="3">
        <f t="shared" si="244"/>
        <v>0</v>
      </c>
      <c r="W316" s="3">
        <f t="shared" si="245"/>
        <v>0</v>
      </c>
      <c r="X316" s="3">
        <f>(ROUND((((S316+ROUND((ROUND((((EU316*1.2))*AV316*I316),2)*BS316),2))*AT316)/100),2)+ROUND(((ROUND((ROUND(((AE316-((EU316*1.2)))*AV316*I316),2)*BS316),2)*AT316)/100),2))</f>
        <v>12113.28</v>
      </c>
      <c r="Y316" s="3">
        <f>(ROUND((((S316+ROUND((ROUND((((EU316*1.2))*AV316*I316),2)*BS316),2))*AU316)/100),2)+ROUND(((ROUND((ROUND(((AE316-((EU316*1.2)))*AV316*I316),2)*BS316),2)*AU316)/100),2))</f>
        <v>6191.23</v>
      </c>
      <c r="AA316" s="3">
        <v>57034454</v>
      </c>
      <c r="AB316" s="3">
        <f t="shared" si="246"/>
        <v>126.65</v>
      </c>
      <c r="AC316" s="3">
        <f>ROUND(((ES316*1)),6)</f>
        <v>12.53</v>
      </c>
      <c r="AD316" s="3">
        <f>ROUND(((((ET316*1.2))-((EU316*1.2)))+AE316),6)</f>
        <v>7.1999999999999995E-2</v>
      </c>
      <c r="AE316" s="3">
        <f>ROUND(((EU316*1.2)),6)</f>
        <v>1.2E-2</v>
      </c>
      <c r="AF316" s="3">
        <f>ROUND(((EV316*1.2)),6)</f>
        <v>114.048</v>
      </c>
      <c r="AG316" s="3">
        <f t="shared" si="247"/>
        <v>0</v>
      </c>
      <c r="AH316" s="3">
        <f>((EW316*1.2))</f>
        <v>8.64</v>
      </c>
      <c r="AI316" s="3">
        <f>((EX316*1.2))</f>
        <v>0</v>
      </c>
      <c r="AJ316" s="3">
        <f t="shared" si="248"/>
        <v>0</v>
      </c>
      <c r="AK316" s="3">
        <v>107.63</v>
      </c>
      <c r="AL316" s="3">
        <v>12.53</v>
      </c>
      <c r="AM316" s="3">
        <v>0.06</v>
      </c>
      <c r="AN316" s="3">
        <v>0.01</v>
      </c>
      <c r="AO316" s="3">
        <v>95.04</v>
      </c>
      <c r="AP316" s="3">
        <v>0</v>
      </c>
      <c r="AQ316" s="3">
        <v>7.2</v>
      </c>
      <c r="AR316" s="3">
        <v>0</v>
      </c>
      <c r="AS316" s="3">
        <v>0</v>
      </c>
      <c r="AT316" s="3">
        <v>90</v>
      </c>
      <c r="AU316" s="3">
        <v>46</v>
      </c>
      <c r="AV316" s="3">
        <v>1.0469999999999999</v>
      </c>
      <c r="AW316" s="3">
        <v>1</v>
      </c>
      <c r="AZ316" s="3">
        <v>1</v>
      </c>
      <c r="BA316" s="3">
        <v>56.35</v>
      </c>
      <c r="BB316" s="3">
        <v>18.5</v>
      </c>
      <c r="BC316" s="3">
        <v>9.84</v>
      </c>
      <c r="BD316" s="3" t="s">
        <v>3</v>
      </c>
      <c r="BE316" s="3" t="s">
        <v>3</v>
      </c>
      <c r="BF316" s="3" t="s">
        <v>3</v>
      </c>
      <c r="BG316" s="3" t="s">
        <v>3</v>
      </c>
      <c r="BH316" s="3">
        <v>0</v>
      </c>
      <c r="BI316" s="3">
        <v>2</v>
      </c>
      <c r="BJ316" s="3" t="s">
        <v>187</v>
      </c>
      <c r="BM316" s="3">
        <v>68</v>
      </c>
      <c r="BN316" s="3">
        <v>0</v>
      </c>
      <c r="BO316" s="3" t="s">
        <v>185</v>
      </c>
      <c r="BP316" s="3">
        <v>1</v>
      </c>
      <c r="BQ316" s="3">
        <v>40</v>
      </c>
      <c r="BR316" s="3">
        <v>0</v>
      </c>
      <c r="BS316" s="3">
        <v>56.35</v>
      </c>
      <c r="BT316" s="3">
        <v>1</v>
      </c>
      <c r="BU316" s="3">
        <v>1</v>
      </c>
      <c r="BV316" s="3">
        <v>1</v>
      </c>
      <c r="BW316" s="3">
        <v>1</v>
      </c>
      <c r="BX316" s="3">
        <v>1</v>
      </c>
      <c r="BY316" s="3" t="s">
        <v>3</v>
      </c>
      <c r="BZ316" s="3">
        <v>90</v>
      </c>
      <c r="CA316" s="3">
        <v>46</v>
      </c>
      <c r="CB316" s="3" t="s">
        <v>3</v>
      </c>
      <c r="CE316" s="3">
        <v>1566</v>
      </c>
      <c r="CF316" s="3">
        <v>0</v>
      </c>
      <c r="CG316" s="3">
        <v>0</v>
      </c>
      <c r="CM316" s="3">
        <v>0</v>
      </c>
      <c r="CN316" s="3" t="s">
        <v>614</v>
      </c>
      <c r="CO316" s="3">
        <v>0</v>
      </c>
      <c r="CP316" s="3">
        <f t="shared" si="249"/>
        <v>13706.880000000001</v>
      </c>
      <c r="CQ316" s="3">
        <f>ROUND((ROUND((AC316*AW316*1),2)*BC316),2)</f>
        <v>123.3</v>
      </c>
      <c r="CR316" s="3">
        <f>(ROUND((ROUND((((ET316*1.2))*AV316*1),2)*BB316),2)+ROUND((ROUND(((AE316-((EU316*1.2)))*AV316*1),2)*BS316),2))</f>
        <v>1.48</v>
      </c>
      <c r="CS316" s="3">
        <f>(ROUND((ROUND((((EU316*1.2))*AV316*1),2)*BS316),2)+ROUND((ROUND(((AE316-((EU316*1.2)))*AV316*1),2)*BS316),2))</f>
        <v>0.56000000000000005</v>
      </c>
      <c r="CT316" s="3">
        <f t="shared" si="250"/>
        <v>6728.75</v>
      </c>
      <c r="CU316" s="3">
        <f t="shared" si="251"/>
        <v>0</v>
      </c>
      <c r="CV316" s="3">
        <f t="shared" si="252"/>
        <v>9.0460799999999999</v>
      </c>
      <c r="CW316" s="3">
        <f t="shared" si="253"/>
        <v>0</v>
      </c>
      <c r="CX316" s="3">
        <f t="shared" si="254"/>
        <v>0</v>
      </c>
      <c r="CY316" s="3">
        <f>(ROUND((((S316+ROUND((ROUND((((EU316*1.2))*AV316*1),2)*BS316),2))*AT316)/100),2)+ROUND(((ROUND((ROUND(((AE316-((EU316*1.2)))*AV316*1),2)*BS316),2)*AT316)/100),2))</f>
        <v>12112.26</v>
      </c>
      <c r="CZ316" s="3">
        <f>(ROUND((((S316+ROUND((ROUND((((EU316*1.2))*AV316*1),2)*BS316),2))*AU316)/100),2)+ROUND(((ROUND((ROUND(((AE316-((EU316*1.2)))*AV316*1),2)*BS316),2)*AU316)/100),2))</f>
        <v>6190.71</v>
      </c>
      <c r="DB316" s="3">
        <v>110</v>
      </c>
      <c r="DC316" s="3" t="s">
        <v>3</v>
      </c>
      <c r="DD316" s="3" t="s">
        <v>104</v>
      </c>
      <c r="DE316" s="3" t="s">
        <v>105</v>
      </c>
      <c r="DF316" s="3" t="s">
        <v>105</v>
      </c>
      <c r="DG316" s="3" t="s">
        <v>105</v>
      </c>
      <c r="DH316" s="3" t="s">
        <v>3</v>
      </c>
      <c r="DI316" s="3" t="s">
        <v>105</v>
      </c>
      <c r="DJ316" s="3" t="s">
        <v>105</v>
      </c>
      <c r="DK316" s="3" t="s">
        <v>3</v>
      </c>
      <c r="DL316" s="3" t="s">
        <v>3</v>
      </c>
      <c r="DM316" s="3" t="s">
        <v>3</v>
      </c>
      <c r="DN316" s="3">
        <v>0</v>
      </c>
      <c r="DO316" s="3">
        <v>0</v>
      </c>
      <c r="DP316" s="3">
        <v>1</v>
      </c>
      <c r="DQ316" s="3">
        <v>1</v>
      </c>
      <c r="DU316" s="3">
        <v>1013</v>
      </c>
      <c r="DV316" s="3" t="s">
        <v>26</v>
      </c>
      <c r="DW316" s="3" t="s">
        <v>26</v>
      </c>
      <c r="DX316" s="3">
        <v>1</v>
      </c>
      <c r="DZ316" s="3" t="s">
        <v>3</v>
      </c>
      <c r="EA316" s="3" t="s">
        <v>3</v>
      </c>
      <c r="EB316" s="3" t="s">
        <v>3</v>
      </c>
      <c r="EC316" s="3" t="s">
        <v>3</v>
      </c>
      <c r="EE316" s="3">
        <v>57042958</v>
      </c>
      <c r="EF316" s="3">
        <v>40</v>
      </c>
      <c r="EG316" s="3" t="s">
        <v>30</v>
      </c>
      <c r="EH316" s="3">
        <v>0</v>
      </c>
      <c r="EI316" s="3" t="s">
        <v>3</v>
      </c>
      <c r="EJ316" s="3">
        <v>2</v>
      </c>
      <c r="EK316" s="3">
        <v>68</v>
      </c>
      <c r="EL316" s="3" t="s">
        <v>38</v>
      </c>
      <c r="EM316" s="3" t="s">
        <v>39</v>
      </c>
      <c r="EO316" s="3" t="s">
        <v>109</v>
      </c>
      <c r="EQ316" s="3">
        <v>0</v>
      </c>
      <c r="ER316" s="3">
        <v>107.63</v>
      </c>
      <c r="ES316" s="3">
        <v>12.53</v>
      </c>
      <c r="ET316" s="3">
        <v>0.06</v>
      </c>
      <c r="EU316" s="3">
        <v>0.01</v>
      </c>
      <c r="EV316" s="3">
        <v>95.04</v>
      </c>
      <c r="EW316" s="3">
        <v>7.2</v>
      </c>
      <c r="EX316" s="3">
        <v>0</v>
      </c>
      <c r="EY316" s="3">
        <v>0</v>
      </c>
      <c r="FQ316" s="3">
        <v>0</v>
      </c>
      <c r="FR316" s="3">
        <v>0</v>
      </c>
      <c r="FS316" s="3">
        <v>0</v>
      </c>
      <c r="FX316" s="3">
        <v>90</v>
      </c>
      <c r="FY316" s="3">
        <v>46</v>
      </c>
      <c r="GA316" s="3" t="s">
        <v>3</v>
      </c>
      <c r="GD316" s="3">
        <v>1</v>
      </c>
      <c r="GF316" s="3">
        <v>-488197810</v>
      </c>
      <c r="GG316" s="3">
        <v>2</v>
      </c>
      <c r="GH316" s="3">
        <v>1</v>
      </c>
      <c r="GI316" s="3">
        <v>2</v>
      </c>
      <c r="GJ316" s="3">
        <v>0</v>
      </c>
      <c r="GK316" s="3">
        <v>0</v>
      </c>
      <c r="GL316" s="3">
        <f t="shared" si="255"/>
        <v>0</v>
      </c>
      <c r="GM316" s="3">
        <f t="shared" si="256"/>
        <v>32011.39</v>
      </c>
      <c r="GN316" s="3">
        <f t="shared" si="257"/>
        <v>0</v>
      </c>
      <c r="GO316" s="3">
        <f t="shared" si="258"/>
        <v>32011.39</v>
      </c>
      <c r="GP316" s="3">
        <f t="shared" si="259"/>
        <v>0</v>
      </c>
      <c r="GR316" s="3">
        <v>0</v>
      </c>
      <c r="GS316" s="3">
        <v>3</v>
      </c>
      <c r="GT316" s="3">
        <v>0</v>
      </c>
      <c r="GU316" s="3" t="s">
        <v>3</v>
      </c>
      <c r="GV316" s="3">
        <f t="shared" si="260"/>
        <v>0</v>
      </c>
      <c r="GW316" s="3">
        <v>1</v>
      </c>
      <c r="GX316" s="3">
        <f t="shared" si="261"/>
        <v>0</v>
      </c>
      <c r="HA316" s="3">
        <v>0</v>
      </c>
      <c r="HB316" s="3">
        <v>0</v>
      </c>
      <c r="HC316" s="3">
        <f t="shared" si="262"/>
        <v>0</v>
      </c>
      <c r="HE316" s="3" t="s">
        <v>3</v>
      </c>
      <c r="HF316" s="3" t="s">
        <v>3</v>
      </c>
      <c r="HM316" s="3" t="s">
        <v>3</v>
      </c>
      <c r="HN316" s="3" t="s">
        <v>3</v>
      </c>
      <c r="HO316" s="3" t="s">
        <v>3</v>
      </c>
      <c r="HP316" s="3" t="s">
        <v>3</v>
      </c>
      <c r="HQ316" s="3" t="s">
        <v>3</v>
      </c>
      <c r="HS316" s="3">
        <v>0</v>
      </c>
      <c r="IK316" s="3">
        <v>0</v>
      </c>
    </row>
    <row r="317" spans="1:255" x14ac:dyDescent="0.25">
      <c r="A317" s="2">
        <v>17</v>
      </c>
      <c r="B317" s="2">
        <v>1</v>
      </c>
      <c r="C317" s="2"/>
      <c r="D317" s="2"/>
      <c r="E317" s="2" t="s">
        <v>279</v>
      </c>
      <c r="F317" s="2" t="s">
        <v>196</v>
      </c>
      <c r="G317" s="2" t="s">
        <v>190</v>
      </c>
      <c r="H317" s="2" t="s">
        <v>177</v>
      </c>
      <c r="I317" s="2">
        <v>2</v>
      </c>
      <c r="J317" s="2">
        <v>0</v>
      </c>
      <c r="K317" s="2">
        <v>2</v>
      </c>
      <c r="L317" s="2"/>
      <c r="M317" s="2"/>
      <c r="N317" s="2"/>
      <c r="O317" s="2">
        <f t="shared" si="240"/>
        <v>9702.16</v>
      </c>
      <c r="P317" s="2">
        <f>ROUND((ROUND((AC317*I317),2)*BC317),2)</f>
        <v>9702.16</v>
      </c>
      <c r="Q317" s="2">
        <f>(ROUND((ROUND(((ET317)*AV317*I317),2)*BB317),2)+ROUND((ROUND(((AE317-(EU317))*AV317*I317),2)*BS317),2))</f>
        <v>0</v>
      </c>
      <c r="R317" s="2">
        <f>(ROUND((ROUND(((EU317)*AV317*I317),2)*BS317),2)+ROUND((ROUND(((AE317-(EU317))*AV317*I317),2)*BS317),2))</f>
        <v>0</v>
      </c>
      <c r="S317" s="2">
        <f t="shared" si="241"/>
        <v>0</v>
      </c>
      <c r="T317" s="2">
        <f t="shared" si="242"/>
        <v>0</v>
      </c>
      <c r="U317" s="2">
        <f t="shared" si="243"/>
        <v>0</v>
      </c>
      <c r="V317" s="2">
        <f t="shared" si="244"/>
        <v>0</v>
      </c>
      <c r="W317" s="2">
        <f t="shared" si="245"/>
        <v>0</v>
      </c>
      <c r="X317" s="2">
        <f>(ROUND((((S317+ROUND((ROUND(((EU317)*AV317*I317),2)*BS317),2))*AT317)/100),2)+ROUND(((ROUND((ROUND(((AE317-(EU317))*AV317*I317),2)*BS317),2)*AT317)/100),2))</f>
        <v>0</v>
      </c>
      <c r="Y317" s="2">
        <f>(ROUND((((S317+ROUND((ROUND(((EU317)*AV317*I317),2)*BS317),2))*AU317)/100),2)+ROUND(((ROUND((ROUND(((AE317-(EU317))*AV317*I317),2)*BS317),2)*AU317)/100),2))</f>
        <v>0</v>
      </c>
      <c r="Z317" s="2"/>
      <c r="AA317" s="2">
        <v>57034452</v>
      </c>
      <c r="AB317" s="2">
        <f t="shared" si="246"/>
        <v>4851.08</v>
      </c>
      <c r="AC317" s="2">
        <f>ROUND((ES317),6)</f>
        <v>4851.08</v>
      </c>
      <c r="AD317" s="2">
        <f>ROUND((((ET317)-(EU317))+AE317),6)</f>
        <v>0</v>
      </c>
      <c r="AE317" s="2">
        <f>ROUND((EU317),6)</f>
        <v>0</v>
      </c>
      <c r="AF317" s="2">
        <f>ROUND((EV317),6)</f>
        <v>0</v>
      </c>
      <c r="AG317" s="2">
        <f t="shared" si="247"/>
        <v>0</v>
      </c>
      <c r="AH317" s="2">
        <f>(EW317)</f>
        <v>0</v>
      </c>
      <c r="AI317" s="2">
        <f>(EX317)</f>
        <v>0</v>
      </c>
      <c r="AJ317" s="2">
        <f t="shared" si="248"/>
        <v>0</v>
      </c>
      <c r="AK317" s="2">
        <v>4851.08</v>
      </c>
      <c r="AL317" s="2">
        <v>4851.08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1</v>
      </c>
      <c r="AW317" s="2">
        <v>1</v>
      </c>
      <c r="AX317" s="2"/>
      <c r="AY317" s="2"/>
      <c r="AZ317" s="2">
        <v>1</v>
      </c>
      <c r="BA317" s="2">
        <v>1</v>
      </c>
      <c r="BB317" s="2">
        <v>1</v>
      </c>
      <c r="BC317" s="2">
        <v>1</v>
      </c>
      <c r="BD317" s="2" t="s">
        <v>3</v>
      </c>
      <c r="BE317" s="2" t="s">
        <v>3</v>
      </c>
      <c r="BF317" s="2" t="s">
        <v>3</v>
      </c>
      <c r="BG317" s="2" t="s">
        <v>3</v>
      </c>
      <c r="BH317" s="2">
        <v>3</v>
      </c>
      <c r="BI317" s="2">
        <v>3</v>
      </c>
      <c r="BJ317" s="2" t="s">
        <v>3</v>
      </c>
      <c r="BK317" s="2"/>
      <c r="BL317" s="2"/>
      <c r="BM317" s="2">
        <v>746</v>
      </c>
      <c r="BN317" s="2">
        <v>0</v>
      </c>
      <c r="BO317" s="2" t="s">
        <v>3</v>
      </c>
      <c r="BP317" s="2">
        <v>0</v>
      </c>
      <c r="BQ317" s="2">
        <v>130</v>
      </c>
      <c r="BR317" s="2">
        <v>0</v>
      </c>
      <c r="BS317" s="2">
        <v>1</v>
      </c>
      <c r="BT317" s="2">
        <v>1</v>
      </c>
      <c r="BU317" s="2">
        <v>1</v>
      </c>
      <c r="BV317" s="2">
        <v>1</v>
      </c>
      <c r="BW317" s="2">
        <v>1</v>
      </c>
      <c r="BX317" s="2">
        <v>1</v>
      </c>
      <c r="BY317" s="2" t="s">
        <v>3</v>
      </c>
      <c r="BZ317" s="2">
        <v>90</v>
      </c>
      <c r="CA317" s="2">
        <v>46</v>
      </c>
      <c r="CB317" s="2" t="s">
        <v>3</v>
      </c>
      <c r="CC317" s="2"/>
      <c r="CD317" s="2"/>
      <c r="CE317" s="2">
        <v>1566</v>
      </c>
      <c r="CF317" s="2">
        <v>0</v>
      </c>
      <c r="CG317" s="2">
        <v>0</v>
      </c>
      <c r="CH317" s="2"/>
      <c r="CI317" s="2"/>
      <c r="CJ317" s="2"/>
      <c r="CK317" s="2"/>
      <c r="CL317" s="2"/>
      <c r="CM317" s="2">
        <v>0</v>
      </c>
      <c r="CN317" s="2" t="s">
        <v>615</v>
      </c>
      <c r="CO317" s="2">
        <v>0</v>
      </c>
      <c r="CP317" s="2">
        <f t="shared" si="249"/>
        <v>9702.16</v>
      </c>
      <c r="CQ317" s="2">
        <f>ROUND((ROUND((AC317*1),2)*BC317),2)</f>
        <v>4851.08</v>
      </c>
      <c r="CR317" s="2">
        <f>(ROUND((ROUND(((ET317)*AV317*1),2)*BB317),2)+ROUND((ROUND(((AE317-(EU317))*AV317*1),2)*BS317),2))</f>
        <v>0</v>
      </c>
      <c r="CS317" s="2">
        <f>(ROUND((ROUND(((EU317)*AV317*1),2)*BS317),2)+ROUND((ROUND(((AE317-(EU317))*AV317*1),2)*BS317),2))</f>
        <v>0</v>
      </c>
      <c r="CT317" s="2">
        <f t="shared" si="250"/>
        <v>0</v>
      </c>
      <c r="CU317" s="2">
        <f t="shared" si="251"/>
        <v>0</v>
      </c>
      <c r="CV317" s="2">
        <f t="shared" si="252"/>
        <v>0</v>
      </c>
      <c r="CW317" s="2">
        <f t="shared" si="253"/>
        <v>0</v>
      </c>
      <c r="CX317" s="2">
        <f t="shared" si="254"/>
        <v>0</v>
      </c>
      <c r="CY317" s="2">
        <f>(ROUND((((S317+ROUND((ROUND(((EU317)*AV317*1),2)*BS317),2))*AT317)/100),2)+ROUND(((ROUND((ROUND(((AE317-(EU317))*AV317*1),2)*BS317),2)*AT317)/100),2))</f>
        <v>0</v>
      </c>
      <c r="CZ317" s="2">
        <f>(ROUND((((S317+ROUND((ROUND(((EU317)*AV317*1),2)*BS317),2))*AU317)/100),2)+ROUND(((ROUND((ROUND(((AE317-(EU317))*AV317*1),2)*BS317),2)*AU317)/100),2))</f>
        <v>0</v>
      </c>
      <c r="DA317" s="2"/>
      <c r="DB317" s="2"/>
      <c r="DC317" s="2" t="s">
        <v>3</v>
      </c>
      <c r="DD317" s="2" t="s">
        <v>3</v>
      </c>
      <c r="DE317" s="2" t="s">
        <v>3</v>
      </c>
      <c r="DF317" s="2" t="s">
        <v>3</v>
      </c>
      <c r="DG317" s="2" t="s">
        <v>3</v>
      </c>
      <c r="DH317" s="2" t="s">
        <v>3</v>
      </c>
      <c r="DI317" s="2" t="s">
        <v>3</v>
      </c>
      <c r="DJ317" s="2" t="s">
        <v>3</v>
      </c>
      <c r="DK317" s="2" t="s">
        <v>3</v>
      </c>
      <c r="DL317" s="2" t="s">
        <v>3</v>
      </c>
      <c r="DM317" s="2" t="s">
        <v>3</v>
      </c>
      <c r="DN317" s="2">
        <v>0</v>
      </c>
      <c r="DO317" s="2">
        <v>0</v>
      </c>
      <c r="DP317" s="2">
        <v>1</v>
      </c>
      <c r="DQ317" s="2">
        <v>1</v>
      </c>
      <c r="DR317" s="2"/>
      <c r="DS317" s="2"/>
      <c r="DT317" s="2"/>
      <c r="DU317" s="2">
        <v>1010</v>
      </c>
      <c r="DV317" s="2" t="s">
        <v>177</v>
      </c>
      <c r="DW317" s="2" t="s">
        <v>177</v>
      </c>
      <c r="DX317" s="2">
        <v>1</v>
      </c>
      <c r="DY317" s="2"/>
      <c r="DZ317" s="2" t="s">
        <v>3</v>
      </c>
      <c r="EA317" s="2" t="s">
        <v>3</v>
      </c>
      <c r="EB317" s="2" t="s">
        <v>3</v>
      </c>
      <c r="EC317" s="2" t="s">
        <v>3</v>
      </c>
      <c r="ED317" s="2"/>
      <c r="EE317" s="2">
        <v>57043064</v>
      </c>
      <c r="EF317" s="2">
        <v>130</v>
      </c>
      <c r="EG317" s="2" t="s">
        <v>178</v>
      </c>
      <c r="EH317" s="2">
        <v>0</v>
      </c>
      <c r="EI317" s="2" t="s">
        <v>3</v>
      </c>
      <c r="EJ317" s="2">
        <v>3</v>
      </c>
      <c r="EK317" s="2">
        <v>746</v>
      </c>
      <c r="EL317" s="2" t="s">
        <v>179</v>
      </c>
      <c r="EM317" s="2" t="s">
        <v>180</v>
      </c>
      <c r="EN317" s="2"/>
      <c r="EO317" s="2" t="s">
        <v>109</v>
      </c>
      <c r="EP317" s="2"/>
      <c r="EQ317" s="2">
        <v>2097152</v>
      </c>
      <c r="ER317" s="2">
        <v>0</v>
      </c>
      <c r="ES317" s="2">
        <v>4851.08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>
        <v>0</v>
      </c>
      <c r="FR317" s="2">
        <f>P317</f>
        <v>9702.16</v>
      </c>
      <c r="FS317" s="2">
        <v>0</v>
      </c>
      <c r="FT317" s="2"/>
      <c r="FU317" s="2"/>
      <c r="FV317" s="2"/>
      <c r="FW317" s="2"/>
      <c r="FX317" s="2">
        <v>90</v>
      </c>
      <c r="FY317" s="2">
        <v>46</v>
      </c>
      <c r="FZ317" s="2"/>
      <c r="GA317" s="2" t="s">
        <v>194</v>
      </c>
      <c r="GB317" s="2"/>
      <c r="GC317" s="2"/>
      <c r="GD317" s="2">
        <v>1</v>
      </c>
      <c r="GE317" s="2"/>
      <c r="GF317" s="2">
        <v>1774655885</v>
      </c>
      <c r="GG317" s="2">
        <v>2</v>
      </c>
      <c r="GH317" s="2">
        <v>4</v>
      </c>
      <c r="GI317" s="2">
        <v>-2</v>
      </c>
      <c r="GJ317" s="2">
        <v>0</v>
      </c>
      <c r="GK317" s="2">
        <v>0</v>
      </c>
      <c r="GL317" s="2">
        <f t="shared" si="255"/>
        <v>0</v>
      </c>
      <c r="GM317" s="2">
        <f t="shared" si="256"/>
        <v>9702.16</v>
      </c>
      <c r="GN317" s="2">
        <f t="shared" si="257"/>
        <v>0</v>
      </c>
      <c r="GO317" s="2">
        <f t="shared" si="258"/>
        <v>0</v>
      </c>
      <c r="GP317" s="2">
        <f t="shared" si="259"/>
        <v>0</v>
      </c>
      <c r="GQ317" s="2"/>
      <c r="GR317" s="2">
        <v>0</v>
      </c>
      <c r="GS317" s="2">
        <v>2</v>
      </c>
      <c r="GT317" s="2">
        <v>0</v>
      </c>
      <c r="GU317" s="2" t="s">
        <v>3</v>
      </c>
      <c r="GV317" s="2">
        <f t="shared" si="260"/>
        <v>0</v>
      </c>
      <c r="GW317" s="2">
        <v>1</v>
      </c>
      <c r="GX317" s="2">
        <f t="shared" si="261"/>
        <v>0</v>
      </c>
      <c r="GY317" s="2"/>
      <c r="GZ317" s="2"/>
      <c r="HA317" s="2">
        <v>0</v>
      </c>
      <c r="HB317" s="2">
        <v>0</v>
      </c>
      <c r="HC317" s="2">
        <f t="shared" si="262"/>
        <v>0</v>
      </c>
      <c r="HD317" s="2"/>
      <c r="HE317" s="2" t="s">
        <v>40</v>
      </c>
      <c r="HF317" s="2" t="s">
        <v>182</v>
      </c>
      <c r="HG317" s="2"/>
      <c r="HH317" s="2"/>
      <c r="HI317" s="2"/>
      <c r="HJ317" s="2"/>
      <c r="HK317" s="2"/>
      <c r="HL317" s="2"/>
      <c r="HM317" s="2" t="s">
        <v>3</v>
      </c>
      <c r="HN317" s="2" t="s">
        <v>3</v>
      </c>
      <c r="HO317" s="2" t="s">
        <v>3</v>
      </c>
      <c r="HP317" s="2" t="s">
        <v>3</v>
      </c>
      <c r="HQ317" s="2" t="s">
        <v>3</v>
      </c>
      <c r="HR317" s="2"/>
      <c r="HS317" s="2">
        <v>0</v>
      </c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>
        <v>0</v>
      </c>
      <c r="IL317" s="2"/>
      <c r="IM317" s="2"/>
      <c r="IN317" s="2"/>
      <c r="IO317" s="2"/>
      <c r="IP317" s="2"/>
      <c r="IQ317" s="2"/>
      <c r="IR317" s="2"/>
      <c r="IS317" s="2"/>
      <c r="IT317" s="2"/>
      <c r="IU317" s="2"/>
    </row>
    <row r="318" spans="1:255" x14ac:dyDescent="0.25">
      <c r="A318" s="3">
        <v>17</v>
      </c>
      <c r="B318" s="3">
        <v>1</v>
      </c>
      <c r="E318" s="3" t="s">
        <v>279</v>
      </c>
      <c r="F318" s="3" t="s">
        <v>196</v>
      </c>
      <c r="G318" s="3" t="s">
        <v>190</v>
      </c>
      <c r="H318" s="3" t="s">
        <v>177</v>
      </c>
      <c r="I318" s="3">
        <v>2</v>
      </c>
      <c r="J318" s="3">
        <v>0</v>
      </c>
      <c r="K318" s="3">
        <v>2</v>
      </c>
      <c r="O318" s="3">
        <f t="shared" si="240"/>
        <v>73445.350000000006</v>
      </c>
      <c r="P318" s="3">
        <f>ROUND((ROUND((AC318*I318),2)*BC318),2)</f>
        <v>73445.350000000006</v>
      </c>
      <c r="Q318" s="3">
        <f>(ROUND((ROUND(((ET318)*AV318*I318),2)*BB318),2)+ROUND((ROUND(((AE318-(EU318))*AV318*I318),2)*BS318),2))</f>
        <v>0</v>
      </c>
      <c r="R318" s="3">
        <f>(ROUND((ROUND(((EU318)*AV318*I318),2)*BS318),2)+ROUND((ROUND(((AE318-(EU318))*AV318*I318),2)*BS318),2))</f>
        <v>0</v>
      </c>
      <c r="S318" s="3">
        <f t="shared" si="241"/>
        <v>0</v>
      </c>
      <c r="T318" s="3">
        <f t="shared" si="242"/>
        <v>0</v>
      </c>
      <c r="U318" s="3">
        <f t="shared" si="243"/>
        <v>0</v>
      </c>
      <c r="V318" s="3">
        <f t="shared" si="244"/>
        <v>0</v>
      </c>
      <c r="W318" s="3">
        <f t="shared" si="245"/>
        <v>0</v>
      </c>
      <c r="X318" s="3">
        <f>(ROUND((((S318+ROUND((ROUND(((EU318)*AV318*I318),2)*BS318),2))*AT318)/100),2)+ROUND(((ROUND((ROUND(((AE318-(EU318))*AV318*I318),2)*BS318),2)*AT318)/100),2))</f>
        <v>0</v>
      </c>
      <c r="Y318" s="3">
        <f>(ROUND((((S318+ROUND((ROUND(((EU318)*AV318*I318),2)*BS318),2))*AU318)/100),2)+ROUND(((ROUND((ROUND(((AE318-(EU318))*AV318*I318),2)*BS318),2)*AU318)/100),2))</f>
        <v>0</v>
      </c>
      <c r="AA318" s="3">
        <v>57034454</v>
      </c>
      <c r="AB318" s="3">
        <f t="shared" si="246"/>
        <v>4851.08</v>
      </c>
      <c r="AC318" s="3">
        <f>ROUND((ES318),6)</f>
        <v>4851.08</v>
      </c>
      <c r="AD318" s="3">
        <f>ROUND((((ET318)-(EU318))+AE318),6)</f>
        <v>0</v>
      </c>
      <c r="AE318" s="3">
        <f>ROUND((EU318),6)</f>
        <v>0</v>
      </c>
      <c r="AF318" s="3">
        <f>ROUND((EV318),6)</f>
        <v>0</v>
      </c>
      <c r="AG318" s="3">
        <f t="shared" si="247"/>
        <v>0</v>
      </c>
      <c r="AH318" s="3">
        <f>(EW318)</f>
        <v>0</v>
      </c>
      <c r="AI318" s="3">
        <f>(EX318)</f>
        <v>0</v>
      </c>
      <c r="AJ318" s="3">
        <f t="shared" si="248"/>
        <v>0</v>
      </c>
      <c r="AK318" s="3">
        <v>4851.08</v>
      </c>
      <c r="AL318" s="3">
        <v>4851.08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1</v>
      </c>
      <c r="AW318" s="3">
        <v>1</v>
      </c>
      <c r="AZ318" s="3">
        <v>1</v>
      </c>
      <c r="BA318" s="3">
        <v>1</v>
      </c>
      <c r="BB318" s="3">
        <v>1</v>
      </c>
      <c r="BC318" s="3">
        <v>7.57</v>
      </c>
      <c r="BD318" s="3" t="s">
        <v>3</v>
      </c>
      <c r="BE318" s="3" t="s">
        <v>3</v>
      </c>
      <c r="BF318" s="3" t="s">
        <v>3</v>
      </c>
      <c r="BG318" s="3" t="s">
        <v>3</v>
      </c>
      <c r="BH318" s="3">
        <v>3</v>
      </c>
      <c r="BI318" s="3">
        <v>3</v>
      </c>
      <c r="BJ318" s="3" t="s">
        <v>3</v>
      </c>
      <c r="BM318" s="3">
        <v>746</v>
      </c>
      <c r="BN318" s="3">
        <v>0</v>
      </c>
      <c r="BO318" s="3" t="s">
        <v>3</v>
      </c>
      <c r="BP318" s="3">
        <v>0</v>
      </c>
      <c r="BQ318" s="3">
        <v>130</v>
      </c>
      <c r="BR318" s="3">
        <v>0</v>
      </c>
      <c r="BS318" s="3">
        <v>1</v>
      </c>
      <c r="BT318" s="3">
        <v>1</v>
      </c>
      <c r="BU318" s="3">
        <v>1</v>
      </c>
      <c r="BV318" s="3">
        <v>1</v>
      </c>
      <c r="BW318" s="3">
        <v>1</v>
      </c>
      <c r="BX318" s="3">
        <v>1</v>
      </c>
      <c r="BY318" s="3" t="s">
        <v>3</v>
      </c>
      <c r="BZ318" s="3">
        <v>90</v>
      </c>
      <c r="CA318" s="3">
        <v>46</v>
      </c>
      <c r="CB318" s="3" t="s">
        <v>3</v>
      </c>
      <c r="CE318" s="3">
        <v>1566</v>
      </c>
      <c r="CF318" s="3">
        <v>0</v>
      </c>
      <c r="CG318" s="3">
        <v>0</v>
      </c>
      <c r="CM318" s="3">
        <v>0</v>
      </c>
      <c r="CN318" s="3" t="s">
        <v>615</v>
      </c>
      <c r="CO318" s="3">
        <v>0</v>
      </c>
      <c r="CP318" s="3">
        <f t="shared" si="249"/>
        <v>73445.350000000006</v>
      </c>
      <c r="CQ318" s="3">
        <f>ROUND((ROUND((AC318*1),2)*BC318),2)</f>
        <v>36722.68</v>
      </c>
      <c r="CR318" s="3">
        <f>(ROUND((ROUND(((ET318)*AV318*1),2)*BB318),2)+ROUND((ROUND(((AE318-(EU318))*AV318*1),2)*BS318),2))</f>
        <v>0</v>
      </c>
      <c r="CS318" s="3">
        <f>(ROUND((ROUND(((EU318)*AV318*1),2)*BS318),2)+ROUND((ROUND(((AE318-(EU318))*AV318*1),2)*BS318),2))</f>
        <v>0</v>
      </c>
      <c r="CT318" s="3">
        <f t="shared" si="250"/>
        <v>0</v>
      </c>
      <c r="CU318" s="3">
        <f t="shared" si="251"/>
        <v>0</v>
      </c>
      <c r="CV318" s="3">
        <f t="shared" si="252"/>
        <v>0</v>
      </c>
      <c r="CW318" s="3">
        <f t="shared" si="253"/>
        <v>0</v>
      </c>
      <c r="CX318" s="3">
        <f t="shared" si="254"/>
        <v>0</v>
      </c>
      <c r="CY318" s="3">
        <f>(ROUND((((S318+ROUND((ROUND(((EU318)*AV318*1),2)*BS318),2))*AT318)/100),2)+ROUND(((ROUND((ROUND(((AE318-(EU318))*AV318*1),2)*BS318),2)*AT318)/100),2))</f>
        <v>0</v>
      </c>
      <c r="CZ318" s="3">
        <f>(ROUND((((S318+ROUND((ROUND(((EU318)*AV318*1),2)*BS318),2))*AU318)/100),2)+ROUND(((ROUND((ROUND(((AE318-(EU318))*AV318*1),2)*BS318),2)*AU318)/100),2))</f>
        <v>0</v>
      </c>
      <c r="DC318" s="3" t="s">
        <v>3</v>
      </c>
      <c r="DD318" s="3" t="s">
        <v>3</v>
      </c>
      <c r="DE318" s="3" t="s">
        <v>3</v>
      </c>
      <c r="DF318" s="3" t="s">
        <v>3</v>
      </c>
      <c r="DG318" s="3" t="s">
        <v>3</v>
      </c>
      <c r="DH318" s="3" t="s">
        <v>3</v>
      </c>
      <c r="DI318" s="3" t="s">
        <v>3</v>
      </c>
      <c r="DJ318" s="3" t="s">
        <v>3</v>
      </c>
      <c r="DK318" s="3" t="s">
        <v>3</v>
      </c>
      <c r="DL318" s="3" t="s">
        <v>3</v>
      </c>
      <c r="DM318" s="3" t="s">
        <v>3</v>
      </c>
      <c r="DN318" s="3">
        <v>0</v>
      </c>
      <c r="DO318" s="3">
        <v>0</v>
      </c>
      <c r="DP318" s="3">
        <v>1</v>
      </c>
      <c r="DQ318" s="3">
        <v>1</v>
      </c>
      <c r="DU318" s="3">
        <v>1010</v>
      </c>
      <c r="DV318" s="3" t="s">
        <v>177</v>
      </c>
      <c r="DW318" s="3" t="s">
        <v>177</v>
      </c>
      <c r="DX318" s="3">
        <v>1</v>
      </c>
      <c r="DZ318" s="3" t="s">
        <v>3</v>
      </c>
      <c r="EA318" s="3" t="s">
        <v>3</v>
      </c>
      <c r="EB318" s="3" t="s">
        <v>3</v>
      </c>
      <c r="EC318" s="3" t="s">
        <v>3</v>
      </c>
      <c r="EE318" s="3">
        <v>57043064</v>
      </c>
      <c r="EF318" s="3">
        <v>130</v>
      </c>
      <c r="EG318" s="3" t="s">
        <v>178</v>
      </c>
      <c r="EH318" s="3">
        <v>0</v>
      </c>
      <c r="EI318" s="3" t="s">
        <v>3</v>
      </c>
      <c r="EJ318" s="3">
        <v>3</v>
      </c>
      <c r="EK318" s="3">
        <v>746</v>
      </c>
      <c r="EL318" s="3" t="s">
        <v>179</v>
      </c>
      <c r="EM318" s="3" t="s">
        <v>180</v>
      </c>
      <c r="EO318" s="3" t="s">
        <v>109</v>
      </c>
      <c r="EQ318" s="3">
        <v>2097152</v>
      </c>
      <c r="ER318" s="3">
        <v>4851.08</v>
      </c>
      <c r="ES318" s="3">
        <v>4851.08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EY318" s="3">
        <v>0</v>
      </c>
      <c r="EZ318" s="3">
        <v>5</v>
      </c>
      <c r="FC318" s="3">
        <v>1</v>
      </c>
      <c r="FD318" s="3">
        <v>18</v>
      </c>
      <c r="FF318" s="3">
        <v>42981</v>
      </c>
      <c r="FQ318" s="3">
        <v>0</v>
      </c>
      <c r="FR318" s="3">
        <f>P318</f>
        <v>73445.350000000006</v>
      </c>
      <c r="FS318" s="3">
        <v>0</v>
      </c>
      <c r="FX318" s="3">
        <v>90</v>
      </c>
      <c r="FY318" s="3">
        <v>46</v>
      </c>
      <c r="GA318" s="3" t="s">
        <v>194</v>
      </c>
      <c r="GD318" s="3">
        <v>1</v>
      </c>
      <c r="GF318" s="3">
        <v>1774655885</v>
      </c>
      <c r="GG318" s="3">
        <v>2</v>
      </c>
      <c r="GH318" s="3">
        <v>3</v>
      </c>
      <c r="GI318" s="3">
        <v>5</v>
      </c>
      <c r="GJ318" s="3">
        <v>0</v>
      </c>
      <c r="GK318" s="3">
        <v>0</v>
      </c>
      <c r="GL318" s="3">
        <f t="shared" si="255"/>
        <v>0</v>
      </c>
      <c r="GM318" s="3">
        <f t="shared" si="256"/>
        <v>73445.350000000006</v>
      </c>
      <c r="GN318" s="3">
        <f t="shared" si="257"/>
        <v>0</v>
      </c>
      <c r="GO318" s="3">
        <f t="shared" si="258"/>
        <v>0</v>
      </c>
      <c r="GP318" s="3">
        <f t="shared" si="259"/>
        <v>0</v>
      </c>
      <c r="GR318" s="3">
        <v>1</v>
      </c>
      <c r="GS318" s="3">
        <v>1</v>
      </c>
      <c r="GT318" s="3">
        <v>0</v>
      </c>
      <c r="GU318" s="3" t="s">
        <v>3</v>
      </c>
      <c r="GV318" s="3">
        <f t="shared" si="260"/>
        <v>0</v>
      </c>
      <c r="GW318" s="3">
        <v>1</v>
      </c>
      <c r="GX318" s="3">
        <f t="shared" si="261"/>
        <v>0</v>
      </c>
      <c r="HA318" s="3">
        <v>0</v>
      </c>
      <c r="HB318" s="3">
        <v>0</v>
      </c>
      <c r="HC318" s="3">
        <f t="shared" si="262"/>
        <v>0</v>
      </c>
      <c r="HE318" s="3" t="s">
        <v>40</v>
      </c>
      <c r="HF318" s="3" t="s">
        <v>182</v>
      </c>
      <c r="HM318" s="3" t="s">
        <v>3</v>
      </c>
      <c r="HN318" s="3" t="s">
        <v>3</v>
      </c>
      <c r="HO318" s="3" t="s">
        <v>3</v>
      </c>
      <c r="HP318" s="3" t="s">
        <v>3</v>
      </c>
      <c r="HQ318" s="3" t="s">
        <v>3</v>
      </c>
      <c r="HS318" s="3">
        <v>0</v>
      </c>
      <c r="IK318" s="3">
        <v>0</v>
      </c>
    </row>
    <row r="319" spans="1:255" x14ac:dyDescent="0.25">
      <c r="A319" s="2">
        <v>17</v>
      </c>
      <c r="B319" s="2">
        <v>1</v>
      </c>
      <c r="C319" s="2">
        <f>ROW(SmtRes!A184)</f>
        <v>184</v>
      </c>
      <c r="D319" s="2">
        <f>ROW(EtalonRes!A199)</f>
        <v>199</v>
      </c>
      <c r="E319" s="2" t="s">
        <v>3</v>
      </c>
      <c r="F319" s="2" t="s">
        <v>35</v>
      </c>
      <c r="G319" s="2" t="s">
        <v>195</v>
      </c>
      <c r="H319" s="2" t="s">
        <v>26</v>
      </c>
      <c r="I319" s="2">
        <v>2</v>
      </c>
      <c r="J319" s="2">
        <v>0</v>
      </c>
      <c r="K319" s="2">
        <v>2</v>
      </c>
      <c r="L319" s="2"/>
      <c r="M319" s="2"/>
      <c r="N319" s="2"/>
      <c r="O319" s="2">
        <f t="shared" si="240"/>
        <v>430.09</v>
      </c>
      <c r="P319" s="2">
        <f>ROUND((ROUND((AC319*AW319*I319),2)*BC319),2)</f>
        <v>41.86</v>
      </c>
      <c r="Q319" s="2">
        <f>(ROUND((ROUND((((ET319*1.2))*AV319*I319),2)*BB319),2)+ROUND((ROUND(((AE319-((EU319*1.2)))*AV319*I319),2)*BS319),2))</f>
        <v>0.15</v>
      </c>
      <c r="R319" s="2">
        <f>(ROUND((ROUND((((EU319*1.2))*AV319*I319),2)*BS319),2)+ROUND((ROUND(((AE319-((EU319*1.2)))*AV319*I319),2)*BS319),2))</f>
        <v>0.03</v>
      </c>
      <c r="S319" s="2">
        <f t="shared" si="241"/>
        <v>388.08</v>
      </c>
      <c r="T319" s="2">
        <f t="shared" si="242"/>
        <v>0</v>
      </c>
      <c r="U319" s="2">
        <f t="shared" si="243"/>
        <v>29.399759999999997</v>
      </c>
      <c r="V319" s="2">
        <f t="shared" si="244"/>
        <v>0</v>
      </c>
      <c r="W319" s="2">
        <f t="shared" si="245"/>
        <v>0</v>
      </c>
      <c r="X319" s="2">
        <f>(ROUND((((S319+ROUND((ROUND((((EU319*1.2))*AV319*I319),2)*BS319),2))*AT319)/100),2)+ROUND(((ROUND((ROUND(((AE319-((EU319*1.2)))*AV319*I319),2)*BS319),2)*AT319)/100),2))</f>
        <v>349.3</v>
      </c>
      <c r="Y319" s="2">
        <f>(ROUND((((S319+ROUND((ROUND((((EU319*1.2))*AV319*I319),2)*BS319),2))*AU319)/100),2)+ROUND(((ROUND((ROUND(((AE319-((EU319*1.2)))*AV319*I319),2)*BS319),2)*AU319)/100),2))</f>
        <v>178.53</v>
      </c>
      <c r="Z319" s="2"/>
      <c r="AA319" s="2">
        <v>-1</v>
      </c>
      <c r="AB319" s="2">
        <f t="shared" si="246"/>
        <v>206.33</v>
      </c>
      <c r="AC319" s="2">
        <f>ROUND(((ES319*1)),6)</f>
        <v>20.93</v>
      </c>
      <c r="AD319" s="2">
        <f>ROUND(((((ET319*1.2))-((EU319*1.2)))+AE319),6)</f>
        <v>7.1999999999999995E-2</v>
      </c>
      <c r="AE319" s="2">
        <f>ROUND(((EU319*1.2)),6)</f>
        <v>1.2E-2</v>
      </c>
      <c r="AF319" s="2">
        <f>ROUND(((EV319*1.2)),6)</f>
        <v>185.328</v>
      </c>
      <c r="AG319" s="2">
        <f t="shared" si="247"/>
        <v>0</v>
      </c>
      <c r="AH319" s="2">
        <f>((EW319*1.2))</f>
        <v>14.04</v>
      </c>
      <c r="AI319" s="2">
        <f>((EX319*1.2))</f>
        <v>0</v>
      </c>
      <c r="AJ319" s="2">
        <f t="shared" si="248"/>
        <v>0</v>
      </c>
      <c r="AK319" s="2">
        <v>175.43</v>
      </c>
      <c r="AL319" s="2">
        <v>20.93</v>
      </c>
      <c r="AM319" s="2">
        <v>0.06</v>
      </c>
      <c r="AN319" s="2">
        <v>0.01</v>
      </c>
      <c r="AO319" s="2">
        <v>154.44</v>
      </c>
      <c r="AP319" s="2">
        <v>0</v>
      </c>
      <c r="AQ319" s="2">
        <v>11.7</v>
      </c>
      <c r="AR319" s="2">
        <v>0</v>
      </c>
      <c r="AS319" s="2">
        <v>0</v>
      </c>
      <c r="AT319" s="2">
        <v>90</v>
      </c>
      <c r="AU319" s="2">
        <v>46</v>
      </c>
      <c r="AV319" s="2">
        <v>1.0469999999999999</v>
      </c>
      <c r="AW319" s="2">
        <v>1</v>
      </c>
      <c r="AX319" s="2"/>
      <c r="AY319" s="2"/>
      <c r="AZ319" s="2">
        <v>1</v>
      </c>
      <c r="BA319" s="2">
        <v>1</v>
      </c>
      <c r="BB319" s="2">
        <v>1</v>
      </c>
      <c r="BC319" s="2">
        <v>1</v>
      </c>
      <c r="BD319" s="2" t="s">
        <v>3</v>
      </c>
      <c r="BE319" s="2" t="s">
        <v>3</v>
      </c>
      <c r="BF319" s="2" t="s">
        <v>3</v>
      </c>
      <c r="BG319" s="2" t="s">
        <v>3</v>
      </c>
      <c r="BH319" s="2">
        <v>0</v>
      </c>
      <c r="BI319" s="2">
        <v>2</v>
      </c>
      <c r="BJ319" s="2" t="s">
        <v>37</v>
      </c>
      <c r="BK319" s="2"/>
      <c r="BL319" s="2"/>
      <c r="BM319" s="2">
        <v>68</v>
      </c>
      <c r="BN319" s="2">
        <v>0</v>
      </c>
      <c r="BO319" s="2" t="s">
        <v>35</v>
      </c>
      <c r="BP319" s="2">
        <v>1</v>
      </c>
      <c r="BQ319" s="2">
        <v>40</v>
      </c>
      <c r="BR319" s="2">
        <v>0</v>
      </c>
      <c r="BS319" s="2">
        <v>1</v>
      </c>
      <c r="BT319" s="2">
        <v>1</v>
      </c>
      <c r="BU319" s="2">
        <v>1</v>
      </c>
      <c r="BV319" s="2">
        <v>1</v>
      </c>
      <c r="BW319" s="2">
        <v>1</v>
      </c>
      <c r="BX319" s="2">
        <v>1</v>
      </c>
      <c r="BY319" s="2" t="s">
        <v>3</v>
      </c>
      <c r="BZ319" s="2">
        <v>90</v>
      </c>
      <c r="CA319" s="2">
        <v>46</v>
      </c>
      <c r="CB319" s="2" t="s">
        <v>3</v>
      </c>
      <c r="CC319" s="2"/>
      <c r="CD319" s="2"/>
      <c r="CE319" s="2">
        <v>1566</v>
      </c>
      <c r="CF319" s="2">
        <v>0</v>
      </c>
      <c r="CG319" s="2">
        <v>0</v>
      </c>
      <c r="CH319" s="2"/>
      <c r="CI319" s="2"/>
      <c r="CJ319" s="2"/>
      <c r="CK319" s="2"/>
      <c r="CL319" s="2"/>
      <c r="CM319" s="2">
        <v>0</v>
      </c>
      <c r="CN319" s="2" t="s">
        <v>614</v>
      </c>
      <c r="CO319" s="2">
        <v>0</v>
      </c>
      <c r="CP319" s="2">
        <f t="shared" si="249"/>
        <v>430.09</v>
      </c>
      <c r="CQ319" s="2">
        <f>ROUND((ROUND((AC319*AW319*1),2)*BC319),2)</f>
        <v>20.93</v>
      </c>
      <c r="CR319" s="2">
        <f>(ROUND((ROUND((((ET319*1.2))*AV319*1),2)*BB319),2)+ROUND((ROUND(((AE319-((EU319*1.2)))*AV319*1),2)*BS319),2))</f>
        <v>0.08</v>
      </c>
      <c r="CS319" s="2">
        <f>(ROUND((ROUND((((EU319*1.2))*AV319*1),2)*BS319),2)+ROUND((ROUND(((AE319-((EU319*1.2)))*AV319*1),2)*BS319),2))</f>
        <v>0.01</v>
      </c>
      <c r="CT319" s="2">
        <f t="shared" si="250"/>
        <v>194.04</v>
      </c>
      <c r="CU319" s="2">
        <f t="shared" si="251"/>
        <v>0</v>
      </c>
      <c r="CV319" s="2">
        <f t="shared" si="252"/>
        <v>14.699879999999999</v>
      </c>
      <c r="CW319" s="2">
        <f t="shared" si="253"/>
        <v>0</v>
      </c>
      <c r="CX319" s="2">
        <f t="shared" si="254"/>
        <v>0</v>
      </c>
      <c r="CY319" s="2">
        <f>(ROUND((((S319+ROUND((ROUND((((EU319*1.2))*AV319*1),2)*BS319),2))*AT319)/100),2)+ROUND(((ROUND((ROUND(((AE319-((EU319*1.2)))*AV319*1),2)*BS319),2)*AT319)/100),2))</f>
        <v>349.28</v>
      </c>
      <c r="CZ319" s="2">
        <f>(ROUND((((S319+ROUND((ROUND((((EU319*1.2))*AV319*1),2)*BS319),2))*AU319)/100),2)+ROUND(((ROUND((ROUND(((AE319-((EU319*1.2)))*AV319*1),2)*BS319),2)*AU319)/100),2))</f>
        <v>178.52</v>
      </c>
      <c r="DA319" s="2"/>
      <c r="DB319" s="2">
        <v>111</v>
      </c>
      <c r="DC319" s="2" t="s">
        <v>3</v>
      </c>
      <c r="DD319" s="2" t="s">
        <v>104</v>
      </c>
      <c r="DE319" s="2" t="s">
        <v>105</v>
      </c>
      <c r="DF319" s="2" t="s">
        <v>105</v>
      </c>
      <c r="DG319" s="2" t="s">
        <v>105</v>
      </c>
      <c r="DH319" s="2" t="s">
        <v>3</v>
      </c>
      <c r="DI319" s="2" t="s">
        <v>105</v>
      </c>
      <c r="DJ319" s="2" t="s">
        <v>105</v>
      </c>
      <c r="DK319" s="2" t="s">
        <v>3</v>
      </c>
      <c r="DL319" s="2" t="s">
        <v>3</v>
      </c>
      <c r="DM319" s="2" t="s">
        <v>3</v>
      </c>
      <c r="DN319" s="2">
        <v>0</v>
      </c>
      <c r="DO319" s="2">
        <v>0</v>
      </c>
      <c r="DP319" s="2">
        <v>1</v>
      </c>
      <c r="DQ319" s="2">
        <v>1</v>
      </c>
      <c r="DR319" s="2"/>
      <c r="DS319" s="2"/>
      <c r="DT319" s="2"/>
      <c r="DU319" s="2">
        <v>1013</v>
      </c>
      <c r="DV319" s="2" t="s">
        <v>26</v>
      </c>
      <c r="DW319" s="2" t="s">
        <v>26</v>
      </c>
      <c r="DX319" s="2">
        <v>1</v>
      </c>
      <c r="DY319" s="2"/>
      <c r="DZ319" s="2" t="s">
        <v>3</v>
      </c>
      <c r="EA319" s="2" t="s">
        <v>3</v>
      </c>
      <c r="EB319" s="2" t="s">
        <v>3</v>
      </c>
      <c r="EC319" s="2" t="s">
        <v>3</v>
      </c>
      <c r="ED319" s="2"/>
      <c r="EE319" s="2">
        <v>57042958</v>
      </c>
      <c r="EF319" s="2">
        <v>40</v>
      </c>
      <c r="EG319" s="2" t="s">
        <v>30</v>
      </c>
      <c r="EH319" s="2">
        <v>0</v>
      </c>
      <c r="EI319" s="2" t="s">
        <v>3</v>
      </c>
      <c r="EJ319" s="2">
        <v>2</v>
      </c>
      <c r="EK319" s="2">
        <v>68</v>
      </c>
      <c r="EL319" s="2" t="s">
        <v>38</v>
      </c>
      <c r="EM319" s="2" t="s">
        <v>39</v>
      </c>
      <c r="EN319" s="2"/>
      <c r="EO319" s="2" t="s">
        <v>109</v>
      </c>
      <c r="EP319" s="2"/>
      <c r="EQ319" s="2">
        <v>132096</v>
      </c>
      <c r="ER319" s="2">
        <v>175.43</v>
      </c>
      <c r="ES319" s="2">
        <v>20.93</v>
      </c>
      <c r="ET319" s="2">
        <v>0.06</v>
      </c>
      <c r="EU319" s="2">
        <v>0.01</v>
      </c>
      <c r="EV319" s="2">
        <v>154.44</v>
      </c>
      <c r="EW319" s="2">
        <v>11.7</v>
      </c>
      <c r="EX319" s="2">
        <v>0</v>
      </c>
      <c r="EY319" s="2">
        <v>0</v>
      </c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>
        <v>0</v>
      </c>
      <c r="FR319" s="2">
        <v>0</v>
      </c>
      <c r="FS319" s="2">
        <v>0</v>
      </c>
      <c r="FT319" s="2"/>
      <c r="FU319" s="2"/>
      <c r="FV319" s="2"/>
      <c r="FW319" s="2"/>
      <c r="FX319" s="2">
        <v>90</v>
      </c>
      <c r="FY319" s="2">
        <v>46</v>
      </c>
      <c r="FZ319" s="2"/>
      <c r="GA319" s="2" t="s">
        <v>3</v>
      </c>
      <c r="GB319" s="2"/>
      <c r="GC319" s="2"/>
      <c r="GD319" s="2">
        <v>1</v>
      </c>
      <c r="GE319" s="2"/>
      <c r="GF319" s="2">
        <v>755325265</v>
      </c>
      <c r="GG319" s="2">
        <v>2</v>
      </c>
      <c r="GH319" s="2">
        <v>1</v>
      </c>
      <c r="GI319" s="2">
        <v>2</v>
      </c>
      <c r="GJ319" s="2">
        <v>0</v>
      </c>
      <c r="GK319" s="2">
        <v>0</v>
      </c>
      <c r="GL319" s="2">
        <f t="shared" si="255"/>
        <v>0</v>
      </c>
      <c r="GM319" s="2">
        <f t="shared" si="256"/>
        <v>957.92</v>
      </c>
      <c r="GN319" s="2">
        <f t="shared" si="257"/>
        <v>0</v>
      </c>
      <c r="GO319" s="2">
        <f t="shared" si="258"/>
        <v>957.92</v>
      </c>
      <c r="GP319" s="2">
        <f t="shared" si="259"/>
        <v>0</v>
      </c>
      <c r="GQ319" s="2"/>
      <c r="GR319" s="2">
        <v>0</v>
      </c>
      <c r="GS319" s="2">
        <v>3</v>
      </c>
      <c r="GT319" s="2">
        <v>0</v>
      </c>
      <c r="GU319" s="2" t="s">
        <v>3</v>
      </c>
      <c r="GV319" s="2">
        <f t="shared" si="260"/>
        <v>0</v>
      </c>
      <c r="GW319" s="2">
        <v>1</v>
      </c>
      <c r="GX319" s="2">
        <f t="shared" si="261"/>
        <v>0</v>
      </c>
      <c r="GY319" s="2"/>
      <c r="GZ319" s="2"/>
      <c r="HA319" s="2">
        <v>0</v>
      </c>
      <c r="HB319" s="2">
        <v>0</v>
      </c>
      <c r="HC319" s="2">
        <f t="shared" si="262"/>
        <v>0</v>
      </c>
      <c r="HD319" s="2"/>
      <c r="HE319" s="2" t="s">
        <v>3</v>
      </c>
      <c r="HF319" s="2" t="s">
        <v>3</v>
      </c>
      <c r="HG319" s="2"/>
      <c r="HH319" s="2"/>
      <c r="HI319" s="2"/>
      <c r="HJ319" s="2"/>
      <c r="HK319" s="2"/>
      <c r="HL319" s="2"/>
      <c r="HM319" s="2" t="s">
        <v>3</v>
      </c>
      <c r="HN319" s="2" t="s">
        <v>3</v>
      </c>
      <c r="HO319" s="2" t="s">
        <v>3</v>
      </c>
      <c r="HP319" s="2" t="s">
        <v>3</v>
      </c>
      <c r="HQ319" s="2" t="s">
        <v>3</v>
      </c>
      <c r="HR319" s="2"/>
      <c r="HS319" s="2">
        <v>0</v>
      </c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>
        <v>0</v>
      </c>
      <c r="IL319" s="2"/>
      <c r="IM319" s="2"/>
      <c r="IN319" s="2"/>
      <c r="IO319" s="2"/>
      <c r="IP319" s="2"/>
      <c r="IQ319" s="2"/>
      <c r="IR319" s="2"/>
      <c r="IS319" s="2"/>
      <c r="IT319" s="2"/>
      <c r="IU319" s="2"/>
    </row>
    <row r="320" spans="1:255" x14ac:dyDescent="0.25">
      <c r="A320" s="3">
        <v>17</v>
      </c>
      <c r="B320" s="3">
        <v>1</v>
      </c>
      <c r="C320" s="3">
        <f>ROW(SmtRes!A186)</f>
        <v>186</v>
      </c>
      <c r="D320" s="3">
        <f>ROW(EtalonRes!A200)</f>
        <v>200</v>
      </c>
      <c r="E320" s="3" t="s">
        <v>3</v>
      </c>
      <c r="F320" s="3" t="s">
        <v>35</v>
      </c>
      <c r="G320" s="3" t="s">
        <v>195</v>
      </c>
      <c r="H320" s="3" t="s">
        <v>26</v>
      </c>
      <c r="I320" s="3">
        <v>2</v>
      </c>
      <c r="J320" s="3">
        <v>0</v>
      </c>
      <c r="K320" s="3">
        <v>2</v>
      </c>
      <c r="O320" s="3">
        <f t="shared" si="240"/>
        <v>22282.99</v>
      </c>
      <c r="P320" s="3">
        <f>ROUND((ROUND((AC320*AW320*I320),2)*BC320),2)</f>
        <v>411.9</v>
      </c>
      <c r="Q320" s="3">
        <f>(ROUND((ROUND((((ET320*1.2))*AV320*I320),2)*BB320),2)+ROUND((ROUND(((AE320-((EU320*1.2)))*AV320*I320),2)*BS320),2))</f>
        <v>2.78</v>
      </c>
      <c r="R320" s="3">
        <f>(ROUND((ROUND((((EU320*1.2))*AV320*I320),2)*BS320),2)+ROUND((ROUND(((AE320-((EU320*1.2)))*AV320*I320),2)*BS320),2))</f>
        <v>1.69</v>
      </c>
      <c r="S320" s="3">
        <f t="shared" si="241"/>
        <v>21868.31</v>
      </c>
      <c r="T320" s="3">
        <f t="shared" si="242"/>
        <v>0</v>
      </c>
      <c r="U320" s="3">
        <f t="shared" si="243"/>
        <v>29.399759999999997</v>
      </c>
      <c r="V320" s="3">
        <f t="shared" si="244"/>
        <v>0</v>
      </c>
      <c r="W320" s="3">
        <f t="shared" si="245"/>
        <v>0</v>
      </c>
      <c r="X320" s="3">
        <f>(ROUND((((S320+ROUND((ROUND((((EU320*1.2))*AV320*I320),2)*BS320),2))*AT320)/100),2)+ROUND(((ROUND((ROUND(((AE320-((EU320*1.2)))*AV320*I320),2)*BS320),2)*AT320)/100),2))</f>
        <v>19683</v>
      </c>
      <c r="Y320" s="3">
        <f>(ROUND((((S320+ROUND((ROUND((((EU320*1.2))*AV320*I320),2)*BS320),2))*AU320)/100),2)+ROUND(((ROUND((ROUND(((AE320-((EU320*1.2)))*AV320*I320),2)*BS320),2)*AU320)/100),2))</f>
        <v>10060.200000000001</v>
      </c>
      <c r="AA320" s="3">
        <v>-1</v>
      </c>
      <c r="AB320" s="3">
        <f t="shared" si="246"/>
        <v>206.33</v>
      </c>
      <c r="AC320" s="3">
        <f>ROUND(((ES320*1)),6)</f>
        <v>20.93</v>
      </c>
      <c r="AD320" s="3">
        <f>ROUND(((((ET320*1.2))-((EU320*1.2)))+AE320),6)</f>
        <v>7.1999999999999995E-2</v>
      </c>
      <c r="AE320" s="3">
        <f>ROUND(((EU320*1.2)),6)</f>
        <v>1.2E-2</v>
      </c>
      <c r="AF320" s="3">
        <f>ROUND(((EV320*1.2)),6)</f>
        <v>185.328</v>
      </c>
      <c r="AG320" s="3">
        <f t="shared" si="247"/>
        <v>0</v>
      </c>
      <c r="AH320" s="3">
        <f>((EW320*1.2))</f>
        <v>14.04</v>
      </c>
      <c r="AI320" s="3">
        <f>((EX320*1.2))</f>
        <v>0</v>
      </c>
      <c r="AJ320" s="3">
        <f t="shared" si="248"/>
        <v>0</v>
      </c>
      <c r="AK320" s="3">
        <v>175.43</v>
      </c>
      <c r="AL320" s="3">
        <v>20.93</v>
      </c>
      <c r="AM320" s="3">
        <v>0.06</v>
      </c>
      <c r="AN320" s="3">
        <v>0.01</v>
      </c>
      <c r="AO320" s="3">
        <v>154.44</v>
      </c>
      <c r="AP320" s="3">
        <v>0</v>
      </c>
      <c r="AQ320" s="3">
        <v>11.7</v>
      </c>
      <c r="AR320" s="3">
        <v>0</v>
      </c>
      <c r="AS320" s="3">
        <v>0</v>
      </c>
      <c r="AT320" s="3">
        <v>90</v>
      </c>
      <c r="AU320" s="3">
        <v>46</v>
      </c>
      <c r="AV320" s="3">
        <v>1.0469999999999999</v>
      </c>
      <c r="AW320" s="3">
        <v>1</v>
      </c>
      <c r="AZ320" s="3">
        <v>1</v>
      </c>
      <c r="BA320" s="3">
        <v>56.35</v>
      </c>
      <c r="BB320" s="3">
        <v>18.5</v>
      </c>
      <c r="BC320" s="3">
        <v>9.84</v>
      </c>
      <c r="BD320" s="3" t="s">
        <v>3</v>
      </c>
      <c r="BE320" s="3" t="s">
        <v>3</v>
      </c>
      <c r="BF320" s="3" t="s">
        <v>3</v>
      </c>
      <c r="BG320" s="3" t="s">
        <v>3</v>
      </c>
      <c r="BH320" s="3">
        <v>0</v>
      </c>
      <c r="BI320" s="3">
        <v>2</v>
      </c>
      <c r="BJ320" s="3" t="s">
        <v>37</v>
      </c>
      <c r="BM320" s="3">
        <v>68</v>
      </c>
      <c r="BN320" s="3">
        <v>0</v>
      </c>
      <c r="BO320" s="3" t="s">
        <v>35</v>
      </c>
      <c r="BP320" s="3">
        <v>1</v>
      </c>
      <c r="BQ320" s="3">
        <v>40</v>
      </c>
      <c r="BR320" s="3">
        <v>0</v>
      </c>
      <c r="BS320" s="3">
        <v>56.35</v>
      </c>
      <c r="BT320" s="3">
        <v>1</v>
      </c>
      <c r="BU320" s="3">
        <v>1</v>
      </c>
      <c r="BV320" s="3">
        <v>1</v>
      </c>
      <c r="BW320" s="3">
        <v>1</v>
      </c>
      <c r="BX320" s="3">
        <v>1</v>
      </c>
      <c r="BY320" s="3" t="s">
        <v>3</v>
      </c>
      <c r="BZ320" s="3">
        <v>90</v>
      </c>
      <c r="CA320" s="3">
        <v>46</v>
      </c>
      <c r="CB320" s="3" t="s">
        <v>3</v>
      </c>
      <c r="CE320" s="3">
        <v>1566</v>
      </c>
      <c r="CF320" s="3">
        <v>0</v>
      </c>
      <c r="CG320" s="3">
        <v>0</v>
      </c>
      <c r="CM320" s="3">
        <v>0</v>
      </c>
      <c r="CN320" s="3" t="s">
        <v>614</v>
      </c>
      <c r="CO320" s="3">
        <v>0</v>
      </c>
      <c r="CP320" s="3">
        <f t="shared" si="249"/>
        <v>22282.99</v>
      </c>
      <c r="CQ320" s="3">
        <f>ROUND((ROUND((AC320*AW320*1),2)*BC320),2)</f>
        <v>205.95</v>
      </c>
      <c r="CR320" s="3">
        <f>(ROUND((ROUND((((ET320*1.2))*AV320*1),2)*BB320),2)+ROUND((ROUND(((AE320-((EU320*1.2)))*AV320*1),2)*BS320),2))</f>
        <v>1.48</v>
      </c>
      <c r="CS320" s="3">
        <f>(ROUND((ROUND((((EU320*1.2))*AV320*1),2)*BS320),2)+ROUND((ROUND(((AE320-((EU320*1.2)))*AV320*1),2)*BS320),2))</f>
        <v>0.56000000000000005</v>
      </c>
      <c r="CT320" s="3">
        <f t="shared" si="250"/>
        <v>10934.15</v>
      </c>
      <c r="CU320" s="3">
        <f t="shared" si="251"/>
        <v>0</v>
      </c>
      <c r="CV320" s="3">
        <f t="shared" si="252"/>
        <v>14.699879999999999</v>
      </c>
      <c r="CW320" s="3">
        <f t="shared" si="253"/>
        <v>0</v>
      </c>
      <c r="CX320" s="3">
        <f t="shared" si="254"/>
        <v>0</v>
      </c>
      <c r="CY320" s="3">
        <f>(ROUND((((S320+ROUND((ROUND((((EU320*1.2))*AV320*1),2)*BS320),2))*AT320)/100),2)+ROUND(((ROUND((ROUND(((AE320-((EU320*1.2)))*AV320*1),2)*BS320),2)*AT320)/100),2))</f>
        <v>19681.98</v>
      </c>
      <c r="CZ320" s="3">
        <f>(ROUND((((S320+ROUND((ROUND((((EU320*1.2))*AV320*1),2)*BS320),2))*AU320)/100),2)+ROUND(((ROUND((ROUND(((AE320-((EU320*1.2)))*AV320*1),2)*BS320),2)*AU320)/100),2))</f>
        <v>10059.68</v>
      </c>
      <c r="DB320" s="3">
        <v>112</v>
      </c>
      <c r="DC320" s="3" t="s">
        <v>3</v>
      </c>
      <c r="DD320" s="3" t="s">
        <v>104</v>
      </c>
      <c r="DE320" s="3" t="s">
        <v>105</v>
      </c>
      <c r="DF320" s="3" t="s">
        <v>105</v>
      </c>
      <c r="DG320" s="3" t="s">
        <v>105</v>
      </c>
      <c r="DH320" s="3" t="s">
        <v>3</v>
      </c>
      <c r="DI320" s="3" t="s">
        <v>105</v>
      </c>
      <c r="DJ320" s="3" t="s">
        <v>105</v>
      </c>
      <c r="DK320" s="3" t="s">
        <v>3</v>
      </c>
      <c r="DL320" s="3" t="s">
        <v>3</v>
      </c>
      <c r="DM320" s="3" t="s">
        <v>3</v>
      </c>
      <c r="DN320" s="3">
        <v>0</v>
      </c>
      <c r="DO320" s="3">
        <v>0</v>
      </c>
      <c r="DP320" s="3">
        <v>1</v>
      </c>
      <c r="DQ320" s="3">
        <v>1</v>
      </c>
      <c r="DU320" s="3">
        <v>1013</v>
      </c>
      <c r="DV320" s="3" t="s">
        <v>26</v>
      </c>
      <c r="DW320" s="3" t="s">
        <v>26</v>
      </c>
      <c r="DX320" s="3">
        <v>1</v>
      </c>
      <c r="DZ320" s="3" t="s">
        <v>3</v>
      </c>
      <c r="EA320" s="3" t="s">
        <v>3</v>
      </c>
      <c r="EB320" s="3" t="s">
        <v>3</v>
      </c>
      <c r="EC320" s="3" t="s">
        <v>3</v>
      </c>
      <c r="EE320" s="3">
        <v>57042958</v>
      </c>
      <c r="EF320" s="3">
        <v>40</v>
      </c>
      <c r="EG320" s="3" t="s">
        <v>30</v>
      </c>
      <c r="EH320" s="3">
        <v>0</v>
      </c>
      <c r="EI320" s="3" t="s">
        <v>3</v>
      </c>
      <c r="EJ320" s="3">
        <v>2</v>
      </c>
      <c r="EK320" s="3">
        <v>68</v>
      </c>
      <c r="EL320" s="3" t="s">
        <v>38</v>
      </c>
      <c r="EM320" s="3" t="s">
        <v>39</v>
      </c>
      <c r="EO320" s="3" t="s">
        <v>109</v>
      </c>
      <c r="EQ320" s="3">
        <v>132096</v>
      </c>
      <c r="ER320" s="3">
        <v>175.43</v>
      </c>
      <c r="ES320" s="3">
        <v>20.93</v>
      </c>
      <c r="ET320" s="3">
        <v>0.06</v>
      </c>
      <c r="EU320" s="3">
        <v>0.01</v>
      </c>
      <c r="EV320" s="3">
        <v>154.44</v>
      </c>
      <c r="EW320" s="3">
        <v>11.7</v>
      </c>
      <c r="EX320" s="3">
        <v>0</v>
      </c>
      <c r="EY320" s="3">
        <v>0</v>
      </c>
      <c r="FQ320" s="3">
        <v>0</v>
      </c>
      <c r="FR320" s="3">
        <v>0</v>
      </c>
      <c r="FS320" s="3">
        <v>0</v>
      </c>
      <c r="FX320" s="3">
        <v>90</v>
      </c>
      <c r="FY320" s="3">
        <v>46</v>
      </c>
      <c r="GA320" s="3" t="s">
        <v>3</v>
      </c>
      <c r="GD320" s="3">
        <v>1</v>
      </c>
      <c r="GF320" s="3">
        <v>755325265</v>
      </c>
      <c r="GG320" s="3">
        <v>2</v>
      </c>
      <c r="GH320" s="3">
        <v>1</v>
      </c>
      <c r="GI320" s="3">
        <v>2</v>
      </c>
      <c r="GJ320" s="3">
        <v>0</v>
      </c>
      <c r="GK320" s="3">
        <v>0</v>
      </c>
      <c r="GL320" s="3">
        <f t="shared" si="255"/>
        <v>0</v>
      </c>
      <c r="GM320" s="3">
        <f t="shared" si="256"/>
        <v>52026.19</v>
      </c>
      <c r="GN320" s="3">
        <f t="shared" si="257"/>
        <v>0</v>
      </c>
      <c r="GO320" s="3">
        <f t="shared" si="258"/>
        <v>52026.19</v>
      </c>
      <c r="GP320" s="3">
        <f t="shared" si="259"/>
        <v>0</v>
      </c>
      <c r="GR320" s="3">
        <v>0</v>
      </c>
      <c r="GS320" s="3">
        <v>3</v>
      </c>
      <c r="GT320" s="3">
        <v>0</v>
      </c>
      <c r="GU320" s="3" t="s">
        <v>3</v>
      </c>
      <c r="GV320" s="3">
        <f t="shared" si="260"/>
        <v>0</v>
      </c>
      <c r="GW320" s="3">
        <v>1</v>
      </c>
      <c r="GX320" s="3">
        <f t="shared" si="261"/>
        <v>0</v>
      </c>
      <c r="HA320" s="3">
        <v>0</v>
      </c>
      <c r="HB320" s="3">
        <v>0</v>
      </c>
      <c r="HC320" s="3">
        <f t="shared" si="262"/>
        <v>0</v>
      </c>
      <c r="HE320" s="3" t="s">
        <v>3</v>
      </c>
      <c r="HF320" s="3" t="s">
        <v>3</v>
      </c>
      <c r="HM320" s="3" t="s">
        <v>3</v>
      </c>
      <c r="HN320" s="3" t="s">
        <v>3</v>
      </c>
      <c r="HO320" s="3" t="s">
        <v>3</v>
      </c>
      <c r="HP320" s="3" t="s">
        <v>3</v>
      </c>
      <c r="HQ320" s="3" t="s">
        <v>3</v>
      </c>
      <c r="HS320" s="3">
        <v>0</v>
      </c>
      <c r="IK320" s="3">
        <v>0</v>
      </c>
    </row>
    <row r="321" spans="1:255" x14ac:dyDescent="0.25">
      <c r="A321" s="2">
        <v>18</v>
      </c>
      <c r="B321" s="2">
        <v>1</v>
      </c>
      <c r="C321" s="2">
        <v>184</v>
      </c>
      <c r="D321" s="2"/>
      <c r="E321" s="2" t="s">
        <v>3</v>
      </c>
      <c r="F321" s="2" t="s">
        <v>196</v>
      </c>
      <c r="G321" s="2" t="s">
        <v>190</v>
      </c>
      <c r="H321" s="2" t="s">
        <v>177</v>
      </c>
      <c r="I321" s="2">
        <f>I319*J321</f>
        <v>2</v>
      </c>
      <c r="J321" s="2">
        <v>1</v>
      </c>
      <c r="K321" s="2">
        <v>1</v>
      </c>
      <c r="L321" s="2"/>
      <c r="M321" s="2"/>
      <c r="N321" s="2"/>
      <c r="O321" s="2">
        <f t="shared" si="240"/>
        <v>9702.16</v>
      </c>
      <c r="P321" s="2">
        <f>ROUND((ROUND((AC321*I321),2)*BC321),2)</f>
        <v>9702.16</v>
      </c>
      <c r="Q321" s="2">
        <f>(ROUND((ROUND(((ET321)*AV321*I321),2)*BB321),2)+ROUND((ROUND(((AE321-(EU321))*AV321*I321),2)*BS321),2))</f>
        <v>0</v>
      </c>
      <c r="R321" s="2">
        <f>(ROUND((ROUND(((EU321)*AV321*I321),2)*BS321),2)+ROUND((ROUND(((AE321-(EU321))*AV321*I321),2)*BS321),2))</f>
        <v>0</v>
      </c>
      <c r="S321" s="2">
        <f t="shared" si="241"/>
        <v>0</v>
      </c>
      <c r="T321" s="2">
        <f t="shared" si="242"/>
        <v>0</v>
      </c>
      <c r="U321" s="2">
        <f t="shared" si="243"/>
        <v>0</v>
      </c>
      <c r="V321" s="2">
        <f t="shared" si="244"/>
        <v>0</v>
      </c>
      <c r="W321" s="2">
        <f t="shared" si="245"/>
        <v>0</v>
      </c>
      <c r="X321" s="2">
        <f>(ROUND((((S321+ROUND((ROUND(((EU321)*AV321*I321),2)*BS321),2))*AT321)/100),2)+ROUND(((ROUND((ROUND(((AE321-(EU321))*AV321*I321),2)*BS321),2)*AT321)/100),2))</f>
        <v>0</v>
      </c>
      <c r="Y321" s="2">
        <f>(ROUND((((S321+ROUND((ROUND(((EU321)*AV321*I321),2)*BS321),2))*AU321)/100),2)+ROUND(((ROUND((ROUND(((AE321-(EU321))*AV321*I321),2)*BS321),2)*AU321)/100),2))</f>
        <v>0</v>
      </c>
      <c r="Z321" s="2"/>
      <c r="AA321" s="2">
        <v>-1</v>
      </c>
      <c r="AB321" s="2">
        <f t="shared" si="246"/>
        <v>4851.08</v>
      </c>
      <c r="AC321" s="2">
        <f>ROUND((ES321),6)</f>
        <v>4851.08</v>
      </c>
      <c r="AD321" s="2">
        <f>ROUND((((ET321)-(EU321))+AE321),6)</f>
        <v>0</v>
      </c>
      <c r="AE321" s="2">
        <f>ROUND((EU321),6)</f>
        <v>0</v>
      </c>
      <c r="AF321" s="2">
        <f>ROUND((EV321),6)</f>
        <v>0</v>
      </c>
      <c r="AG321" s="2">
        <f t="shared" si="247"/>
        <v>0</v>
      </c>
      <c r="AH321" s="2">
        <f>(EW321)</f>
        <v>0</v>
      </c>
      <c r="AI321" s="2">
        <f>(EX321)</f>
        <v>0</v>
      </c>
      <c r="AJ321" s="2">
        <f t="shared" si="248"/>
        <v>0</v>
      </c>
      <c r="AK321" s="2">
        <v>4851.08</v>
      </c>
      <c r="AL321" s="2">
        <v>4851.08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1</v>
      </c>
      <c r="AW321" s="2">
        <v>1</v>
      </c>
      <c r="AX321" s="2"/>
      <c r="AY321" s="2"/>
      <c r="AZ321" s="2">
        <v>1</v>
      </c>
      <c r="BA321" s="2">
        <v>1</v>
      </c>
      <c r="BB321" s="2">
        <v>1</v>
      </c>
      <c r="BC321" s="2">
        <v>1</v>
      </c>
      <c r="BD321" s="2" t="s">
        <v>3</v>
      </c>
      <c r="BE321" s="2" t="s">
        <v>3</v>
      </c>
      <c r="BF321" s="2" t="s">
        <v>3</v>
      </c>
      <c r="BG321" s="2" t="s">
        <v>3</v>
      </c>
      <c r="BH321" s="2">
        <v>3</v>
      </c>
      <c r="BI321" s="2">
        <v>3</v>
      </c>
      <c r="BJ321" s="2" t="s">
        <v>3</v>
      </c>
      <c r="BK321" s="2"/>
      <c r="BL321" s="2"/>
      <c r="BM321" s="2">
        <v>746</v>
      </c>
      <c r="BN321" s="2">
        <v>0</v>
      </c>
      <c r="BO321" s="2" t="s">
        <v>3</v>
      </c>
      <c r="BP321" s="2">
        <v>0</v>
      </c>
      <c r="BQ321" s="2">
        <v>130</v>
      </c>
      <c r="BR321" s="2">
        <v>0</v>
      </c>
      <c r="BS321" s="2">
        <v>1</v>
      </c>
      <c r="BT321" s="2">
        <v>1</v>
      </c>
      <c r="BU321" s="2">
        <v>1</v>
      </c>
      <c r="BV321" s="2">
        <v>1</v>
      </c>
      <c r="BW321" s="2">
        <v>1</v>
      </c>
      <c r="BX321" s="2">
        <v>1</v>
      </c>
      <c r="BY321" s="2" t="s">
        <v>3</v>
      </c>
      <c r="BZ321" s="2">
        <v>90</v>
      </c>
      <c r="CA321" s="2">
        <v>46</v>
      </c>
      <c r="CB321" s="2" t="s">
        <v>3</v>
      </c>
      <c r="CC321" s="2"/>
      <c r="CD321" s="2"/>
      <c r="CE321" s="2">
        <v>1566</v>
      </c>
      <c r="CF321" s="2">
        <v>0</v>
      </c>
      <c r="CG321" s="2">
        <v>0</v>
      </c>
      <c r="CH321" s="2"/>
      <c r="CI321" s="2"/>
      <c r="CJ321" s="2"/>
      <c r="CK321" s="2"/>
      <c r="CL321" s="2"/>
      <c r="CM321" s="2">
        <v>0</v>
      </c>
      <c r="CN321" s="2" t="s">
        <v>615</v>
      </c>
      <c r="CO321" s="2">
        <v>0</v>
      </c>
      <c r="CP321" s="2">
        <f t="shared" si="249"/>
        <v>9702.16</v>
      </c>
      <c r="CQ321" s="2">
        <f>ROUND((ROUND((AC321*1),2)*BC321),2)</f>
        <v>4851.08</v>
      </c>
      <c r="CR321" s="2">
        <f>(ROUND((ROUND(((ET321)*AV321*1),2)*BB321),2)+ROUND((ROUND(((AE321-(EU321))*AV321*1),2)*BS321),2))</f>
        <v>0</v>
      </c>
      <c r="CS321" s="2">
        <f>(ROUND((ROUND(((EU321)*AV321*1),2)*BS321),2)+ROUND((ROUND(((AE321-(EU321))*AV321*1),2)*BS321),2))</f>
        <v>0</v>
      </c>
      <c r="CT321" s="2">
        <f t="shared" si="250"/>
        <v>0</v>
      </c>
      <c r="CU321" s="2">
        <f t="shared" si="251"/>
        <v>0</v>
      </c>
      <c r="CV321" s="2">
        <f t="shared" si="252"/>
        <v>0</v>
      </c>
      <c r="CW321" s="2">
        <f t="shared" si="253"/>
        <v>0</v>
      </c>
      <c r="CX321" s="2">
        <f t="shared" si="254"/>
        <v>0</v>
      </c>
      <c r="CY321" s="2">
        <f>(ROUND((((S321+ROUND((ROUND(((EU321)*AV321*1),2)*BS321),2))*AT321)/100),2)+ROUND(((ROUND((ROUND(((AE321-(EU321))*AV321*1),2)*BS321),2)*AT321)/100),2))</f>
        <v>0</v>
      </c>
      <c r="CZ321" s="2">
        <f>(ROUND((((S321+ROUND((ROUND(((EU321)*AV321*1),2)*BS321),2))*AU321)/100),2)+ROUND(((ROUND((ROUND(((AE321-(EU321))*AV321*1),2)*BS321),2)*AU321)/100),2))</f>
        <v>0</v>
      </c>
      <c r="DA321" s="2"/>
      <c r="DB321" s="2"/>
      <c r="DC321" s="2" t="s">
        <v>3</v>
      </c>
      <c r="DD321" s="2" t="s">
        <v>3</v>
      </c>
      <c r="DE321" s="2" t="s">
        <v>3</v>
      </c>
      <c r="DF321" s="2" t="s">
        <v>3</v>
      </c>
      <c r="DG321" s="2" t="s">
        <v>3</v>
      </c>
      <c r="DH321" s="2" t="s">
        <v>3</v>
      </c>
      <c r="DI321" s="2" t="s">
        <v>3</v>
      </c>
      <c r="DJ321" s="2" t="s">
        <v>3</v>
      </c>
      <c r="DK321" s="2" t="s">
        <v>3</v>
      </c>
      <c r="DL321" s="2" t="s">
        <v>3</v>
      </c>
      <c r="DM321" s="2" t="s">
        <v>3</v>
      </c>
      <c r="DN321" s="2">
        <v>0</v>
      </c>
      <c r="DO321" s="2">
        <v>0</v>
      </c>
      <c r="DP321" s="2">
        <v>1</v>
      </c>
      <c r="DQ321" s="2">
        <v>1</v>
      </c>
      <c r="DR321" s="2"/>
      <c r="DS321" s="2"/>
      <c r="DT321" s="2"/>
      <c r="DU321" s="2">
        <v>1010</v>
      </c>
      <c r="DV321" s="2" t="s">
        <v>177</v>
      </c>
      <c r="DW321" s="2" t="s">
        <v>177</v>
      </c>
      <c r="DX321" s="2">
        <v>1</v>
      </c>
      <c r="DY321" s="2"/>
      <c r="DZ321" s="2" t="s">
        <v>3</v>
      </c>
      <c r="EA321" s="2" t="s">
        <v>3</v>
      </c>
      <c r="EB321" s="2" t="s">
        <v>3</v>
      </c>
      <c r="EC321" s="2" t="s">
        <v>3</v>
      </c>
      <c r="ED321" s="2"/>
      <c r="EE321" s="2">
        <v>57043064</v>
      </c>
      <c r="EF321" s="2">
        <v>130</v>
      </c>
      <c r="EG321" s="2" t="s">
        <v>178</v>
      </c>
      <c r="EH321" s="2">
        <v>0</v>
      </c>
      <c r="EI321" s="2" t="s">
        <v>3</v>
      </c>
      <c r="EJ321" s="2">
        <v>3</v>
      </c>
      <c r="EK321" s="2">
        <v>746</v>
      </c>
      <c r="EL321" s="2" t="s">
        <v>179</v>
      </c>
      <c r="EM321" s="2" t="s">
        <v>180</v>
      </c>
      <c r="EN321" s="2"/>
      <c r="EO321" s="2" t="s">
        <v>109</v>
      </c>
      <c r="EP321" s="2"/>
      <c r="EQ321" s="2">
        <v>2098176</v>
      </c>
      <c r="ER321" s="2">
        <v>0</v>
      </c>
      <c r="ES321" s="2">
        <v>4851.08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>
        <v>0</v>
      </c>
      <c r="FR321" s="2">
        <f>P321</f>
        <v>9702.16</v>
      </c>
      <c r="FS321" s="2">
        <v>0</v>
      </c>
      <c r="FT321" s="2"/>
      <c r="FU321" s="2"/>
      <c r="FV321" s="2"/>
      <c r="FW321" s="2"/>
      <c r="FX321" s="2">
        <v>90</v>
      </c>
      <c r="FY321" s="2">
        <v>46</v>
      </c>
      <c r="FZ321" s="2"/>
      <c r="GA321" s="2" t="s">
        <v>194</v>
      </c>
      <c r="GB321" s="2"/>
      <c r="GC321" s="2"/>
      <c r="GD321" s="2">
        <v>1</v>
      </c>
      <c r="GE321" s="2"/>
      <c r="GF321" s="2">
        <v>1774655885</v>
      </c>
      <c r="GG321" s="2">
        <v>2</v>
      </c>
      <c r="GH321" s="2">
        <v>4</v>
      </c>
      <c r="GI321" s="2">
        <v>-2</v>
      </c>
      <c r="GJ321" s="2">
        <v>0</v>
      </c>
      <c r="GK321" s="2">
        <v>0</v>
      </c>
      <c r="GL321" s="2">
        <f t="shared" si="255"/>
        <v>0</v>
      </c>
      <c r="GM321" s="2">
        <f t="shared" si="256"/>
        <v>9702.16</v>
      </c>
      <c r="GN321" s="2">
        <f t="shared" si="257"/>
        <v>0</v>
      </c>
      <c r="GO321" s="2">
        <f t="shared" si="258"/>
        <v>0</v>
      </c>
      <c r="GP321" s="2">
        <f t="shared" si="259"/>
        <v>0</v>
      </c>
      <c r="GQ321" s="2"/>
      <c r="GR321" s="2">
        <v>0</v>
      </c>
      <c r="GS321" s="2">
        <v>2</v>
      </c>
      <c r="GT321" s="2">
        <v>0</v>
      </c>
      <c r="GU321" s="2" t="s">
        <v>3</v>
      </c>
      <c r="GV321" s="2">
        <f t="shared" si="260"/>
        <v>0</v>
      </c>
      <c r="GW321" s="2">
        <v>1</v>
      </c>
      <c r="GX321" s="2">
        <f t="shared" si="261"/>
        <v>0</v>
      </c>
      <c r="GY321" s="2"/>
      <c r="GZ321" s="2"/>
      <c r="HA321" s="2">
        <v>0</v>
      </c>
      <c r="HB321" s="2">
        <v>0</v>
      </c>
      <c r="HC321" s="2">
        <f t="shared" si="262"/>
        <v>0</v>
      </c>
      <c r="HD321" s="2"/>
      <c r="HE321" s="2" t="s">
        <v>40</v>
      </c>
      <c r="HF321" s="2" t="s">
        <v>182</v>
      </c>
      <c r="HG321" s="2"/>
      <c r="HH321" s="2"/>
      <c r="HI321" s="2"/>
      <c r="HJ321" s="2"/>
      <c r="HK321" s="2"/>
      <c r="HL321" s="2"/>
      <c r="HM321" s="2" t="s">
        <v>104</v>
      </c>
      <c r="HN321" s="2" t="s">
        <v>3</v>
      </c>
      <c r="HO321" s="2" t="s">
        <v>3</v>
      </c>
      <c r="HP321" s="2" t="s">
        <v>3</v>
      </c>
      <c r="HQ321" s="2" t="s">
        <v>3</v>
      </c>
      <c r="HR321" s="2"/>
      <c r="HS321" s="2">
        <v>0</v>
      </c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>
        <v>0</v>
      </c>
      <c r="IL321" s="2"/>
      <c r="IM321" s="2"/>
      <c r="IN321" s="2"/>
      <c r="IO321" s="2"/>
      <c r="IP321" s="2"/>
      <c r="IQ321" s="2"/>
      <c r="IR321" s="2"/>
      <c r="IS321" s="2"/>
      <c r="IT321" s="2"/>
      <c r="IU321" s="2"/>
    </row>
    <row r="322" spans="1:255" x14ac:dyDescent="0.25">
      <c r="A322" s="3">
        <v>18</v>
      </c>
      <c r="B322" s="3">
        <v>1</v>
      </c>
      <c r="C322" s="3">
        <v>186</v>
      </c>
      <c r="E322" s="3" t="s">
        <v>3</v>
      </c>
      <c r="F322" s="3" t="s">
        <v>196</v>
      </c>
      <c r="G322" s="3" t="s">
        <v>190</v>
      </c>
      <c r="H322" s="3" t="s">
        <v>177</v>
      </c>
      <c r="I322" s="3">
        <f>I320*J322</f>
        <v>2</v>
      </c>
      <c r="J322" s="3">
        <v>1</v>
      </c>
      <c r="K322" s="3">
        <v>1</v>
      </c>
      <c r="O322" s="3">
        <f t="shared" si="240"/>
        <v>73445.350000000006</v>
      </c>
      <c r="P322" s="3">
        <f>ROUND((ROUND((AC322*I322),2)*BC322),2)</f>
        <v>73445.350000000006</v>
      </c>
      <c r="Q322" s="3">
        <f>(ROUND((ROUND(((ET322)*AV322*I322),2)*BB322),2)+ROUND((ROUND(((AE322-(EU322))*AV322*I322),2)*BS322),2))</f>
        <v>0</v>
      </c>
      <c r="R322" s="3">
        <f>(ROUND((ROUND(((EU322)*AV322*I322),2)*BS322),2)+ROUND((ROUND(((AE322-(EU322))*AV322*I322),2)*BS322),2))</f>
        <v>0</v>
      </c>
      <c r="S322" s="3">
        <f t="shared" si="241"/>
        <v>0</v>
      </c>
      <c r="T322" s="3">
        <f t="shared" si="242"/>
        <v>0</v>
      </c>
      <c r="U322" s="3">
        <f t="shared" si="243"/>
        <v>0</v>
      </c>
      <c r="V322" s="3">
        <f t="shared" si="244"/>
        <v>0</v>
      </c>
      <c r="W322" s="3">
        <f t="shared" si="245"/>
        <v>0</v>
      </c>
      <c r="X322" s="3">
        <f>(ROUND((((S322+ROUND((ROUND(((EU322)*AV322*I322),2)*BS322),2))*AT322)/100),2)+ROUND(((ROUND((ROUND(((AE322-(EU322))*AV322*I322),2)*BS322),2)*AT322)/100),2))</f>
        <v>0</v>
      </c>
      <c r="Y322" s="3">
        <f>(ROUND((((S322+ROUND((ROUND(((EU322)*AV322*I322),2)*BS322),2))*AU322)/100),2)+ROUND(((ROUND((ROUND(((AE322-(EU322))*AV322*I322),2)*BS322),2)*AU322)/100),2))</f>
        <v>0</v>
      </c>
      <c r="AA322" s="3">
        <v>-1</v>
      </c>
      <c r="AB322" s="3">
        <f t="shared" si="246"/>
        <v>4851.08</v>
      </c>
      <c r="AC322" s="3">
        <f>ROUND((ES322),6)</f>
        <v>4851.08</v>
      </c>
      <c r="AD322" s="3">
        <f>ROUND((((ET322)-(EU322))+AE322),6)</f>
        <v>0</v>
      </c>
      <c r="AE322" s="3">
        <f>ROUND((EU322),6)</f>
        <v>0</v>
      </c>
      <c r="AF322" s="3">
        <f>ROUND((EV322),6)</f>
        <v>0</v>
      </c>
      <c r="AG322" s="3">
        <f t="shared" si="247"/>
        <v>0</v>
      </c>
      <c r="AH322" s="3">
        <f>(EW322)</f>
        <v>0</v>
      </c>
      <c r="AI322" s="3">
        <f>(EX322)</f>
        <v>0</v>
      </c>
      <c r="AJ322" s="3">
        <f t="shared" si="248"/>
        <v>0</v>
      </c>
      <c r="AK322" s="3">
        <v>4851.08</v>
      </c>
      <c r="AL322" s="3">
        <v>4851.08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1</v>
      </c>
      <c r="AW322" s="3">
        <v>1</v>
      </c>
      <c r="AZ322" s="3">
        <v>1</v>
      </c>
      <c r="BA322" s="3">
        <v>1</v>
      </c>
      <c r="BB322" s="3">
        <v>1</v>
      </c>
      <c r="BC322" s="3">
        <v>7.57</v>
      </c>
      <c r="BD322" s="3" t="s">
        <v>3</v>
      </c>
      <c r="BE322" s="3" t="s">
        <v>3</v>
      </c>
      <c r="BF322" s="3" t="s">
        <v>3</v>
      </c>
      <c r="BG322" s="3" t="s">
        <v>3</v>
      </c>
      <c r="BH322" s="3">
        <v>3</v>
      </c>
      <c r="BI322" s="3">
        <v>3</v>
      </c>
      <c r="BJ322" s="3" t="s">
        <v>3</v>
      </c>
      <c r="BM322" s="3">
        <v>746</v>
      </c>
      <c r="BN322" s="3">
        <v>0</v>
      </c>
      <c r="BO322" s="3" t="s">
        <v>3</v>
      </c>
      <c r="BP322" s="3">
        <v>0</v>
      </c>
      <c r="BQ322" s="3">
        <v>130</v>
      </c>
      <c r="BR322" s="3">
        <v>0</v>
      </c>
      <c r="BS322" s="3">
        <v>1</v>
      </c>
      <c r="BT322" s="3">
        <v>1</v>
      </c>
      <c r="BU322" s="3">
        <v>1</v>
      </c>
      <c r="BV322" s="3">
        <v>1</v>
      </c>
      <c r="BW322" s="3">
        <v>1</v>
      </c>
      <c r="BX322" s="3">
        <v>1</v>
      </c>
      <c r="BY322" s="3" t="s">
        <v>3</v>
      </c>
      <c r="BZ322" s="3">
        <v>90</v>
      </c>
      <c r="CA322" s="3">
        <v>46</v>
      </c>
      <c r="CB322" s="3" t="s">
        <v>3</v>
      </c>
      <c r="CE322" s="3">
        <v>1566</v>
      </c>
      <c r="CF322" s="3">
        <v>0</v>
      </c>
      <c r="CG322" s="3">
        <v>0</v>
      </c>
      <c r="CM322" s="3">
        <v>0</v>
      </c>
      <c r="CN322" s="3" t="s">
        <v>615</v>
      </c>
      <c r="CO322" s="3">
        <v>0</v>
      </c>
      <c r="CP322" s="3">
        <f t="shared" si="249"/>
        <v>73445.350000000006</v>
      </c>
      <c r="CQ322" s="3">
        <f>ROUND((ROUND((AC322*1),2)*BC322),2)</f>
        <v>36722.68</v>
      </c>
      <c r="CR322" s="3">
        <f>(ROUND((ROUND(((ET322)*AV322*1),2)*BB322),2)+ROUND((ROUND(((AE322-(EU322))*AV322*1),2)*BS322),2))</f>
        <v>0</v>
      </c>
      <c r="CS322" s="3">
        <f>(ROUND((ROUND(((EU322)*AV322*1),2)*BS322),2)+ROUND((ROUND(((AE322-(EU322))*AV322*1),2)*BS322),2))</f>
        <v>0</v>
      </c>
      <c r="CT322" s="3">
        <f t="shared" si="250"/>
        <v>0</v>
      </c>
      <c r="CU322" s="3">
        <f t="shared" si="251"/>
        <v>0</v>
      </c>
      <c r="CV322" s="3">
        <f t="shared" si="252"/>
        <v>0</v>
      </c>
      <c r="CW322" s="3">
        <f t="shared" si="253"/>
        <v>0</v>
      </c>
      <c r="CX322" s="3">
        <f t="shared" si="254"/>
        <v>0</v>
      </c>
      <c r="CY322" s="3">
        <f>(ROUND((((S322+ROUND((ROUND(((EU322)*AV322*1),2)*BS322),2))*AT322)/100),2)+ROUND(((ROUND((ROUND(((AE322-(EU322))*AV322*1),2)*BS322),2)*AT322)/100),2))</f>
        <v>0</v>
      </c>
      <c r="CZ322" s="3">
        <f>(ROUND((((S322+ROUND((ROUND(((EU322)*AV322*1),2)*BS322),2))*AU322)/100),2)+ROUND(((ROUND((ROUND(((AE322-(EU322))*AV322*1),2)*BS322),2)*AU322)/100),2))</f>
        <v>0</v>
      </c>
      <c r="DC322" s="3" t="s">
        <v>3</v>
      </c>
      <c r="DD322" s="3" t="s">
        <v>3</v>
      </c>
      <c r="DE322" s="3" t="s">
        <v>3</v>
      </c>
      <c r="DF322" s="3" t="s">
        <v>3</v>
      </c>
      <c r="DG322" s="3" t="s">
        <v>3</v>
      </c>
      <c r="DH322" s="3" t="s">
        <v>3</v>
      </c>
      <c r="DI322" s="3" t="s">
        <v>3</v>
      </c>
      <c r="DJ322" s="3" t="s">
        <v>3</v>
      </c>
      <c r="DK322" s="3" t="s">
        <v>3</v>
      </c>
      <c r="DL322" s="3" t="s">
        <v>3</v>
      </c>
      <c r="DM322" s="3" t="s">
        <v>3</v>
      </c>
      <c r="DN322" s="3">
        <v>0</v>
      </c>
      <c r="DO322" s="3">
        <v>0</v>
      </c>
      <c r="DP322" s="3">
        <v>1</v>
      </c>
      <c r="DQ322" s="3">
        <v>1</v>
      </c>
      <c r="DU322" s="3">
        <v>1010</v>
      </c>
      <c r="DV322" s="3" t="s">
        <v>177</v>
      </c>
      <c r="DW322" s="3" t="s">
        <v>177</v>
      </c>
      <c r="DX322" s="3">
        <v>1</v>
      </c>
      <c r="DZ322" s="3" t="s">
        <v>3</v>
      </c>
      <c r="EA322" s="3" t="s">
        <v>3</v>
      </c>
      <c r="EB322" s="3" t="s">
        <v>3</v>
      </c>
      <c r="EC322" s="3" t="s">
        <v>3</v>
      </c>
      <c r="EE322" s="3">
        <v>57043064</v>
      </c>
      <c r="EF322" s="3">
        <v>130</v>
      </c>
      <c r="EG322" s="3" t="s">
        <v>178</v>
      </c>
      <c r="EH322" s="3">
        <v>0</v>
      </c>
      <c r="EI322" s="3" t="s">
        <v>3</v>
      </c>
      <c r="EJ322" s="3">
        <v>3</v>
      </c>
      <c r="EK322" s="3">
        <v>746</v>
      </c>
      <c r="EL322" s="3" t="s">
        <v>179</v>
      </c>
      <c r="EM322" s="3" t="s">
        <v>180</v>
      </c>
      <c r="EO322" s="3" t="s">
        <v>109</v>
      </c>
      <c r="EQ322" s="3">
        <v>2098176</v>
      </c>
      <c r="ER322" s="3">
        <v>4851.08</v>
      </c>
      <c r="ES322" s="3">
        <v>4851.08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EZ322" s="3">
        <v>5</v>
      </c>
      <c r="FC322" s="3">
        <v>1</v>
      </c>
      <c r="FD322" s="3">
        <v>18</v>
      </c>
      <c r="FF322" s="3">
        <v>42981</v>
      </c>
      <c r="FQ322" s="3">
        <v>0</v>
      </c>
      <c r="FR322" s="3">
        <f>P322</f>
        <v>73445.350000000006</v>
      </c>
      <c r="FS322" s="3">
        <v>0</v>
      </c>
      <c r="FX322" s="3">
        <v>90</v>
      </c>
      <c r="FY322" s="3">
        <v>46</v>
      </c>
      <c r="GA322" s="3" t="s">
        <v>194</v>
      </c>
      <c r="GD322" s="3">
        <v>1</v>
      </c>
      <c r="GF322" s="3">
        <v>1774655885</v>
      </c>
      <c r="GG322" s="3">
        <v>2</v>
      </c>
      <c r="GH322" s="3">
        <v>3</v>
      </c>
      <c r="GI322" s="3">
        <v>5</v>
      </c>
      <c r="GJ322" s="3">
        <v>0</v>
      </c>
      <c r="GK322" s="3">
        <v>0</v>
      </c>
      <c r="GL322" s="3">
        <f t="shared" si="255"/>
        <v>0</v>
      </c>
      <c r="GM322" s="3">
        <f t="shared" si="256"/>
        <v>73445.350000000006</v>
      </c>
      <c r="GN322" s="3">
        <f t="shared" si="257"/>
        <v>0</v>
      </c>
      <c r="GO322" s="3">
        <f t="shared" si="258"/>
        <v>0</v>
      </c>
      <c r="GP322" s="3">
        <f t="shared" si="259"/>
        <v>0</v>
      </c>
      <c r="GR322" s="3">
        <v>1</v>
      </c>
      <c r="GS322" s="3">
        <v>1</v>
      </c>
      <c r="GT322" s="3">
        <v>0</v>
      </c>
      <c r="GU322" s="3" t="s">
        <v>3</v>
      </c>
      <c r="GV322" s="3">
        <f t="shared" si="260"/>
        <v>0</v>
      </c>
      <c r="GW322" s="3">
        <v>1</v>
      </c>
      <c r="GX322" s="3">
        <f t="shared" si="261"/>
        <v>0</v>
      </c>
      <c r="HA322" s="3">
        <v>0</v>
      </c>
      <c r="HB322" s="3">
        <v>0</v>
      </c>
      <c r="HC322" s="3">
        <f t="shared" si="262"/>
        <v>0</v>
      </c>
      <c r="HE322" s="3" t="s">
        <v>40</v>
      </c>
      <c r="HF322" s="3" t="s">
        <v>182</v>
      </c>
      <c r="HM322" s="3" t="s">
        <v>104</v>
      </c>
      <c r="HN322" s="3" t="s">
        <v>3</v>
      </c>
      <c r="HO322" s="3" t="s">
        <v>3</v>
      </c>
      <c r="HP322" s="3" t="s">
        <v>3</v>
      </c>
      <c r="HQ322" s="3" t="s">
        <v>3</v>
      </c>
      <c r="HS322" s="3">
        <v>0</v>
      </c>
      <c r="IK322" s="3">
        <v>0</v>
      </c>
    </row>
    <row r="323" spans="1:255" x14ac:dyDescent="0.25">
      <c r="A323" s="2">
        <v>17</v>
      </c>
      <c r="B323" s="2">
        <v>1</v>
      </c>
      <c r="C323" s="2">
        <f>ROW(SmtRes!A189)</f>
        <v>189</v>
      </c>
      <c r="D323" s="2">
        <f>ROW(EtalonRes!A201)</f>
        <v>201</v>
      </c>
      <c r="E323" s="2" t="s">
        <v>280</v>
      </c>
      <c r="F323" s="2" t="s">
        <v>63</v>
      </c>
      <c r="G323" s="2" t="s">
        <v>246</v>
      </c>
      <c r="H323" s="2" t="s">
        <v>26</v>
      </c>
      <c r="I323" s="2">
        <f>ROUND(1+1,9)</f>
        <v>2</v>
      </c>
      <c r="J323" s="2">
        <v>0</v>
      </c>
      <c r="K323" s="2">
        <f>ROUND(1+1,9)</f>
        <v>2</v>
      </c>
      <c r="L323" s="2"/>
      <c r="M323" s="2"/>
      <c r="N323" s="2"/>
      <c r="O323" s="2">
        <f t="shared" si="240"/>
        <v>44.43</v>
      </c>
      <c r="P323" s="2">
        <f>ROUND((ROUND((AC323*AW323*I323),2)*BC323),2)</f>
        <v>3.92</v>
      </c>
      <c r="Q323" s="2">
        <f>(ROUND((ROUND((((ET323*1.2))*AV323*I323),2)*BB323),2)+ROUND((ROUND(((AE323-((EU323*1.2)))*AV323*I323),2)*BS323),2))</f>
        <v>0.13</v>
      </c>
      <c r="R323" s="2">
        <f>(ROUND((ROUND((((EU323*1.2))*AV323*I323),2)*BS323),2)+ROUND((ROUND(((AE323-((EU323*1.2)))*AV323*I323),2)*BS323),2))</f>
        <v>0.03</v>
      </c>
      <c r="S323" s="2">
        <f t="shared" si="241"/>
        <v>40.380000000000003</v>
      </c>
      <c r="T323" s="2">
        <f t="shared" si="242"/>
        <v>0</v>
      </c>
      <c r="U323" s="2">
        <f t="shared" si="243"/>
        <v>3.0153599999999998</v>
      </c>
      <c r="V323" s="2">
        <f t="shared" si="244"/>
        <v>0</v>
      </c>
      <c r="W323" s="2">
        <f t="shared" si="245"/>
        <v>0</v>
      </c>
      <c r="X323" s="2">
        <f>(ROUND((((S323+ROUND((ROUND((((EU323*1.2))*AV323*I323),2)*BS323),2))*AT323)/100),2)+ROUND(((ROUND((ROUND(((AE323-((EU323*1.2)))*AV323*I323),2)*BS323),2)*AT323)/100),2))</f>
        <v>36.369999999999997</v>
      </c>
      <c r="Y323" s="2">
        <f>(ROUND((((S323+ROUND((ROUND((((EU323*1.2))*AV323*I323),2)*BS323),2))*AU323)/100),2)+ROUND(((ROUND((ROUND(((AE323-((EU323*1.2)))*AV323*I323),2)*BS323),2)*AU323)/100),2))</f>
        <v>18.59</v>
      </c>
      <c r="Z323" s="2"/>
      <c r="AA323" s="2">
        <v>57034452</v>
      </c>
      <c r="AB323" s="2">
        <f t="shared" si="246"/>
        <v>21.303999999999998</v>
      </c>
      <c r="AC323" s="2">
        <f>ROUND(((ES323*1)),6)</f>
        <v>1.96</v>
      </c>
      <c r="AD323" s="2">
        <f>ROUND(((((ET323*1.2))-((EU323*1.2)))+AE323),6)</f>
        <v>0.06</v>
      </c>
      <c r="AE323" s="2">
        <f>ROUND(((EU323*1.2)),6)</f>
        <v>1.2E-2</v>
      </c>
      <c r="AF323" s="2">
        <f>ROUND(((EV323*1.2)),6)</f>
        <v>19.283999999999999</v>
      </c>
      <c r="AG323" s="2">
        <f t="shared" si="247"/>
        <v>0</v>
      </c>
      <c r="AH323" s="2">
        <f>((EW323*1.2))</f>
        <v>1.44</v>
      </c>
      <c r="AI323" s="2">
        <f>((EX323*1.2))</f>
        <v>0</v>
      </c>
      <c r="AJ323" s="2">
        <f t="shared" si="248"/>
        <v>0</v>
      </c>
      <c r="AK323" s="2">
        <v>18.079999999999998</v>
      </c>
      <c r="AL323" s="2">
        <v>1.96</v>
      </c>
      <c r="AM323" s="2">
        <v>0.05</v>
      </c>
      <c r="AN323" s="2">
        <v>0.01</v>
      </c>
      <c r="AO323" s="2">
        <v>16.07</v>
      </c>
      <c r="AP323" s="2">
        <v>0</v>
      </c>
      <c r="AQ323" s="2">
        <v>1.2</v>
      </c>
      <c r="AR323" s="2">
        <v>0</v>
      </c>
      <c r="AS323" s="2">
        <v>0</v>
      </c>
      <c r="AT323" s="2">
        <v>90</v>
      </c>
      <c r="AU323" s="2">
        <v>46</v>
      </c>
      <c r="AV323" s="2">
        <v>1.0469999999999999</v>
      </c>
      <c r="AW323" s="2">
        <v>1</v>
      </c>
      <c r="AX323" s="2"/>
      <c r="AY323" s="2"/>
      <c r="AZ323" s="2">
        <v>1</v>
      </c>
      <c r="BA323" s="2">
        <v>1</v>
      </c>
      <c r="BB323" s="2">
        <v>1</v>
      </c>
      <c r="BC323" s="2">
        <v>1</v>
      </c>
      <c r="BD323" s="2" t="s">
        <v>3</v>
      </c>
      <c r="BE323" s="2" t="s">
        <v>3</v>
      </c>
      <c r="BF323" s="2" t="s">
        <v>3</v>
      </c>
      <c r="BG323" s="2" t="s">
        <v>3</v>
      </c>
      <c r="BH323" s="2">
        <v>0</v>
      </c>
      <c r="BI323" s="2">
        <v>2</v>
      </c>
      <c r="BJ323" s="2" t="s">
        <v>65</v>
      </c>
      <c r="BK323" s="2"/>
      <c r="BL323" s="2"/>
      <c r="BM323" s="2">
        <v>68</v>
      </c>
      <c r="BN323" s="2">
        <v>0</v>
      </c>
      <c r="BO323" s="2" t="s">
        <v>63</v>
      </c>
      <c r="BP323" s="2">
        <v>1</v>
      </c>
      <c r="BQ323" s="2">
        <v>40</v>
      </c>
      <c r="BR323" s="2">
        <v>0</v>
      </c>
      <c r="BS323" s="2">
        <v>1</v>
      </c>
      <c r="BT323" s="2">
        <v>1</v>
      </c>
      <c r="BU323" s="2">
        <v>1</v>
      </c>
      <c r="BV323" s="2">
        <v>1</v>
      </c>
      <c r="BW323" s="2">
        <v>1</v>
      </c>
      <c r="BX323" s="2">
        <v>1</v>
      </c>
      <c r="BY323" s="2" t="s">
        <v>3</v>
      </c>
      <c r="BZ323" s="2">
        <v>90</v>
      </c>
      <c r="CA323" s="2">
        <v>46</v>
      </c>
      <c r="CB323" s="2" t="s">
        <v>3</v>
      </c>
      <c r="CC323" s="2"/>
      <c r="CD323" s="2"/>
      <c r="CE323" s="2">
        <v>1566</v>
      </c>
      <c r="CF323" s="2">
        <v>0</v>
      </c>
      <c r="CG323" s="2">
        <v>0</v>
      </c>
      <c r="CH323" s="2"/>
      <c r="CI323" s="2"/>
      <c r="CJ323" s="2"/>
      <c r="CK323" s="2"/>
      <c r="CL323" s="2"/>
      <c r="CM323" s="2">
        <v>0</v>
      </c>
      <c r="CN323" s="2" t="s">
        <v>614</v>
      </c>
      <c r="CO323" s="2">
        <v>0</v>
      </c>
      <c r="CP323" s="2">
        <f t="shared" si="249"/>
        <v>44.43</v>
      </c>
      <c r="CQ323" s="2">
        <f>ROUND((ROUND((AC323*AW323*1),2)*BC323),2)</f>
        <v>1.96</v>
      </c>
      <c r="CR323" s="2">
        <f>(ROUND((ROUND((((ET323*1.2))*AV323*1),2)*BB323),2)+ROUND((ROUND(((AE323-((EU323*1.2)))*AV323*1),2)*BS323),2))</f>
        <v>0.06</v>
      </c>
      <c r="CS323" s="2">
        <f>(ROUND((ROUND((((EU323*1.2))*AV323*1),2)*BS323),2)+ROUND((ROUND(((AE323-((EU323*1.2)))*AV323*1),2)*BS323),2))</f>
        <v>0.01</v>
      </c>
      <c r="CT323" s="2">
        <f t="shared" si="250"/>
        <v>20.190000000000001</v>
      </c>
      <c r="CU323" s="2">
        <f t="shared" si="251"/>
        <v>0</v>
      </c>
      <c r="CV323" s="2">
        <f t="shared" si="252"/>
        <v>1.5076799999999999</v>
      </c>
      <c r="CW323" s="2">
        <f t="shared" si="253"/>
        <v>0</v>
      </c>
      <c r="CX323" s="2">
        <f t="shared" si="254"/>
        <v>0</v>
      </c>
      <c r="CY323" s="2">
        <f>(ROUND((((S323+ROUND((ROUND((((EU323*1.2))*AV323*1),2)*BS323),2))*AT323)/100),2)+ROUND(((ROUND((ROUND(((AE323-((EU323*1.2)))*AV323*1),2)*BS323),2)*AT323)/100),2))</f>
        <v>36.35</v>
      </c>
      <c r="CZ323" s="2">
        <f>(ROUND((((S323+ROUND((ROUND((((EU323*1.2))*AV323*1),2)*BS323),2))*AU323)/100),2)+ROUND(((ROUND((ROUND(((AE323-((EU323*1.2)))*AV323*1),2)*BS323),2)*AU323)/100),2))</f>
        <v>18.579999999999998</v>
      </c>
      <c r="DA323" s="2"/>
      <c r="DB323" s="2">
        <v>113</v>
      </c>
      <c r="DC323" s="2" t="s">
        <v>3</v>
      </c>
      <c r="DD323" s="2" t="s">
        <v>104</v>
      </c>
      <c r="DE323" s="2" t="s">
        <v>105</v>
      </c>
      <c r="DF323" s="2" t="s">
        <v>105</v>
      </c>
      <c r="DG323" s="2" t="s">
        <v>105</v>
      </c>
      <c r="DH323" s="2" t="s">
        <v>3</v>
      </c>
      <c r="DI323" s="2" t="s">
        <v>105</v>
      </c>
      <c r="DJ323" s="2" t="s">
        <v>105</v>
      </c>
      <c r="DK323" s="2" t="s">
        <v>3</v>
      </c>
      <c r="DL323" s="2" t="s">
        <v>3</v>
      </c>
      <c r="DM323" s="2" t="s">
        <v>3</v>
      </c>
      <c r="DN323" s="2">
        <v>0</v>
      </c>
      <c r="DO323" s="2">
        <v>0</v>
      </c>
      <c r="DP323" s="2">
        <v>1</v>
      </c>
      <c r="DQ323" s="2">
        <v>1</v>
      </c>
      <c r="DR323" s="2"/>
      <c r="DS323" s="2"/>
      <c r="DT323" s="2"/>
      <c r="DU323" s="2">
        <v>1013</v>
      </c>
      <c r="DV323" s="2" t="s">
        <v>26</v>
      </c>
      <c r="DW323" s="2" t="s">
        <v>26</v>
      </c>
      <c r="DX323" s="2">
        <v>1</v>
      </c>
      <c r="DY323" s="2"/>
      <c r="DZ323" s="2" t="s">
        <v>3</v>
      </c>
      <c r="EA323" s="2" t="s">
        <v>3</v>
      </c>
      <c r="EB323" s="2" t="s">
        <v>3</v>
      </c>
      <c r="EC323" s="2" t="s">
        <v>3</v>
      </c>
      <c r="ED323" s="2"/>
      <c r="EE323" s="2">
        <v>57042958</v>
      </c>
      <c r="EF323" s="2">
        <v>40</v>
      </c>
      <c r="EG323" s="2" t="s">
        <v>30</v>
      </c>
      <c r="EH323" s="2">
        <v>0</v>
      </c>
      <c r="EI323" s="2" t="s">
        <v>3</v>
      </c>
      <c r="EJ323" s="2">
        <v>2</v>
      </c>
      <c r="EK323" s="2">
        <v>68</v>
      </c>
      <c r="EL323" s="2" t="s">
        <v>38</v>
      </c>
      <c r="EM323" s="2" t="s">
        <v>39</v>
      </c>
      <c r="EN323" s="2"/>
      <c r="EO323" s="2" t="s">
        <v>109</v>
      </c>
      <c r="EP323" s="2"/>
      <c r="EQ323" s="2">
        <v>131072</v>
      </c>
      <c r="ER323" s="2">
        <v>18.079999999999998</v>
      </c>
      <c r="ES323" s="2">
        <v>1.96</v>
      </c>
      <c r="ET323" s="2">
        <v>0.05</v>
      </c>
      <c r="EU323" s="2">
        <v>0.01</v>
      </c>
      <c r="EV323" s="2">
        <v>16.07</v>
      </c>
      <c r="EW323" s="2">
        <v>1.2</v>
      </c>
      <c r="EX323" s="2">
        <v>0</v>
      </c>
      <c r="EY323" s="2">
        <v>0</v>
      </c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>
        <v>0</v>
      </c>
      <c r="FR323" s="2">
        <v>0</v>
      </c>
      <c r="FS323" s="2">
        <v>0</v>
      </c>
      <c r="FT323" s="2"/>
      <c r="FU323" s="2"/>
      <c r="FV323" s="2"/>
      <c r="FW323" s="2"/>
      <c r="FX323" s="2">
        <v>90</v>
      </c>
      <c r="FY323" s="2">
        <v>46</v>
      </c>
      <c r="FZ323" s="2"/>
      <c r="GA323" s="2" t="s">
        <v>3</v>
      </c>
      <c r="GB323" s="2"/>
      <c r="GC323" s="2"/>
      <c r="GD323" s="2">
        <v>1</v>
      </c>
      <c r="GE323" s="2"/>
      <c r="GF323" s="2">
        <v>-1354403463</v>
      </c>
      <c r="GG323" s="2">
        <v>2</v>
      </c>
      <c r="GH323" s="2">
        <v>1</v>
      </c>
      <c r="GI323" s="2">
        <v>2</v>
      </c>
      <c r="GJ323" s="2">
        <v>0</v>
      </c>
      <c r="GK323" s="2">
        <v>0</v>
      </c>
      <c r="GL323" s="2">
        <f t="shared" si="255"/>
        <v>0</v>
      </c>
      <c r="GM323" s="2">
        <f t="shared" si="256"/>
        <v>99.39</v>
      </c>
      <c r="GN323" s="2">
        <f t="shared" si="257"/>
        <v>0</v>
      </c>
      <c r="GO323" s="2">
        <f t="shared" si="258"/>
        <v>99.39</v>
      </c>
      <c r="GP323" s="2">
        <f t="shared" si="259"/>
        <v>0</v>
      </c>
      <c r="GQ323" s="2"/>
      <c r="GR323" s="2">
        <v>0</v>
      </c>
      <c r="GS323" s="2">
        <v>3</v>
      </c>
      <c r="GT323" s="2">
        <v>0</v>
      </c>
      <c r="GU323" s="2" t="s">
        <v>3</v>
      </c>
      <c r="GV323" s="2">
        <f t="shared" si="260"/>
        <v>0</v>
      </c>
      <c r="GW323" s="2">
        <v>1</v>
      </c>
      <c r="GX323" s="2">
        <f t="shared" si="261"/>
        <v>0</v>
      </c>
      <c r="GY323" s="2"/>
      <c r="GZ323" s="2"/>
      <c r="HA323" s="2">
        <v>0</v>
      </c>
      <c r="HB323" s="2">
        <v>0</v>
      </c>
      <c r="HC323" s="2">
        <f t="shared" si="262"/>
        <v>0</v>
      </c>
      <c r="HD323" s="2"/>
      <c r="HE323" s="2" t="s">
        <v>3</v>
      </c>
      <c r="HF323" s="2" t="s">
        <v>3</v>
      </c>
      <c r="HG323" s="2"/>
      <c r="HH323" s="2"/>
      <c r="HI323" s="2"/>
      <c r="HJ323" s="2"/>
      <c r="HK323" s="2"/>
      <c r="HL323" s="2"/>
      <c r="HM323" s="2" t="s">
        <v>3</v>
      </c>
      <c r="HN323" s="2" t="s">
        <v>3</v>
      </c>
      <c r="HO323" s="2" t="s">
        <v>3</v>
      </c>
      <c r="HP323" s="2" t="s">
        <v>3</v>
      </c>
      <c r="HQ323" s="2" t="s">
        <v>3</v>
      </c>
      <c r="HR323" s="2"/>
      <c r="HS323" s="2">
        <v>0</v>
      </c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>
        <v>0</v>
      </c>
      <c r="IL323" s="2"/>
      <c r="IM323" s="2"/>
      <c r="IN323" s="2"/>
      <c r="IO323" s="2"/>
      <c r="IP323" s="2"/>
      <c r="IQ323" s="2"/>
      <c r="IR323" s="2"/>
      <c r="IS323" s="2"/>
      <c r="IT323" s="2"/>
      <c r="IU323" s="2"/>
    </row>
    <row r="324" spans="1:255" x14ac:dyDescent="0.25">
      <c r="A324" s="3">
        <v>17</v>
      </c>
      <c r="B324" s="3">
        <v>1</v>
      </c>
      <c r="C324" s="3">
        <f>ROW(SmtRes!A192)</f>
        <v>192</v>
      </c>
      <c r="D324" s="3">
        <f>ROW(EtalonRes!A202)</f>
        <v>202</v>
      </c>
      <c r="E324" s="3" t="s">
        <v>280</v>
      </c>
      <c r="F324" s="3" t="s">
        <v>63</v>
      </c>
      <c r="G324" s="3" t="s">
        <v>246</v>
      </c>
      <c r="H324" s="3" t="s">
        <v>26</v>
      </c>
      <c r="I324" s="3">
        <f>ROUND(1+1,9)</f>
        <v>2</v>
      </c>
      <c r="J324" s="3">
        <v>0</v>
      </c>
      <c r="K324" s="3">
        <f>ROUND(1+1,9)</f>
        <v>2</v>
      </c>
      <c r="O324" s="3">
        <f t="shared" si="240"/>
        <v>2316.58</v>
      </c>
      <c r="P324" s="3">
        <f>ROUND((ROUND((AC324*AW324*I324),2)*BC324),2)</f>
        <v>38.57</v>
      </c>
      <c r="Q324" s="3">
        <f>(ROUND((ROUND((((ET324*1.2))*AV324*I324),2)*BB324),2)+ROUND((ROUND(((AE324-((EU324*1.2)))*AV324*I324),2)*BS324),2))</f>
        <v>2.6</v>
      </c>
      <c r="R324" s="3">
        <f>(ROUND((ROUND((((EU324*1.2))*AV324*I324),2)*BS324),2)+ROUND((ROUND(((AE324-((EU324*1.2)))*AV324*I324),2)*BS324),2))</f>
        <v>1.69</v>
      </c>
      <c r="S324" s="3">
        <f t="shared" si="241"/>
        <v>2275.41</v>
      </c>
      <c r="T324" s="3">
        <f t="shared" si="242"/>
        <v>0</v>
      </c>
      <c r="U324" s="3">
        <f t="shared" si="243"/>
        <v>3.0153599999999998</v>
      </c>
      <c r="V324" s="3">
        <f t="shared" si="244"/>
        <v>0</v>
      </c>
      <c r="W324" s="3">
        <f t="shared" si="245"/>
        <v>0</v>
      </c>
      <c r="X324" s="3">
        <f>(ROUND((((S324+ROUND((ROUND((((EU324*1.2))*AV324*I324),2)*BS324),2))*AT324)/100),2)+ROUND(((ROUND((ROUND(((AE324-((EU324*1.2)))*AV324*I324),2)*BS324),2)*AT324)/100),2))</f>
        <v>2049.39</v>
      </c>
      <c r="Y324" s="3">
        <f>(ROUND((((S324+ROUND((ROUND((((EU324*1.2))*AV324*I324),2)*BS324),2))*AU324)/100),2)+ROUND(((ROUND((ROUND(((AE324-((EU324*1.2)))*AV324*I324),2)*BS324),2)*AU324)/100),2))</f>
        <v>1047.47</v>
      </c>
      <c r="AA324" s="3">
        <v>57034454</v>
      </c>
      <c r="AB324" s="3">
        <f t="shared" si="246"/>
        <v>21.303999999999998</v>
      </c>
      <c r="AC324" s="3">
        <f>ROUND(((ES324*1)),6)</f>
        <v>1.96</v>
      </c>
      <c r="AD324" s="3">
        <f>ROUND(((((ET324*1.2))-((EU324*1.2)))+AE324),6)</f>
        <v>0.06</v>
      </c>
      <c r="AE324" s="3">
        <f>ROUND(((EU324*1.2)),6)</f>
        <v>1.2E-2</v>
      </c>
      <c r="AF324" s="3">
        <f>ROUND(((EV324*1.2)),6)</f>
        <v>19.283999999999999</v>
      </c>
      <c r="AG324" s="3">
        <f t="shared" si="247"/>
        <v>0</v>
      </c>
      <c r="AH324" s="3">
        <f>((EW324*1.2))</f>
        <v>1.44</v>
      </c>
      <c r="AI324" s="3">
        <f>((EX324*1.2))</f>
        <v>0</v>
      </c>
      <c r="AJ324" s="3">
        <f t="shared" si="248"/>
        <v>0</v>
      </c>
      <c r="AK324" s="3">
        <v>18.079999999999998</v>
      </c>
      <c r="AL324" s="3">
        <v>1.96</v>
      </c>
      <c r="AM324" s="3">
        <v>0.05</v>
      </c>
      <c r="AN324" s="3">
        <v>0.01</v>
      </c>
      <c r="AO324" s="3">
        <v>16.07</v>
      </c>
      <c r="AP324" s="3">
        <v>0</v>
      </c>
      <c r="AQ324" s="3">
        <v>1.2</v>
      </c>
      <c r="AR324" s="3">
        <v>0</v>
      </c>
      <c r="AS324" s="3">
        <v>0</v>
      </c>
      <c r="AT324" s="3">
        <v>90</v>
      </c>
      <c r="AU324" s="3">
        <v>46</v>
      </c>
      <c r="AV324" s="3">
        <v>1.0469999999999999</v>
      </c>
      <c r="AW324" s="3">
        <v>1</v>
      </c>
      <c r="AZ324" s="3">
        <v>1</v>
      </c>
      <c r="BA324" s="3">
        <v>56.35</v>
      </c>
      <c r="BB324" s="3">
        <v>20</v>
      </c>
      <c r="BC324" s="3">
        <v>9.84</v>
      </c>
      <c r="BD324" s="3" t="s">
        <v>3</v>
      </c>
      <c r="BE324" s="3" t="s">
        <v>3</v>
      </c>
      <c r="BF324" s="3" t="s">
        <v>3</v>
      </c>
      <c r="BG324" s="3" t="s">
        <v>3</v>
      </c>
      <c r="BH324" s="3">
        <v>0</v>
      </c>
      <c r="BI324" s="3">
        <v>2</v>
      </c>
      <c r="BJ324" s="3" t="s">
        <v>65</v>
      </c>
      <c r="BM324" s="3">
        <v>68</v>
      </c>
      <c r="BN324" s="3">
        <v>0</v>
      </c>
      <c r="BO324" s="3" t="s">
        <v>63</v>
      </c>
      <c r="BP324" s="3">
        <v>1</v>
      </c>
      <c r="BQ324" s="3">
        <v>40</v>
      </c>
      <c r="BR324" s="3">
        <v>0</v>
      </c>
      <c r="BS324" s="3">
        <v>56.35</v>
      </c>
      <c r="BT324" s="3">
        <v>1</v>
      </c>
      <c r="BU324" s="3">
        <v>1</v>
      </c>
      <c r="BV324" s="3">
        <v>1</v>
      </c>
      <c r="BW324" s="3">
        <v>1</v>
      </c>
      <c r="BX324" s="3">
        <v>1</v>
      </c>
      <c r="BY324" s="3" t="s">
        <v>3</v>
      </c>
      <c r="BZ324" s="3">
        <v>90</v>
      </c>
      <c r="CA324" s="3">
        <v>46</v>
      </c>
      <c r="CB324" s="3" t="s">
        <v>3</v>
      </c>
      <c r="CE324" s="3">
        <v>1566</v>
      </c>
      <c r="CF324" s="3">
        <v>0</v>
      </c>
      <c r="CG324" s="3">
        <v>0</v>
      </c>
      <c r="CM324" s="3">
        <v>0</v>
      </c>
      <c r="CN324" s="3" t="s">
        <v>614</v>
      </c>
      <c r="CO324" s="3">
        <v>0</v>
      </c>
      <c r="CP324" s="3">
        <f t="shared" si="249"/>
        <v>2316.58</v>
      </c>
      <c r="CQ324" s="3">
        <f>ROUND((ROUND((AC324*AW324*1),2)*BC324),2)</f>
        <v>19.29</v>
      </c>
      <c r="CR324" s="3">
        <f>(ROUND((ROUND((((ET324*1.2))*AV324*1),2)*BB324),2)+ROUND((ROUND(((AE324-((EU324*1.2)))*AV324*1),2)*BS324),2))</f>
        <v>1.2</v>
      </c>
      <c r="CS324" s="3">
        <f>(ROUND((ROUND((((EU324*1.2))*AV324*1),2)*BS324),2)+ROUND((ROUND(((AE324-((EU324*1.2)))*AV324*1),2)*BS324),2))</f>
        <v>0.56000000000000005</v>
      </c>
      <c r="CT324" s="3">
        <f t="shared" si="250"/>
        <v>1137.71</v>
      </c>
      <c r="CU324" s="3">
        <f t="shared" si="251"/>
        <v>0</v>
      </c>
      <c r="CV324" s="3">
        <f t="shared" si="252"/>
        <v>1.5076799999999999</v>
      </c>
      <c r="CW324" s="3">
        <f t="shared" si="253"/>
        <v>0</v>
      </c>
      <c r="CX324" s="3">
        <f t="shared" si="254"/>
        <v>0</v>
      </c>
      <c r="CY324" s="3">
        <f>(ROUND((((S324+ROUND((ROUND((((EU324*1.2))*AV324*1),2)*BS324),2))*AT324)/100),2)+ROUND(((ROUND((ROUND(((AE324-((EU324*1.2)))*AV324*1),2)*BS324),2)*AT324)/100),2))</f>
        <v>2048.37</v>
      </c>
      <c r="CZ324" s="3">
        <f>(ROUND((((S324+ROUND((ROUND((((EU324*1.2))*AV324*1),2)*BS324),2))*AU324)/100),2)+ROUND(((ROUND((ROUND(((AE324-((EU324*1.2)))*AV324*1),2)*BS324),2)*AU324)/100),2))</f>
        <v>1046.95</v>
      </c>
      <c r="DB324" s="3">
        <v>114</v>
      </c>
      <c r="DC324" s="3" t="s">
        <v>3</v>
      </c>
      <c r="DD324" s="3" t="s">
        <v>104</v>
      </c>
      <c r="DE324" s="3" t="s">
        <v>105</v>
      </c>
      <c r="DF324" s="3" t="s">
        <v>105</v>
      </c>
      <c r="DG324" s="3" t="s">
        <v>105</v>
      </c>
      <c r="DH324" s="3" t="s">
        <v>3</v>
      </c>
      <c r="DI324" s="3" t="s">
        <v>105</v>
      </c>
      <c r="DJ324" s="3" t="s">
        <v>105</v>
      </c>
      <c r="DK324" s="3" t="s">
        <v>3</v>
      </c>
      <c r="DL324" s="3" t="s">
        <v>3</v>
      </c>
      <c r="DM324" s="3" t="s">
        <v>3</v>
      </c>
      <c r="DN324" s="3">
        <v>0</v>
      </c>
      <c r="DO324" s="3">
        <v>0</v>
      </c>
      <c r="DP324" s="3">
        <v>1</v>
      </c>
      <c r="DQ324" s="3">
        <v>1</v>
      </c>
      <c r="DU324" s="3">
        <v>1013</v>
      </c>
      <c r="DV324" s="3" t="s">
        <v>26</v>
      </c>
      <c r="DW324" s="3" t="s">
        <v>26</v>
      </c>
      <c r="DX324" s="3">
        <v>1</v>
      </c>
      <c r="DZ324" s="3" t="s">
        <v>3</v>
      </c>
      <c r="EA324" s="3" t="s">
        <v>3</v>
      </c>
      <c r="EB324" s="3" t="s">
        <v>3</v>
      </c>
      <c r="EC324" s="3" t="s">
        <v>3</v>
      </c>
      <c r="EE324" s="3">
        <v>57042958</v>
      </c>
      <c r="EF324" s="3">
        <v>40</v>
      </c>
      <c r="EG324" s="3" t="s">
        <v>30</v>
      </c>
      <c r="EH324" s="3">
        <v>0</v>
      </c>
      <c r="EI324" s="3" t="s">
        <v>3</v>
      </c>
      <c r="EJ324" s="3">
        <v>2</v>
      </c>
      <c r="EK324" s="3">
        <v>68</v>
      </c>
      <c r="EL324" s="3" t="s">
        <v>38</v>
      </c>
      <c r="EM324" s="3" t="s">
        <v>39</v>
      </c>
      <c r="EO324" s="3" t="s">
        <v>109</v>
      </c>
      <c r="EQ324" s="3">
        <v>131072</v>
      </c>
      <c r="ER324" s="3">
        <v>18.079999999999998</v>
      </c>
      <c r="ES324" s="3">
        <v>1.96</v>
      </c>
      <c r="ET324" s="3">
        <v>0.05</v>
      </c>
      <c r="EU324" s="3">
        <v>0.01</v>
      </c>
      <c r="EV324" s="3">
        <v>16.07</v>
      </c>
      <c r="EW324" s="3">
        <v>1.2</v>
      </c>
      <c r="EX324" s="3">
        <v>0</v>
      </c>
      <c r="EY324" s="3">
        <v>0</v>
      </c>
      <c r="FQ324" s="3">
        <v>0</v>
      </c>
      <c r="FR324" s="3">
        <v>0</v>
      </c>
      <c r="FS324" s="3">
        <v>0</v>
      </c>
      <c r="FX324" s="3">
        <v>90</v>
      </c>
      <c r="FY324" s="3">
        <v>46</v>
      </c>
      <c r="GA324" s="3" t="s">
        <v>3</v>
      </c>
      <c r="GD324" s="3">
        <v>1</v>
      </c>
      <c r="GF324" s="3">
        <v>-1354403463</v>
      </c>
      <c r="GG324" s="3">
        <v>2</v>
      </c>
      <c r="GH324" s="3">
        <v>1</v>
      </c>
      <c r="GI324" s="3">
        <v>2</v>
      </c>
      <c r="GJ324" s="3">
        <v>0</v>
      </c>
      <c r="GK324" s="3">
        <v>0</v>
      </c>
      <c r="GL324" s="3">
        <f t="shared" si="255"/>
        <v>0</v>
      </c>
      <c r="GM324" s="3">
        <f t="shared" si="256"/>
        <v>5413.44</v>
      </c>
      <c r="GN324" s="3">
        <f t="shared" si="257"/>
        <v>0</v>
      </c>
      <c r="GO324" s="3">
        <f t="shared" si="258"/>
        <v>5413.44</v>
      </c>
      <c r="GP324" s="3">
        <f t="shared" si="259"/>
        <v>0</v>
      </c>
      <c r="GR324" s="3">
        <v>0</v>
      </c>
      <c r="GS324" s="3">
        <v>3</v>
      </c>
      <c r="GT324" s="3">
        <v>0</v>
      </c>
      <c r="GU324" s="3" t="s">
        <v>3</v>
      </c>
      <c r="GV324" s="3">
        <f t="shared" si="260"/>
        <v>0</v>
      </c>
      <c r="GW324" s="3">
        <v>1</v>
      </c>
      <c r="GX324" s="3">
        <f t="shared" si="261"/>
        <v>0</v>
      </c>
      <c r="HA324" s="3">
        <v>0</v>
      </c>
      <c r="HB324" s="3">
        <v>0</v>
      </c>
      <c r="HC324" s="3">
        <f t="shared" si="262"/>
        <v>0</v>
      </c>
      <c r="HE324" s="3" t="s">
        <v>3</v>
      </c>
      <c r="HF324" s="3" t="s">
        <v>3</v>
      </c>
      <c r="HM324" s="3" t="s">
        <v>3</v>
      </c>
      <c r="HN324" s="3" t="s">
        <v>3</v>
      </c>
      <c r="HO324" s="3" t="s">
        <v>3</v>
      </c>
      <c r="HP324" s="3" t="s">
        <v>3</v>
      </c>
      <c r="HQ324" s="3" t="s">
        <v>3</v>
      </c>
      <c r="HS324" s="3">
        <v>0</v>
      </c>
      <c r="IK324" s="3">
        <v>0</v>
      </c>
    </row>
    <row r="325" spans="1:255" x14ac:dyDescent="0.25">
      <c r="A325" s="2">
        <v>18</v>
      </c>
      <c r="B325" s="2">
        <v>1</v>
      </c>
      <c r="C325" s="2">
        <v>188</v>
      </c>
      <c r="D325" s="2"/>
      <c r="E325" s="2" t="s">
        <v>281</v>
      </c>
      <c r="F325" s="2" t="s">
        <v>282</v>
      </c>
      <c r="G325" s="2" t="s">
        <v>283</v>
      </c>
      <c r="H325" s="2" t="s">
        <v>177</v>
      </c>
      <c r="I325" s="2">
        <f>I323*J325</f>
        <v>1</v>
      </c>
      <c r="J325" s="2">
        <v>0.5</v>
      </c>
      <c r="K325" s="2">
        <v>0.5</v>
      </c>
      <c r="L325" s="2"/>
      <c r="M325" s="2"/>
      <c r="N325" s="2"/>
      <c r="O325" s="2">
        <f t="shared" si="240"/>
        <v>898.41</v>
      </c>
      <c r="P325" s="2">
        <f>ROUND((ROUND((AC325*I325),2)*BC325),2)</f>
        <v>898.41</v>
      </c>
      <c r="Q325" s="2">
        <f>(ROUND((ROUND(((ET325)*AV325*I325),2)*BB325),2)+ROUND((ROUND(((AE325-(EU325))*AV325*I325),2)*BS325),2))</f>
        <v>0</v>
      </c>
      <c r="R325" s="2">
        <f>(ROUND((ROUND(((EU325)*AV325*I325),2)*BS325),2)+ROUND((ROUND(((AE325-(EU325))*AV325*I325),2)*BS325),2))</f>
        <v>0</v>
      </c>
      <c r="S325" s="2">
        <f t="shared" si="241"/>
        <v>0</v>
      </c>
      <c r="T325" s="2">
        <f t="shared" si="242"/>
        <v>0</v>
      </c>
      <c r="U325" s="2">
        <f t="shared" si="243"/>
        <v>0</v>
      </c>
      <c r="V325" s="2">
        <f t="shared" si="244"/>
        <v>0</v>
      </c>
      <c r="W325" s="2">
        <f t="shared" si="245"/>
        <v>0</v>
      </c>
      <c r="X325" s="2">
        <f>(ROUND((((S325+ROUND((ROUND(((EU325)*AV325*I325),2)*BS325),2))*AT325)/100),2)+ROUND(((ROUND((ROUND(((AE325-(EU325))*AV325*I325),2)*BS325),2)*AT325)/100),2))</f>
        <v>0</v>
      </c>
      <c r="Y325" s="2">
        <f>(ROUND((((S325+ROUND((ROUND(((EU325)*AV325*I325),2)*BS325),2))*AU325)/100),2)+ROUND(((ROUND((ROUND(((AE325-(EU325))*AV325*I325),2)*BS325),2)*AU325)/100),2))</f>
        <v>0</v>
      </c>
      <c r="Z325" s="2"/>
      <c r="AA325" s="2">
        <v>57034452</v>
      </c>
      <c r="AB325" s="2">
        <f t="shared" si="246"/>
        <v>898.41</v>
      </c>
      <c r="AC325" s="2">
        <f>ROUND((ES325),6)</f>
        <v>898.41</v>
      </c>
      <c r="AD325" s="2">
        <f>ROUND((((ET325)-(EU325))+AE325),6)</f>
        <v>0</v>
      </c>
      <c r="AE325" s="2">
        <f t="shared" ref="AE325:AF328" si="263">ROUND((EU325),6)</f>
        <v>0</v>
      </c>
      <c r="AF325" s="2">
        <f t="shared" si="263"/>
        <v>0</v>
      </c>
      <c r="AG325" s="2">
        <f t="shared" si="247"/>
        <v>0</v>
      </c>
      <c r="AH325" s="2">
        <f t="shared" ref="AH325:AI328" si="264">(EW325)</f>
        <v>0</v>
      </c>
      <c r="AI325" s="2">
        <f t="shared" si="264"/>
        <v>0</v>
      </c>
      <c r="AJ325" s="2">
        <f t="shared" si="248"/>
        <v>0</v>
      </c>
      <c r="AK325" s="2">
        <v>898.41</v>
      </c>
      <c r="AL325" s="2">
        <v>898.41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1</v>
      </c>
      <c r="AW325" s="2">
        <v>1</v>
      </c>
      <c r="AX325" s="2"/>
      <c r="AY325" s="2"/>
      <c r="AZ325" s="2">
        <v>1</v>
      </c>
      <c r="BA325" s="2">
        <v>1</v>
      </c>
      <c r="BB325" s="2">
        <v>1</v>
      </c>
      <c r="BC325" s="2">
        <v>1</v>
      </c>
      <c r="BD325" s="2" t="s">
        <v>3</v>
      </c>
      <c r="BE325" s="2" t="s">
        <v>3</v>
      </c>
      <c r="BF325" s="2" t="s">
        <v>3</v>
      </c>
      <c r="BG325" s="2" t="s">
        <v>3</v>
      </c>
      <c r="BH325" s="2">
        <v>3</v>
      </c>
      <c r="BI325" s="2">
        <v>3</v>
      </c>
      <c r="BJ325" s="2" t="s">
        <v>3</v>
      </c>
      <c r="BK325" s="2"/>
      <c r="BL325" s="2"/>
      <c r="BM325" s="2">
        <v>746</v>
      </c>
      <c r="BN325" s="2">
        <v>0</v>
      </c>
      <c r="BO325" s="2" t="s">
        <v>3</v>
      </c>
      <c r="BP325" s="2">
        <v>0</v>
      </c>
      <c r="BQ325" s="2">
        <v>130</v>
      </c>
      <c r="BR325" s="2">
        <v>0</v>
      </c>
      <c r="BS325" s="2">
        <v>1</v>
      </c>
      <c r="BT325" s="2">
        <v>1</v>
      </c>
      <c r="BU325" s="2">
        <v>1</v>
      </c>
      <c r="BV325" s="2">
        <v>1</v>
      </c>
      <c r="BW325" s="2">
        <v>1</v>
      </c>
      <c r="BX325" s="2">
        <v>1</v>
      </c>
      <c r="BY325" s="2" t="s">
        <v>3</v>
      </c>
      <c r="BZ325" s="2">
        <v>90</v>
      </c>
      <c r="CA325" s="2">
        <v>46</v>
      </c>
      <c r="CB325" s="2" t="s">
        <v>3</v>
      </c>
      <c r="CC325" s="2"/>
      <c r="CD325" s="2"/>
      <c r="CE325" s="2">
        <v>1566</v>
      </c>
      <c r="CF325" s="2">
        <v>0</v>
      </c>
      <c r="CG325" s="2">
        <v>0</v>
      </c>
      <c r="CH325" s="2"/>
      <c r="CI325" s="2"/>
      <c r="CJ325" s="2"/>
      <c r="CK325" s="2"/>
      <c r="CL325" s="2"/>
      <c r="CM325" s="2">
        <v>0</v>
      </c>
      <c r="CN325" s="2" t="s">
        <v>615</v>
      </c>
      <c r="CO325" s="2">
        <v>0</v>
      </c>
      <c r="CP325" s="2">
        <f t="shared" si="249"/>
        <v>898.41</v>
      </c>
      <c r="CQ325" s="2">
        <f>ROUND((ROUND((AC325*1),2)*BC325),2)</f>
        <v>898.41</v>
      </c>
      <c r="CR325" s="2">
        <f>(ROUND((ROUND(((ET325)*AV325*1),2)*BB325),2)+ROUND((ROUND(((AE325-(EU325))*AV325*1),2)*BS325),2))</f>
        <v>0</v>
      </c>
      <c r="CS325" s="2">
        <f>(ROUND((ROUND(((EU325)*AV325*1),2)*BS325),2)+ROUND((ROUND(((AE325-(EU325))*AV325*1),2)*BS325),2))</f>
        <v>0</v>
      </c>
      <c r="CT325" s="2">
        <f t="shared" si="250"/>
        <v>0</v>
      </c>
      <c r="CU325" s="2">
        <f t="shared" si="251"/>
        <v>0</v>
      </c>
      <c r="CV325" s="2">
        <f t="shared" si="252"/>
        <v>0</v>
      </c>
      <c r="CW325" s="2">
        <f t="shared" si="253"/>
        <v>0</v>
      </c>
      <c r="CX325" s="2">
        <f t="shared" si="254"/>
        <v>0</v>
      </c>
      <c r="CY325" s="2">
        <f>(ROUND((((S325+ROUND((ROUND(((EU325)*AV325*1),2)*BS325),2))*AT325)/100),2)+ROUND(((ROUND((ROUND(((AE325-(EU325))*AV325*1),2)*BS325),2)*AT325)/100),2))</f>
        <v>0</v>
      </c>
      <c r="CZ325" s="2">
        <f>(ROUND((((S325+ROUND((ROUND(((EU325)*AV325*1),2)*BS325),2))*AU325)/100),2)+ROUND(((ROUND((ROUND(((AE325-(EU325))*AV325*1),2)*BS325),2)*AU325)/100),2))</f>
        <v>0</v>
      </c>
      <c r="DA325" s="2"/>
      <c r="DB325" s="2"/>
      <c r="DC325" s="2" t="s">
        <v>3</v>
      </c>
      <c r="DD325" s="2" t="s">
        <v>3</v>
      </c>
      <c r="DE325" s="2" t="s">
        <v>3</v>
      </c>
      <c r="DF325" s="2" t="s">
        <v>3</v>
      </c>
      <c r="DG325" s="2" t="s">
        <v>3</v>
      </c>
      <c r="DH325" s="2" t="s">
        <v>3</v>
      </c>
      <c r="DI325" s="2" t="s">
        <v>3</v>
      </c>
      <c r="DJ325" s="2" t="s">
        <v>3</v>
      </c>
      <c r="DK325" s="2" t="s">
        <v>3</v>
      </c>
      <c r="DL325" s="2" t="s">
        <v>3</v>
      </c>
      <c r="DM325" s="2" t="s">
        <v>3</v>
      </c>
      <c r="DN325" s="2">
        <v>0</v>
      </c>
      <c r="DO325" s="2">
        <v>0</v>
      </c>
      <c r="DP325" s="2">
        <v>1</v>
      </c>
      <c r="DQ325" s="2">
        <v>1</v>
      </c>
      <c r="DR325" s="2"/>
      <c r="DS325" s="2"/>
      <c r="DT325" s="2"/>
      <c r="DU325" s="2">
        <v>1010</v>
      </c>
      <c r="DV325" s="2" t="s">
        <v>177</v>
      </c>
      <c r="DW325" s="2" t="s">
        <v>177</v>
      </c>
      <c r="DX325" s="2">
        <v>1</v>
      </c>
      <c r="DY325" s="2"/>
      <c r="DZ325" s="2" t="s">
        <v>3</v>
      </c>
      <c r="EA325" s="2" t="s">
        <v>3</v>
      </c>
      <c r="EB325" s="2" t="s">
        <v>3</v>
      </c>
      <c r="EC325" s="2" t="s">
        <v>3</v>
      </c>
      <c r="ED325" s="2"/>
      <c r="EE325" s="2">
        <v>57043064</v>
      </c>
      <c r="EF325" s="2">
        <v>130</v>
      </c>
      <c r="EG325" s="2" t="s">
        <v>178</v>
      </c>
      <c r="EH325" s="2">
        <v>0</v>
      </c>
      <c r="EI325" s="2" t="s">
        <v>3</v>
      </c>
      <c r="EJ325" s="2">
        <v>3</v>
      </c>
      <c r="EK325" s="2">
        <v>746</v>
      </c>
      <c r="EL325" s="2" t="s">
        <v>179</v>
      </c>
      <c r="EM325" s="2" t="s">
        <v>180</v>
      </c>
      <c r="EN325" s="2"/>
      <c r="EO325" s="2" t="s">
        <v>109</v>
      </c>
      <c r="EP325" s="2"/>
      <c r="EQ325" s="2">
        <v>2097152</v>
      </c>
      <c r="ER325" s="2">
        <v>0</v>
      </c>
      <c r="ES325" s="2">
        <v>898.41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>
        <v>0</v>
      </c>
      <c r="FR325" s="2">
        <f>P325</f>
        <v>898.41</v>
      </c>
      <c r="FS325" s="2">
        <v>0</v>
      </c>
      <c r="FT325" s="2"/>
      <c r="FU325" s="2"/>
      <c r="FV325" s="2"/>
      <c r="FW325" s="2"/>
      <c r="FX325" s="2">
        <v>90</v>
      </c>
      <c r="FY325" s="2">
        <v>46</v>
      </c>
      <c r="FZ325" s="2"/>
      <c r="GA325" s="2" t="s">
        <v>284</v>
      </c>
      <c r="GB325" s="2"/>
      <c r="GC325" s="2"/>
      <c r="GD325" s="2">
        <v>1</v>
      </c>
      <c r="GE325" s="2"/>
      <c r="GF325" s="2">
        <v>-1369863791</v>
      </c>
      <c r="GG325" s="2">
        <v>2</v>
      </c>
      <c r="GH325" s="2">
        <v>4</v>
      </c>
      <c r="GI325" s="2">
        <v>-2</v>
      </c>
      <c r="GJ325" s="2">
        <v>0</v>
      </c>
      <c r="GK325" s="2">
        <v>0</v>
      </c>
      <c r="GL325" s="2">
        <f t="shared" si="255"/>
        <v>0</v>
      </c>
      <c r="GM325" s="2">
        <f t="shared" si="256"/>
        <v>898.41</v>
      </c>
      <c r="GN325" s="2">
        <f t="shared" si="257"/>
        <v>0</v>
      </c>
      <c r="GO325" s="2">
        <f t="shared" si="258"/>
        <v>0</v>
      </c>
      <c r="GP325" s="2">
        <f t="shared" si="259"/>
        <v>0</v>
      </c>
      <c r="GQ325" s="2"/>
      <c r="GR325" s="2">
        <v>0</v>
      </c>
      <c r="GS325" s="2">
        <v>2</v>
      </c>
      <c r="GT325" s="2">
        <v>0</v>
      </c>
      <c r="GU325" s="2" t="s">
        <v>3</v>
      </c>
      <c r="GV325" s="2">
        <f t="shared" si="260"/>
        <v>0</v>
      </c>
      <c r="GW325" s="2">
        <v>1</v>
      </c>
      <c r="GX325" s="2">
        <f t="shared" si="261"/>
        <v>0</v>
      </c>
      <c r="GY325" s="2"/>
      <c r="GZ325" s="2"/>
      <c r="HA325" s="2">
        <v>0</v>
      </c>
      <c r="HB325" s="2">
        <v>0</v>
      </c>
      <c r="HC325" s="2">
        <f t="shared" si="262"/>
        <v>0</v>
      </c>
      <c r="HD325" s="2"/>
      <c r="HE325" s="2" t="s">
        <v>40</v>
      </c>
      <c r="HF325" s="2" t="s">
        <v>182</v>
      </c>
      <c r="HG325" s="2"/>
      <c r="HH325" s="2"/>
      <c r="HI325" s="2"/>
      <c r="HJ325" s="2"/>
      <c r="HK325" s="2"/>
      <c r="HL325" s="2"/>
      <c r="HM325" s="2" t="s">
        <v>104</v>
      </c>
      <c r="HN325" s="2" t="s">
        <v>3</v>
      </c>
      <c r="HO325" s="2" t="s">
        <v>3</v>
      </c>
      <c r="HP325" s="2" t="s">
        <v>3</v>
      </c>
      <c r="HQ325" s="2" t="s">
        <v>3</v>
      </c>
      <c r="HR325" s="2"/>
      <c r="HS325" s="2">
        <v>0</v>
      </c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>
        <v>0</v>
      </c>
      <c r="IL325" s="2"/>
      <c r="IM325" s="2"/>
      <c r="IN325" s="2"/>
      <c r="IO325" s="2"/>
      <c r="IP325" s="2"/>
      <c r="IQ325" s="2"/>
      <c r="IR325" s="2"/>
      <c r="IS325" s="2"/>
      <c r="IT325" s="2"/>
      <c r="IU325" s="2"/>
    </row>
    <row r="326" spans="1:255" x14ac:dyDescent="0.25">
      <c r="A326" s="3">
        <v>18</v>
      </c>
      <c r="B326" s="3">
        <v>1</v>
      </c>
      <c r="C326" s="3">
        <v>191</v>
      </c>
      <c r="E326" s="3" t="s">
        <v>281</v>
      </c>
      <c r="F326" s="3" t="s">
        <v>282</v>
      </c>
      <c r="G326" s="3" t="s">
        <v>283</v>
      </c>
      <c r="H326" s="3" t="s">
        <v>177</v>
      </c>
      <c r="I326" s="3">
        <f>I324*J326</f>
        <v>1</v>
      </c>
      <c r="J326" s="3">
        <v>0.5</v>
      </c>
      <c r="K326" s="3">
        <v>0.5</v>
      </c>
      <c r="O326" s="3">
        <f t="shared" si="240"/>
        <v>6800.96</v>
      </c>
      <c r="P326" s="3">
        <f>ROUND((ROUND((AC326*I326),2)*BC326),2)</f>
        <v>6800.96</v>
      </c>
      <c r="Q326" s="3">
        <f>(ROUND((ROUND(((ET326)*AV326*I326),2)*BB326),2)+ROUND((ROUND(((AE326-(EU326))*AV326*I326),2)*BS326),2))</f>
        <v>0</v>
      </c>
      <c r="R326" s="3">
        <f>(ROUND((ROUND(((EU326)*AV326*I326),2)*BS326),2)+ROUND((ROUND(((AE326-(EU326))*AV326*I326),2)*BS326),2))</f>
        <v>0</v>
      </c>
      <c r="S326" s="3">
        <f t="shared" si="241"/>
        <v>0</v>
      </c>
      <c r="T326" s="3">
        <f t="shared" si="242"/>
        <v>0</v>
      </c>
      <c r="U326" s="3">
        <f t="shared" si="243"/>
        <v>0</v>
      </c>
      <c r="V326" s="3">
        <f t="shared" si="244"/>
        <v>0</v>
      </c>
      <c r="W326" s="3">
        <f t="shared" si="245"/>
        <v>0</v>
      </c>
      <c r="X326" s="3">
        <f>(ROUND((((S326+ROUND((ROUND(((EU326)*AV326*I326),2)*BS326),2))*AT326)/100),2)+ROUND(((ROUND((ROUND(((AE326-(EU326))*AV326*I326),2)*BS326),2)*AT326)/100),2))</f>
        <v>0</v>
      </c>
      <c r="Y326" s="3">
        <f>(ROUND((((S326+ROUND((ROUND(((EU326)*AV326*I326),2)*BS326),2))*AU326)/100),2)+ROUND(((ROUND((ROUND(((AE326-(EU326))*AV326*I326),2)*BS326),2)*AU326)/100),2))</f>
        <v>0</v>
      </c>
      <c r="AA326" s="3">
        <v>57034454</v>
      </c>
      <c r="AB326" s="3">
        <f t="shared" si="246"/>
        <v>898.41</v>
      </c>
      <c r="AC326" s="3">
        <f>ROUND((ES326),6)</f>
        <v>898.41</v>
      </c>
      <c r="AD326" s="3">
        <f>ROUND((((ET326)-(EU326))+AE326),6)</f>
        <v>0</v>
      </c>
      <c r="AE326" s="3">
        <f t="shared" si="263"/>
        <v>0</v>
      </c>
      <c r="AF326" s="3">
        <f t="shared" si="263"/>
        <v>0</v>
      </c>
      <c r="AG326" s="3">
        <f t="shared" si="247"/>
        <v>0</v>
      </c>
      <c r="AH326" s="3">
        <f t="shared" si="264"/>
        <v>0</v>
      </c>
      <c r="AI326" s="3">
        <f t="shared" si="264"/>
        <v>0</v>
      </c>
      <c r="AJ326" s="3">
        <f t="shared" si="248"/>
        <v>0</v>
      </c>
      <c r="AK326" s="3">
        <v>898.41</v>
      </c>
      <c r="AL326" s="3">
        <v>898.41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1</v>
      </c>
      <c r="AW326" s="3">
        <v>1</v>
      </c>
      <c r="AZ326" s="3">
        <v>1</v>
      </c>
      <c r="BA326" s="3">
        <v>1</v>
      </c>
      <c r="BB326" s="3">
        <v>1</v>
      </c>
      <c r="BC326" s="3">
        <v>7.57</v>
      </c>
      <c r="BD326" s="3" t="s">
        <v>3</v>
      </c>
      <c r="BE326" s="3" t="s">
        <v>3</v>
      </c>
      <c r="BF326" s="3" t="s">
        <v>3</v>
      </c>
      <c r="BG326" s="3" t="s">
        <v>3</v>
      </c>
      <c r="BH326" s="3">
        <v>3</v>
      </c>
      <c r="BI326" s="3">
        <v>3</v>
      </c>
      <c r="BJ326" s="3" t="s">
        <v>3</v>
      </c>
      <c r="BM326" s="3">
        <v>746</v>
      </c>
      <c r="BN326" s="3">
        <v>0</v>
      </c>
      <c r="BO326" s="3" t="s">
        <v>3</v>
      </c>
      <c r="BP326" s="3">
        <v>0</v>
      </c>
      <c r="BQ326" s="3">
        <v>130</v>
      </c>
      <c r="BR326" s="3">
        <v>0</v>
      </c>
      <c r="BS326" s="3">
        <v>1</v>
      </c>
      <c r="BT326" s="3">
        <v>1</v>
      </c>
      <c r="BU326" s="3">
        <v>1</v>
      </c>
      <c r="BV326" s="3">
        <v>1</v>
      </c>
      <c r="BW326" s="3">
        <v>1</v>
      </c>
      <c r="BX326" s="3">
        <v>1</v>
      </c>
      <c r="BY326" s="3" t="s">
        <v>3</v>
      </c>
      <c r="BZ326" s="3">
        <v>90</v>
      </c>
      <c r="CA326" s="3">
        <v>46</v>
      </c>
      <c r="CB326" s="3" t="s">
        <v>3</v>
      </c>
      <c r="CE326" s="3">
        <v>1566</v>
      </c>
      <c r="CF326" s="3">
        <v>0</v>
      </c>
      <c r="CG326" s="3">
        <v>0</v>
      </c>
      <c r="CM326" s="3">
        <v>0</v>
      </c>
      <c r="CN326" s="3" t="s">
        <v>615</v>
      </c>
      <c r="CO326" s="3">
        <v>0</v>
      </c>
      <c r="CP326" s="3">
        <f t="shared" si="249"/>
        <v>6800.96</v>
      </c>
      <c r="CQ326" s="3">
        <f>ROUND((ROUND((AC326*1),2)*BC326),2)</f>
        <v>6800.96</v>
      </c>
      <c r="CR326" s="3">
        <f>(ROUND((ROUND(((ET326)*AV326*1),2)*BB326),2)+ROUND((ROUND(((AE326-(EU326))*AV326*1),2)*BS326),2))</f>
        <v>0</v>
      </c>
      <c r="CS326" s="3">
        <f>(ROUND((ROUND(((EU326)*AV326*1),2)*BS326),2)+ROUND((ROUND(((AE326-(EU326))*AV326*1),2)*BS326),2))</f>
        <v>0</v>
      </c>
      <c r="CT326" s="3">
        <f t="shared" si="250"/>
        <v>0</v>
      </c>
      <c r="CU326" s="3">
        <f t="shared" si="251"/>
        <v>0</v>
      </c>
      <c r="CV326" s="3">
        <f t="shared" si="252"/>
        <v>0</v>
      </c>
      <c r="CW326" s="3">
        <f t="shared" si="253"/>
        <v>0</v>
      </c>
      <c r="CX326" s="3">
        <f t="shared" si="254"/>
        <v>0</v>
      </c>
      <c r="CY326" s="3">
        <f>(ROUND((((S326+ROUND((ROUND(((EU326)*AV326*1),2)*BS326),2))*AT326)/100),2)+ROUND(((ROUND((ROUND(((AE326-(EU326))*AV326*1),2)*BS326),2)*AT326)/100),2))</f>
        <v>0</v>
      </c>
      <c r="CZ326" s="3">
        <f>(ROUND((((S326+ROUND((ROUND(((EU326)*AV326*1),2)*BS326),2))*AU326)/100),2)+ROUND(((ROUND((ROUND(((AE326-(EU326))*AV326*1),2)*BS326),2)*AU326)/100),2))</f>
        <v>0</v>
      </c>
      <c r="DC326" s="3" t="s">
        <v>3</v>
      </c>
      <c r="DD326" s="3" t="s">
        <v>3</v>
      </c>
      <c r="DE326" s="3" t="s">
        <v>3</v>
      </c>
      <c r="DF326" s="3" t="s">
        <v>3</v>
      </c>
      <c r="DG326" s="3" t="s">
        <v>3</v>
      </c>
      <c r="DH326" s="3" t="s">
        <v>3</v>
      </c>
      <c r="DI326" s="3" t="s">
        <v>3</v>
      </c>
      <c r="DJ326" s="3" t="s">
        <v>3</v>
      </c>
      <c r="DK326" s="3" t="s">
        <v>3</v>
      </c>
      <c r="DL326" s="3" t="s">
        <v>3</v>
      </c>
      <c r="DM326" s="3" t="s">
        <v>3</v>
      </c>
      <c r="DN326" s="3">
        <v>0</v>
      </c>
      <c r="DO326" s="3">
        <v>0</v>
      </c>
      <c r="DP326" s="3">
        <v>1</v>
      </c>
      <c r="DQ326" s="3">
        <v>1</v>
      </c>
      <c r="DU326" s="3">
        <v>1010</v>
      </c>
      <c r="DV326" s="3" t="s">
        <v>177</v>
      </c>
      <c r="DW326" s="3" t="s">
        <v>177</v>
      </c>
      <c r="DX326" s="3">
        <v>1</v>
      </c>
      <c r="DZ326" s="3" t="s">
        <v>3</v>
      </c>
      <c r="EA326" s="3" t="s">
        <v>3</v>
      </c>
      <c r="EB326" s="3" t="s">
        <v>3</v>
      </c>
      <c r="EC326" s="3" t="s">
        <v>3</v>
      </c>
      <c r="EE326" s="3">
        <v>57043064</v>
      </c>
      <c r="EF326" s="3">
        <v>130</v>
      </c>
      <c r="EG326" s="3" t="s">
        <v>178</v>
      </c>
      <c r="EH326" s="3">
        <v>0</v>
      </c>
      <c r="EI326" s="3" t="s">
        <v>3</v>
      </c>
      <c r="EJ326" s="3">
        <v>3</v>
      </c>
      <c r="EK326" s="3">
        <v>746</v>
      </c>
      <c r="EL326" s="3" t="s">
        <v>179</v>
      </c>
      <c r="EM326" s="3" t="s">
        <v>180</v>
      </c>
      <c r="EO326" s="3" t="s">
        <v>109</v>
      </c>
      <c r="EQ326" s="3">
        <v>2097152</v>
      </c>
      <c r="ER326" s="3">
        <v>898.41</v>
      </c>
      <c r="ES326" s="3">
        <v>898.41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EZ326" s="3">
        <v>5</v>
      </c>
      <c r="FC326" s="3">
        <v>1</v>
      </c>
      <c r="FD326" s="3">
        <v>18</v>
      </c>
      <c r="FF326" s="3">
        <v>7960</v>
      </c>
      <c r="FQ326" s="3">
        <v>0</v>
      </c>
      <c r="FR326" s="3">
        <f>P326</f>
        <v>6800.96</v>
      </c>
      <c r="FS326" s="3">
        <v>0</v>
      </c>
      <c r="FX326" s="3">
        <v>90</v>
      </c>
      <c r="FY326" s="3">
        <v>46</v>
      </c>
      <c r="GA326" s="3" t="s">
        <v>284</v>
      </c>
      <c r="GD326" s="3">
        <v>1</v>
      </c>
      <c r="GF326" s="3">
        <v>-1369863791</v>
      </c>
      <c r="GG326" s="3">
        <v>2</v>
      </c>
      <c r="GH326" s="3">
        <v>3</v>
      </c>
      <c r="GI326" s="3">
        <v>5</v>
      </c>
      <c r="GJ326" s="3">
        <v>0</v>
      </c>
      <c r="GK326" s="3">
        <v>0</v>
      </c>
      <c r="GL326" s="3">
        <f t="shared" si="255"/>
        <v>0</v>
      </c>
      <c r="GM326" s="3">
        <f t="shared" si="256"/>
        <v>6800.96</v>
      </c>
      <c r="GN326" s="3">
        <f t="shared" si="257"/>
        <v>0</v>
      </c>
      <c r="GO326" s="3">
        <f t="shared" si="258"/>
        <v>0</v>
      </c>
      <c r="GP326" s="3">
        <f t="shared" si="259"/>
        <v>0</v>
      </c>
      <c r="GR326" s="3">
        <v>1</v>
      </c>
      <c r="GS326" s="3">
        <v>1</v>
      </c>
      <c r="GT326" s="3">
        <v>0</v>
      </c>
      <c r="GU326" s="3" t="s">
        <v>3</v>
      </c>
      <c r="GV326" s="3">
        <f t="shared" si="260"/>
        <v>0</v>
      </c>
      <c r="GW326" s="3">
        <v>1</v>
      </c>
      <c r="GX326" s="3">
        <f t="shared" si="261"/>
        <v>0</v>
      </c>
      <c r="HA326" s="3">
        <v>0</v>
      </c>
      <c r="HB326" s="3">
        <v>0</v>
      </c>
      <c r="HC326" s="3">
        <f t="shared" si="262"/>
        <v>0</v>
      </c>
      <c r="HE326" s="3" t="s">
        <v>40</v>
      </c>
      <c r="HF326" s="3" t="s">
        <v>182</v>
      </c>
      <c r="HM326" s="3" t="s">
        <v>104</v>
      </c>
      <c r="HN326" s="3" t="s">
        <v>3</v>
      </c>
      <c r="HO326" s="3" t="s">
        <v>3</v>
      </c>
      <c r="HP326" s="3" t="s">
        <v>3</v>
      </c>
      <c r="HQ326" s="3" t="s">
        <v>3</v>
      </c>
      <c r="HS326" s="3">
        <v>0</v>
      </c>
      <c r="IK326" s="3">
        <v>0</v>
      </c>
    </row>
    <row r="327" spans="1:255" x14ac:dyDescent="0.25">
      <c r="A327" s="2">
        <v>18</v>
      </c>
      <c r="B327" s="2">
        <v>1</v>
      </c>
      <c r="C327" s="2">
        <v>189</v>
      </c>
      <c r="D327" s="2"/>
      <c r="E327" s="2" t="s">
        <v>285</v>
      </c>
      <c r="F327" s="2" t="s">
        <v>286</v>
      </c>
      <c r="G327" s="2" t="s">
        <v>287</v>
      </c>
      <c r="H327" s="2" t="s">
        <v>177</v>
      </c>
      <c r="I327" s="2">
        <f>I323*J327</f>
        <v>1</v>
      </c>
      <c r="J327" s="2">
        <v>0.5</v>
      </c>
      <c r="K327" s="2">
        <v>0.5</v>
      </c>
      <c r="L327" s="2"/>
      <c r="M327" s="2"/>
      <c r="N327" s="2"/>
      <c r="O327" s="2">
        <f t="shared" si="240"/>
        <v>2208.4499999999998</v>
      </c>
      <c r="P327" s="2">
        <f>ROUND((ROUND((AC327*I327),2)*BC327),2)</f>
        <v>2208.4499999999998</v>
      </c>
      <c r="Q327" s="2">
        <f>(ROUND((ROUND(((ET327)*AV327*I327),2)*BB327),2)+ROUND((ROUND(((AE327-(EU327))*AV327*I327),2)*BS327),2))</f>
        <v>0</v>
      </c>
      <c r="R327" s="2">
        <f>(ROUND((ROUND(((EU327)*AV327*I327),2)*BS327),2)+ROUND((ROUND(((AE327-(EU327))*AV327*I327),2)*BS327),2))</f>
        <v>0</v>
      </c>
      <c r="S327" s="2">
        <f t="shared" si="241"/>
        <v>0</v>
      </c>
      <c r="T327" s="2">
        <f t="shared" si="242"/>
        <v>0</v>
      </c>
      <c r="U327" s="2">
        <f t="shared" si="243"/>
        <v>0</v>
      </c>
      <c r="V327" s="2">
        <f t="shared" si="244"/>
        <v>0</v>
      </c>
      <c r="W327" s="2">
        <f t="shared" si="245"/>
        <v>0</v>
      </c>
      <c r="X327" s="2">
        <f>(ROUND((((S327+ROUND((ROUND(((EU327)*AV327*I327),2)*BS327),2))*AT327)/100),2)+ROUND(((ROUND((ROUND(((AE327-(EU327))*AV327*I327),2)*BS327),2)*AT327)/100),2))</f>
        <v>0</v>
      </c>
      <c r="Y327" s="2">
        <f>(ROUND((((S327+ROUND((ROUND(((EU327)*AV327*I327),2)*BS327),2))*AU327)/100),2)+ROUND(((ROUND((ROUND(((AE327-(EU327))*AV327*I327),2)*BS327),2)*AU327)/100),2))</f>
        <v>0</v>
      </c>
      <c r="Z327" s="2"/>
      <c r="AA327" s="2">
        <v>57034452</v>
      </c>
      <c r="AB327" s="2">
        <f t="shared" si="246"/>
        <v>2208.4499999999998</v>
      </c>
      <c r="AC327" s="2">
        <f>ROUND((ES327),6)</f>
        <v>2208.4499999999998</v>
      </c>
      <c r="AD327" s="2">
        <f>ROUND((((ET327)-(EU327))+AE327),6)</f>
        <v>0</v>
      </c>
      <c r="AE327" s="2">
        <f t="shared" si="263"/>
        <v>0</v>
      </c>
      <c r="AF327" s="2">
        <f t="shared" si="263"/>
        <v>0</v>
      </c>
      <c r="AG327" s="2">
        <f t="shared" si="247"/>
        <v>0</v>
      </c>
      <c r="AH327" s="2">
        <f t="shared" si="264"/>
        <v>0</v>
      </c>
      <c r="AI327" s="2">
        <f t="shared" si="264"/>
        <v>0</v>
      </c>
      <c r="AJ327" s="2">
        <f t="shared" si="248"/>
        <v>0</v>
      </c>
      <c r="AK327" s="2">
        <v>2208.4499999999998</v>
      </c>
      <c r="AL327" s="2">
        <v>2208.4499999999998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1</v>
      </c>
      <c r="AW327" s="2">
        <v>1</v>
      </c>
      <c r="AX327" s="2"/>
      <c r="AY327" s="2"/>
      <c r="AZ327" s="2">
        <v>1</v>
      </c>
      <c r="BA327" s="2">
        <v>1</v>
      </c>
      <c r="BB327" s="2">
        <v>1</v>
      </c>
      <c r="BC327" s="2">
        <v>1</v>
      </c>
      <c r="BD327" s="2" t="s">
        <v>3</v>
      </c>
      <c r="BE327" s="2" t="s">
        <v>3</v>
      </c>
      <c r="BF327" s="2" t="s">
        <v>3</v>
      </c>
      <c r="BG327" s="2" t="s">
        <v>3</v>
      </c>
      <c r="BH327" s="2">
        <v>3</v>
      </c>
      <c r="BI327" s="2">
        <v>3</v>
      </c>
      <c r="BJ327" s="2" t="s">
        <v>3</v>
      </c>
      <c r="BK327" s="2"/>
      <c r="BL327" s="2"/>
      <c r="BM327" s="2">
        <v>746</v>
      </c>
      <c r="BN327" s="2">
        <v>0</v>
      </c>
      <c r="BO327" s="2" t="s">
        <v>3</v>
      </c>
      <c r="BP327" s="2">
        <v>0</v>
      </c>
      <c r="BQ327" s="2">
        <v>130</v>
      </c>
      <c r="BR327" s="2">
        <v>0</v>
      </c>
      <c r="BS327" s="2">
        <v>1</v>
      </c>
      <c r="BT327" s="2">
        <v>1</v>
      </c>
      <c r="BU327" s="2">
        <v>1</v>
      </c>
      <c r="BV327" s="2">
        <v>1</v>
      </c>
      <c r="BW327" s="2">
        <v>1</v>
      </c>
      <c r="BX327" s="2">
        <v>1</v>
      </c>
      <c r="BY327" s="2" t="s">
        <v>3</v>
      </c>
      <c r="BZ327" s="2">
        <v>90</v>
      </c>
      <c r="CA327" s="2">
        <v>46</v>
      </c>
      <c r="CB327" s="2" t="s">
        <v>3</v>
      </c>
      <c r="CC327" s="2"/>
      <c r="CD327" s="2"/>
      <c r="CE327" s="2">
        <v>1566</v>
      </c>
      <c r="CF327" s="2">
        <v>0</v>
      </c>
      <c r="CG327" s="2">
        <v>0</v>
      </c>
      <c r="CH327" s="2"/>
      <c r="CI327" s="2"/>
      <c r="CJ327" s="2"/>
      <c r="CK327" s="2"/>
      <c r="CL327" s="2"/>
      <c r="CM327" s="2">
        <v>0</v>
      </c>
      <c r="CN327" s="2" t="s">
        <v>615</v>
      </c>
      <c r="CO327" s="2">
        <v>0</v>
      </c>
      <c r="CP327" s="2">
        <f t="shared" si="249"/>
        <v>2208.4499999999998</v>
      </c>
      <c r="CQ327" s="2">
        <f>ROUND((ROUND((AC327*1),2)*BC327),2)</f>
        <v>2208.4499999999998</v>
      </c>
      <c r="CR327" s="2">
        <f>(ROUND((ROUND(((ET327)*AV327*1),2)*BB327),2)+ROUND((ROUND(((AE327-(EU327))*AV327*1),2)*BS327),2))</f>
        <v>0</v>
      </c>
      <c r="CS327" s="2">
        <f>(ROUND((ROUND(((EU327)*AV327*1),2)*BS327),2)+ROUND((ROUND(((AE327-(EU327))*AV327*1),2)*BS327),2))</f>
        <v>0</v>
      </c>
      <c r="CT327" s="2">
        <f t="shared" si="250"/>
        <v>0</v>
      </c>
      <c r="CU327" s="2">
        <f t="shared" si="251"/>
        <v>0</v>
      </c>
      <c r="CV327" s="2">
        <f t="shared" si="252"/>
        <v>0</v>
      </c>
      <c r="CW327" s="2">
        <f t="shared" si="253"/>
        <v>0</v>
      </c>
      <c r="CX327" s="2">
        <f t="shared" si="254"/>
        <v>0</v>
      </c>
      <c r="CY327" s="2">
        <f>(ROUND((((S327+ROUND((ROUND(((EU327)*AV327*1),2)*BS327),2))*AT327)/100),2)+ROUND(((ROUND((ROUND(((AE327-(EU327))*AV327*1),2)*BS327),2)*AT327)/100),2))</f>
        <v>0</v>
      </c>
      <c r="CZ327" s="2">
        <f>(ROUND((((S327+ROUND((ROUND(((EU327)*AV327*1),2)*BS327),2))*AU327)/100),2)+ROUND(((ROUND((ROUND(((AE327-(EU327))*AV327*1),2)*BS327),2)*AU327)/100),2))</f>
        <v>0</v>
      </c>
      <c r="DA327" s="2"/>
      <c r="DB327" s="2"/>
      <c r="DC327" s="2" t="s">
        <v>3</v>
      </c>
      <c r="DD327" s="2" t="s">
        <v>3</v>
      </c>
      <c r="DE327" s="2" t="s">
        <v>3</v>
      </c>
      <c r="DF327" s="2" t="s">
        <v>3</v>
      </c>
      <c r="DG327" s="2" t="s">
        <v>3</v>
      </c>
      <c r="DH327" s="2" t="s">
        <v>3</v>
      </c>
      <c r="DI327" s="2" t="s">
        <v>3</v>
      </c>
      <c r="DJ327" s="2" t="s">
        <v>3</v>
      </c>
      <c r="DK327" s="2" t="s">
        <v>3</v>
      </c>
      <c r="DL327" s="2" t="s">
        <v>3</v>
      </c>
      <c r="DM327" s="2" t="s">
        <v>3</v>
      </c>
      <c r="DN327" s="2">
        <v>0</v>
      </c>
      <c r="DO327" s="2">
        <v>0</v>
      </c>
      <c r="DP327" s="2">
        <v>1</v>
      </c>
      <c r="DQ327" s="2">
        <v>1</v>
      </c>
      <c r="DR327" s="2"/>
      <c r="DS327" s="2"/>
      <c r="DT327" s="2"/>
      <c r="DU327" s="2">
        <v>1010</v>
      </c>
      <c r="DV327" s="2" t="s">
        <v>177</v>
      </c>
      <c r="DW327" s="2" t="s">
        <v>177</v>
      </c>
      <c r="DX327" s="2">
        <v>1</v>
      </c>
      <c r="DY327" s="2"/>
      <c r="DZ327" s="2" t="s">
        <v>3</v>
      </c>
      <c r="EA327" s="2" t="s">
        <v>3</v>
      </c>
      <c r="EB327" s="2" t="s">
        <v>3</v>
      </c>
      <c r="EC327" s="2" t="s">
        <v>3</v>
      </c>
      <c r="ED327" s="2"/>
      <c r="EE327" s="2">
        <v>57043064</v>
      </c>
      <c r="EF327" s="2">
        <v>130</v>
      </c>
      <c r="EG327" s="2" t="s">
        <v>178</v>
      </c>
      <c r="EH327" s="2">
        <v>0</v>
      </c>
      <c r="EI327" s="2" t="s">
        <v>3</v>
      </c>
      <c r="EJ327" s="2">
        <v>3</v>
      </c>
      <c r="EK327" s="2">
        <v>746</v>
      </c>
      <c r="EL327" s="2" t="s">
        <v>179</v>
      </c>
      <c r="EM327" s="2" t="s">
        <v>180</v>
      </c>
      <c r="EN327" s="2"/>
      <c r="EO327" s="2" t="s">
        <v>109</v>
      </c>
      <c r="EP327" s="2"/>
      <c r="EQ327" s="2">
        <v>2097152</v>
      </c>
      <c r="ER327" s="2">
        <v>0</v>
      </c>
      <c r="ES327" s="2">
        <v>2208.4499999999998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>
        <v>0</v>
      </c>
      <c r="FR327" s="2">
        <f>P327</f>
        <v>2208.4499999999998</v>
      </c>
      <c r="FS327" s="2">
        <v>0</v>
      </c>
      <c r="FT327" s="2"/>
      <c r="FU327" s="2"/>
      <c r="FV327" s="2"/>
      <c r="FW327" s="2"/>
      <c r="FX327" s="2">
        <v>90</v>
      </c>
      <c r="FY327" s="2">
        <v>46</v>
      </c>
      <c r="FZ327" s="2"/>
      <c r="GA327" s="2" t="s">
        <v>288</v>
      </c>
      <c r="GB327" s="2"/>
      <c r="GC327" s="2"/>
      <c r="GD327" s="2">
        <v>1</v>
      </c>
      <c r="GE327" s="2"/>
      <c r="GF327" s="2">
        <v>926668405</v>
      </c>
      <c r="GG327" s="2">
        <v>2</v>
      </c>
      <c r="GH327" s="2">
        <v>4</v>
      </c>
      <c r="GI327" s="2">
        <v>-2</v>
      </c>
      <c r="GJ327" s="2">
        <v>0</v>
      </c>
      <c r="GK327" s="2">
        <v>0</v>
      </c>
      <c r="GL327" s="2">
        <f t="shared" si="255"/>
        <v>0</v>
      </c>
      <c r="GM327" s="2">
        <f t="shared" si="256"/>
        <v>2208.4499999999998</v>
      </c>
      <c r="GN327" s="2">
        <f t="shared" si="257"/>
        <v>0</v>
      </c>
      <c r="GO327" s="2">
        <f t="shared" si="258"/>
        <v>0</v>
      </c>
      <c r="GP327" s="2">
        <f t="shared" si="259"/>
        <v>0</v>
      </c>
      <c r="GQ327" s="2"/>
      <c r="GR327" s="2">
        <v>0</v>
      </c>
      <c r="GS327" s="2">
        <v>2</v>
      </c>
      <c r="GT327" s="2">
        <v>0</v>
      </c>
      <c r="GU327" s="2" t="s">
        <v>3</v>
      </c>
      <c r="GV327" s="2">
        <f t="shared" si="260"/>
        <v>0</v>
      </c>
      <c r="GW327" s="2">
        <v>1</v>
      </c>
      <c r="GX327" s="2">
        <f t="shared" si="261"/>
        <v>0</v>
      </c>
      <c r="GY327" s="2"/>
      <c r="GZ327" s="2"/>
      <c r="HA327" s="2">
        <v>0</v>
      </c>
      <c r="HB327" s="2">
        <v>0</v>
      </c>
      <c r="HC327" s="2">
        <f t="shared" si="262"/>
        <v>0</v>
      </c>
      <c r="HD327" s="2"/>
      <c r="HE327" s="2" t="s">
        <v>40</v>
      </c>
      <c r="HF327" s="2" t="s">
        <v>182</v>
      </c>
      <c r="HG327" s="2"/>
      <c r="HH327" s="2"/>
      <c r="HI327" s="2"/>
      <c r="HJ327" s="2"/>
      <c r="HK327" s="2"/>
      <c r="HL327" s="2"/>
      <c r="HM327" s="2" t="s">
        <v>104</v>
      </c>
      <c r="HN327" s="2" t="s">
        <v>3</v>
      </c>
      <c r="HO327" s="2" t="s">
        <v>3</v>
      </c>
      <c r="HP327" s="2" t="s">
        <v>3</v>
      </c>
      <c r="HQ327" s="2" t="s">
        <v>3</v>
      </c>
      <c r="HR327" s="2"/>
      <c r="HS327" s="2">
        <v>0</v>
      </c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>
        <v>0</v>
      </c>
      <c r="IL327" s="2"/>
      <c r="IM327" s="2"/>
      <c r="IN327" s="2"/>
      <c r="IO327" s="2"/>
      <c r="IP327" s="2"/>
      <c r="IQ327" s="2"/>
      <c r="IR327" s="2"/>
      <c r="IS327" s="2"/>
      <c r="IT327" s="2"/>
      <c r="IU327" s="2"/>
    </row>
    <row r="328" spans="1:255" x14ac:dyDescent="0.25">
      <c r="A328" s="3">
        <v>18</v>
      </c>
      <c r="B328" s="3">
        <v>1</v>
      </c>
      <c r="C328" s="3">
        <v>192</v>
      </c>
      <c r="E328" s="3" t="s">
        <v>285</v>
      </c>
      <c r="F328" s="3" t="s">
        <v>286</v>
      </c>
      <c r="G328" s="3" t="s">
        <v>287</v>
      </c>
      <c r="H328" s="3" t="s">
        <v>177</v>
      </c>
      <c r="I328" s="3">
        <f>I324*J328</f>
        <v>1</v>
      </c>
      <c r="J328" s="3">
        <v>0.5</v>
      </c>
      <c r="K328" s="3">
        <v>0.5</v>
      </c>
      <c r="O328" s="3">
        <f t="shared" si="240"/>
        <v>16717.97</v>
      </c>
      <c r="P328" s="3">
        <f>ROUND((ROUND((AC328*I328),2)*BC328),2)</f>
        <v>16717.97</v>
      </c>
      <c r="Q328" s="3">
        <f>(ROUND((ROUND(((ET328)*AV328*I328),2)*BB328),2)+ROUND((ROUND(((AE328-(EU328))*AV328*I328),2)*BS328),2))</f>
        <v>0</v>
      </c>
      <c r="R328" s="3">
        <f>(ROUND((ROUND(((EU328)*AV328*I328),2)*BS328),2)+ROUND((ROUND(((AE328-(EU328))*AV328*I328),2)*BS328),2))</f>
        <v>0</v>
      </c>
      <c r="S328" s="3">
        <f t="shared" si="241"/>
        <v>0</v>
      </c>
      <c r="T328" s="3">
        <f t="shared" si="242"/>
        <v>0</v>
      </c>
      <c r="U328" s="3">
        <f t="shared" si="243"/>
        <v>0</v>
      </c>
      <c r="V328" s="3">
        <f t="shared" si="244"/>
        <v>0</v>
      </c>
      <c r="W328" s="3">
        <f t="shared" si="245"/>
        <v>0</v>
      </c>
      <c r="X328" s="3">
        <f>(ROUND((((S328+ROUND((ROUND(((EU328)*AV328*I328),2)*BS328),2))*AT328)/100),2)+ROUND(((ROUND((ROUND(((AE328-(EU328))*AV328*I328),2)*BS328),2)*AT328)/100),2))</f>
        <v>0</v>
      </c>
      <c r="Y328" s="3">
        <f>(ROUND((((S328+ROUND((ROUND(((EU328)*AV328*I328),2)*BS328),2))*AU328)/100),2)+ROUND(((ROUND((ROUND(((AE328-(EU328))*AV328*I328),2)*BS328),2)*AU328)/100),2))</f>
        <v>0</v>
      </c>
      <c r="AA328" s="3">
        <v>57034454</v>
      </c>
      <c r="AB328" s="3">
        <f t="shared" si="246"/>
        <v>2208.4499999999998</v>
      </c>
      <c r="AC328" s="3">
        <f>ROUND((ES328),6)</f>
        <v>2208.4499999999998</v>
      </c>
      <c r="AD328" s="3">
        <f>ROUND((((ET328)-(EU328))+AE328),6)</f>
        <v>0</v>
      </c>
      <c r="AE328" s="3">
        <f t="shared" si="263"/>
        <v>0</v>
      </c>
      <c r="AF328" s="3">
        <f t="shared" si="263"/>
        <v>0</v>
      </c>
      <c r="AG328" s="3">
        <f t="shared" si="247"/>
        <v>0</v>
      </c>
      <c r="AH328" s="3">
        <f t="shared" si="264"/>
        <v>0</v>
      </c>
      <c r="AI328" s="3">
        <f t="shared" si="264"/>
        <v>0</v>
      </c>
      <c r="AJ328" s="3">
        <f t="shared" si="248"/>
        <v>0</v>
      </c>
      <c r="AK328" s="3">
        <v>2208.4499999999998</v>
      </c>
      <c r="AL328" s="3">
        <v>2208.4499999999998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1</v>
      </c>
      <c r="AW328" s="3">
        <v>1</v>
      </c>
      <c r="AZ328" s="3">
        <v>1</v>
      </c>
      <c r="BA328" s="3">
        <v>1</v>
      </c>
      <c r="BB328" s="3">
        <v>1</v>
      </c>
      <c r="BC328" s="3">
        <v>7.57</v>
      </c>
      <c r="BD328" s="3" t="s">
        <v>3</v>
      </c>
      <c r="BE328" s="3" t="s">
        <v>3</v>
      </c>
      <c r="BF328" s="3" t="s">
        <v>3</v>
      </c>
      <c r="BG328" s="3" t="s">
        <v>3</v>
      </c>
      <c r="BH328" s="3">
        <v>3</v>
      </c>
      <c r="BI328" s="3">
        <v>3</v>
      </c>
      <c r="BJ328" s="3" t="s">
        <v>3</v>
      </c>
      <c r="BM328" s="3">
        <v>746</v>
      </c>
      <c r="BN328" s="3">
        <v>0</v>
      </c>
      <c r="BO328" s="3" t="s">
        <v>3</v>
      </c>
      <c r="BP328" s="3">
        <v>0</v>
      </c>
      <c r="BQ328" s="3">
        <v>130</v>
      </c>
      <c r="BR328" s="3">
        <v>0</v>
      </c>
      <c r="BS328" s="3">
        <v>1</v>
      </c>
      <c r="BT328" s="3">
        <v>1</v>
      </c>
      <c r="BU328" s="3">
        <v>1</v>
      </c>
      <c r="BV328" s="3">
        <v>1</v>
      </c>
      <c r="BW328" s="3">
        <v>1</v>
      </c>
      <c r="BX328" s="3">
        <v>1</v>
      </c>
      <c r="BY328" s="3" t="s">
        <v>3</v>
      </c>
      <c r="BZ328" s="3">
        <v>90</v>
      </c>
      <c r="CA328" s="3">
        <v>46</v>
      </c>
      <c r="CB328" s="3" t="s">
        <v>3</v>
      </c>
      <c r="CE328" s="3">
        <v>1566</v>
      </c>
      <c r="CF328" s="3">
        <v>0</v>
      </c>
      <c r="CG328" s="3">
        <v>0</v>
      </c>
      <c r="CM328" s="3">
        <v>0</v>
      </c>
      <c r="CN328" s="3" t="s">
        <v>615</v>
      </c>
      <c r="CO328" s="3">
        <v>0</v>
      </c>
      <c r="CP328" s="3">
        <f t="shared" si="249"/>
        <v>16717.97</v>
      </c>
      <c r="CQ328" s="3">
        <f>ROUND((ROUND((AC328*1),2)*BC328),2)</f>
        <v>16717.97</v>
      </c>
      <c r="CR328" s="3">
        <f>(ROUND((ROUND(((ET328)*AV328*1),2)*BB328),2)+ROUND((ROUND(((AE328-(EU328))*AV328*1),2)*BS328),2))</f>
        <v>0</v>
      </c>
      <c r="CS328" s="3">
        <f>(ROUND((ROUND(((EU328)*AV328*1),2)*BS328),2)+ROUND((ROUND(((AE328-(EU328))*AV328*1),2)*BS328),2))</f>
        <v>0</v>
      </c>
      <c r="CT328" s="3">
        <f t="shared" si="250"/>
        <v>0</v>
      </c>
      <c r="CU328" s="3">
        <f t="shared" si="251"/>
        <v>0</v>
      </c>
      <c r="CV328" s="3">
        <f t="shared" si="252"/>
        <v>0</v>
      </c>
      <c r="CW328" s="3">
        <f t="shared" si="253"/>
        <v>0</v>
      </c>
      <c r="CX328" s="3">
        <f t="shared" si="254"/>
        <v>0</v>
      </c>
      <c r="CY328" s="3">
        <f>(ROUND((((S328+ROUND((ROUND(((EU328)*AV328*1),2)*BS328),2))*AT328)/100),2)+ROUND(((ROUND((ROUND(((AE328-(EU328))*AV328*1),2)*BS328),2)*AT328)/100),2))</f>
        <v>0</v>
      </c>
      <c r="CZ328" s="3">
        <f>(ROUND((((S328+ROUND((ROUND(((EU328)*AV328*1),2)*BS328),2))*AU328)/100),2)+ROUND(((ROUND((ROUND(((AE328-(EU328))*AV328*1),2)*BS328),2)*AU328)/100),2))</f>
        <v>0</v>
      </c>
      <c r="DC328" s="3" t="s">
        <v>3</v>
      </c>
      <c r="DD328" s="3" t="s">
        <v>3</v>
      </c>
      <c r="DE328" s="3" t="s">
        <v>3</v>
      </c>
      <c r="DF328" s="3" t="s">
        <v>3</v>
      </c>
      <c r="DG328" s="3" t="s">
        <v>3</v>
      </c>
      <c r="DH328" s="3" t="s">
        <v>3</v>
      </c>
      <c r="DI328" s="3" t="s">
        <v>3</v>
      </c>
      <c r="DJ328" s="3" t="s">
        <v>3</v>
      </c>
      <c r="DK328" s="3" t="s">
        <v>3</v>
      </c>
      <c r="DL328" s="3" t="s">
        <v>3</v>
      </c>
      <c r="DM328" s="3" t="s">
        <v>3</v>
      </c>
      <c r="DN328" s="3">
        <v>0</v>
      </c>
      <c r="DO328" s="3">
        <v>0</v>
      </c>
      <c r="DP328" s="3">
        <v>1</v>
      </c>
      <c r="DQ328" s="3">
        <v>1</v>
      </c>
      <c r="DU328" s="3">
        <v>1010</v>
      </c>
      <c r="DV328" s="3" t="s">
        <v>177</v>
      </c>
      <c r="DW328" s="3" t="s">
        <v>177</v>
      </c>
      <c r="DX328" s="3">
        <v>1</v>
      </c>
      <c r="DZ328" s="3" t="s">
        <v>3</v>
      </c>
      <c r="EA328" s="3" t="s">
        <v>3</v>
      </c>
      <c r="EB328" s="3" t="s">
        <v>3</v>
      </c>
      <c r="EC328" s="3" t="s">
        <v>3</v>
      </c>
      <c r="EE328" s="3">
        <v>57043064</v>
      </c>
      <c r="EF328" s="3">
        <v>130</v>
      </c>
      <c r="EG328" s="3" t="s">
        <v>178</v>
      </c>
      <c r="EH328" s="3">
        <v>0</v>
      </c>
      <c r="EI328" s="3" t="s">
        <v>3</v>
      </c>
      <c r="EJ328" s="3">
        <v>3</v>
      </c>
      <c r="EK328" s="3">
        <v>746</v>
      </c>
      <c r="EL328" s="3" t="s">
        <v>179</v>
      </c>
      <c r="EM328" s="3" t="s">
        <v>180</v>
      </c>
      <c r="EO328" s="3" t="s">
        <v>109</v>
      </c>
      <c r="EQ328" s="3">
        <v>2097152</v>
      </c>
      <c r="ER328" s="3">
        <v>2208.4499999999998</v>
      </c>
      <c r="ES328" s="3">
        <v>2208.4499999999998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EZ328" s="3">
        <v>5</v>
      </c>
      <c r="FC328" s="3">
        <v>1</v>
      </c>
      <c r="FD328" s="3">
        <v>18</v>
      </c>
      <c r="FF328" s="3">
        <v>19567</v>
      </c>
      <c r="FQ328" s="3">
        <v>0</v>
      </c>
      <c r="FR328" s="3">
        <f>P328</f>
        <v>16717.97</v>
      </c>
      <c r="FS328" s="3">
        <v>0</v>
      </c>
      <c r="FX328" s="3">
        <v>90</v>
      </c>
      <c r="FY328" s="3">
        <v>46</v>
      </c>
      <c r="GA328" s="3" t="s">
        <v>288</v>
      </c>
      <c r="GD328" s="3">
        <v>1</v>
      </c>
      <c r="GF328" s="3">
        <v>926668405</v>
      </c>
      <c r="GG328" s="3">
        <v>2</v>
      </c>
      <c r="GH328" s="3">
        <v>3</v>
      </c>
      <c r="GI328" s="3">
        <v>5</v>
      </c>
      <c r="GJ328" s="3">
        <v>0</v>
      </c>
      <c r="GK328" s="3">
        <v>0</v>
      </c>
      <c r="GL328" s="3">
        <f t="shared" si="255"/>
        <v>0</v>
      </c>
      <c r="GM328" s="3">
        <f t="shared" si="256"/>
        <v>16717.97</v>
      </c>
      <c r="GN328" s="3">
        <f t="shared" si="257"/>
        <v>0</v>
      </c>
      <c r="GO328" s="3">
        <f t="shared" si="258"/>
        <v>0</v>
      </c>
      <c r="GP328" s="3">
        <f t="shared" si="259"/>
        <v>0</v>
      </c>
      <c r="GR328" s="3">
        <v>1</v>
      </c>
      <c r="GS328" s="3">
        <v>1</v>
      </c>
      <c r="GT328" s="3">
        <v>0</v>
      </c>
      <c r="GU328" s="3" t="s">
        <v>3</v>
      </c>
      <c r="GV328" s="3">
        <f t="shared" si="260"/>
        <v>0</v>
      </c>
      <c r="GW328" s="3">
        <v>1</v>
      </c>
      <c r="GX328" s="3">
        <f t="shared" si="261"/>
        <v>0</v>
      </c>
      <c r="HA328" s="3">
        <v>0</v>
      </c>
      <c r="HB328" s="3">
        <v>0</v>
      </c>
      <c r="HC328" s="3">
        <f t="shared" si="262"/>
        <v>0</v>
      </c>
      <c r="HE328" s="3" t="s">
        <v>40</v>
      </c>
      <c r="HF328" s="3" t="s">
        <v>182</v>
      </c>
      <c r="HM328" s="3" t="s">
        <v>104</v>
      </c>
      <c r="HN328" s="3" t="s">
        <v>3</v>
      </c>
      <c r="HO328" s="3" t="s">
        <v>3</v>
      </c>
      <c r="HP328" s="3" t="s">
        <v>3</v>
      </c>
      <c r="HQ328" s="3" t="s">
        <v>3</v>
      </c>
      <c r="HS328" s="3">
        <v>0</v>
      </c>
      <c r="IK328" s="3">
        <v>0</v>
      </c>
    </row>
    <row r="329" spans="1:255" x14ac:dyDescent="0.25">
      <c r="A329" s="2">
        <v>17</v>
      </c>
      <c r="B329" s="2">
        <v>1</v>
      </c>
      <c r="C329" s="2">
        <f>ROW(SmtRes!A199)</f>
        <v>199</v>
      </c>
      <c r="D329" s="2">
        <f>ROW(EtalonRes!A209)</f>
        <v>209</v>
      </c>
      <c r="E329" s="2" t="s">
        <v>289</v>
      </c>
      <c r="F329" s="2" t="s">
        <v>45</v>
      </c>
      <c r="G329" s="2" t="s">
        <v>204</v>
      </c>
      <c r="H329" s="2" t="s">
        <v>26</v>
      </c>
      <c r="I329" s="2">
        <v>2</v>
      </c>
      <c r="J329" s="2">
        <v>0</v>
      </c>
      <c r="K329" s="2">
        <v>2</v>
      </c>
      <c r="L329" s="2"/>
      <c r="M329" s="2"/>
      <c r="N329" s="2"/>
      <c r="O329" s="2">
        <f t="shared" si="240"/>
        <v>52.32</v>
      </c>
      <c r="P329" s="2">
        <f>ROUND((ROUND((AC329*AW329*I329),2)*BC329),2)</f>
        <v>4.68</v>
      </c>
      <c r="Q329" s="2">
        <f>(ROUND((ROUND((((ET329*1.2))*AV329*I329),2)*BB329),2)+ROUND((ROUND(((AE329-((EU329*1.2)))*AV329*I329),2)*BS329),2))</f>
        <v>0.05</v>
      </c>
      <c r="R329" s="2">
        <f>(ROUND((ROUND((((EU329*1.2))*AV329*I329),2)*BS329),2)+ROUND((ROUND(((AE329-((EU329*1.2)))*AV329*I329),2)*BS329),2))</f>
        <v>0</v>
      </c>
      <c r="S329" s="2">
        <f t="shared" si="241"/>
        <v>47.59</v>
      </c>
      <c r="T329" s="2">
        <f t="shared" si="242"/>
        <v>0</v>
      </c>
      <c r="U329" s="2">
        <f t="shared" si="243"/>
        <v>3.417408</v>
      </c>
      <c r="V329" s="2">
        <f t="shared" si="244"/>
        <v>0</v>
      </c>
      <c r="W329" s="2">
        <f t="shared" si="245"/>
        <v>0</v>
      </c>
      <c r="X329" s="2">
        <f>(ROUND((((S329+ROUND((ROUND((((EU329*1.2))*AV329*I329),2)*BS329),2))*AT329)/100),2)+ROUND(((ROUND((ROUND(((AE329-((EU329*1.2)))*AV329*I329),2)*BS329),2)*AT329)/100),2))</f>
        <v>42.83</v>
      </c>
      <c r="Y329" s="2">
        <f>(ROUND((((S329+ROUND((ROUND((((EU329*1.2))*AV329*I329),2)*BS329),2))*AU329)/100),2)+ROUND(((ROUND((ROUND(((AE329-((EU329*1.2)))*AV329*I329),2)*BS329),2)*AU329)/100),2))</f>
        <v>21.89</v>
      </c>
      <c r="Z329" s="2"/>
      <c r="AA329" s="2">
        <v>57034452</v>
      </c>
      <c r="AB329" s="2">
        <f t="shared" si="246"/>
        <v>25.091999999999999</v>
      </c>
      <c r="AC329" s="2">
        <f>ROUND(((ES329*1)),6)</f>
        <v>2.34</v>
      </c>
      <c r="AD329" s="2">
        <f>ROUND(((((ET329*1.2))-((EU329*1.2)))+AE329),6)</f>
        <v>2.4E-2</v>
      </c>
      <c r="AE329" s="2">
        <f>ROUND(((EU329*1.2)),6)</f>
        <v>0</v>
      </c>
      <c r="AF329" s="2">
        <f>ROUND(((EV329*1.2)),6)</f>
        <v>22.728000000000002</v>
      </c>
      <c r="AG329" s="2">
        <f t="shared" si="247"/>
        <v>0</v>
      </c>
      <c r="AH329" s="2">
        <f>((EW329*1.2))</f>
        <v>1.6320000000000001</v>
      </c>
      <c r="AI329" s="2">
        <f>((EX329*1.2))</f>
        <v>0</v>
      </c>
      <c r="AJ329" s="2">
        <f t="shared" si="248"/>
        <v>0</v>
      </c>
      <c r="AK329" s="2">
        <v>21.3</v>
      </c>
      <c r="AL329" s="2">
        <v>2.34</v>
      </c>
      <c r="AM329" s="2">
        <v>0.02</v>
      </c>
      <c r="AN329" s="2">
        <v>0</v>
      </c>
      <c r="AO329" s="2">
        <v>18.940000000000001</v>
      </c>
      <c r="AP329" s="2">
        <v>0</v>
      </c>
      <c r="AQ329" s="2">
        <v>1.36</v>
      </c>
      <c r="AR329" s="2">
        <v>0</v>
      </c>
      <c r="AS329" s="2">
        <v>0</v>
      </c>
      <c r="AT329" s="2">
        <v>90</v>
      </c>
      <c r="AU329" s="2">
        <v>46</v>
      </c>
      <c r="AV329" s="2">
        <v>1.0469999999999999</v>
      </c>
      <c r="AW329" s="2">
        <v>1</v>
      </c>
      <c r="AX329" s="2"/>
      <c r="AY329" s="2"/>
      <c r="AZ329" s="2">
        <v>1</v>
      </c>
      <c r="BA329" s="2">
        <v>1</v>
      </c>
      <c r="BB329" s="2">
        <v>1</v>
      </c>
      <c r="BC329" s="2">
        <v>1</v>
      </c>
      <c r="BD329" s="2" t="s">
        <v>3</v>
      </c>
      <c r="BE329" s="2" t="s">
        <v>3</v>
      </c>
      <c r="BF329" s="2" t="s">
        <v>3</v>
      </c>
      <c r="BG329" s="2" t="s">
        <v>3</v>
      </c>
      <c r="BH329" s="2">
        <v>0</v>
      </c>
      <c r="BI329" s="2">
        <v>2</v>
      </c>
      <c r="BJ329" s="2" t="s">
        <v>47</v>
      </c>
      <c r="BK329" s="2"/>
      <c r="BL329" s="2"/>
      <c r="BM329" s="2">
        <v>68</v>
      </c>
      <c r="BN329" s="2">
        <v>0</v>
      </c>
      <c r="BO329" s="2" t="s">
        <v>45</v>
      </c>
      <c r="BP329" s="2">
        <v>1</v>
      </c>
      <c r="BQ329" s="2">
        <v>40</v>
      </c>
      <c r="BR329" s="2">
        <v>0</v>
      </c>
      <c r="BS329" s="2">
        <v>1</v>
      </c>
      <c r="BT329" s="2">
        <v>1</v>
      </c>
      <c r="BU329" s="2">
        <v>1</v>
      </c>
      <c r="BV329" s="2">
        <v>1</v>
      </c>
      <c r="BW329" s="2">
        <v>1</v>
      </c>
      <c r="BX329" s="2">
        <v>1</v>
      </c>
      <c r="BY329" s="2" t="s">
        <v>3</v>
      </c>
      <c r="BZ329" s="2">
        <v>90</v>
      </c>
      <c r="CA329" s="2">
        <v>46</v>
      </c>
      <c r="CB329" s="2" t="s">
        <v>3</v>
      </c>
      <c r="CC329" s="2"/>
      <c r="CD329" s="2"/>
      <c r="CE329" s="2">
        <v>1566</v>
      </c>
      <c r="CF329" s="2">
        <v>0</v>
      </c>
      <c r="CG329" s="2">
        <v>0</v>
      </c>
      <c r="CH329" s="2"/>
      <c r="CI329" s="2"/>
      <c r="CJ329" s="2"/>
      <c r="CK329" s="2"/>
      <c r="CL329" s="2"/>
      <c r="CM329" s="2">
        <v>0</v>
      </c>
      <c r="CN329" s="2" t="s">
        <v>614</v>
      </c>
      <c r="CO329" s="2">
        <v>0</v>
      </c>
      <c r="CP329" s="2">
        <f t="shared" si="249"/>
        <v>52.32</v>
      </c>
      <c r="CQ329" s="2">
        <f>ROUND((ROUND((AC329*AW329*1),2)*BC329),2)</f>
        <v>2.34</v>
      </c>
      <c r="CR329" s="2">
        <f>(ROUND((ROUND((((ET329*1.2))*AV329*1),2)*BB329),2)+ROUND((ROUND(((AE329-((EU329*1.2)))*AV329*1),2)*BS329),2))</f>
        <v>0.03</v>
      </c>
      <c r="CS329" s="2">
        <f>(ROUND((ROUND((((EU329*1.2))*AV329*1),2)*BS329),2)+ROUND((ROUND(((AE329-((EU329*1.2)))*AV329*1),2)*BS329),2))</f>
        <v>0</v>
      </c>
      <c r="CT329" s="2">
        <f t="shared" si="250"/>
        <v>23.8</v>
      </c>
      <c r="CU329" s="2">
        <f t="shared" si="251"/>
        <v>0</v>
      </c>
      <c r="CV329" s="2">
        <f t="shared" si="252"/>
        <v>1.708704</v>
      </c>
      <c r="CW329" s="2">
        <f t="shared" si="253"/>
        <v>0</v>
      </c>
      <c r="CX329" s="2">
        <f t="shared" si="254"/>
        <v>0</v>
      </c>
      <c r="CY329" s="2">
        <f>(ROUND((((S329+ROUND((ROUND((((EU329*1.2))*AV329*1),2)*BS329),2))*AT329)/100),2)+ROUND(((ROUND((ROUND(((AE329-((EU329*1.2)))*AV329*1),2)*BS329),2)*AT329)/100),2))</f>
        <v>42.83</v>
      </c>
      <c r="CZ329" s="2">
        <f>(ROUND((((S329+ROUND((ROUND((((EU329*1.2))*AV329*1),2)*BS329),2))*AU329)/100),2)+ROUND(((ROUND((ROUND(((AE329-((EU329*1.2)))*AV329*1),2)*BS329),2)*AU329)/100),2))</f>
        <v>21.89</v>
      </c>
      <c r="DA329" s="2"/>
      <c r="DB329" s="2">
        <v>115</v>
      </c>
      <c r="DC329" s="2" t="s">
        <v>3</v>
      </c>
      <c r="DD329" s="2" t="s">
        <v>104</v>
      </c>
      <c r="DE329" s="2" t="s">
        <v>105</v>
      </c>
      <c r="DF329" s="2" t="s">
        <v>105</v>
      </c>
      <c r="DG329" s="2" t="s">
        <v>105</v>
      </c>
      <c r="DH329" s="2" t="s">
        <v>3</v>
      </c>
      <c r="DI329" s="2" t="s">
        <v>105</v>
      </c>
      <c r="DJ329" s="2" t="s">
        <v>105</v>
      </c>
      <c r="DK329" s="2" t="s">
        <v>3</v>
      </c>
      <c r="DL329" s="2" t="s">
        <v>3</v>
      </c>
      <c r="DM329" s="2" t="s">
        <v>3</v>
      </c>
      <c r="DN329" s="2">
        <v>0</v>
      </c>
      <c r="DO329" s="2">
        <v>0</v>
      </c>
      <c r="DP329" s="2">
        <v>1</v>
      </c>
      <c r="DQ329" s="2">
        <v>1</v>
      </c>
      <c r="DR329" s="2"/>
      <c r="DS329" s="2"/>
      <c r="DT329" s="2"/>
      <c r="DU329" s="2">
        <v>1013</v>
      </c>
      <c r="DV329" s="2" t="s">
        <v>26</v>
      </c>
      <c r="DW329" s="2" t="s">
        <v>26</v>
      </c>
      <c r="DX329" s="2">
        <v>1</v>
      </c>
      <c r="DY329" s="2"/>
      <c r="DZ329" s="2" t="s">
        <v>3</v>
      </c>
      <c r="EA329" s="2" t="s">
        <v>3</v>
      </c>
      <c r="EB329" s="2" t="s">
        <v>3</v>
      </c>
      <c r="EC329" s="2" t="s">
        <v>3</v>
      </c>
      <c r="ED329" s="2"/>
      <c r="EE329" s="2">
        <v>57042958</v>
      </c>
      <c r="EF329" s="2">
        <v>40</v>
      </c>
      <c r="EG329" s="2" t="s">
        <v>30</v>
      </c>
      <c r="EH329" s="2">
        <v>0</v>
      </c>
      <c r="EI329" s="2" t="s">
        <v>3</v>
      </c>
      <c r="EJ329" s="2">
        <v>2</v>
      </c>
      <c r="EK329" s="2">
        <v>68</v>
      </c>
      <c r="EL329" s="2" t="s">
        <v>38</v>
      </c>
      <c r="EM329" s="2" t="s">
        <v>39</v>
      </c>
      <c r="EN329" s="2"/>
      <c r="EO329" s="2" t="s">
        <v>109</v>
      </c>
      <c r="EP329" s="2"/>
      <c r="EQ329" s="2">
        <v>131072</v>
      </c>
      <c r="ER329" s="2">
        <v>21.3</v>
      </c>
      <c r="ES329" s="2">
        <v>2.34</v>
      </c>
      <c r="ET329" s="2">
        <v>0.02</v>
      </c>
      <c r="EU329" s="2">
        <v>0</v>
      </c>
      <c r="EV329" s="2">
        <v>18.940000000000001</v>
      </c>
      <c r="EW329" s="2">
        <v>1.36</v>
      </c>
      <c r="EX329" s="2">
        <v>0</v>
      </c>
      <c r="EY329" s="2">
        <v>0</v>
      </c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>
        <v>0</v>
      </c>
      <c r="FR329" s="2">
        <v>0</v>
      </c>
      <c r="FS329" s="2">
        <v>0</v>
      </c>
      <c r="FT329" s="2"/>
      <c r="FU329" s="2"/>
      <c r="FV329" s="2"/>
      <c r="FW329" s="2"/>
      <c r="FX329" s="2">
        <v>90</v>
      </c>
      <c r="FY329" s="2">
        <v>46</v>
      </c>
      <c r="FZ329" s="2"/>
      <c r="GA329" s="2" t="s">
        <v>3</v>
      </c>
      <c r="GB329" s="2"/>
      <c r="GC329" s="2"/>
      <c r="GD329" s="2">
        <v>1</v>
      </c>
      <c r="GE329" s="2"/>
      <c r="GF329" s="2">
        <v>-635599801</v>
      </c>
      <c r="GG329" s="2">
        <v>2</v>
      </c>
      <c r="GH329" s="2">
        <v>1</v>
      </c>
      <c r="GI329" s="2">
        <v>2</v>
      </c>
      <c r="GJ329" s="2">
        <v>0</v>
      </c>
      <c r="GK329" s="2">
        <v>0</v>
      </c>
      <c r="GL329" s="2">
        <f t="shared" si="255"/>
        <v>0</v>
      </c>
      <c r="GM329" s="2">
        <f t="shared" si="256"/>
        <v>117.04</v>
      </c>
      <c r="GN329" s="2">
        <f t="shared" si="257"/>
        <v>0</v>
      </c>
      <c r="GO329" s="2">
        <f t="shared" si="258"/>
        <v>117.04</v>
      </c>
      <c r="GP329" s="2">
        <f t="shared" si="259"/>
        <v>0</v>
      </c>
      <c r="GQ329" s="2"/>
      <c r="GR329" s="2">
        <v>0</v>
      </c>
      <c r="GS329" s="2">
        <v>3</v>
      </c>
      <c r="GT329" s="2">
        <v>0</v>
      </c>
      <c r="GU329" s="2" t="s">
        <v>3</v>
      </c>
      <c r="GV329" s="2">
        <f t="shared" si="260"/>
        <v>0</v>
      </c>
      <c r="GW329" s="2">
        <v>1</v>
      </c>
      <c r="GX329" s="2">
        <f t="shared" si="261"/>
        <v>0</v>
      </c>
      <c r="GY329" s="2"/>
      <c r="GZ329" s="2"/>
      <c r="HA329" s="2">
        <v>0</v>
      </c>
      <c r="HB329" s="2">
        <v>0</v>
      </c>
      <c r="HC329" s="2">
        <f t="shared" si="262"/>
        <v>0</v>
      </c>
      <c r="HD329" s="2"/>
      <c r="HE329" s="2" t="s">
        <v>3</v>
      </c>
      <c r="HF329" s="2" t="s">
        <v>3</v>
      </c>
      <c r="HG329" s="2"/>
      <c r="HH329" s="2"/>
      <c r="HI329" s="2"/>
      <c r="HJ329" s="2"/>
      <c r="HK329" s="2"/>
      <c r="HL329" s="2"/>
      <c r="HM329" s="2" t="s">
        <v>3</v>
      </c>
      <c r="HN329" s="2" t="s">
        <v>3</v>
      </c>
      <c r="HO329" s="2" t="s">
        <v>3</v>
      </c>
      <c r="HP329" s="2" t="s">
        <v>3</v>
      </c>
      <c r="HQ329" s="2" t="s">
        <v>3</v>
      </c>
      <c r="HR329" s="2"/>
      <c r="HS329" s="2">
        <v>0</v>
      </c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>
        <v>0</v>
      </c>
      <c r="IL329" s="2"/>
      <c r="IM329" s="2"/>
      <c r="IN329" s="2"/>
      <c r="IO329" s="2"/>
      <c r="IP329" s="2"/>
      <c r="IQ329" s="2"/>
      <c r="IR329" s="2"/>
      <c r="IS329" s="2"/>
      <c r="IT329" s="2"/>
      <c r="IU329" s="2"/>
    </row>
    <row r="330" spans="1:255" x14ac:dyDescent="0.25">
      <c r="A330" s="3">
        <v>17</v>
      </c>
      <c r="B330" s="3">
        <v>1</v>
      </c>
      <c r="C330" s="3">
        <f>ROW(SmtRes!A206)</f>
        <v>206</v>
      </c>
      <c r="D330" s="3">
        <f>ROW(EtalonRes!A216)</f>
        <v>216</v>
      </c>
      <c r="E330" s="3" t="s">
        <v>289</v>
      </c>
      <c r="F330" s="3" t="s">
        <v>45</v>
      </c>
      <c r="G330" s="3" t="s">
        <v>204</v>
      </c>
      <c r="H330" s="3" t="s">
        <v>26</v>
      </c>
      <c r="I330" s="3">
        <v>2</v>
      </c>
      <c r="J330" s="3">
        <v>0</v>
      </c>
      <c r="K330" s="3">
        <v>2</v>
      </c>
      <c r="O330" s="3">
        <f t="shared" si="240"/>
        <v>2730.17</v>
      </c>
      <c r="P330" s="3">
        <f>ROUND((ROUND((AC330*AW330*I330),2)*BC330),2)</f>
        <v>47.92</v>
      </c>
      <c r="Q330" s="3">
        <f>(ROUND((ROUND((((ET330*1.2))*AV330*I330),2)*BB330),2)+ROUND((ROUND(((AE330-((EU330*1.2)))*AV330*I330),2)*BS330),2))</f>
        <v>0.55000000000000004</v>
      </c>
      <c r="R330" s="3">
        <f>(ROUND((ROUND((((EU330*1.2))*AV330*I330),2)*BS330),2)+ROUND((ROUND(((AE330-((EU330*1.2)))*AV330*I330),2)*BS330),2))</f>
        <v>0</v>
      </c>
      <c r="S330" s="3">
        <f t="shared" si="241"/>
        <v>2681.7</v>
      </c>
      <c r="T330" s="3">
        <f t="shared" si="242"/>
        <v>0</v>
      </c>
      <c r="U330" s="3">
        <f t="shared" si="243"/>
        <v>3.417408</v>
      </c>
      <c r="V330" s="3">
        <f t="shared" si="244"/>
        <v>0</v>
      </c>
      <c r="W330" s="3">
        <f t="shared" si="245"/>
        <v>0</v>
      </c>
      <c r="X330" s="3">
        <f>(ROUND((((S330+ROUND((ROUND((((EU330*1.2))*AV330*I330),2)*BS330),2))*AT330)/100),2)+ROUND(((ROUND((ROUND(((AE330-((EU330*1.2)))*AV330*I330),2)*BS330),2)*AT330)/100),2))</f>
        <v>2413.5300000000002</v>
      </c>
      <c r="Y330" s="3">
        <f>(ROUND((((S330+ROUND((ROUND((((EU330*1.2))*AV330*I330),2)*BS330),2))*AU330)/100),2)+ROUND(((ROUND((ROUND(((AE330-((EU330*1.2)))*AV330*I330),2)*BS330),2)*AU330)/100),2))</f>
        <v>1233.58</v>
      </c>
      <c r="AA330" s="3">
        <v>57034454</v>
      </c>
      <c r="AB330" s="3">
        <f t="shared" si="246"/>
        <v>25.091999999999999</v>
      </c>
      <c r="AC330" s="3">
        <f>ROUND(((ES330*1)),6)</f>
        <v>2.34</v>
      </c>
      <c r="AD330" s="3">
        <f>ROUND(((((ET330*1.2))-((EU330*1.2)))+AE330),6)</f>
        <v>2.4E-2</v>
      </c>
      <c r="AE330" s="3">
        <f>ROUND(((EU330*1.2)),6)</f>
        <v>0</v>
      </c>
      <c r="AF330" s="3">
        <f>ROUND(((EV330*1.2)),6)</f>
        <v>22.728000000000002</v>
      </c>
      <c r="AG330" s="3">
        <f t="shared" si="247"/>
        <v>0</v>
      </c>
      <c r="AH330" s="3">
        <f>((EW330*1.2))</f>
        <v>1.6320000000000001</v>
      </c>
      <c r="AI330" s="3">
        <f>((EX330*1.2))</f>
        <v>0</v>
      </c>
      <c r="AJ330" s="3">
        <f t="shared" si="248"/>
        <v>0</v>
      </c>
      <c r="AK330" s="3">
        <v>21.3</v>
      </c>
      <c r="AL330" s="3">
        <v>2.34</v>
      </c>
      <c r="AM330" s="3">
        <v>0.02</v>
      </c>
      <c r="AN330" s="3">
        <v>0</v>
      </c>
      <c r="AO330" s="3">
        <v>18.940000000000001</v>
      </c>
      <c r="AP330" s="3">
        <v>0</v>
      </c>
      <c r="AQ330" s="3">
        <v>1.36</v>
      </c>
      <c r="AR330" s="3">
        <v>0</v>
      </c>
      <c r="AS330" s="3">
        <v>0</v>
      </c>
      <c r="AT330" s="3">
        <v>90</v>
      </c>
      <c r="AU330" s="3">
        <v>46</v>
      </c>
      <c r="AV330" s="3">
        <v>1.0469999999999999</v>
      </c>
      <c r="AW330" s="3">
        <v>1</v>
      </c>
      <c r="AZ330" s="3">
        <v>1</v>
      </c>
      <c r="BA330" s="3">
        <v>56.35</v>
      </c>
      <c r="BB330" s="3">
        <v>11</v>
      </c>
      <c r="BC330" s="3">
        <v>10.24</v>
      </c>
      <c r="BD330" s="3" t="s">
        <v>3</v>
      </c>
      <c r="BE330" s="3" t="s">
        <v>3</v>
      </c>
      <c r="BF330" s="3" t="s">
        <v>3</v>
      </c>
      <c r="BG330" s="3" t="s">
        <v>3</v>
      </c>
      <c r="BH330" s="3">
        <v>0</v>
      </c>
      <c r="BI330" s="3">
        <v>2</v>
      </c>
      <c r="BJ330" s="3" t="s">
        <v>47</v>
      </c>
      <c r="BM330" s="3">
        <v>68</v>
      </c>
      <c r="BN330" s="3">
        <v>0</v>
      </c>
      <c r="BO330" s="3" t="s">
        <v>45</v>
      </c>
      <c r="BP330" s="3">
        <v>1</v>
      </c>
      <c r="BQ330" s="3">
        <v>40</v>
      </c>
      <c r="BR330" s="3">
        <v>0</v>
      </c>
      <c r="BS330" s="3">
        <v>56.35</v>
      </c>
      <c r="BT330" s="3">
        <v>1</v>
      </c>
      <c r="BU330" s="3">
        <v>1</v>
      </c>
      <c r="BV330" s="3">
        <v>1</v>
      </c>
      <c r="BW330" s="3">
        <v>1</v>
      </c>
      <c r="BX330" s="3">
        <v>1</v>
      </c>
      <c r="BY330" s="3" t="s">
        <v>3</v>
      </c>
      <c r="BZ330" s="3">
        <v>90</v>
      </c>
      <c r="CA330" s="3">
        <v>46</v>
      </c>
      <c r="CB330" s="3" t="s">
        <v>3</v>
      </c>
      <c r="CE330" s="3">
        <v>1566</v>
      </c>
      <c r="CF330" s="3">
        <v>0</v>
      </c>
      <c r="CG330" s="3">
        <v>0</v>
      </c>
      <c r="CM330" s="3">
        <v>0</v>
      </c>
      <c r="CN330" s="3" t="s">
        <v>614</v>
      </c>
      <c r="CO330" s="3">
        <v>0</v>
      </c>
      <c r="CP330" s="3">
        <f t="shared" si="249"/>
        <v>2730.1699999999996</v>
      </c>
      <c r="CQ330" s="3">
        <f>ROUND((ROUND((AC330*AW330*1),2)*BC330),2)</f>
        <v>23.96</v>
      </c>
      <c r="CR330" s="3">
        <f>(ROUND((ROUND((((ET330*1.2))*AV330*1),2)*BB330),2)+ROUND((ROUND(((AE330-((EU330*1.2)))*AV330*1),2)*BS330),2))</f>
        <v>0.33</v>
      </c>
      <c r="CS330" s="3">
        <f>(ROUND((ROUND((((EU330*1.2))*AV330*1),2)*BS330),2)+ROUND((ROUND(((AE330-((EU330*1.2)))*AV330*1),2)*BS330),2))</f>
        <v>0</v>
      </c>
      <c r="CT330" s="3">
        <f t="shared" si="250"/>
        <v>1341.13</v>
      </c>
      <c r="CU330" s="3">
        <f t="shared" si="251"/>
        <v>0</v>
      </c>
      <c r="CV330" s="3">
        <f t="shared" si="252"/>
        <v>1.708704</v>
      </c>
      <c r="CW330" s="3">
        <f t="shared" si="253"/>
        <v>0</v>
      </c>
      <c r="CX330" s="3">
        <f t="shared" si="254"/>
        <v>0</v>
      </c>
      <c r="CY330" s="3">
        <f>(ROUND((((S330+ROUND((ROUND((((EU330*1.2))*AV330*1),2)*BS330),2))*AT330)/100),2)+ROUND(((ROUND((ROUND(((AE330-((EU330*1.2)))*AV330*1),2)*BS330),2)*AT330)/100),2))</f>
        <v>2413.5300000000002</v>
      </c>
      <c r="CZ330" s="3">
        <f>(ROUND((((S330+ROUND((ROUND((((EU330*1.2))*AV330*1),2)*BS330),2))*AU330)/100),2)+ROUND(((ROUND((ROUND(((AE330-((EU330*1.2)))*AV330*1),2)*BS330),2)*AU330)/100),2))</f>
        <v>1233.58</v>
      </c>
      <c r="DB330" s="3">
        <v>116</v>
      </c>
      <c r="DC330" s="3" t="s">
        <v>3</v>
      </c>
      <c r="DD330" s="3" t="s">
        <v>104</v>
      </c>
      <c r="DE330" s="3" t="s">
        <v>105</v>
      </c>
      <c r="DF330" s="3" t="s">
        <v>105</v>
      </c>
      <c r="DG330" s="3" t="s">
        <v>105</v>
      </c>
      <c r="DH330" s="3" t="s">
        <v>3</v>
      </c>
      <c r="DI330" s="3" t="s">
        <v>105</v>
      </c>
      <c r="DJ330" s="3" t="s">
        <v>105</v>
      </c>
      <c r="DK330" s="3" t="s">
        <v>3</v>
      </c>
      <c r="DL330" s="3" t="s">
        <v>3</v>
      </c>
      <c r="DM330" s="3" t="s">
        <v>3</v>
      </c>
      <c r="DN330" s="3">
        <v>0</v>
      </c>
      <c r="DO330" s="3">
        <v>0</v>
      </c>
      <c r="DP330" s="3">
        <v>1</v>
      </c>
      <c r="DQ330" s="3">
        <v>1</v>
      </c>
      <c r="DU330" s="3">
        <v>1013</v>
      </c>
      <c r="DV330" s="3" t="s">
        <v>26</v>
      </c>
      <c r="DW330" s="3" t="s">
        <v>26</v>
      </c>
      <c r="DX330" s="3">
        <v>1</v>
      </c>
      <c r="DZ330" s="3" t="s">
        <v>3</v>
      </c>
      <c r="EA330" s="3" t="s">
        <v>3</v>
      </c>
      <c r="EB330" s="3" t="s">
        <v>3</v>
      </c>
      <c r="EC330" s="3" t="s">
        <v>3</v>
      </c>
      <c r="EE330" s="3">
        <v>57042958</v>
      </c>
      <c r="EF330" s="3">
        <v>40</v>
      </c>
      <c r="EG330" s="3" t="s">
        <v>30</v>
      </c>
      <c r="EH330" s="3">
        <v>0</v>
      </c>
      <c r="EI330" s="3" t="s">
        <v>3</v>
      </c>
      <c r="EJ330" s="3">
        <v>2</v>
      </c>
      <c r="EK330" s="3">
        <v>68</v>
      </c>
      <c r="EL330" s="3" t="s">
        <v>38</v>
      </c>
      <c r="EM330" s="3" t="s">
        <v>39</v>
      </c>
      <c r="EO330" s="3" t="s">
        <v>109</v>
      </c>
      <c r="EQ330" s="3">
        <v>131072</v>
      </c>
      <c r="ER330" s="3">
        <v>21.3</v>
      </c>
      <c r="ES330" s="3">
        <v>2.34</v>
      </c>
      <c r="ET330" s="3">
        <v>0.02</v>
      </c>
      <c r="EU330" s="3">
        <v>0</v>
      </c>
      <c r="EV330" s="3">
        <v>18.940000000000001</v>
      </c>
      <c r="EW330" s="3">
        <v>1.36</v>
      </c>
      <c r="EX330" s="3">
        <v>0</v>
      </c>
      <c r="EY330" s="3">
        <v>0</v>
      </c>
      <c r="FQ330" s="3">
        <v>0</v>
      </c>
      <c r="FR330" s="3">
        <v>0</v>
      </c>
      <c r="FS330" s="3">
        <v>0</v>
      </c>
      <c r="FX330" s="3">
        <v>90</v>
      </c>
      <c r="FY330" s="3">
        <v>46</v>
      </c>
      <c r="GA330" s="3" t="s">
        <v>3</v>
      </c>
      <c r="GD330" s="3">
        <v>1</v>
      </c>
      <c r="GF330" s="3">
        <v>-635599801</v>
      </c>
      <c r="GG330" s="3">
        <v>2</v>
      </c>
      <c r="GH330" s="3">
        <v>1</v>
      </c>
      <c r="GI330" s="3">
        <v>2</v>
      </c>
      <c r="GJ330" s="3">
        <v>0</v>
      </c>
      <c r="GK330" s="3">
        <v>0</v>
      </c>
      <c r="GL330" s="3">
        <f t="shared" si="255"/>
        <v>0</v>
      </c>
      <c r="GM330" s="3">
        <f t="shared" si="256"/>
        <v>6377.28</v>
      </c>
      <c r="GN330" s="3">
        <f t="shared" si="257"/>
        <v>0</v>
      </c>
      <c r="GO330" s="3">
        <f t="shared" si="258"/>
        <v>6377.28</v>
      </c>
      <c r="GP330" s="3">
        <f t="shared" si="259"/>
        <v>0</v>
      </c>
      <c r="GR330" s="3">
        <v>0</v>
      </c>
      <c r="GS330" s="3">
        <v>3</v>
      </c>
      <c r="GT330" s="3">
        <v>0</v>
      </c>
      <c r="GU330" s="3" t="s">
        <v>3</v>
      </c>
      <c r="GV330" s="3">
        <f t="shared" si="260"/>
        <v>0</v>
      </c>
      <c r="GW330" s="3">
        <v>1</v>
      </c>
      <c r="GX330" s="3">
        <f t="shared" si="261"/>
        <v>0</v>
      </c>
      <c r="HA330" s="3">
        <v>0</v>
      </c>
      <c r="HB330" s="3">
        <v>0</v>
      </c>
      <c r="HC330" s="3">
        <f t="shared" si="262"/>
        <v>0</v>
      </c>
      <c r="HE330" s="3" t="s">
        <v>3</v>
      </c>
      <c r="HF330" s="3" t="s">
        <v>3</v>
      </c>
      <c r="HM330" s="3" t="s">
        <v>3</v>
      </c>
      <c r="HN330" s="3" t="s">
        <v>3</v>
      </c>
      <c r="HO330" s="3" t="s">
        <v>3</v>
      </c>
      <c r="HP330" s="3" t="s">
        <v>3</v>
      </c>
      <c r="HQ330" s="3" t="s">
        <v>3</v>
      </c>
      <c r="HS330" s="3">
        <v>0</v>
      </c>
      <c r="IK330" s="3">
        <v>0</v>
      </c>
    </row>
    <row r="331" spans="1:255" x14ac:dyDescent="0.25">
      <c r="A331" s="2">
        <v>18</v>
      </c>
      <c r="B331" s="2">
        <v>1</v>
      </c>
      <c r="C331" s="2">
        <v>199</v>
      </c>
      <c r="D331" s="2"/>
      <c r="E331" s="2" t="s">
        <v>290</v>
      </c>
      <c r="F331" s="2" t="s">
        <v>210</v>
      </c>
      <c r="G331" s="2" t="s">
        <v>211</v>
      </c>
      <c r="H331" s="2" t="s">
        <v>177</v>
      </c>
      <c r="I331" s="2">
        <f>I329*J331</f>
        <v>2</v>
      </c>
      <c r="J331" s="2">
        <v>1</v>
      </c>
      <c r="K331" s="2">
        <v>1</v>
      </c>
      <c r="L331" s="2"/>
      <c r="M331" s="2"/>
      <c r="N331" s="2"/>
      <c r="O331" s="2">
        <f t="shared" si="240"/>
        <v>1874.94</v>
      </c>
      <c r="P331" s="2">
        <f>ROUND((ROUND((AC331*AW331*I331),2)*BC331),2)</f>
        <v>1874.94</v>
      </c>
      <c r="Q331" s="2">
        <f>(ROUND((ROUND(((ET331)*AV331*I331),2)*BB331),2)+ROUND((ROUND(((AE331-(EU331))*AV331*I331),2)*BS331),2))</f>
        <v>0</v>
      </c>
      <c r="R331" s="2">
        <f>(ROUND((ROUND(((EU331)*AV331*I331),2)*BS331),2)+ROUND((ROUND(((AE331-(EU331))*AV331*I331),2)*BS331),2))</f>
        <v>0</v>
      </c>
      <c r="S331" s="2">
        <f t="shared" si="241"/>
        <v>0</v>
      </c>
      <c r="T331" s="2">
        <f t="shared" si="242"/>
        <v>0</v>
      </c>
      <c r="U331" s="2">
        <f t="shared" si="243"/>
        <v>0</v>
      </c>
      <c r="V331" s="2">
        <f t="shared" si="244"/>
        <v>0</v>
      </c>
      <c r="W331" s="2">
        <f t="shared" si="245"/>
        <v>0</v>
      </c>
      <c r="X331" s="2">
        <f>(ROUND((((S331+ROUND((ROUND(((EU331)*AV331*I331),2)*BS331),2))*AT331)/100),2)+ROUND(((ROUND((ROUND(((AE331-(EU331))*AV331*I331),2)*BS331),2)*AT331)/100),2))</f>
        <v>0</v>
      </c>
      <c r="Y331" s="2">
        <f>(ROUND((((S331+ROUND((ROUND(((EU331)*AV331*I331),2)*BS331),2))*AU331)/100),2)+ROUND(((ROUND((ROUND(((AE331-(EU331))*AV331*I331),2)*BS331),2)*AU331)/100),2))</f>
        <v>0</v>
      </c>
      <c r="Z331" s="2"/>
      <c r="AA331" s="2">
        <v>57034452</v>
      </c>
      <c r="AB331" s="2">
        <f t="shared" si="246"/>
        <v>937.47</v>
      </c>
      <c r="AC331" s="2">
        <f>ROUND((ES331),6)</f>
        <v>937.47</v>
      </c>
      <c r="AD331" s="2">
        <f>ROUND((((ET331)-(EU331))+AE331),6)</f>
        <v>0</v>
      </c>
      <c r="AE331" s="2">
        <f>ROUND((EU331),6)</f>
        <v>0</v>
      </c>
      <c r="AF331" s="2">
        <f>ROUND((EV331),6)</f>
        <v>0</v>
      </c>
      <c r="AG331" s="2">
        <f t="shared" si="247"/>
        <v>0</v>
      </c>
      <c r="AH331" s="2">
        <f>(EW331)</f>
        <v>0</v>
      </c>
      <c r="AI331" s="2">
        <f>(EX331)</f>
        <v>0</v>
      </c>
      <c r="AJ331" s="2">
        <f t="shared" si="248"/>
        <v>0</v>
      </c>
      <c r="AK331" s="2">
        <v>937.47</v>
      </c>
      <c r="AL331" s="2">
        <v>937.47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90</v>
      </c>
      <c r="AU331" s="2">
        <v>46</v>
      </c>
      <c r="AV331" s="2">
        <v>1</v>
      </c>
      <c r="AW331" s="2">
        <v>1</v>
      </c>
      <c r="AX331" s="2"/>
      <c r="AY331" s="2"/>
      <c r="AZ331" s="2">
        <v>1</v>
      </c>
      <c r="BA331" s="2">
        <v>1</v>
      </c>
      <c r="BB331" s="2">
        <v>1</v>
      </c>
      <c r="BC331" s="2">
        <v>1</v>
      </c>
      <c r="BD331" s="2" t="s">
        <v>3</v>
      </c>
      <c r="BE331" s="2" t="s">
        <v>3</v>
      </c>
      <c r="BF331" s="2" t="s">
        <v>3</v>
      </c>
      <c r="BG331" s="2" t="s">
        <v>3</v>
      </c>
      <c r="BH331" s="2">
        <v>3</v>
      </c>
      <c r="BI331" s="2">
        <v>3</v>
      </c>
      <c r="BJ331" s="2" t="s">
        <v>3</v>
      </c>
      <c r="BK331" s="2"/>
      <c r="BL331" s="2"/>
      <c r="BM331" s="2">
        <v>68</v>
      </c>
      <c r="BN331" s="2">
        <v>0</v>
      </c>
      <c r="BO331" s="2" t="s">
        <v>3</v>
      </c>
      <c r="BP331" s="2">
        <v>0</v>
      </c>
      <c r="BQ331" s="2">
        <v>40</v>
      </c>
      <c r="BR331" s="2">
        <v>0</v>
      </c>
      <c r="BS331" s="2">
        <v>1</v>
      </c>
      <c r="BT331" s="2">
        <v>1</v>
      </c>
      <c r="BU331" s="2">
        <v>1</v>
      </c>
      <c r="BV331" s="2">
        <v>1</v>
      </c>
      <c r="BW331" s="2">
        <v>1</v>
      </c>
      <c r="BX331" s="2">
        <v>1</v>
      </c>
      <c r="BY331" s="2" t="s">
        <v>3</v>
      </c>
      <c r="BZ331" s="2">
        <v>90</v>
      </c>
      <c r="CA331" s="2">
        <v>46</v>
      </c>
      <c r="CB331" s="2" t="s">
        <v>3</v>
      </c>
      <c r="CC331" s="2"/>
      <c r="CD331" s="2"/>
      <c r="CE331" s="2">
        <v>1566</v>
      </c>
      <c r="CF331" s="2">
        <v>0</v>
      </c>
      <c r="CG331" s="2">
        <v>0</v>
      </c>
      <c r="CH331" s="2"/>
      <c r="CI331" s="2"/>
      <c r="CJ331" s="2"/>
      <c r="CK331" s="2"/>
      <c r="CL331" s="2"/>
      <c r="CM331" s="2">
        <v>0</v>
      </c>
      <c r="CN331" s="2" t="s">
        <v>615</v>
      </c>
      <c r="CO331" s="2">
        <v>0</v>
      </c>
      <c r="CP331" s="2">
        <f t="shared" si="249"/>
        <v>1874.94</v>
      </c>
      <c r="CQ331" s="2">
        <f>ROUND((ROUND((AC331*AW331*1),2)*BC331),2)</f>
        <v>937.47</v>
      </c>
      <c r="CR331" s="2">
        <f>(ROUND((ROUND(((ET331)*AV331*1),2)*BB331),2)+ROUND((ROUND(((AE331-(EU331))*AV331*1),2)*BS331),2))</f>
        <v>0</v>
      </c>
      <c r="CS331" s="2">
        <f>(ROUND((ROUND(((EU331)*AV331*1),2)*BS331),2)+ROUND((ROUND(((AE331-(EU331))*AV331*1),2)*BS331),2))</f>
        <v>0</v>
      </c>
      <c r="CT331" s="2">
        <f t="shared" si="250"/>
        <v>0</v>
      </c>
      <c r="CU331" s="2">
        <f t="shared" si="251"/>
        <v>0</v>
      </c>
      <c r="CV331" s="2">
        <f t="shared" si="252"/>
        <v>0</v>
      </c>
      <c r="CW331" s="2">
        <f t="shared" si="253"/>
        <v>0</v>
      </c>
      <c r="CX331" s="2">
        <f t="shared" si="254"/>
        <v>0</v>
      </c>
      <c r="CY331" s="2">
        <f>(ROUND((((S331+ROUND((ROUND(((EU331)*AV331*1),2)*BS331),2))*AT331)/100),2)+ROUND(((ROUND((ROUND(((AE331-(EU331))*AV331*1),2)*BS331),2)*AT331)/100),2))</f>
        <v>0</v>
      </c>
      <c r="CZ331" s="2">
        <f>(ROUND((((S331+ROUND((ROUND(((EU331)*AV331*1),2)*BS331),2))*AU331)/100),2)+ROUND(((ROUND((ROUND(((AE331-(EU331))*AV331*1),2)*BS331),2)*AU331)/100),2))</f>
        <v>0</v>
      </c>
      <c r="DA331" s="2"/>
      <c r="DB331" s="2"/>
      <c r="DC331" s="2" t="s">
        <v>3</v>
      </c>
      <c r="DD331" s="2" t="s">
        <v>3</v>
      </c>
      <c r="DE331" s="2" t="s">
        <v>3</v>
      </c>
      <c r="DF331" s="2" t="s">
        <v>3</v>
      </c>
      <c r="DG331" s="2" t="s">
        <v>3</v>
      </c>
      <c r="DH331" s="2" t="s">
        <v>3</v>
      </c>
      <c r="DI331" s="2" t="s">
        <v>3</v>
      </c>
      <c r="DJ331" s="2" t="s">
        <v>3</v>
      </c>
      <c r="DK331" s="2" t="s">
        <v>3</v>
      </c>
      <c r="DL331" s="2" t="s">
        <v>3</v>
      </c>
      <c r="DM331" s="2" t="s">
        <v>3</v>
      </c>
      <c r="DN331" s="2">
        <v>0</v>
      </c>
      <c r="DO331" s="2">
        <v>0</v>
      </c>
      <c r="DP331" s="2">
        <v>1</v>
      </c>
      <c r="DQ331" s="2">
        <v>1</v>
      </c>
      <c r="DR331" s="2"/>
      <c r="DS331" s="2"/>
      <c r="DT331" s="2"/>
      <c r="DU331" s="2">
        <v>1010</v>
      </c>
      <c r="DV331" s="2" t="s">
        <v>177</v>
      </c>
      <c r="DW331" s="2" t="s">
        <v>177</v>
      </c>
      <c r="DX331" s="2">
        <v>1</v>
      </c>
      <c r="DY331" s="2"/>
      <c r="DZ331" s="2" t="s">
        <v>3</v>
      </c>
      <c r="EA331" s="2" t="s">
        <v>3</v>
      </c>
      <c r="EB331" s="2" t="s">
        <v>3</v>
      </c>
      <c r="EC331" s="2" t="s">
        <v>3</v>
      </c>
      <c r="ED331" s="2"/>
      <c r="EE331" s="2">
        <v>57042958</v>
      </c>
      <c r="EF331" s="2">
        <v>40</v>
      </c>
      <c r="EG331" s="2" t="s">
        <v>30</v>
      </c>
      <c r="EH331" s="2">
        <v>0</v>
      </c>
      <c r="EI331" s="2" t="s">
        <v>3</v>
      </c>
      <c r="EJ331" s="2">
        <v>2</v>
      </c>
      <c r="EK331" s="2">
        <v>68</v>
      </c>
      <c r="EL331" s="2" t="s">
        <v>38</v>
      </c>
      <c r="EM331" s="2" t="s">
        <v>39</v>
      </c>
      <c r="EN331" s="2"/>
      <c r="EO331" s="2" t="s">
        <v>109</v>
      </c>
      <c r="EP331" s="2"/>
      <c r="EQ331" s="2">
        <v>2097152</v>
      </c>
      <c r="ER331" s="2">
        <v>0</v>
      </c>
      <c r="ES331" s="2">
        <v>937.47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>
        <v>0</v>
      </c>
      <c r="FR331" s="2">
        <f>P331</f>
        <v>1874.94</v>
      </c>
      <c r="FS331" s="2">
        <v>0</v>
      </c>
      <c r="FT331" s="2"/>
      <c r="FU331" s="2"/>
      <c r="FV331" s="2"/>
      <c r="FW331" s="2"/>
      <c r="FX331" s="2">
        <v>90</v>
      </c>
      <c r="FY331" s="2">
        <v>46</v>
      </c>
      <c r="FZ331" s="2"/>
      <c r="GA331" s="2" t="s">
        <v>212</v>
      </c>
      <c r="GB331" s="2"/>
      <c r="GC331" s="2"/>
      <c r="GD331" s="2">
        <v>1</v>
      </c>
      <c r="GE331" s="2"/>
      <c r="GF331" s="2">
        <v>1195178825</v>
      </c>
      <c r="GG331" s="2">
        <v>2</v>
      </c>
      <c r="GH331" s="2">
        <v>4</v>
      </c>
      <c r="GI331" s="2">
        <v>-2</v>
      </c>
      <c r="GJ331" s="2">
        <v>0</v>
      </c>
      <c r="GK331" s="2">
        <v>0</v>
      </c>
      <c r="GL331" s="2">
        <f t="shared" si="255"/>
        <v>0</v>
      </c>
      <c r="GM331" s="2">
        <f t="shared" si="256"/>
        <v>1874.94</v>
      </c>
      <c r="GN331" s="2">
        <f t="shared" si="257"/>
        <v>0</v>
      </c>
      <c r="GO331" s="2">
        <f t="shared" si="258"/>
        <v>0</v>
      </c>
      <c r="GP331" s="2">
        <f t="shared" si="259"/>
        <v>0</v>
      </c>
      <c r="GQ331" s="2"/>
      <c r="GR331" s="2">
        <v>0</v>
      </c>
      <c r="GS331" s="2">
        <v>2</v>
      </c>
      <c r="GT331" s="2">
        <v>0</v>
      </c>
      <c r="GU331" s="2" t="s">
        <v>3</v>
      </c>
      <c r="GV331" s="2">
        <f t="shared" si="260"/>
        <v>0</v>
      </c>
      <c r="GW331" s="2">
        <v>1</v>
      </c>
      <c r="GX331" s="2">
        <f t="shared" si="261"/>
        <v>0</v>
      </c>
      <c r="GY331" s="2"/>
      <c r="GZ331" s="2"/>
      <c r="HA331" s="2">
        <v>0</v>
      </c>
      <c r="HB331" s="2">
        <v>0</v>
      </c>
      <c r="HC331" s="2">
        <f t="shared" si="262"/>
        <v>0</v>
      </c>
      <c r="HD331" s="2"/>
      <c r="HE331" s="2" t="s">
        <v>40</v>
      </c>
      <c r="HF331" s="2" t="s">
        <v>182</v>
      </c>
      <c r="HG331" s="2"/>
      <c r="HH331" s="2"/>
      <c r="HI331" s="2"/>
      <c r="HJ331" s="2"/>
      <c r="HK331" s="2"/>
      <c r="HL331" s="2"/>
      <c r="HM331" s="2" t="s">
        <v>104</v>
      </c>
      <c r="HN331" s="2" t="s">
        <v>3</v>
      </c>
      <c r="HO331" s="2" t="s">
        <v>3</v>
      </c>
      <c r="HP331" s="2" t="s">
        <v>3</v>
      </c>
      <c r="HQ331" s="2" t="s">
        <v>3</v>
      </c>
      <c r="HR331" s="2"/>
      <c r="HS331" s="2">
        <v>0</v>
      </c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>
        <v>0</v>
      </c>
      <c r="IL331" s="2"/>
      <c r="IM331" s="2"/>
      <c r="IN331" s="2"/>
      <c r="IO331" s="2"/>
      <c r="IP331" s="2"/>
      <c r="IQ331" s="2"/>
      <c r="IR331" s="2"/>
      <c r="IS331" s="2"/>
      <c r="IT331" s="2"/>
      <c r="IU331" s="2"/>
    </row>
    <row r="332" spans="1:255" x14ac:dyDescent="0.25">
      <c r="A332" s="3">
        <v>18</v>
      </c>
      <c r="B332" s="3">
        <v>1</v>
      </c>
      <c r="C332" s="3">
        <v>206</v>
      </c>
      <c r="E332" s="3" t="s">
        <v>290</v>
      </c>
      <c r="F332" s="3" t="s">
        <v>210</v>
      </c>
      <c r="G332" s="3" t="s">
        <v>211</v>
      </c>
      <c r="H332" s="3" t="s">
        <v>177</v>
      </c>
      <c r="I332" s="3">
        <f>I330*J332</f>
        <v>2</v>
      </c>
      <c r="J332" s="3">
        <v>1</v>
      </c>
      <c r="K332" s="3">
        <v>1</v>
      </c>
      <c r="O332" s="3">
        <f t="shared" si="240"/>
        <v>14193.3</v>
      </c>
      <c r="P332" s="3">
        <f>ROUND((ROUND((AC332*AW332*I332),2)*BC332),2)</f>
        <v>14193.3</v>
      </c>
      <c r="Q332" s="3">
        <f>(ROUND((ROUND(((ET332)*AV332*I332),2)*BB332),2)+ROUND((ROUND(((AE332-(EU332))*AV332*I332),2)*BS332),2))</f>
        <v>0</v>
      </c>
      <c r="R332" s="3">
        <f>(ROUND((ROUND(((EU332)*AV332*I332),2)*BS332),2)+ROUND((ROUND(((AE332-(EU332))*AV332*I332),2)*BS332),2))</f>
        <v>0</v>
      </c>
      <c r="S332" s="3">
        <f t="shared" si="241"/>
        <v>0</v>
      </c>
      <c r="T332" s="3">
        <f t="shared" si="242"/>
        <v>0</v>
      </c>
      <c r="U332" s="3">
        <f t="shared" si="243"/>
        <v>0</v>
      </c>
      <c r="V332" s="3">
        <f t="shared" si="244"/>
        <v>0</v>
      </c>
      <c r="W332" s="3">
        <f t="shared" si="245"/>
        <v>0</v>
      </c>
      <c r="X332" s="3">
        <f>(ROUND((((S332+ROUND((ROUND(((EU332)*AV332*I332),2)*BS332),2))*AT332)/100),2)+ROUND(((ROUND((ROUND(((AE332-(EU332))*AV332*I332),2)*BS332),2)*AT332)/100),2))</f>
        <v>0</v>
      </c>
      <c r="Y332" s="3">
        <f>(ROUND((((S332+ROUND((ROUND(((EU332)*AV332*I332),2)*BS332),2))*AU332)/100),2)+ROUND(((ROUND((ROUND(((AE332-(EU332))*AV332*I332),2)*BS332),2)*AU332)/100),2))</f>
        <v>0</v>
      </c>
      <c r="AA332" s="3">
        <v>57034454</v>
      </c>
      <c r="AB332" s="3">
        <f t="shared" si="246"/>
        <v>937.47</v>
      </c>
      <c r="AC332" s="3">
        <f>ROUND((ES332),6)</f>
        <v>937.47</v>
      </c>
      <c r="AD332" s="3">
        <f>ROUND((((ET332)-(EU332))+AE332),6)</f>
        <v>0</v>
      </c>
      <c r="AE332" s="3">
        <f>ROUND((EU332),6)</f>
        <v>0</v>
      </c>
      <c r="AF332" s="3">
        <f>ROUND((EV332),6)</f>
        <v>0</v>
      </c>
      <c r="AG332" s="3">
        <f t="shared" si="247"/>
        <v>0</v>
      </c>
      <c r="AH332" s="3">
        <f>(EW332)</f>
        <v>0</v>
      </c>
      <c r="AI332" s="3">
        <f>(EX332)</f>
        <v>0</v>
      </c>
      <c r="AJ332" s="3">
        <f t="shared" si="248"/>
        <v>0</v>
      </c>
      <c r="AK332" s="3">
        <v>937.47</v>
      </c>
      <c r="AL332" s="3">
        <v>937.47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90</v>
      </c>
      <c r="AU332" s="3">
        <v>46</v>
      </c>
      <c r="AV332" s="3">
        <v>1</v>
      </c>
      <c r="AW332" s="3">
        <v>1</v>
      </c>
      <c r="AZ332" s="3">
        <v>1</v>
      </c>
      <c r="BA332" s="3">
        <v>1</v>
      </c>
      <c r="BB332" s="3">
        <v>1</v>
      </c>
      <c r="BC332" s="3">
        <v>7.57</v>
      </c>
      <c r="BD332" s="3" t="s">
        <v>3</v>
      </c>
      <c r="BE332" s="3" t="s">
        <v>3</v>
      </c>
      <c r="BF332" s="3" t="s">
        <v>3</v>
      </c>
      <c r="BG332" s="3" t="s">
        <v>3</v>
      </c>
      <c r="BH332" s="3">
        <v>3</v>
      </c>
      <c r="BI332" s="3">
        <v>3</v>
      </c>
      <c r="BJ332" s="3" t="s">
        <v>3</v>
      </c>
      <c r="BM332" s="3">
        <v>68</v>
      </c>
      <c r="BN332" s="3">
        <v>0</v>
      </c>
      <c r="BO332" s="3" t="s">
        <v>3</v>
      </c>
      <c r="BP332" s="3">
        <v>0</v>
      </c>
      <c r="BQ332" s="3">
        <v>40</v>
      </c>
      <c r="BR332" s="3">
        <v>0</v>
      </c>
      <c r="BS332" s="3">
        <v>1</v>
      </c>
      <c r="BT332" s="3">
        <v>1</v>
      </c>
      <c r="BU332" s="3">
        <v>1</v>
      </c>
      <c r="BV332" s="3">
        <v>1</v>
      </c>
      <c r="BW332" s="3">
        <v>1</v>
      </c>
      <c r="BX332" s="3">
        <v>1</v>
      </c>
      <c r="BY332" s="3" t="s">
        <v>3</v>
      </c>
      <c r="BZ332" s="3">
        <v>90</v>
      </c>
      <c r="CA332" s="3">
        <v>46</v>
      </c>
      <c r="CB332" s="3" t="s">
        <v>3</v>
      </c>
      <c r="CE332" s="3">
        <v>1566</v>
      </c>
      <c r="CF332" s="3">
        <v>0</v>
      </c>
      <c r="CG332" s="3">
        <v>0</v>
      </c>
      <c r="CM332" s="3">
        <v>0</v>
      </c>
      <c r="CN332" s="3" t="s">
        <v>615</v>
      </c>
      <c r="CO332" s="3">
        <v>0</v>
      </c>
      <c r="CP332" s="3">
        <f t="shared" si="249"/>
        <v>14193.3</v>
      </c>
      <c r="CQ332" s="3">
        <f>ROUND((ROUND((AC332*AW332*1),2)*BC332),2)</f>
        <v>7096.65</v>
      </c>
      <c r="CR332" s="3">
        <f>(ROUND((ROUND(((ET332)*AV332*1),2)*BB332),2)+ROUND((ROUND(((AE332-(EU332))*AV332*1),2)*BS332),2))</f>
        <v>0</v>
      </c>
      <c r="CS332" s="3">
        <f>(ROUND((ROUND(((EU332)*AV332*1),2)*BS332),2)+ROUND((ROUND(((AE332-(EU332))*AV332*1),2)*BS332),2))</f>
        <v>0</v>
      </c>
      <c r="CT332" s="3">
        <f t="shared" si="250"/>
        <v>0</v>
      </c>
      <c r="CU332" s="3">
        <f t="shared" si="251"/>
        <v>0</v>
      </c>
      <c r="CV332" s="3">
        <f t="shared" si="252"/>
        <v>0</v>
      </c>
      <c r="CW332" s="3">
        <f t="shared" si="253"/>
        <v>0</v>
      </c>
      <c r="CX332" s="3">
        <f t="shared" si="254"/>
        <v>0</v>
      </c>
      <c r="CY332" s="3">
        <f>(ROUND((((S332+ROUND((ROUND(((EU332)*AV332*1),2)*BS332),2))*AT332)/100),2)+ROUND(((ROUND((ROUND(((AE332-(EU332))*AV332*1),2)*BS332),2)*AT332)/100),2))</f>
        <v>0</v>
      </c>
      <c r="CZ332" s="3">
        <f>(ROUND((((S332+ROUND((ROUND(((EU332)*AV332*1),2)*BS332),2))*AU332)/100),2)+ROUND(((ROUND((ROUND(((AE332-(EU332))*AV332*1),2)*BS332),2)*AU332)/100),2))</f>
        <v>0</v>
      </c>
      <c r="DC332" s="3" t="s">
        <v>3</v>
      </c>
      <c r="DD332" s="3" t="s">
        <v>3</v>
      </c>
      <c r="DE332" s="3" t="s">
        <v>3</v>
      </c>
      <c r="DF332" s="3" t="s">
        <v>3</v>
      </c>
      <c r="DG332" s="3" t="s">
        <v>3</v>
      </c>
      <c r="DH332" s="3" t="s">
        <v>3</v>
      </c>
      <c r="DI332" s="3" t="s">
        <v>3</v>
      </c>
      <c r="DJ332" s="3" t="s">
        <v>3</v>
      </c>
      <c r="DK332" s="3" t="s">
        <v>3</v>
      </c>
      <c r="DL332" s="3" t="s">
        <v>3</v>
      </c>
      <c r="DM332" s="3" t="s">
        <v>3</v>
      </c>
      <c r="DN332" s="3">
        <v>0</v>
      </c>
      <c r="DO332" s="3">
        <v>0</v>
      </c>
      <c r="DP332" s="3">
        <v>1</v>
      </c>
      <c r="DQ332" s="3">
        <v>1</v>
      </c>
      <c r="DU332" s="3">
        <v>1010</v>
      </c>
      <c r="DV332" s="3" t="s">
        <v>177</v>
      </c>
      <c r="DW332" s="3" t="s">
        <v>177</v>
      </c>
      <c r="DX332" s="3">
        <v>1</v>
      </c>
      <c r="DZ332" s="3" t="s">
        <v>3</v>
      </c>
      <c r="EA332" s="3" t="s">
        <v>3</v>
      </c>
      <c r="EB332" s="3" t="s">
        <v>3</v>
      </c>
      <c r="EC332" s="3" t="s">
        <v>3</v>
      </c>
      <c r="EE332" s="3">
        <v>57042958</v>
      </c>
      <c r="EF332" s="3">
        <v>40</v>
      </c>
      <c r="EG332" s="3" t="s">
        <v>30</v>
      </c>
      <c r="EH332" s="3">
        <v>0</v>
      </c>
      <c r="EI332" s="3" t="s">
        <v>3</v>
      </c>
      <c r="EJ332" s="3">
        <v>2</v>
      </c>
      <c r="EK332" s="3">
        <v>68</v>
      </c>
      <c r="EL332" s="3" t="s">
        <v>38</v>
      </c>
      <c r="EM332" s="3" t="s">
        <v>39</v>
      </c>
      <c r="EO332" s="3" t="s">
        <v>109</v>
      </c>
      <c r="EQ332" s="3">
        <v>2097152</v>
      </c>
      <c r="ER332" s="3">
        <v>705.73</v>
      </c>
      <c r="ES332" s="3">
        <v>937.47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EZ332" s="3">
        <v>5</v>
      </c>
      <c r="FC332" s="3">
        <v>1</v>
      </c>
      <c r="FD332" s="3">
        <v>18</v>
      </c>
      <c r="FF332" s="3">
        <v>8306</v>
      </c>
      <c r="FQ332" s="3">
        <v>0</v>
      </c>
      <c r="FR332" s="3">
        <f>P332</f>
        <v>14193.3</v>
      </c>
      <c r="FS332" s="3">
        <v>0</v>
      </c>
      <c r="FX332" s="3">
        <v>90</v>
      </c>
      <c r="FY332" s="3">
        <v>46</v>
      </c>
      <c r="GA332" s="3" t="s">
        <v>212</v>
      </c>
      <c r="GD332" s="3">
        <v>1</v>
      </c>
      <c r="GF332" s="3">
        <v>1195178825</v>
      </c>
      <c r="GG332" s="3">
        <v>2</v>
      </c>
      <c r="GH332" s="3">
        <v>3</v>
      </c>
      <c r="GI332" s="3">
        <v>5</v>
      </c>
      <c r="GJ332" s="3">
        <v>0</v>
      </c>
      <c r="GK332" s="3">
        <v>0</v>
      </c>
      <c r="GL332" s="3">
        <f t="shared" si="255"/>
        <v>0</v>
      </c>
      <c r="GM332" s="3">
        <f t="shared" si="256"/>
        <v>14193.3</v>
      </c>
      <c r="GN332" s="3">
        <f t="shared" si="257"/>
        <v>0</v>
      </c>
      <c r="GO332" s="3">
        <f t="shared" si="258"/>
        <v>0</v>
      </c>
      <c r="GP332" s="3">
        <f t="shared" si="259"/>
        <v>0</v>
      </c>
      <c r="GR332" s="3">
        <v>1</v>
      </c>
      <c r="GS332" s="3">
        <v>1</v>
      </c>
      <c r="GT332" s="3">
        <v>0</v>
      </c>
      <c r="GU332" s="3" t="s">
        <v>3</v>
      </c>
      <c r="GV332" s="3">
        <f t="shared" si="260"/>
        <v>0</v>
      </c>
      <c r="GW332" s="3">
        <v>1</v>
      </c>
      <c r="GX332" s="3">
        <f t="shared" si="261"/>
        <v>0</v>
      </c>
      <c r="HA332" s="3">
        <v>0</v>
      </c>
      <c r="HB332" s="3">
        <v>0</v>
      </c>
      <c r="HC332" s="3">
        <f t="shared" si="262"/>
        <v>0</v>
      </c>
      <c r="HE332" s="3" t="s">
        <v>40</v>
      </c>
      <c r="HF332" s="3" t="s">
        <v>182</v>
      </c>
      <c r="HM332" s="3" t="s">
        <v>104</v>
      </c>
      <c r="HN332" s="3" t="s">
        <v>3</v>
      </c>
      <c r="HO332" s="3" t="s">
        <v>3</v>
      </c>
      <c r="HP332" s="3" t="s">
        <v>3</v>
      </c>
      <c r="HQ332" s="3" t="s">
        <v>3</v>
      </c>
      <c r="HS332" s="3">
        <v>0</v>
      </c>
      <c r="IK332" s="3">
        <v>0</v>
      </c>
    </row>
    <row r="334" spans="1:255" ht="13" x14ac:dyDescent="0.3">
      <c r="A334" s="11">
        <v>51</v>
      </c>
      <c r="B334" s="11">
        <f>B311</f>
        <v>1</v>
      </c>
      <c r="C334" s="11">
        <f>A311</f>
        <v>4</v>
      </c>
      <c r="D334" s="11">
        <f>ROW(A311)</f>
        <v>311</v>
      </c>
      <c r="E334" s="11"/>
      <c r="F334" s="11" t="str">
        <f>IF(F311&lt;&gt;"",F311,"")</f>
        <v>Новый раздел</v>
      </c>
      <c r="G334" s="11" t="str">
        <f>IF(G311&lt;&gt;"",G311,"")</f>
        <v>Базовое оборудование СПА.</v>
      </c>
      <c r="H334" s="11">
        <v>0</v>
      </c>
      <c r="I334" s="11"/>
      <c r="J334" s="11"/>
      <c r="K334" s="11"/>
      <c r="L334" s="11"/>
      <c r="M334" s="11"/>
      <c r="N334" s="11"/>
      <c r="O334" s="11">
        <f t="shared" ref="O334:T334" si="265">ROUND(AB334,2)</f>
        <v>15044.74</v>
      </c>
      <c r="P334" s="11">
        <f t="shared" si="265"/>
        <v>14717.62</v>
      </c>
      <c r="Q334" s="11">
        <f t="shared" si="265"/>
        <v>0.33</v>
      </c>
      <c r="R334" s="11">
        <f t="shared" si="265"/>
        <v>0.06</v>
      </c>
      <c r="S334" s="11">
        <f t="shared" si="265"/>
        <v>326.79000000000002</v>
      </c>
      <c r="T334" s="11">
        <f t="shared" si="265"/>
        <v>0</v>
      </c>
      <c r="U334" s="11">
        <f>AH334</f>
        <v>24.524928000000003</v>
      </c>
      <c r="V334" s="11">
        <f>AI334</f>
        <v>0</v>
      </c>
      <c r="W334" s="11">
        <f>ROUND(AJ334,2)</f>
        <v>0</v>
      </c>
      <c r="X334" s="11">
        <f>ROUND(AK334,2)</f>
        <v>294.17</v>
      </c>
      <c r="Y334" s="11">
        <f>ROUND(AL334,2)</f>
        <v>150.35</v>
      </c>
      <c r="Z334" s="11"/>
      <c r="AA334" s="11"/>
      <c r="AB334" s="11">
        <f>ROUND(SUMIF(AA315:AA332,"=57034452",O315:O332),2)</f>
        <v>15044.74</v>
      </c>
      <c r="AC334" s="11">
        <f>ROUND(SUMIF(AA315:AA332,"=57034452",P315:P332),2)</f>
        <v>14717.62</v>
      </c>
      <c r="AD334" s="11">
        <f>ROUND(SUMIF(AA315:AA332,"=57034452",Q315:Q332),2)</f>
        <v>0.33</v>
      </c>
      <c r="AE334" s="11">
        <f>ROUND(SUMIF(AA315:AA332,"=57034452",R315:R332),2)</f>
        <v>0.06</v>
      </c>
      <c r="AF334" s="11">
        <f>ROUND(SUMIF(AA315:AA332,"=57034452",S315:S332),2)</f>
        <v>326.79000000000002</v>
      </c>
      <c r="AG334" s="11">
        <f>ROUND(SUMIF(AA315:AA332,"=57034452",T315:T332),2)</f>
        <v>0</v>
      </c>
      <c r="AH334" s="11">
        <f>SUMIF(AA315:AA332,"=57034452",U315:U332)</f>
        <v>24.524928000000003</v>
      </c>
      <c r="AI334" s="11">
        <f>SUMIF(AA315:AA332,"=57034452",V315:V332)</f>
        <v>0</v>
      </c>
      <c r="AJ334" s="11">
        <f>ROUND(SUMIF(AA315:AA332,"=57034452",W315:W332),2)</f>
        <v>0</v>
      </c>
      <c r="AK334" s="11">
        <f>ROUND(SUMIF(AA315:AA332,"=57034452",X315:X332),2)</f>
        <v>294.17</v>
      </c>
      <c r="AL334" s="11">
        <f>ROUND(SUMIF(AA315:AA332,"=57034452",Y315:Y332),2)</f>
        <v>150.35</v>
      </c>
      <c r="AM334" s="11"/>
      <c r="AN334" s="11"/>
      <c r="AO334" s="11">
        <f t="shared" ref="AO334:BD334" si="266">ROUND(BX334,2)</f>
        <v>0</v>
      </c>
      <c r="AP334" s="11">
        <f t="shared" si="266"/>
        <v>14683.96</v>
      </c>
      <c r="AQ334" s="11">
        <f t="shared" si="266"/>
        <v>0</v>
      </c>
      <c r="AR334" s="11">
        <f t="shared" si="266"/>
        <v>15489.26</v>
      </c>
      <c r="AS334" s="11">
        <f t="shared" si="266"/>
        <v>0</v>
      </c>
      <c r="AT334" s="11">
        <f t="shared" si="266"/>
        <v>805.3</v>
      </c>
      <c r="AU334" s="11">
        <f t="shared" si="266"/>
        <v>0</v>
      </c>
      <c r="AV334" s="11">
        <f t="shared" si="266"/>
        <v>14717.62</v>
      </c>
      <c r="AW334" s="11">
        <f t="shared" si="266"/>
        <v>33.659999999999997</v>
      </c>
      <c r="AX334" s="11">
        <f t="shared" si="266"/>
        <v>0</v>
      </c>
      <c r="AY334" s="11">
        <f t="shared" si="266"/>
        <v>33.659999999999997</v>
      </c>
      <c r="AZ334" s="11">
        <f t="shared" si="266"/>
        <v>14683.96</v>
      </c>
      <c r="BA334" s="11">
        <f t="shared" si="266"/>
        <v>0</v>
      </c>
      <c r="BB334" s="11">
        <f t="shared" si="266"/>
        <v>0</v>
      </c>
      <c r="BC334" s="11">
        <f t="shared" si="266"/>
        <v>0</v>
      </c>
      <c r="BD334" s="11">
        <f t="shared" si="266"/>
        <v>0</v>
      </c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>
        <f>ROUND(SUMIF(AA315:AA332,"=57034452",FQ315:FQ332),2)</f>
        <v>0</v>
      </c>
      <c r="BY334" s="11">
        <f>ROUND(SUMIF(AA315:AA332,"=57034452",FR315:FR332),2)</f>
        <v>14683.96</v>
      </c>
      <c r="BZ334" s="11">
        <f>ROUND(SUMIF(AA315:AA332,"=57034452",GL315:GL332),2)</f>
        <v>0</v>
      </c>
      <c r="CA334" s="11">
        <f>ROUND(SUMIF(AA315:AA332,"=57034452",GM315:GM332),2)</f>
        <v>15489.26</v>
      </c>
      <c r="CB334" s="11">
        <f>ROUND(SUMIF(AA315:AA332,"=57034452",GN315:GN332),2)</f>
        <v>0</v>
      </c>
      <c r="CC334" s="11">
        <f>ROUND(SUMIF(AA315:AA332,"=57034452",GO315:GO332),2)</f>
        <v>805.3</v>
      </c>
      <c r="CD334" s="11">
        <f>ROUND(SUMIF(AA315:AA332,"=57034452",GP315:GP332),2)</f>
        <v>0</v>
      </c>
      <c r="CE334" s="11">
        <f>AC334-BX334</f>
        <v>14717.62</v>
      </c>
      <c r="CF334" s="11">
        <f>AC334-BY334</f>
        <v>33.660000000001673</v>
      </c>
      <c r="CG334" s="11">
        <f>BX334-BZ334</f>
        <v>0</v>
      </c>
      <c r="CH334" s="11">
        <f>AC334-BX334-BY334+BZ334</f>
        <v>33.660000000001673</v>
      </c>
      <c r="CI334" s="11">
        <f>BY334-BZ334</f>
        <v>14683.96</v>
      </c>
      <c r="CJ334" s="11">
        <f>ROUND(SUMIF(AA315:AA332,"=57034452",GX315:GX332),2)</f>
        <v>0</v>
      </c>
      <c r="CK334" s="11">
        <f>ROUND(SUMIF(AA315:AA332,"=57034452",GY315:GY332),2)</f>
        <v>0</v>
      </c>
      <c r="CL334" s="11">
        <f>ROUND(SUMIF(AA315:AA332,"=57034452",GZ315:GZ332),2)</f>
        <v>0</v>
      </c>
      <c r="CM334" s="11">
        <f>ROUND(SUMIF(AA315:AA332,"=57034452",HD315:HD332),2)</f>
        <v>0</v>
      </c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2">
        <f t="shared" ref="DG334:DL334" si="267">ROUND(DT334,2)</f>
        <v>129911.21</v>
      </c>
      <c r="DH334" s="12">
        <f t="shared" si="267"/>
        <v>111490.66</v>
      </c>
      <c r="DI334" s="12">
        <f t="shared" si="267"/>
        <v>5.93</v>
      </c>
      <c r="DJ334" s="12">
        <f t="shared" si="267"/>
        <v>3.38</v>
      </c>
      <c r="DK334" s="12">
        <f t="shared" si="267"/>
        <v>18414.62</v>
      </c>
      <c r="DL334" s="12">
        <f t="shared" si="267"/>
        <v>0</v>
      </c>
      <c r="DM334" s="12">
        <f>DZ334</f>
        <v>24.524928000000003</v>
      </c>
      <c r="DN334" s="12">
        <f>EA334</f>
        <v>0</v>
      </c>
      <c r="DO334" s="12">
        <f>ROUND(EB334,2)</f>
        <v>0</v>
      </c>
      <c r="DP334" s="12">
        <f>ROUND(EC334,2)</f>
        <v>16576.2</v>
      </c>
      <c r="DQ334" s="12">
        <f>ROUND(ED334,2)</f>
        <v>8472.2800000000007</v>
      </c>
      <c r="DR334" s="12"/>
      <c r="DS334" s="12"/>
      <c r="DT334" s="12">
        <f>ROUND(SUMIF(AA315:AA332,"=57034454",O315:O332),2)</f>
        <v>129911.21</v>
      </c>
      <c r="DU334" s="12">
        <f>ROUND(SUMIF(AA315:AA332,"=57034454",P315:P332),2)</f>
        <v>111490.66</v>
      </c>
      <c r="DV334" s="12">
        <f>ROUND(SUMIF(AA315:AA332,"=57034454",Q315:Q332),2)</f>
        <v>5.93</v>
      </c>
      <c r="DW334" s="12">
        <f>ROUND(SUMIF(AA315:AA332,"=57034454",R315:R332),2)</f>
        <v>3.38</v>
      </c>
      <c r="DX334" s="12">
        <f>ROUND(SUMIF(AA315:AA332,"=57034454",S315:S332),2)</f>
        <v>18414.62</v>
      </c>
      <c r="DY334" s="12">
        <f>ROUND(SUMIF(AA315:AA332,"=57034454",T315:T332),2)</f>
        <v>0</v>
      </c>
      <c r="DZ334" s="12">
        <f>SUMIF(AA315:AA332,"=57034454",U315:U332)</f>
        <v>24.524928000000003</v>
      </c>
      <c r="EA334" s="12">
        <f>SUMIF(AA315:AA332,"=57034454",V315:V332)</f>
        <v>0</v>
      </c>
      <c r="EB334" s="12">
        <f>ROUND(SUMIF(AA315:AA332,"=57034454",W315:W332),2)</f>
        <v>0</v>
      </c>
      <c r="EC334" s="12">
        <f>ROUND(SUMIF(AA315:AA332,"=57034454",X315:X332),2)</f>
        <v>16576.2</v>
      </c>
      <c r="ED334" s="12">
        <f>ROUND(SUMIF(AA315:AA332,"=57034454",Y315:Y332),2)</f>
        <v>8472.2800000000007</v>
      </c>
      <c r="EE334" s="12"/>
      <c r="EF334" s="12"/>
      <c r="EG334" s="12">
        <f t="shared" ref="EG334:EV334" si="268">ROUND(FP334,2)</f>
        <v>0</v>
      </c>
      <c r="EH334" s="12">
        <f t="shared" si="268"/>
        <v>111157.58</v>
      </c>
      <c r="EI334" s="12">
        <f t="shared" si="268"/>
        <v>0</v>
      </c>
      <c r="EJ334" s="12">
        <f t="shared" si="268"/>
        <v>154959.69</v>
      </c>
      <c r="EK334" s="12">
        <f t="shared" si="268"/>
        <v>0</v>
      </c>
      <c r="EL334" s="12">
        <f t="shared" si="268"/>
        <v>43802.11</v>
      </c>
      <c r="EM334" s="12">
        <f t="shared" si="268"/>
        <v>0</v>
      </c>
      <c r="EN334" s="12">
        <f t="shared" si="268"/>
        <v>111490.66</v>
      </c>
      <c r="EO334" s="12">
        <f t="shared" si="268"/>
        <v>333.08</v>
      </c>
      <c r="EP334" s="12">
        <f t="shared" si="268"/>
        <v>0</v>
      </c>
      <c r="EQ334" s="12">
        <f t="shared" si="268"/>
        <v>333.08</v>
      </c>
      <c r="ER334" s="12">
        <f t="shared" si="268"/>
        <v>111157.58</v>
      </c>
      <c r="ES334" s="12">
        <f t="shared" si="268"/>
        <v>0</v>
      </c>
      <c r="ET334" s="12">
        <f t="shared" si="268"/>
        <v>0</v>
      </c>
      <c r="EU334" s="12">
        <f t="shared" si="268"/>
        <v>0</v>
      </c>
      <c r="EV334" s="12">
        <f t="shared" si="268"/>
        <v>0</v>
      </c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>
        <f>ROUND(SUMIF(AA315:AA332,"=57034454",FQ315:FQ332),2)</f>
        <v>0</v>
      </c>
      <c r="FQ334" s="12">
        <f>ROUND(SUMIF(AA315:AA332,"=57034454",FR315:FR332),2)</f>
        <v>111157.58</v>
      </c>
      <c r="FR334" s="12">
        <f>ROUND(SUMIF(AA315:AA332,"=57034454",GL315:GL332),2)</f>
        <v>0</v>
      </c>
      <c r="FS334" s="12">
        <f>ROUND(SUMIF(AA315:AA332,"=57034454",GM315:GM332),2)</f>
        <v>154959.69</v>
      </c>
      <c r="FT334" s="12">
        <f>ROUND(SUMIF(AA315:AA332,"=57034454",GN315:GN332),2)</f>
        <v>0</v>
      </c>
      <c r="FU334" s="12">
        <f>ROUND(SUMIF(AA315:AA332,"=57034454",GO315:GO332),2)</f>
        <v>43802.11</v>
      </c>
      <c r="FV334" s="12">
        <f>ROUND(SUMIF(AA315:AA332,"=57034454",GP315:GP332),2)</f>
        <v>0</v>
      </c>
      <c r="FW334" s="12">
        <f>DU334-FP334</f>
        <v>111490.66</v>
      </c>
      <c r="FX334" s="12">
        <f>DU334-FQ334</f>
        <v>333.08000000000175</v>
      </c>
      <c r="FY334" s="12">
        <f>FP334-FR334</f>
        <v>0</v>
      </c>
      <c r="FZ334" s="12">
        <f>DU334-FP334-FQ334+FR334</f>
        <v>333.08000000000175</v>
      </c>
      <c r="GA334" s="12">
        <f>FQ334-FR334</f>
        <v>111157.58</v>
      </c>
      <c r="GB334" s="12">
        <f>ROUND(SUMIF(AA315:AA332,"=57034454",GX315:GX332),2)</f>
        <v>0</v>
      </c>
      <c r="GC334" s="12">
        <f>ROUND(SUMIF(AA315:AA332,"=57034454",GY315:GY332),2)</f>
        <v>0</v>
      </c>
      <c r="GD334" s="12">
        <f>ROUND(SUMIF(AA315:AA332,"=57034454",GZ315:GZ332),2)</f>
        <v>0</v>
      </c>
      <c r="GE334" s="12">
        <f>ROUND(SUMIF(AA315:AA332,"=57034454",HD315:HD332),2)</f>
        <v>0</v>
      </c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>
        <v>0</v>
      </c>
    </row>
    <row r="336" spans="1:255" ht="13" x14ac:dyDescent="0.3">
      <c r="A336" s="13">
        <v>50</v>
      </c>
      <c r="B336" s="13">
        <v>0</v>
      </c>
      <c r="C336" s="13">
        <v>0</v>
      </c>
      <c r="D336" s="13">
        <v>1</v>
      </c>
      <c r="E336" s="13">
        <v>201</v>
      </c>
      <c r="F336" s="13">
        <f>ROUND(Source!O334,O336)</f>
        <v>15044.74</v>
      </c>
      <c r="G336" s="13" t="s">
        <v>117</v>
      </c>
      <c r="H336" s="13" t="s">
        <v>118</v>
      </c>
      <c r="I336" s="13"/>
      <c r="J336" s="13"/>
      <c r="K336" s="13">
        <v>201</v>
      </c>
      <c r="L336" s="13">
        <v>1</v>
      </c>
      <c r="M336" s="13">
        <v>3</v>
      </c>
      <c r="N336" s="13" t="s">
        <v>3</v>
      </c>
      <c r="O336" s="13">
        <v>2</v>
      </c>
      <c r="P336" s="13">
        <f>ROUND(Source!DG334,O336)</f>
        <v>129911.21</v>
      </c>
      <c r="Q336" s="13"/>
      <c r="R336" s="13"/>
      <c r="S336" s="13"/>
      <c r="T336" s="13"/>
      <c r="U336" s="13"/>
      <c r="V336" s="13"/>
      <c r="W336" s="13">
        <v>15044.74</v>
      </c>
      <c r="X336" s="13">
        <v>1</v>
      </c>
      <c r="Y336" s="13">
        <v>15044.74</v>
      </c>
      <c r="Z336" s="13">
        <v>129911.21</v>
      </c>
      <c r="AA336" s="13">
        <v>1</v>
      </c>
      <c r="AB336" s="13">
        <v>129911.21</v>
      </c>
    </row>
    <row r="337" spans="1:28" ht="13" x14ac:dyDescent="0.3">
      <c r="A337" s="13">
        <v>50</v>
      </c>
      <c r="B337" s="13">
        <v>0</v>
      </c>
      <c r="C337" s="13">
        <v>0</v>
      </c>
      <c r="D337" s="13">
        <v>1</v>
      </c>
      <c r="E337" s="13">
        <v>202</v>
      </c>
      <c r="F337" s="13">
        <f>ROUND(Source!P334,O337)</f>
        <v>14717.62</v>
      </c>
      <c r="G337" s="13" t="s">
        <v>119</v>
      </c>
      <c r="H337" s="13" t="s">
        <v>120</v>
      </c>
      <c r="I337" s="13"/>
      <c r="J337" s="13"/>
      <c r="K337" s="13">
        <v>202</v>
      </c>
      <c r="L337" s="13">
        <v>2</v>
      </c>
      <c r="M337" s="13">
        <v>3</v>
      </c>
      <c r="N337" s="13" t="s">
        <v>3</v>
      </c>
      <c r="O337" s="13">
        <v>2</v>
      </c>
      <c r="P337" s="13">
        <f>ROUND(Source!DH334,O337)</f>
        <v>111490.66</v>
      </c>
      <c r="Q337" s="13"/>
      <c r="R337" s="13"/>
      <c r="S337" s="13"/>
      <c r="T337" s="13"/>
      <c r="U337" s="13"/>
      <c r="V337" s="13"/>
      <c r="W337" s="13">
        <v>14717.62</v>
      </c>
      <c r="X337" s="13">
        <v>1</v>
      </c>
      <c r="Y337" s="13">
        <v>14717.62</v>
      </c>
      <c r="Z337" s="13">
        <v>111490.66</v>
      </c>
      <c r="AA337" s="13">
        <v>1</v>
      </c>
      <c r="AB337" s="13">
        <v>111490.66</v>
      </c>
    </row>
    <row r="338" spans="1:28" ht="13" x14ac:dyDescent="0.3">
      <c r="A338" s="13">
        <v>50</v>
      </c>
      <c r="B338" s="13">
        <v>0</v>
      </c>
      <c r="C338" s="13">
        <v>0</v>
      </c>
      <c r="D338" s="13">
        <v>1</v>
      </c>
      <c r="E338" s="13">
        <v>222</v>
      </c>
      <c r="F338" s="13">
        <f>ROUND(Source!AO334,O338)</f>
        <v>0</v>
      </c>
      <c r="G338" s="13" t="s">
        <v>121</v>
      </c>
      <c r="H338" s="13" t="s">
        <v>122</v>
      </c>
      <c r="I338" s="13"/>
      <c r="J338" s="13"/>
      <c r="K338" s="13">
        <v>222</v>
      </c>
      <c r="L338" s="13">
        <v>3</v>
      </c>
      <c r="M338" s="13">
        <v>3</v>
      </c>
      <c r="N338" s="13" t="s">
        <v>3</v>
      </c>
      <c r="O338" s="13">
        <v>2</v>
      </c>
      <c r="P338" s="13">
        <f>ROUND(Source!EG334,O338)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8" ht="13" x14ac:dyDescent="0.3">
      <c r="A339" s="13">
        <v>50</v>
      </c>
      <c r="B339" s="13">
        <v>0</v>
      </c>
      <c r="C339" s="13">
        <v>0</v>
      </c>
      <c r="D339" s="13">
        <v>1</v>
      </c>
      <c r="E339" s="13">
        <v>225</v>
      </c>
      <c r="F339" s="13">
        <f>ROUND(Source!AV334,O339)</f>
        <v>14717.62</v>
      </c>
      <c r="G339" s="13" t="s">
        <v>123</v>
      </c>
      <c r="H339" s="13" t="s">
        <v>124</v>
      </c>
      <c r="I339" s="13"/>
      <c r="J339" s="13"/>
      <c r="K339" s="13">
        <v>225</v>
      </c>
      <c r="L339" s="13">
        <v>4</v>
      </c>
      <c r="M339" s="13">
        <v>3</v>
      </c>
      <c r="N339" s="13" t="s">
        <v>3</v>
      </c>
      <c r="O339" s="13">
        <v>2</v>
      </c>
      <c r="P339" s="13">
        <f>ROUND(Source!EN334,O339)</f>
        <v>111490.66</v>
      </c>
      <c r="Q339" s="13"/>
      <c r="R339" s="13"/>
      <c r="S339" s="13"/>
      <c r="T339" s="13"/>
      <c r="U339" s="13"/>
      <c r="V339" s="13"/>
      <c r="W339" s="13">
        <v>14717.62</v>
      </c>
      <c r="X339" s="13">
        <v>1</v>
      </c>
      <c r="Y339" s="13">
        <v>14717.62</v>
      </c>
      <c r="Z339" s="13">
        <v>111490.66</v>
      </c>
      <c r="AA339" s="13">
        <v>1</v>
      </c>
      <c r="AB339" s="13">
        <v>111490.66</v>
      </c>
    </row>
    <row r="340" spans="1:28" ht="13" x14ac:dyDescent="0.3">
      <c r="A340" s="13">
        <v>50</v>
      </c>
      <c r="B340" s="13">
        <v>0</v>
      </c>
      <c r="C340" s="13">
        <v>0</v>
      </c>
      <c r="D340" s="13">
        <v>1</v>
      </c>
      <c r="E340" s="13">
        <v>226</v>
      </c>
      <c r="F340" s="13">
        <f>ROUND(Source!AW334,O340)</f>
        <v>33.659999999999997</v>
      </c>
      <c r="G340" s="13" t="s">
        <v>125</v>
      </c>
      <c r="H340" s="13" t="s">
        <v>126</v>
      </c>
      <c r="I340" s="13"/>
      <c r="J340" s="13"/>
      <c r="K340" s="13">
        <v>226</v>
      </c>
      <c r="L340" s="13">
        <v>5</v>
      </c>
      <c r="M340" s="13">
        <v>3</v>
      </c>
      <c r="N340" s="13" t="s">
        <v>3</v>
      </c>
      <c r="O340" s="13">
        <v>2</v>
      </c>
      <c r="P340" s="13">
        <f>ROUND(Source!EO334,O340)</f>
        <v>333.08</v>
      </c>
      <c r="Q340" s="13"/>
      <c r="R340" s="13"/>
      <c r="S340" s="13"/>
      <c r="T340" s="13"/>
      <c r="U340" s="13"/>
      <c r="V340" s="13"/>
      <c r="W340" s="13">
        <v>33.659999999999997</v>
      </c>
      <c r="X340" s="13">
        <v>1</v>
      </c>
      <c r="Y340" s="13">
        <v>33.659999999999997</v>
      </c>
      <c r="Z340" s="13">
        <v>333.08</v>
      </c>
      <c r="AA340" s="13">
        <v>1</v>
      </c>
      <c r="AB340" s="13">
        <v>333.08</v>
      </c>
    </row>
    <row r="341" spans="1:28" ht="13" x14ac:dyDescent="0.3">
      <c r="A341" s="13">
        <v>50</v>
      </c>
      <c r="B341" s="13">
        <v>0</v>
      </c>
      <c r="C341" s="13">
        <v>0</v>
      </c>
      <c r="D341" s="13">
        <v>1</v>
      </c>
      <c r="E341" s="13">
        <v>227</v>
      </c>
      <c r="F341" s="13">
        <f>ROUND(Source!AX334,O341)</f>
        <v>0</v>
      </c>
      <c r="G341" s="13" t="s">
        <v>127</v>
      </c>
      <c r="H341" s="13" t="s">
        <v>128</v>
      </c>
      <c r="I341" s="13"/>
      <c r="J341" s="13"/>
      <c r="K341" s="13">
        <v>227</v>
      </c>
      <c r="L341" s="13">
        <v>6</v>
      </c>
      <c r="M341" s="13">
        <v>3</v>
      </c>
      <c r="N341" s="13" t="s">
        <v>3</v>
      </c>
      <c r="O341" s="13">
        <v>2</v>
      </c>
      <c r="P341" s="13">
        <f>ROUND(Source!EP334,O341)</f>
        <v>0</v>
      </c>
      <c r="Q341" s="13"/>
      <c r="R341" s="13"/>
      <c r="S341" s="13"/>
      <c r="T341" s="13"/>
      <c r="U341" s="13"/>
      <c r="V341" s="13"/>
      <c r="W341" s="13">
        <v>0</v>
      </c>
      <c r="X341" s="13">
        <v>1</v>
      </c>
      <c r="Y341" s="13">
        <v>0</v>
      </c>
      <c r="Z341" s="13">
        <v>0</v>
      </c>
      <c r="AA341" s="13">
        <v>1</v>
      </c>
      <c r="AB341" s="13">
        <v>0</v>
      </c>
    </row>
    <row r="342" spans="1:28" ht="13" x14ac:dyDescent="0.3">
      <c r="A342" s="13">
        <v>50</v>
      </c>
      <c r="B342" s="13">
        <v>0</v>
      </c>
      <c r="C342" s="13">
        <v>0</v>
      </c>
      <c r="D342" s="13">
        <v>1</v>
      </c>
      <c r="E342" s="13">
        <v>228</v>
      </c>
      <c r="F342" s="13">
        <f>ROUND(Source!AY334,O342)</f>
        <v>33.659999999999997</v>
      </c>
      <c r="G342" s="13" t="s">
        <v>129</v>
      </c>
      <c r="H342" s="13" t="s">
        <v>130</v>
      </c>
      <c r="I342" s="13"/>
      <c r="J342" s="13"/>
      <c r="K342" s="13">
        <v>228</v>
      </c>
      <c r="L342" s="13">
        <v>7</v>
      </c>
      <c r="M342" s="13">
        <v>3</v>
      </c>
      <c r="N342" s="13" t="s">
        <v>3</v>
      </c>
      <c r="O342" s="13">
        <v>2</v>
      </c>
      <c r="P342" s="13">
        <f>ROUND(Source!EQ334,O342)</f>
        <v>333.08</v>
      </c>
      <c r="Q342" s="13"/>
      <c r="R342" s="13"/>
      <c r="S342" s="13"/>
      <c r="T342" s="13"/>
      <c r="U342" s="13"/>
      <c r="V342" s="13"/>
      <c r="W342" s="13">
        <v>33.659999999999997</v>
      </c>
      <c r="X342" s="13">
        <v>1</v>
      </c>
      <c r="Y342" s="13">
        <v>33.659999999999997</v>
      </c>
      <c r="Z342" s="13">
        <v>333.08</v>
      </c>
      <c r="AA342" s="13">
        <v>1</v>
      </c>
      <c r="AB342" s="13">
        <v>333.08</v>
      </c>
    </row>
    <row r="343" spans="1:28" ht="13" x14ac:dyDescent="0.3">
      <c r="A343" s="13">
        <v>50</v>
      </c>
      <c r="B343" s="13">
        <v>0</v>
      </c>
      <c r="C343" s="13">
        <v>0</v>
      </c>
      <c r="D343" s="13">
        <v>1</v>
      </c>
      <c r="E343" s="13">
        <v>216</v>
      </c>
      <c r="F343" s="13">
        <f>ROUND(Source!AP334,O343)</f>
        <v>14683.96</v>
      </c>
      <c r="G343" s="13" t="s">
        <v>131</v>
      </c>
      <c r="H343" s="13" t="s">
        <v>132</v>
      </c>
      <c r="I343" s="13"/>
      <c r="J343" s="13"/>
      <c r="K343" s="13">
        <v>216</v>
      </c>
      <c r="L343" s="13">
        <v>8</v>
      </c>
      <c r="M343" s="13">
        <v>3</v>
      </c>
      <c r="N343" s="13" t="s">
        <v>3</v>
      </c>
      <c r="O343" s="13">
        <v>2</v>
      </c>
      <c r="P343" s="13">
        <f>ROUND(Source!EH334,O343)</f>
        <v>111157.58</v>
      </c>
      <c r="Q343" s="13"/>
      <c r="R343" s="13"/>
      <c r="S343" s="13"/>
      <c r="T343" s="13"/>
      <c r="U343" s="13"/>
      <c r="V343" s="13"/>
      <c r="W343" s="13">
        <v>14683.96</v>
      </c>
      <c r="X343" s="13">
        <v>1</v>
      </c>
      <c r="Y343" s="13">
        <v>14683.96</v>
      </c>
      <c r="Z343" s="13">
        <v>111157.58</v>
      </c>
      <c r="AA343" s="13">
        <v>1</v>
      </c>
      <c r="AB343" s="13">
        <v>111157.58</v>
      </c>
    </row>
    <row r="344" spans="1:28" ht="13" x14ac:dyDescent="0.3">
      <c r="A344" s="13">
        <v>50</v>
      </c>
      <c r="B344" s="13">
        <v>0</v>
      </c>
      <c r="C344" s="13">
        <v>0</v>
      </c>
      <c r="D344" s="13">
        <v>1</v>
      </c>
      <c r="E344" s="13">
        <v>223</v>
      </c>
      <c r="F344" s="13">
        <f>ROUND(Source!AQ334,O344)</f>
        <v>0</v>
      </c>
      <c r="G344" s="13" t="s">
        <v>133</v>
      </c>
      <c r="H344" s="13" t="s">
        <v>134</v>
      </c>
      <c r="I344" s="13"/>
      <c r="J344" s="13"/>
      <c r="K344" s="13">
        <v>223</v>
      </c>
      <c r="L344" s="13">
        <v>9</v>
      </c>
      <c r="M344" s="13">
        <v>3</v>
      </c>
      <c r="N344" s="13" t="s">
        <v>3</v>
      </c>
      <c r="O344" s="13">
        <v>2</v>
      </c>
      <c r="P344" s="13">
        <f>ROUND(Source!EI334,O344)</f>
        <v>0</v>
      </c>
      <c r="Q344" s="13"/>
      <c r="R344" s="13"/>
      <c r="S344" s="13"/>
      <c r="T344" s="13"/>
      <c r="U344" s="13"/>
      <c r="V344" s="13"/>
      <c r="W344" s="13">
        <v>0</v>
      </c>
      <c r="X344" s="13">
        <v>1</v>
      </c>
      <c r="Y344" s="13">
        <v>0</v>
      </c>
      <c r="Z344" s="13">
        <v>0</v>
      </c>
      <c r="AA344" s="13">
        <v>1</v>
      </c>
      <c r="AB344" s="13">
        <v>0</v>
      </c>
    </row>
    <row r="345" spans="1:28" ht="13" x14ac:dyDescent="0.3">
      <c r="A345" s="13">
        <v>50</v>
      </c>
      <c r="B345" s="13">
        <v>0</v>
      </c>
      <c r="C345" s="13">
        <v>0</v>
      </c>
      <c r="D345" s="13">
        <v>1</v>
      </c>
      <c r="E345" s="13">
        <v>229</v>
      </c>
      <c r="F345" s="13">
        <f>ROUND(Source!AZ334,O345)</f>
        <v>14683.96</v>
      </c>
      <c r="G345" s="13" t="s">
        <v>135</v>
      </c>
      <c r="H345" s="13" t="s">
        <v>136</v>
      </c>
      <c r="I345" s="13"/>
      <c r="J345" s="13"/>
      <c r="K345" s="13">
        <v>229</v>
      </c>
      <c r="L345" s="13">
        <v>10</v>
      </c>
      <c r="M345" s="13">
        <v>3</v>
      </c>
      <c r="N345" s="13" t="s">
        <v>3</v>
      </c>
      <c r="O345" s="13">
        <v>2</v>
      </c>
      <c r="P345" s="13">
        <f>ROUND(Source!ER334,O345)</f>
        <v>111157.58</v>
      </c>
      <c r="Q345" s="13"/>
      <c r="R345" s="13"/>
      <c r="S345" s="13"/>
      <c r="T345" s="13"/>
      <c r="U345" s="13"/>
      <c r="V345" s="13"/>
      <c r="W345" s="13">
        <v>14683.96</v>
      </c>
      <c r="X345" s="13">
        <v>1</v>
      </c>
      <c r="Y345" s="13">
        <v>14683.96</v>
      </c>
      <c r="Z345" s="13">
        <v>111157.58</v>
      </c>
      <c r="AA345" s="13">
        <v>1</v>
      </c>
      <c r="AB345" s="13">
        <v>111157.58</v>
      </c>
    </row>
    <row r="346" spans="1:28" ht="13" x14ac:dyDescent="0.3">
      <c r="A346" s="13">
        <v>50</v>
      </c>
      <c r="B346" s="13">
        <v>0</v>
      </c>
      <c r="C346" s="13">
        <v>0</v>
      </c>
      <c r="D346" s="13">
        <v>1</v>
      </c>
      <c r="E346" s="13">
        <v>203</v>
      </c>
      <c r="F346" s="13">
        <f>ROUND(Source!Q334,O346)</f>
        <v>0.33</v>
      </c>
      <c r="G346" s="13" t="s">
        <v>137</v>
      </c>
      <c r="H346" s="13" t="s">
        <v>138</v>
      </c>
      <c r="I346" s="13"/>
      <c r="J346" s="13"/>
      <c r="K346" s="13">
        <v>203</v>
      </c>
      <c r="L346" s="13">
        <v>11</v>
      </c>
      <c r="M346" s="13">
        <v>3</v>
      </c>
      <c r="N346" s="13" t="s">
        <v>3</v>
      </c>
      <c r="O346" s="13">
        <v>2</v>
      </c>
      <c r="P346" s="13">
        <f>ROUND(Source!DI334,O346)</f>
        <v>5.93</v>
      </c>
      <c r="Q346" s="13"/>
      <c r="R346" s="13"/>
      <c r="S346" s="13"/>
      <c r="T346" s="13"/>
      <c r="U346" s="13"/>
      <c r="V346" s="13"/>
      <c r="W346" s="13">
        <v>0.33</v>
      </c>
      <c r="X346" s="13">
        <v>1</v>
      </c>
      <c r="Y346" s="13">
        <v>0.33</v>
      </c>
      <c r="Z346" s="13">
        <v>5.93</v>
      </c>
      <c r="AA346" s="13">
        <v>1</v>
      </c>
      <c r="AB346" s="13">
        <v>5.93</v>
      </c>
    </row>
    <row r="347" spans="1:28" ht="13" x14ac:dyDescent="0.3">
      <c r="A347" s="13">
        <v>50</v>
      </c>
      <c r="B347" s="13">
        <v>0</v>
      </c>
      <c r="C347" s="13">
        <v>0</v>
      </c>
      <c r="D347" s="13">
        <v>1</v>
      </c>
      <c r="E347" s="13">
        <v>231</v>
      </c>
      <c r="F347" s="13">
        <f>ROUND(Source!BB334,O347)</f>
        <v>0</v>
      </c>
      <c r="G347" s="13" t="s">
        <v>139</v>
      </c>
      <c r="H347" s="13" t="s">
        <v>140</v>
      </c>
      <c r="I347" s="13"/>
      <c r="J347" s="13"/>
      <c r="K347" s="13">
        <v>231</v>
      </c>
      <c r="L347" s="13">
        <v>12</v>
      </c>
      <c r="M347" s="13">
        <v>3</v>
      </c>
      <c r="N347" s="13" t="s">
        <v>3</v>
      </c>
      <c r="O347" s="13">
        <v>2</v>
      </c>
      <c r="P347" s="13">
        <f>ROUND(Source!ET334,O347)</f>
        <v>0</v>
      </c>
      <c r="Q347" s="13"/>
      <c r="R347" s="13"/>
      <c r="S347" s="13"/>
      <c r="T347" s="13"/>
      <c r="U347" s="13"/>
      <c r="V347" s="13"/>
      <c r="W347" s="13">
        <v>0</v>
      </c>
      <c r="X347" s="13">
        <v>1</v>
      </c>
      <c r="Y347" s="13">
        <v>0</v>
      </c>
      <c r="Z347" s="13">
        <v>0</v>
      </c>
      <c r="AA347" s="13">
        <v>1</v>
      </c>
      <c r="AB347" s="13">
        <v>0</v>
      </c>
    </row>
    <row r="348" spans="1:28" ht="13" x14ac:dyDescent="0.3">
      <c r="A348" s="13">
        <v>50</v>
      </c>
      <c r="B348" s="13">
        <v>0</v>
      </c>
      <c r="C348" s="13">
        <v>0</v>
      </c>
      <c r="D348" s="13">
        <v>1</v>
      </c>
      <c r="E348" s="13">
        <v>204</v>
      </c>
      <c r="F348" s="13">
        <f>ROUND(Source!R334,O348)</f>
        <v>0.06</v>
      </c>
      <c r="G348" s="13" t="s">
        <v>141</v>
      </c>
      <c r="H348" s="13" t="s">
        <v>142</v>
      </c>
      <c r="I348" s="13"/>
      <c r="J348" s="13"/>
      <c r="K348" s="13">
        <v>204</v>
      </c>
      <c r="L348" s="13">
        <v>13</v>
      </c>
      <c r="M348" s="13">
        <v>3</v>
      </c>
      <c r="N348" s="13" t="s">
        <v>3</v>
      </c>
      <c r="O348" s="13">
        <v>2</v>
      </c>
      <c r="P348" s="13">
        <f>ROUND(Source!DJ334,O348)</f>
        <v>3.38</v>
      </c>
      <c r="Q348" s="13"/>
      <c r="R348" s="13"/>
      <c r="S348" s="13"/>
      <c r="T348" s="13"/>
      <c r="U348" s="13"/>
      <c r="V348" s="13"/>
      <c r="W348" s="13">
        <v>0.06</v>
      </c>
      <c r="X348" s="13">
        <v>1</v>
      </c>
      <c r="Y348" s="13">
        <v>0.06</v>
      </c>
      <c r="Z348" s="13">
        <v>3.38</v>
      </c>
      <c r="AA348" s="13">
        <v>1</v>
      </c>
      <c r="AB348" s="13">
        <v>3.38</v>
      </c>
    </row>
    <row r="349" spans="1:28" ht="13" x14ac:dyDescent="0.3">
      <c r="A349" s="13">
        <v>50</v>
      </c>
      <c r="B349" s="13">
        <v>0</v>
      </c>
      <c r="C349" s="13">
        <v>0</v>
      </c>
      <c r="D349" s="13">
        <v>1</v>
      </c>
      <c r="E349" s="13">
        <v>205</v>
      </c>
      <c r="F349" s="13">
        <f>ROUND(Source!S334,O349)</f>
        <v>326.79000000000002</v>
      </c>
      <c r="G349" s="13" t="s">
        <v>143</v>
      </c>
      <c r="H349" s="13" t="s">
        <v>144</v>
      </c>
      <c r="I349" s="13"/>
      <c r="J349" s="13"/>
      <c r="K349" s="13">
        <v>205</v>
      </c>
      <c r="L349" s="13">
        <v>14</v>
      </c>
      <c r="M349" s="13">
        <v>3</v>
      </c>
      <c r="N349" s="13" t="s">
        <v>3</v>
      </c>
      <c r="O349" s="13">
        <v>2</v>
      </c>
      <c r="P349" s="13">
        <f>ROUND(Source!DK334,O349)</f>
        <v>18414.62</v>
      </c>
      <c r="Q349" s="13"/>
      <c r="R349" s="13"/>
      <c r="S349" s="13"/>
      <c r="T349" s="13"/>
      <c r="U349" s="13"/>
      <c r="V349" s="13"/>
      <c r="W349" s="13">
        <v>326.79000000000002</v>
      </c>
      <c r="X349" s="13">
        <v>1</v>
      </c>
      <c r="Y349" s="13">
        <v>326.79000000000002</v>
      </c>
      <c r="Z349" s="13">
        <v>18414.62</v>
      </c>
      <c r="AA349" s="13">
        <v>1</v>
      </c>
      <c r="AB349" s="13">
        <v>18414.62</v>
      </c>
    </row>
    <row r="350" spans="1:28" ht="13" x14ac:dyDescent="0.3">
      <c r="A350" s="13">
        <v>50</v>
      </c>
      <c r="B350" s="13">
        <v>0</v>
      </c>
      <c r="C350" s="13">
        <v>0</v>
      </c>
      <c r="D350" s="13">
        <v>1</v>
      </c>
      <c r="E350" s="13">
        <v>232</v>
      </c>
      <c r="F350" s="13">
        <f>ROUND(Source!BC334,O350)</f>
        <v>0</v>
      </c>
      <c r="G350" s="13" t="s">
        <v>145</v>
      </c>
      <c r="H350" s="13" t="s">
        <v>146</v>
      </c>
      <c r="I350" s="13"/>
      <c r="J350" s="13"/>
      <c r="K350" s="13">
        <v>232</v>
      </c>
      <c r="L350" s="13">
        <v>15</v>
      </c>
      <c r="M350" s="13">
        <v>3</v>
      </c>
      <c r="N350" s="13" t="s">
        <v>3</v>
      </c>
      <c r="O350" s="13">
        <v>2</v>
      </c>
      <c r="P350" s="13">
        <f>ROUND(Source!EU334,O350)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8" ht="13" x14ac:dyDescent="0.3">
      <c r="A351" s="13">
        <v>50</v>
      </c>
      <c r="B351" s="13">
        <v>0</v>
      </c>
      <c r="C351" s="13">
        <v>0</v>
      </c>
      <c r="D351" s="13">
        <v>1</v>
      </c>
      <c r="E351" s="13">
        <v>214</v>
      </c>
      <c r="F351" s="13">
        <f>ROUND(Source!AS334,O351)</f>
        <v>0</v>
      </c>
      <c r="G351" s="13" t="s">
        <v>147</v>
      </c>
      <c r="H351" s="13" t="s">
        <v>148</v>
      </c>
      <c r="I351" s="13"/>
      <c r="J351" s="13"/>
      <c r="K351" s="13">
        <v>214</v>
      </c>
      <c r="L351" s="13">
        <v>16</v>
      </c>
      <c r="M351" s="13">
        <v>3</v>
      </c>
      <c r="N351" s="13" t="s">
        <v>3</v>
      </c>
      <c r="O351" s="13">
        <v>2</v>
      </c>
      <c r="P351" s="13">
        <f>ROUND(Source!EK334,O351)</f>
        <v>0</v>
      </c>
      <c r="Q351" s="13"/>
      <c r="R351" s="13"/>
      <c r="S351" s="13"/>
      <c r="T351" s="13"/>
      <c r="U351" s="13"/>
      <c r="V351" s="13"/>
      <c r="W351" s="13">
        <v>0</v>
      </c>
      <c r="X351" s="13">
        <v>1</v>
      </c>
      <c r="Y351" s="13">
        <v>0</v>
      </c>
      <c r="Z351" s="13">
        <v>0</v>
      </c>
      <c r="AA351" s="13">
        <v>1</v>
      </c>
      <c r="AB351" s="13">
        <v>0</v>
      </c>
    </row>
    <row r="352" spans="1:28" ht="13" x14ac:dyDescent="0.3">
      <c r="A352" s="13">
        <v>50</v>
      </c>
      <c r="B352" s="13">
        <v>0</v>
      </c>
      <c r="C352" s="13">
        <v>0</v>
      </c>
      <c r="D352" s="13">
        <v>1</v>
      </c>
      <c r="E352" s="13">
        <v>215</v>
      </c>
      <c r="F352" s="13">
        <f>ROUND(Source!AT334,O352)</f>
        <v>805.3</v>
      </c>
      <c r="G352" s="13" t="s">
        <v>149</v>
      </c>
      <c r="H352" s="13" t="s">
        <v>150</v>
      </c>
      <c r="I352" s="13"/>
      <c r="J352" s="13"/>
      <c r="K352" s="13">
        <v>215</v>
      </c>
      <c r="L352" s="13">
        <v>17</v>
      </c>
      <c r="M352" s="13">
        <v>3</v>
      </c>
      <c r="N352" s="13" t="s">
        <v>3</v>
      </c>
      <c r="O352" s="13">
        <v>2</v>
      </c>
      <c r="P352" s="13">
        <f>ROUND(Source!EL334,O352)</f>
        <v>43802.11</v>
      </c>
      <c r="Q352" s="13"/>
      <c r="R352" s="13"/>
      <c r="S352" s="13"/>
      <c r="T352" s="13"/>
      <c r="U352" s="13"/>
      <c r="V352" s="13"/>
      <c r="W352" s="13">
        <v>805.3</v>
      </c>
      <c r="X352" s="13">
        <v>1</v>
      </c>
      <c r="Y352" s="13">
        <v>805.3</v>
      </c>
      <c r="Z352" s="13">
        <v>43802.11</v>
      </c>
      <c r="AA352" s="13">
        <v>1</v>
      </c>
      <c r="AB352" s="13">
        <v>43802.11</v>
      </c>
    </row>
    <row r="353" spans="1:255" ht="13" x14ac:dyDescent="0.3">
      <c r="A353" s="13">
        <v>50</v>
      </c>
      <c r="B353" s="13">
        <v>0</v>
      </c>
      <c r="C353" s="13">
        <v>0</v>
      </c>
      <c r="D353" s="13">
        <v>1</v>
      </c>
      <c r="E353" s="13">
        <v>217</v>
      </c>
      <c r="F353" s="13">
        <f>ROUND(Source!AU334,O353)</f>
        <v>0</v>
      </c>
      <c r="G353" s="13" t="s">
        <v>151</v>
      </c>
      <c r="H353" s="13" t="s">
        <v>152</v>
      </c>
      <c r="I353" s="13"/>
      <c r="J353" s="13"/>
      <c r="K353" s="13">
        <v>217</v>
      </c>
      <c r="L353" s="13">
        <v>18</v>
      </c>
      <c r="M353" s="13">
        <v>3</v>
      </c>
      <c r="N353" s="13" t="s">
        <v>3</v>
      </c>
      <c r="O353" s="13">
        <v>2</v>
      </c>
      <c r="P353" s="13">
        <f>ROUND(Source!EM334,O353)</f>
        <v>0</v>
      </c>
      <c r="Q353" s="13"/>
      <c r="R353" s="13"/>
      <c r="S353" s="13"/>
      <c r="T353" s="13"/>
      <c r="U353" s="13"/>
      <c r="V353" s="13"/>
      <c r="W353" s="13">
        <v>0</v>
      </c>
      <c r="X353" s="13">
        <v>1</v>
      </c>
      <c r="Y353" s="13">
        <v>0</v>
      </c>
      <c r="Z353" s="13">
        <v>0</v>
      </c>
      <c r="AA353" s="13">
        <v>1</v>
      </c>
      <c r="AB353" s="13">
        <v>0</v>
      </c>
    </row>
    <row r="354" spans="1:255" ht="13" x14ac:dyDescent="0.3">
      <c r="A354" s="13">
        <v>50</v>
      </c>
      <c r="B354" s="13">
        <v>0</v>
      </c>
      <c r="C354" s="13">
        <v>0</v>
      </c>
      <c r="D354" s="13">
        <v>1</v>
      </c>
      <c r="E354" s="13">
        <v>230</v>
      </c>
      <c r="F354" s="13">
        <f>ROUND(Source!BA334,O354)</f>
        <v>0</v>
      </c>
      <c r="G354" s="13" t="s">
        <v>153</v>
      </c>
      <c r="H354" s="13" t="s">
        <v>154</v>
      </c>
      <c r="I354" s="13"/>
      <c r="J354" s="13"/>
      <c r="K354" s="13">
        <v>230</v>
      </c>
      <c r="L354" s="13">
        <v>19</v>
      </c>
      <c r="M354" s="13">
        <v>3</v>
      </c>
      <c r="N354" s="13" t="s">
        <v>3</v>
      </c>
      <c r="O354" s="13">
        <v>2</v>
      </c>
      <c r="P354" s="13">
        <f>ROUND(Source!ES334,O354)</f>
        <v>0</v>
      </c>
      <c r="Q354" s="13"/>
      <c r="R354" s="13"/>
      <c r="S354" s="13"/>
      <c r="T354" s="13"/>
      <c r="U354" s="13"/>
      <c r="V354" s="13"/>
      <c r="W354" s="13">
        <v>0</v>
      </c>
      <c r="X354" s="13">
        <v>1</v>
      </c>
      <c r="Y354" s="13">
        <v>0</v>
      </c>
      <c r="Z354" s="13">
        <v>0</v>
      </c>
      <c r="AA354" s="13">
        <v>1</v>
      </c>
      <c r="AB354" s="13">
        <v>0</v>
      </c>
    </row>
    <row r="355" spans="1:255" ht="13" x14ac:dyDescent="0.3">
      <c r="A355" s="13">
        <v>50</v>
      </c>
      <c r="B355" s="13">
        <v>0</v>
      </c>
      <c r="C355" s="13">
        <v>0</v>
      </c>
      <c r="D355" s="13">
        <v>1</v>
      </c>
      <c r="E355" s="13">
        <v>206</v>
      </c>
      <c r="F355" s="13">
        <f>ROUND(Source!T334,O355)</f>
        <v>0</v>
      </c>
      <c r="G355" s="13" t="s">
        <v>155</v>
      </c>
      <c r="H355" s="13" t="s">
        <v>156</v>
      </c>
      <c r="I355" s="13"/>
      <c r="J355" s="13"/>
      <c r="K355" s="13">
        <v>206</v>
      </c>
      <c r="L355" s="13">
        <v>20</v>
      </c>
      <c r="M355" s="13">
        <v>3</v>
      </c>
      <c r="N355" s="13" t="s">
        <v>3</v>
      </c>
      <c r="O355" s="13">
        <v>2</v>
      </c>
      <c r="P355" s="13">
        <f>ROUND(Source!DL334,O355)</f>
        <v>0</v>
      </c>
      <c r="Q355" s="13"/>
      <c r="R355" s="13"/>
      <c r="S355" s="13"/>
      <c r="T355" s="13"/>
      <c r="U355" s="13"/>
      <c r="V355" s="13"/>
      <c r="W355" s="13">
        <v>0</v>
      </c>
      <c r="X355" s="13">
        <v>1</v>
      </c>
      <c r="Y355" s="13">
        <v>0</v>
      </c>
      <c r="Z355" s="13">
        <v>0</v>
      </c>
      <c r="AA355" s="13">
        <v>1</v>
      </c>
      <c r="AB355" s="13">
        <v>0</v>
      </c>
    </row>
    <row r="356" spans="1:255" ht="13" x14ac:dyDescent="0.3">
      <c r="A356" s="13">
        <v>50</v>
      </c>
      <c r="B356" s="13">
        <v>0</v>
      </c>
      <c r="C356" s="13">
        <v>0</v>
      </c>
      <c r="D356" s="13">
        <v>1</v>
      </c>
      <c r="E356" s="13">
        <v>207</v>
      </c>
      <c r="F356" s="13">
        <f>Source!U334</f>
        <v>24.524928000000003</v>
      </c>
      <c r="G356" s="13" t="s">
        <v>157</v>
      </c>
      <c r="H356" s="13" t="s">
        <v>158</v>
      </c>
      <c r="I356" s="13"/>
      <c r="J356" s="13"/>
      <c r="K356" s="13">
        <v>207</v>
      </c>
      <c r="L356" s="13">
        <v>21</v>
      </c>
      <c r="M356" s="13">
        <v>3</v>
      </c>
      <c r="N356" s="13" t="s">
        <v>3</v>
      </c>
      <c r="O356" s="13">
        <v>-1</v>
      </c>
      <c r="P356" s="13">
        <f>Source!DM334</f>
        <v>24.524928000000003</v>
      </c>
      <c r="Q356" s="13"/>
      <c r="R356" s="13"/>
      <c r="S356" s="13"/>
      <c r="T356" s="13"/>
      <c r="U356" s="13"/>
      <c r="V356" s="13"/>
      <c r="W356" s="13">
        <v>24.524928000000003</v>
      </c>
      <c r="X356" s="13">
        <v>1</v>
      </c>
      <c r="Y356" s="13">
        <v>24.524928000000003</v>
      </c>
      <c r="Z356" s="13">
        <v>24.524928000000003</v>
      </c>
      <c r="AA356" s="13">
        <v>1</v>
      </c>
      <c r="AB356" s="13">
        <v>24.524928000000003</v>
      </c>
    </row>
    <row r="357" spans="1:255" ht="13" x14ac:dyDescent="0.3">
      <c r="A357" s="13">
        <v>50</v>
      </c>
      <c r="B357" s="13">
        <v>0</v>
      </c>
      <c r="C357" s="13">
        <v>0</v>
      </c>
      <c r="D357" s="13">
        <v>1</v>
      </c>
      <c r="E357" s="13">
        <v>208</v>
      </c>
      <c r="F357" s="13">
        <f>Source!V334</f>
        <v>0</v>
      </c>
      <c r="G357" s="13" t="s">
        <v>159</v>
      </c>
      <c r="H357" s="13" t="s">
        <v>160</v>
      </c>
      <c r="I357" s="13"/>
      <c r="J357" s="13"/>
      <c r="K357" s="13">
        <v>208</v>
      </c>
      <c r="L357" s="13">
        <v>22</v>
      </c>
      <c r="M357" s="13">
        <v>3</v>
      </c>
      <c r="N357" s="13" t="s">
        <v>3</v>
      </c>
      <c r="O357" s="13">
        <v>-1</v>
      </c>
      <c r="P357" s="13">
        <f>Source!DN334</f>
        <v>0</v>
      </c>
      <c r="Q357" s="13"/>
      <c r="R357" s="13"/>
      <c r="S357" s="13"/>
      <c r="T357" s="13"/>
      <c r="U357" s="13"/>
      <c r="V357" s="13"/>
      <c r="W357" s="13">
        <v>0</v>
      </c>
      <c r="X357" s="13">
        <v>1</v>
      </c>
      <c r="Y357" s="13">
        <v>0</v>
      </c>
      <c r="Z357" s="13">
        <v>0</v>
      </c>
      <c r="AA357" s="13">
        <v>1</v>
      </c>
      <c r="AB357" s="13">
        <v>0</v>
      </c>
    </row>
    <row r="358" spans="1:255" ht="13" x14ac:dyDescent="0.3">
      <c r="A358" s="13">
        <v>50</v>
      </c>
      <c r="B358" s="13">
        <v>0</v>
      </c>
      <c r="C358" s="13">
        <v>0</v>
      </c>
      <c r="D358" s="13">
        <v>1</v>
      </c>
      <c r="E358" s="13">
        <v>209</v>
      </c>
      <c r="F358" s="13">
        <f>ROUND(Source!W334,O358)</f>
        <v>0</v>
      </c>
      <c r="G358" s="13" t="s">
        <v>161</v>
      </c>
      <c r="H358" s="13" t="s">
        <v>162</v>
      </c>
      <c r="I358" s="13"/>
      <c r="J358" s="13"/>
      <c r="K358" s="13">
        <v>209</v>
      </c>
      <c r="L358" s="13">
        <v>23</v>
      </c>
      <c r="M358" s="13">
        <v>3</v>
      </c>
      <c r="N358" s="13" t="s">
        <v>3</v>
      </c>
      <c r="O358" s="13">
        <v>2</v>
      </c>
      <c r="P358" s="13">
        <f>ROUND(Source!DO334,O358)</f>
        <v>0</v>
      </c>
      <c r="Q358" s="13"/>
      <c r="R358" s="13"/>
      <c r="S358" s="13"/>
      <c r="T358" s="13"/>
      <c r="U358" s="13"/>
      <c r="V358" s="13"/>
      <c r="W358" s="13">
        <v>0</v>
      </c>
      <c r="X358" s="13">
        <v>1</v>
      </c>
      <c r="Y358" s="13">
        <v>0</v>
      </c>
      <c r="Z358" s="13">
        <v>0</v>
      </c>
      <c r="AA358" s="13">
        <v>1</v>
      </c>
      <c r="AB358" s="13">
        <v>0</v>
      </c>
    </row>
    <row r="359" spans="1:255" ht="13" x14ac:dyDescent="0.3">
      <c r="A359" s="13">
        <v>50</v>
      </c>
      <c r="B359" s="13">
        <v>0</v>
      </c>
      <c r="C359" s="13">
        <v>0</v>
      </c>
      <c r="D359" s="13">
        <v>1</v>
      </c>
      <c r="E359" s="13">
        <v>233</v>
      </c>
      <c r="F359" s="13">
        <f>ROUND(Source!BD334,O359)</f>
        <v>0</v>
      </c>
      <c r="G359" s="13" t="s">
        <v>163</v>
      </c>
      <c r="H359" s="13" t="s">
        <v>164</v>
      </c>
      <c r="I359" s="13"/>
      <c r="J359" s="13"/>
      <c r="K359" s="13">
        <v>233</v>
      </c>
      <c r="L359" s="13">
        <v>24</v>
      </c>
      <c r="M359" s="13">
        <v>3</v>
      </c>
      <c r="N359" s="13" t="s">
        <v>3</v>
      </c>
      <c r="O359" s="13">
        <v>2</v>
      </c>
      <c r="P359" s="13">
        <f>ROUND(Source!EV334,O359)</f>
        <v>0</v>
      </c>
      <c r="Q359" s="13"/>
      <c r="R359" s="13"/>
      <c r="S359" s="13"/>
      <c r="T359" s="13"/>
      <c r="U359" s="13"/>
      <c r="V359" s="13"/>
      <c r="W359" s="13">
        <v>0</v>
      </c>
      <c r="X359" s="13">
        <v>1</v>
      </c>
      <c r="Y359" s="13">
        <v>0</v>
      </c>
      <c r="Z359" s="13">
        <v>0</v>
      </c>
      <c r="AA359" s="13">
        <v>1</v>
      </c>
      <c r="AB359" s="13">
        <v>0</v>
      </c>
    </row>
    <row r="360" spans="1:255" ht="13" x14ac:dyDescent="0.3">
      <c r="A360" s="13">
        <v>50</v>
      </c>
      <c r="B360" s="13">
        <v>0</v>
      </c>
      <c r="C360" s="13">
        <v>0</v>
      </c>
      <c r="D360" s="13">
        <v>1</v>
      </c>
      <c r="E360" s="13">
        <v>210</v>
      </c>
      <c r="F360" s="13">
        <f>ROUND(Source!X334,O360)</f>
        <v>294.17</v>
      </c>
      <c r="G360" s="13" t="s">
        <v>165</v>
      </c>
      <c r="H360" s="13" t="s">
        <v>166</v>
      </c>
      <c r="I360" s="13"/>
      <c r="J360" s="13"/>
      <c r="K360" s="13">
        <v>210</v>
      </c>
      <c r="L360" s="13">
        <v>25</v>
      </c>
      <c r="M360" s="13">
        <v>3</v>
      </c>
      <c r="N360" s="13" t="s">
        <v>3</v>
      </c>
      <c r="O360" s="13">
        <v>2</v>
      </c>
      <c r="P360" s="13">
        <f>ROUND(Source!DP334,O360)</f>
        <v>16576.2</v>
      </c>
      <c r="Q360" s="13"/>
      <c r="R360" s="13"/>
      <c r="S360" s="13"/>
      <c r="T360" s="13"/>
      <c r="U360" s="13"/>
      <c r="V360" s="13"/>
      <c r="W360" s="13">
        <v>294.17</v>
      </c>
      <c r="X360" s="13">
        <v>1</v>
      </c>
      <c r="Y360" s="13">
        <v>294.17</v>
      </c>
      <c r="Z360" s="13">
        <v>16576.2</v>
      </c>
      <c r="AA360" s="13">
        <v>1</v>
      </c>
      <c r="AB360" s="13">
        <v>16576.2</v>
      </c>
    </row>
    <row r="361" spans="1:255" ht="13" x14ac:dyDescent="0.3">
      <c r="A361" s="13">
        <v>50</v>
      </c>
      <c r="B361" s="13">
        <v>0</v>
      </c>
      <c r="C361" s="13">
        <v>0</v>
      </c>
      <c r="D361" s="13">
        <v>1</v>
      </c>
      <c r="E361" s="13">
        <v>211</v>
      </c>
      <c r="F361" s="13">
        <f>ROUND(Source!Y334,O361)</f>
        <v>150.35</v>
      </c>
      <c r="G361" s="13" t="s">
        <v>167</v>
      </c>
      <c r="H361" s="13" t="s">
        <v>168</v>
      </c>
      <c r="I361" s="13"/>
      <c r="J361" s="13"/>
      <c r="K361" s="13">
        <v>211</v>
      </c>
      <c r="L361" s="13">
        <v>26</v>
      </c>
      <c r="M361" s="13">
        <v>3</v>
      </c>
      <c r="N361" s="13" t="s">
        <v>3</v>
      </c>
      <c r="O361" s="13">
        <v>2</v>
      </c>
      <c r="P361" s="13">
        <f>ROUND(Source!DQ334,O361)</f>
        <v>8472.2800000000007</v>
      </c>
      <c r="Q361" s="13"/>
      <c r="R361" s="13"/>
      <c r="S361" s="13"/>
      <c r="T361" s="13"/>
      <c r="U361" s="13"/>
      <c r="V361" s="13"/>
      <c r="W361" s="13">
        <v>150.35</v>
      </c>
      <c r="X361" s="13">
        <v>1</v>
      </c>
      <c r="Y361" s="13">
        <v>150.35</v>
      </c>
      <c r="Z361" s="13">
        <v>8472.2800000000007</v>
      </c>
      <c r="AA361" s="13">
        <v>1</v>
      </c>
      <c r="AB361" s="13">
        <v>8472.2800000000007</v>
      </c>
    </row>
    <row r="362" spans="1:255" ht="13" x14ac:dyDescent="0.3">
      <c r="A362" s="13">
        <v>50</v>
      </c>
      <c r="B362" s="13">
        <v>0</v>
      </c>
      <c r="C362" s="13">
        <v>0</v>
      </c>
      <c r="D362" s="13">
        <v>1</v>
      </c>
      <c r="E362" s="13">
        <v>224</v>
      </c>
      <c r="F362" s="13">
        <f>ROUND(Source!AR334,O362)</f>
        <v>15489.26</v>
      </c>
      <c r="G362" s="13" t="s">
        <v>169</v>
      </c>
      <c r="H362" s="13" t="s">
        <v>170</v>
      </c>
      <c r="I362" s="13"/>
      <c r="J362" s="13"/>
      <c r="K362" s="13">
        <v>224</v>
      </c>
      <c r="L362" s="13">
        <v>27</v>
      </c>
      <c r="M362" s="13">
        <v>3</v>
      </c>
      <c r="N362" s="13" t="s">
        <v>3</v>
      </c>
      <c r="O362" s="13">
        <v>2</v>
      </c>
      <c r="P362" s="13">
        <f>ROUND(Source!EJ334,O362)</f>
        <v>154959.69</v>
      </c>
      <c r="Q362" s="13"/>
      <c r="R362" s="13"/>
      <c r="S362" s="13"/>
      <c r="T362" s="13"/>
      <c r="U362" s="13"/>
      <c r="V362" s="13"/>
      <c r="W362" s="13">
        <v>15489.26</v>
      </c>
      <c r="X362" s="13">
        <v>1</v>
      </c>
      <c r="Y362" s="13">
        <v>15489.26</v>
      </c>
      <c r="Z362" s="13">
        <v>154959.69</v>
      </c>
      <c r="AA362" s="13">
        <v>1</v>
      </c>
      <c r="AB362" s="13">
        <v>154959.69</v>
      </c>
    </row>
    <row r="364" spans="1:255" ht="13" x14ac:dyDescent="0.3">
      <c r="A364" s="10">
        <v>4</v>
      </c>
      <c r="B364" s="10">
        <v>1</v>
      </c>
      <c r="C364" s="10"/>
      <c r="D364" s="10">
        <f>ROW(A423)</f>
        <v>423</v>
      </c>
      <c r="E364" s="10"/>
      <c r="F364" s="10" t="s">
        <v>21</v>
      </c>
      <c r="G364" s="10" t="s">
        <v>291</v>
      </c>
      <c r="H364" s="10" t="s">
        <v>3</v>
      </c>
      <c r="I364" s="10">
        <v>0</v>
      </c>
      <c r="J364" s="10"/>
      <c r="K364" s="10">
        <v>0</v>
      </c>
      <c r="L364" s="10"/>
      <c r="M364" s="10" t="s">
        <v>3</v>
      </c>
      <c r="N364" s="10"/>
      <c r="O364" s="10"/>
      <c r="P364" s="10"/>
      <c r="Q364" s="10"/>
      <c r="R364" s="10"/>
      <c r="S364" s="10">
        <v>0</v>
      </c>
      <c r="T364" s="10">
        <v>0</v>
      </c>
      <c r="U364" s="10" t="s">
        <v>3</v>
      </c>
      <c r="V364" s="10">
        <v>2</v>
      </c>
      <c r="W364" s="10"/>
      <c r="X364" s="10"/>
      <c r="Y364" s="10"/>
      <c r="Z364" s="10"/>
      <c r="AA364" s="10"/>
      <c r="AB364" s="10" t="s">
        <v>3</v>
      </c>
      <c r="AC364" s="10" t="s">
        <v>3</v>
      </c>
      <c r="AD364" s="10" t="s">
        <v>3</v>
      </c>
      <c r="AE364" s="10" t="s">
        <v>3</v>
      </c>
      <c r="AF364" s="10" t="s">
        <v>3</v>
      </c>
      <c r="AG364" s="10" t="s">
        <v>3</v>
      </c>
      <c r="AH364" s="10"/>
      <c r="AI364" s="10"/>
      <c r="AJ364" s="10"/>
      <c r="AK364" s="10"/>
      <c r="AL364" s="10"/>
      <c r="AM364" s="10"/>
      <c r="AN364" s="10"/>
      <c r="AO364" s="10"/>
      <c r="AP364" s="10" t="s">
        <v>3</v>
      </c>
      <c r="AQ364" s="10" t="s">
        <v>3</v>
      </c>
      <c r="AR364" s="10" t="s">
        <v>3</v>
      </c>
      <c r="AS364" s="10"/>
      <c r="AT364" s="10"/>
      <c r="AU364" s="10"/>
      <c r="AV364" s="10"/>
      <c r="AW364" s="10"/>
      <c r="AX364" s="10"/>
      <c r="AY364" s="10"/>
      <c r="AZ364" s="10" t="s">
        <v>3</v>
      </c>
      <c r="BA364" s="10"/>
      <c r="BB364" s="10" t="s">
        <v>3</v>
      </c>
      <c r="BC364" s="10" t="s">
        <v>3</v>
      </c>
      <c r="BD364" s="10" t="s">
        <v>3</v>
      </c>
      <c r="BE364" s="10" t="s">
        <v>3</v>
      </c>
      <c r="BF364" s="10" t="s">
        <v>3</v>
      </c>
      <c r="BG364" s="10" t="s">
        <v>3</v>
      </c>
      <c r="BH364" s="10" t="s">
        <v>3</v>
      </c>
      <c r="BI364" s="10" t="s">
        <v>3</v>
      </c>
      <c r="BJ364" s="10" t="s">
        <v>3</v>
      </c>
      <c r="BK364" s="10" t="s">
        <v>3</v>
      </c>
      <c r="BL364" s="10" t="s">
        <v>3</v>
      </c>
      <c r="BM364" s="10" t="s">
        <v>3</v>
      </c>
      <c r="BN364" s="10" t="s">
        <v>3</v>
      </c>
      <c r="BO364" s="10" t="s">
        <v>3</v>
      </c>
      <c r="BP364" s="10" t="s">
        <v>3</v>
      </c>
      <c r="BQ364" s="10"/>
      <c r="BR364" s="10"/>
      <c r="BS364" s="10"/>
      <c r="BT364" s="10"/>
      <c r="BU364" s="10"/>
      <c r="BV364" s="10"/>
      <c r="BW364" s="10"/>
      <c r="BX364" s="10">
        <v>0</v>
      </c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>
        <v>0</v>
      </c>
    </row>
    <row r="366" spans="1:255" ht="13" x14ac:dyDescent="0.3">
      <c r="A366" s="11">
        <v>52</v>
      </c>
      <c r="B366" s="11">
        <f t="shared" ref="B366:G366" si="269">B423</f>
        <v>1</v>
      </c>
      <c r="C366" s="11">
        <f t="shared" si="269"/>
        <v>4</v>
      </c>
      <c r="D366" s="11">
        <f t="shared" si="269"/>
        <v>364</v>
      </c>
      <c r="E366" s="11">
        <f t="shared" si="269"/>
        <v>0</v>
      </c>
      <c r="F366" s="11" t="str">
        <f t="shared" si="269"/>
        <v>Новый раздел</v>
      </c>
      <c r="G366" s="11" t="str">
        <f t="shared" si="269"/>
        <v>Оконечное оборудование СПА.</v>
      </c>
      <c r="H366" s="11"/>
      <c r="I366" s="11"/>
      <c r="J366" s="11"/>
      <c r="K366" s="11"/>
      <c r="L366" s="11"/>
      <c r="M366" s="11"/>
      <c r="N366" s="11"/>
      <c r="O366" s="11">
        <f t="shared" ref="O366:AT366" si="270">O423</f>
        <v>300608.37</v>
      </c>
      <c r="P366" s="11">
        <f t="shared" si="270"/>
        <v>293938.43</v>
      </c>
      <c r="Q366" s="11">
        <f t="shared" si="270"/>
        <v>89.02</v>
      </c>
      <c r="R366" s="11">
        <f t="shared" si="270"/>
        <v>8.8699999999999992</v>
      </c>
      <c r="S366" s="11">
        <f t="shared" si="270"/>
        <v>6580.92</v>
      </c>
      <c r="T366" s="11">
        <f t="shared" si="270"/>
        <v>0</v>
      </c>
      <c r="U366" s="11">
        <f t="shared" si="270"/>
        <v>510.61352399999993</v>
      </c>
      <c r="V366" s="11">
        <f t="shared" si="270"/>
        <v>0</v>
      </c>
      <c r="W366" s="11">
        <f t="shared" si="270"/>
        <v>0</v>
      </c>
      <c r="X366" s="11">
        <f t="shared" si="270"/>
        <v>5945.75</v>
      </c>
      <c r="Y366" s="11">
        <f t="shared" si="270"/>
        <v>3052.21</v>
      </c>
      <c r="Z366" s="11">
        <f t="shared" si="270"/>
        <v>0</v>
      </c>
      <c r="AA366" s="11">
        <f t="shared" si="270"/>
        <v>0</v>
      </c>
      <c r="AB366" s="11">
        <f t="shared" si="270"/>
        <v>300608.37</v>
      </c>
      <c r="AC366" s="11">
        <f t="shared" si="270"/>
        <v>293938.43</v>
      </c>
      <c r="AD366" s="11">
        <f t="shared" si="270"/>
        <v>89.02</v>
      </c>
      <c r="AE366" s="11">
        <f t="shared" si="270"/>
        <v>8.8699999999999992</v>
      </c>
      <c r="AF366" s="11">
        <f t="shared" si="270"/>
        <v>6580.92</v>
      </c>
      <c r="AG366" s="11">
        <f t="shared" si="270"/>
        <v>0</v>
      </c>
      <c r="AH366" s="11">
        <f t="shared" si="270"/>
        <v>510.61352399999993</v>
      </c>
      <c r="AI366" s="11">
        <f t="shared" si="270"/>
        <v>0</v>
      </c>
      <c r="AJ366" s="11">
        <f t="shared" si="270"/>
        <v>0</v>
      </c>
      <c r="AK366" s="11">
        <f t="shared" si="270"/>
        <v>5945.75</v>
      </c>
      <c r="AL366" s="11">
        <f t="shared" si="270"/>
        <v>3052.21</v>
      </c>
      <c r="AM366" s="11">
        <f t="shared" si="270"/>
        <v>0</v>
      </c>
      <c r="AN366" s="11">
        <f t="shared" si="270"/>
        <v>0</v>
      </c>
      <c r="AO366" s="11">
        <f t="shared" si="270"/>
        <v>0</v>
      </c>
      <c r="AP366" s="11">
        <f t="shared" si="270"/>
        <v>288566.71999999997</v>
      </c>
      <c r="AQ366" s="11">
        <f t="shared" si="270"/>
        <v>0</v>
      </c>
      <c r="AR366" s="11">
        <f t="shared" si="270"/>
        <v>309606.33</v>
      </c>
      <c r="AS366" s="11">
        <f t="shared" si="270"/>
        <v>0</v>
      </c>
      <c r="AT366" s="11">
        <f t="shared" si="270"/>
        <v>21039.61</v>
      </c>
      <c r="AU366" s="11">
        <f t="shared" ref="AU366:BZ366" si="271">AU423</f>
        <v>0</v>
      </c>
      <c r="AV366" s="11">
        <f t="shared" si="271"/>
        <v>293938.43</v>
      </c>
      <c r="AW366" s="11">
        <f t="shared" si="271"/>
        <v>5371.71</v>
      </c>
      <c r="AX366" s="11">
        <f t="shared" si="271"/>
        <v>0</v>
      </c>
      <c r="AY366" s="11">
        <f t="shared" si="271"/>
        <v>5371.71</v>
      </c>
      <c r="AZ366" s="11">
        <f t="shared" si="271"/>
        <v>288566.71999999997</v>
      </c>
      <c r="BA366" s="11">
        <f t="shared" si="271"/>
        <v>0</v>
      </c>
      <c r="BB366" s="11">
        <f t="shared" si="271"/>
        <v>0</v>
      </c>
      <c r="BC366" s="11">
        <f t="shared" si="271"/>
        <v>0</v>
      </c>
      <c r="BD366" s="11">
        <f t="shared" si="271"/>
        <v>0</v>
      </c>
      <c r="BE366" s="11">
        <f t="shared" si="271"/>
        <v>0</v>
      </c>
      <c r="BF366" s="11">
        <f t="shared" si="271"/>
        <v>0</v>
      </c>
      <c r="BG366" s="11">
        <f t="shared" si="271"/>
        <v>0</v>
      </c>
      <c r="BH366" s="11">
        <f t="shared" si="271"/>
        <v>0</v>
      </c>
      <c r="BI366" s="11">
        <f t="shared" si="271"/>
        <v>0</v>
      </c>
      <c r="BJ366" s="11">
        <f t="shared" si="271"/>
        <v>0</v>
      </c>
      <c r="BK366" s="11">
        <f t="shared" si="271"/>
        <v>0</v>
      </c>
      <c r="BL366" s="11">
        <f t="shared" si="271"/>
        <v>0</v>
      </c>
      <c r="BM366" s="11">
        <f t="shared" si="271"/>
        <v>0</v>
      </c>
      <c r="BN366" s="11">
        <f t="shared" si="271"/>
        <v>0</v>
      </c>
      <c r="BO366" s="11">
        <f t="shared" si="271"/>
        <v>0</v>
      </c>
      <c r="BP366" s="11">
        <f t="shared" si="271"/>
        <v>0</v>
      </c>
      <c r="BQ366" s="11">
        <f t="shared" si="271"/>
        <v>0</v>
      </c>
      <c r="BR366" s="11">
        <f t="shared" si="271"/>
        <v>0</v>
      </c>
      <c r="BS366" s="11">
        <f t="shared" si="271"/>
        <v>0</v>
      </c>
      <c r="BT366" s="11">
        <f t="shared" si="271"/>
        <v>0</v>
      </c>
      <c r="BU366" s="11">
        <f t="shared" si="271"/>
        <v>0</v>
      </c>
      <c r="BV366" s="11">
        <f t="shared" si="271"/>
        <v>0</v>
      </c>
      <c r="BW366" s="11">
        <f t="shared" si="271"/>
        <v>0</v>
      </c>
      <c r="BX366" s="11">
        <f t="shared" si="271"/>
        <v>0</v>
      </c>
      <c r="BY366" s="11">
        <f t="shared" si="271"/>
        <v>288566.71999999997</v>
      </c>
      <c r="BZ366" s="11">
        <f t="shared" si="271"/>
        <v>0</v>
      </c>
      <c r="CA366" s="11">
        <f t="shared" ref="CA366:DF366" si="272">CA423</f>
        <v>309606.33</v>
      </c>
      <c r="CB366" s="11">
        <f t="shared" si="272"/>
        <v>0</v>
      </c>
      <c r="CC366" s="11">
        <f t="shared" si="272"/>
        <v>21039.61</v>
      </c>
      <c r="CD366" s="11">
        <f t="shared" si="272"/>
        <v>0</v>
      </c>
      <c r="CE366" s="11">
        <f t="shared" si="272"/>
        <v>293938.43</v>
      </c>
      <c r="CF366" s="11">
        <f t="shared" si="272"/>
        <v>5371.710000000021</v>
      </c>
      <c r="CG366" s="11">
        <f t="shared" si="272"/>
        <v>0</v>
      </c>
      <c r="CH366" s="11">
        <f t="shared" si="272"/>
        <v>5371.710000000021</v>
      </c>
      <c r="CI366" s="11">
        <f t="shared" si="272"/>
        <v>288566.71999999997</v>
      </c>
      <c r="CJ366" s="11">
        <f t="shared" si="272"/>
        <v>0</v>
      </c>
      <c r="CK366" s="11">
        <f t="shared" si="272"/>
        <v>0</v>
      </c>
      <c r="CL366" s="11">
        <f t="shared" si="272"/>
        <v>0</v>
      </c>
      <c r="CM366" s="11">
        <f t="shared" si="272"/>
        <v>0</v>
      </c>
      <c r="CN366" s="11">
        <f t="shared" si="272"/>
        <v>0</v>
      </c>
      <c r="CO366" s="11">
        <f t="shared" si="272"/>
        <v>0</v>
      </c>
      <c r="CP366" s="11">
        <f t="shared" si="272"/>
        <v>0</v>
      </c>
      <c r="CQ366" s="11">
        <f t="shared" si="272"/>
        <v>0</v>
      </c>
      <c r="CR366" s="11">
        <f t="shared" si="272"/>
        <v>0</v>
      </c>
      <c r="CS366" s="11">
        <f t="shared" si="272"/>
        <v>0</v>
      </c>
      <c r="CT366" s="11">
        <f t="shared" si="272"/>
        <v>0</v>
      </c>
      <c r="CU366" s="11">
        <f t="shared" si="272"/>
        <v>0</v>
      </c>
      <c r="CV366" s="11">
        <f t="shared" si="272"/>
        <v>0</v>
      </c>
      <c r="CW366" s="11">
        <f t="shared" si="272"/>
        <v>0</v>
      </c>
      <c r="CX366" s="11">
        <f t="shared" si="272"/>
        <v>0</v>
      </c>
      <c r="CY366" s="11">
        <f t="shared" si="272"/>
        <v>0</v>
      </c>
      <c r="CZ366" s="11">
        <f t="shared" si="272"/>
        <v>0</v>
      </c>
      <c r="DA366" s="11">
        <f t="shared" si="272"/>
        <v>0</v>
      </c>
      <c r="DB366" s="11">
        <f t="shared" si="272"/>
        <v>0</v>
      </c>
      <c r="DC366" s="11">
        <f t="shared" si="272"/>
        <v>0</v>
      </c>
      <c r="DD366" s="11">
        <f t="shared" si="272"/>
        <v>0</v>
      </c>
      <c r="DE366" s="11">
        <f t="shared" si="272"/>
        <v>0</v>
      </c>
      <c r="DF366" s="11">
        <f t="shared" si="272"/>
        <v>0</v>
      </c>
      <c r="DG366" s="12">
        <f t="shared" ref="DG366:EL366" si="273">DG423</f>
        <v>2601964.59</v>
      </c>
      <c r="DH366" s="12">
        <f t="shared" si="273"/>
        <v>2229730.77</v>
      </c>
      <c r="DI366" s="12">
        <f t="shared" si="273"/>
        <v>1398.97</v>
      </c>
      <c r="DJ366" s="12">
        <f t="shared" si="273"/>
        <v>499.83</v>
      </c>
      <c r="DK366" s="12">
        <f t="shared" si="273"/>
        <v>370834.85</v>
      </c>
      <c r="DL366" s="12">
        <f t="shared" si="273"/>
        <v>0</v>
      </c>
      <c r="DM366" s="12">
        <f t="shared" si="273"/>
        <v>510.61352399999993</v>
      </c>
      <c r="DN366" s="12">
        <f t="shared" si="273"/>
        <v>0</v>
      </c>
      <c r="DO366" s="12">
        <f t="shared" si="273"/>
        <v>0</v>
      </c>
      <c r="DP366" s="12">
        <f t="shared" si="273"/>
        <v>335043.01</v>
      </c>
      <c r="DQ366" s="12">
        <f t="shared" si="273"/>
        <v>171992.46</v>
      </c>
      <c r="DR366" s="12">
        <f t="shared" si="273"/>
        <v>0</v>
      </c>
      <c r="DS366" s="12">
        <f t="shared" si="273"/>
        <v>0</v>
      </c>
      <c r="DT366" s="12">
        <f t="shared" si="273"/>
        <v>2601964.59</v>
      </c>
      <c r="DU366" s="12">
        <f t="shared" si="273"/>
        <v>2229730.77</v>
      </c>
      <c r="DV366" s="12">
        <f t="shared" si="273"/>
        <v>1398.97</v>
      </c>
      <c r="DW366" s="12">
        <f t="shared" si="273"/>
        <v>499.83</v>
      </c>
      <c r="DX366" s="12">
        <f t="shared" si="273"/>
        <v>370834.85</v>
      </c>
      <c r="DY366" s="12">
        <f t="shared" si="273"/>
        <v>0</v>
      </c>
      <c r="DZ366" s="12">
        <f t="shared" si="273"/>
        <v>510.61352399999993</v>
      </c>
      <c r="EA366" s="12">
        <f t="shared" si="273"/>
        <v>0</v>
      </c>
      <c r="EB366" s="12">
        <f t="shared" si="273"/>
        <v>0</v>
      </c>
      <c r="EC366" s="12">
        <f t="shared" si="273"/>
        <v>335043.01</v>
      </c>
      <c r="ED366" s="12">
        <f t="shared" si="273"/>
        <v>171992.46</v>
      </c>
      <c r="EE366" s="12">
        <f t="shared" si="273"/>
        <v>0</v>
      </c>
      <c r="EF366" s="12">
        <f t="shared" si="273"/>
        <v>0</v>
      </c>
      <c r="EG366" s="12">
        <f t="shared" si="273"/>
        <v>0</v>
      </c>
      <c r="EH366" s="12">
        <f t="shared" si="273"/>
        <v>2184450.06</v>
      </c>
      <c r="EI366" s="12">
        <f t="shared" si="273"/>
        <v>0</v>
      </c>
      <c r="EJ366" s="12">
        <f t="shared" si="273"/>
        <v>3109000.06</v>
      </c>
      <c r="EK366" s="12">
        <f t="shared" si="273"/>
        <v>0</v>
      </c>
      <c r="EL366" s="12">
        <f t="shared" si="273"/>
        <v>924550</v>
      </c>
      <c r="EM366" s="12">
        <f t="shared" ref="EM366:FR366" si="274">EM423</f>
        <v>0</v>
      </c>
      <c r="EN366" s="12">
        <f t="shared" si="274"/>
        <v>2229730.77</v>
      </c>
      <c r="EO366" s="12">
        <f t="shared" si="274"/>
        <v>45280.71</v>
      </c>
      <c r="EP366" s="12">
        <f t="shared" si="274"/>
        <v>0</v>
      </c>
      <c r="EQ366" s="12">
        <f t="shared" si="274"/>
        <v>45280.71</v>
      </c>
      <c r="ER366" s="12">
        <f t="shared" si="274"/>
        <v>2184450.06</v>
      </c>
      <c r="ES366" s="12">
        <f t="shared" si="274"/>
        <v>0</v>
      </c>
      <c r="ET366" s="12">
        <f t="shared" si="274"/>
        <v>0</v>
      </c>
      <c r="EU366" s="12">
        <f t="shared" si="274"/>
        <v>0</v>
      </c>
      <c r="EV366" s="12">
        <f t="shared" si="274"/>
        <v>0</v>
      </c>
      <c r="EW366" s="12">
        <f t="shared" si="274"/>
        <v>0</v>
      </c>
      <c r="EX366" s="12">
        <f t="shared" si="274"/>
        <v>0</v>
      </c>
      <c r="EY366" s="12">
        <f t="shared" si="274"/>
        <v>0</v>
      </c>
      <c r="EZ366" s="12">
        <f t="shared" si="274"/>
        <v>0</v>
      </c>
      <c r="FA366" s="12">
        <f t="shared" si="274"/>
        <v>0</v>
      </c>
      <c r="FB366" s="12">
        <f t="shared" si="274"/>
        <v>0</v>
      </c>
      <c r="FC366" s="12">
        <f t="shared" si="274"/>
        <v>0</v>
      </c>
      <c r="FD366" s="12">
        <f t="shared" si="274"/>
        <v>0</v>
      </c>
      <c r="FE366" s="12">
        <f t="shared" si="274"/>
        <v>0</v>
      </c>
      <c r="FF366" s="12">
        <f t="shared" si="274"/>
        <v>0</v>
      </c>
      <c r="FG366" s="12">
        <f t="shared" si="274"/>
        <v>0</v>
      </c>
      <c r="FH366" s="12">
        <f t="shared" si="274"/>
        <v>0</v>
      </c>
      <c r="FI366" s="12">
        <f t="shared" si="274"/>
        <v>0</v>
      </c>
      <c r="FJ366" s="12">
        <f t="shared" si="274"/>
        <v>0</v>
      </c>
      <c r="FK366" s="12">
        <f t="shared" si="274"/>
        <v>0</v>
      </c>
      <c r="FL366" s="12">
        <f t="shared" si="274"/>
        <v>0</v>
      </c>
      <c r="FM366" s="12">
        <f t="shared" si="274"/>
        <v>0</v>
      </c>
      <c r="FN366" s="12">
        <f t="shared" si="274"/>
        <v>0</v>
      </c>
      <c r="FO366" s="12">
        <f t="shared" si="274"/>
        <v>0</v>
      </c>
      <c r="FP366" s="12">
        <f t="shared" si="274"/>
        <v>0</v>
      </c>
      <c r="FQ366" s="12">
        <f t="shared" si="274"/>
        <v>2184450.06</v>
      </c>
      <c r="FR366" s="12">
        <f t="shared" si="274"/>
        <v>0</v>
      </c>
      <c r="FS366" s="12">
        <f t="shared" ref="FS366:GX366" si="275">FS423</f>
        <v>3109000.06</v>
      </c>
      <c r="FT366" s="12">
        <f t="shared" si="275"/>
        <v>0</v>
      </c>
      <c r="FU366" s="12">
        <f t="shared" si="275"/>
        <v>924550</v>
      </c>
      <c r="FV366" s="12">
        <f t="shared" si="275"/>
        <v>0</v>
      </c>
      <c r="FW366" s="12">
        <f t="shared" si="275"/>
        <v>2229730.77</v>
      </c>
      <c r="FX366" s="12">
        <f t="shared" si="275"/>
        <v>45280.709999999963</v>
      </c>
      <c r="FY366" s="12">
        <f t="shared" si="275"/>
        <v>0</v>
      </c>
      <c r="FZ366" s="12">
        <f t="shared" si="275"/>
        <v>45280.709999999963</v>
      </c>
      <c r="GA366" s="12">
        <f t="shared" si="275"/>
        <v>2184450.06</v>
      </c>
      <c r="GB366" s="12">
        <f t="shared" si="275"/>
        <v>0</v>
      </c>
      <c r="GC366" s="12">
        <f t="shared" si="275"/>
        <v>0</v>
      </c>
      <c r="GD366" s="12">
        <f t="shared" si="275"/>
        <v>0</v>
      </c>
      <c r="GE366" s="12">
        <f t="shared" si="275"/>
        <v>0</v>
      </c>
      <c r="GF366" s="12">
        <f t="shared" si="275"/>
        <v>0</v>
      </c>
      <c r="GG366" s="12">
        <f t="shared" si="275"/>
        <v>0</v>
      </c>
      <c r="GH366" s="12">
        <f t="shared" si="275"/>
        <v>0</v>
      </c>
      <c r="GI366" s="12">
        <f t="shared" si="275"/>
        <v>0</v>
      </c>
      <c r="GJ366" s="12">
        <f t="shared" si="275"/>
        <v>0</v>
      </c>
      <c r="GK366" s="12">
        <f t="shared" si="275"/>
        <v>0</v>
      </c>
      <c r="GL366" s="12">
        <f t="shared" si="275"/>
        <v>0</v>
      </c>
      <c r="GM366" s="12">
        <f t="shared" si="275"/>
        <v>0</v>
      </c>
      <c r="GN366" s="12">
        <f t="shared" si="275"/>
        <v>0</v>
      </c>
      <c r="GO366" s="12">
        <f t="shared" si="275"/>
        <v>0</v>
      </c>
      <c r="GP366" s="12">
        <f t="shared" si="275"/>
        <v>0</v>
      </c>
      <c r="GQ366" s="12">
        <f t="shared" si="275"/>
        <v>0</v>
      </c>
      <c r="GR366" s="12">
        <f t="shared" si="275"/>
        <v>0</v>
      </c>
      <c r="GS366" s="12">
        <f t="shared" si="275"/>
        <v>0</v>
      </c>
      <c r="GT366" s="12">
        <f t="shared" si="275"/>
        <v>0</v>
      </c>
      <c r="GU366" s="12">
        <f t="shared" si="275"/>
        <v>0</v>
      </c>
      <c r="GV366" s="12">
        <f t="shared" si="275"/>
        <v>0</v>
      </c>
      <c r="GW366" s="12">
        <f t="shared" si="275"/>
        <v>0</v>
      </c>
      <c r="GX366" s="12">
        <f t="shared" si="275"/>
        <v>0</v>
      </c>
    </row>
    <row r="368" spans="1:255" x14ac:dyDescent="0.25">
      <c r="A368" s="2">
        <v>17</v>
      </c>
      <c r="B368" s="2">
        <v>1</v>
      </c>
      <c r="C368" s="2">
        <f>ROW(SmtRes!A208)</f>
        <v>208</v>
      </c>
      <c r="D368" s="2">
        <f>ROW(EtalonRes!A219)</f>
        <v>219</v>
      </c>
      <c r="E368" s="2" t="s">
        <v>292</v>
      </c>
      <c r="F368" s="2" t="s">
        <v>293</v>
      </c>
      <c r="G368" s="2" t="s">
        <v>294</v>
      </c>
      <c r="H368" s="2" t="s">
        <v>26</v>
      </c>
      <c r="I368" s="2">
        <v>223</v>
      </c>
      <c r="J368" s="2">
        <v>0</v>
      </c>
      <c r="K368" s="2">
        <v>223</v>
      </c>
      <c r="L368" s="2"/>
      <c r="M368" s="2"/>
      <c r="N368" s="2"/>
      <c r="O368" s="2">
        <f t="shared" ref="O368:O399" si="276">ROUND(CP368,2)</f>
        <v>1891.2</v>
      </c>
      <c r="P368" s="2">
        <f>ROUND((ROUND((AC368*AW368*I368),2)*BC368),2)</f>
        <v>0</v>
      </c>
      <c r="Q368" s="2">
        <f>(ROUND((ROUND((((ET368*1.2))*AV368*I368),2)*BB368),2)+ROUND((ROUND(((AE368-((EU368*1.2)))*AV368*I368),2)*BS368),2))</f>
        <v>0</v>
      </c>
      <c r="R368" s="2">
        <f>(ROUND((ROUND((((EU368*1.2))*AV368*I368),2)*BS368),2)+ROUND((ROUND(((AE368-((EU368*1.2)))*AV368*I368),2)*BS368),2))</f>
        <v>0</v>
      </c>
      <c r="S368" s="2">
        <f t="shared" ref="S368:S399" si="277">ROUND((ROUND((AF368*AV368*I368),2)*BA368),2)</f>
        <v>1891.2</v>
      </c>
      <c r="T368" s="2">
        <f t="shared" ref="T368:T399" si="278">ROUND(CU368*I368,2)</f>
        <v>0</v>
      </c>
      <c r="U368" s="2">
        <f t="shared" ref="U368:U399" si="279">CV368*I368</f>
        <v>145.69214399999998</v>
      </c>
      <c r="V368" s="2">
        <f t="shared" ref="V368:V399" si="280">CW368*I368</f>
        <v>0</v>
      </c>
      <c r="W368" s="2">
        <f t="shared" ref="W368:W399" si="281">ROUND(CX368*I368,2)</f>
        <v>0</v>
      </c>
      <c r="X368" s="2">
        <f>(ROUND((((S368+ROUND((ROUND((((EU368*1.2))*AV368*I368),2)*BS368),2))*AT368)/100),2)+ROUND(((ROUND((ROUND(((AE368-((EU368*1.2)))*AV368*I368),2)*BS368),2)*AT368)/100),2))</f>
        <v>1702.08</v>
      </c>
      <c r="Y368" s="2">
        <f>(ROUND((((S368+ROUND((ROUND((((EU368*1.2))*AV368*I368),2)*BS368),2))*AU368)/100),2)+ROUND(((ROUND((ROUND(((AE368-((EU368*1.2)))*AV368*I368),2)*BS368),2)*AU368)/100),2))</f>
        <v>869.95</v>
      </c>
      <c r="Z368" s="2"/>
      <c r="AA368" s="2">
        <v>57034452</v>
      </c>
      <c r="AB368" s="2">
        <f t="shared" ref="AB368:AB399" si="282">ROUND((AC368+AD368+AF368),6)</f>
        <v>8.1</v>
      </c>
      <c r="AC368" s="2">
        <f>ROUND(((ES368*1)),6)</f>
        <v>0</v>
      </c>
      <c r="AD368" s="2">
        <f>ROUND(((((ET368*1.2))-((EU368*1.2)))+AE368),6)</f>
        <v>0</v>
      </c>
      <c r="AE368" s="2">
        <f>ROUND(((EU368*1.2)),6)</f>
        <v>0</v>
      </c>
      <c r="AF368" s="2">
        <f>ROUND(((EV368*1.2)),6)</f>
        <v>8.1</v>
      </c>
      <c r="AG368" s="2">
        <f t="shared" ref="AG368:AG399" si="283">ROUND((AP368),6)</f>
        <v>0</v>
      </c>
      <c r="AH368" s="2">
        <f>((EW368*1.2))</f>
        <v>0.624</v>
      </c>
      <c r="AI368" s="2">
        <f>((EX368*1.2))</f>
        <v>0</v>
      </c>
      <c r="AJ368" s="2">
        <f t="shared" ref="AJ368:AJ399" si="284">(AS368)</f>
        <v>0</v>
      </c>
      <c r="AK368" s="2">
        <v>6.75</v>
      </c>
      <c r="AL368" s="2">
        <v>0</v>
      </c>
      <c r="AM368" s="2">
        <v>0</v>
      </c>
      <c r="AN368" s="2">
        <v>0</v>
      </c>
      <c r="AO368" s="2">
        <v>6.75</v>
      </c>
      <c r="AP368" s="2">
        <v>0</v>
      </c>
      <c r="AQ368" s="2">
        <v>0.52</v>
      </c>
      <c r="AR368" s="2">
        <v>0</v>
      </c>
      <c r="AS368" s="2">
        <v>0</v>
      </c>
      <c r="AT368" s="2">
        <v>90</v>
      </c>
      <c r="AU368" s="2">
        <v>46</v>
      </c>
      <c r="AV368" s="2">
        <v>1.0469999999999999</v>
      </c>
      <c r="AW368" s="2">
        <v>1</v>
      </c>
      <c r="AX368" s="2"/>
      <c r="AY368" s="2"/>
      <c r="AZ368" s="2">
        <v>1</v>
      </c>
      <c r="BA368" s="2">
        <v>1</v>
      </c>
      <c r="BB368" s="2">
        <v>1</v>
      </c>
      <c r="BC368" s="2">
        <v>1</v>
      </c>
      <c r="BD368" s="2" t="s">
        <v>3</v>
      </c>
      <c r="BE368" s="2" t="s">
        <v>3</v>
      </c>
      <c r="BF368" s="2" t="s">
        <v>3</v>
      </c>
      <c r="BG368" s="2" t="s">
        <v>3</v>
      </c>
      <c r="BH368" s="2">
        <v>0</v>
      </c>
      <c r="BI368" s="2">
        <v>2</v>
      </c>
      <c r="BJ368" s="2" t="s">
        <v>295</v>
      </c>
      <c r="BK368" s="2"/>
      <c r="BL368" s="2"/>
      <c r="BM368" s="2">
        <v>72</v>
      </c>
      <c r="BN368" s="2">
        <v>0</v>
      </c>
      <c r="BO368" s="2" t="s">
        <v>293</v>
      </c>
      <c r="BP368" s="2">
        <v>1</v>
      </c>
      <c r="BQ368" s="2">
        <v>40</v>
      </c>
      <c r="BR368" s="2">
        <v>0</v>
      </c>
      <c r="BS368" s="2">
        <v>1</v>
      </c>
      <c r="BT368" s="2">
        <v>1</v>
      </c>
      <c r="BU368" s="2">
        <v>1</v>
      </c>
      <c r="BV368" s="2">
        <v>1</v>
      </c>
      <c r="BW368" s="2">
        <v>1</v>
      </c>
      <c r="BX368" s="2">
        <v>1</v>
      </c>
      <c r="BY368" s="2" t="s">
        <v>3</v>
      </c>
      <c r="BZ368" s="2">
        <v>90</v>
      </c>
      <c r="CA368" s="2">
        <v>46</v>
      </c>
      <c r="CB368" s="2" t="s">
        <v>3</v>
      </c>
      <c r="CC368" s="2"/>
      <c r="CD368" s="2"/>
      <c r="CE368" s="2">
        <v>1566</v>
      </c>
      <c r="CF368" s="2">
        <v>0</v>
      </c>
      <c r="CG368" s="2">
        <v>0</v>
      </c>
      <c r="CH368" s="2"/>
      <c r="CI368" s="2"/>
      <c r="CJ368" s="2"/>
      <c r="CK368" s="2"/>
      <c r="CL368" s="2"/>
      <c r="CM368" s="2">
        <v>0</v>
      </c>
      <c r="CN368" s="2" t="s">
        <v>614</v>
      </c>
      <c r="CO368" s="2">
        <v>0</v>
      </c>
      <c r="CP368" s="2">
        <f t="shared" ref="CP368:CP399" si="285">(P368+Q368+S368)</f>
        <v>1891.2</v>
      </c>
      <c r="CQ368" s="2">
        <f>ROUND((ROUND((AC368*AW368*1),2)*BC368),2)</f>
        <v>0</v>
      </c>
      <c r="CR368" s="2">
        <f>(ROUND((ROUND((((ET368*1.2))*AV368*1),2)*BB368),2)+ROUND((ROUND(((AE368-((EU368*1.2)))*AV368*1),2)*BS368),2))</f>
        <v>0</v>
      </c>
      <c r="CS368" s="2">
        <f>(ROUND((ROUND((((EU368*1.2))*AV368*1),2)*BS368),2)+ROUND((ROUND(((AE368-((EU368*1.2)))*AV368*1),2)*BS368),2))</f>
        <v>0</v>
      </c>
      <c r="CT368" s="2">
        <f t="shared" ref="CT368:CT399" si="286">ROUND((ROUND((AF368*AV368*1),2)*BA368),2)</f>
        <v>8.48</v>
      </c>
      <c r="CU368" s="2">
        <f t="shared" ref="CU368:CU399" si="287">AG368</f>
        <v>0</v>
      </c>
      <c r="CV368" s="2">
        <f t="shared" ref="CV368:CV399" si="288">(AH368*AV368)</f>
        <v>0.65332799999999991</v>
      </c>
      <c r="CW368" s="2">
        <f t="shared" ref="CW368:CW399" si="289">AI368</f>
        <v>0</v>
      </c>
      <c r="CX368" s="2">
        <f t="shared" ref="CX368:CX399" si="290">AJ368</f>
        <v>0</v>
      </c>
      <c r="CY368" s="2">
        <f>(ROUND((((S368+ROUND((ROUND((((EU368*1.2))*AV368*1),2)*BS368),2))*AT368)/100),2)+ROUND(((ROUND((ROUND(((AE368-((EU368*1.2)))*AV368*1),2)*BS368),2)*AT368)/100),2))</f>
        <v>1702.08</v>
      </c>
      <c r="CZ368" s="2">
        <f>(ROUND((((S368+ROUND((ROUND((((EU368*1.2))*AV368*1),2)*BS368),2))*AU368)/100),2)+ROUND(((ROUND((ROUND(((AE368-((EU368*1.2)))*AV368*1),2)*BS368),2)*AU368)/100),2))</f>
        <v>869.95</v>
      </c>
      <c r="DA368" s="2"/>
      <c r="DB368" s="2">
        <v>117</v>
      </c>
      <c r="DC368" s="2" t="s">
        <v>3</v>
      </c>
      <c r="DD368" s="2" t="s">
        <v>104</v>
      </c>
      <c r="DE368" s="2" t="s">
        <v>105</v>
      </c>
      <c r="DF368" s="2" t="s">
        <v>105</v>
      </c>
      <c r="DG368" s="2" t="s">
        <v>105</v>
      </c>
      <c r="DH368" s="2" t="s">
        <v>3</v>
      </c>
      <c r="DI368" s="2" t="s">
        <v>105</v>
      </c>
      <c r="DJ368" s="2" t="s">
        <v>105</v>
      </c>
      <c r="DK368" s="2" t="s">
        <v>3</v>
      </c>
      <c r="DL368" s="2" t="s">
        <v>3</v>
      </c>
      <c r="DM368" s="2" t="s">
        <v>3</v>
      </c>
      <c r="DN368" s="2">
        <v>0</v>
      </c>
      <c r="DO368" s="2">
        <v>0</v>
      </c>
      <c r="DP368" s="2">
        <v>1</v>
      </c>
      <c r="DQ368" s="2">
        <v>1</v>
      </c>
      <c r="DR368" s="2"/>
      <c r="DS368" s="2"/>
      <c r="DT368" s="2"/>
      <c r="DU368" s="2">
        <v>1013</v>
      </c>
      <c r="DV368" s="2" t="s">
        <v>26</v>
      </c>
      <c r="DW368" s="2" t="s">
        <v>26</v>
      </c>
      <c r="DX368" s="2">
        <v>1</v>
      </c>
      <c r="DY368" s="2"/>
      <c r="DZ368" s="2" t="s">
        <v>3</v>
      </c>
      <c r="EA368" s="2" t="s">
        <v>3</v>
      </c>
      <c r="EB368" s="2" t="s">
        <v>3</v>
      </c>
      <c r="EC368" s="2" t="s">
        <v>3</v>
      </c>
      <c r="ED368" s="2"/>
      <c r="EE368" s="2">
        <v>57042962</v>
      </c>
      <c r="EF368" s="2">
        <v>40</v>
      </c>
      <c r="EG368" s="2" t="s">
        <v>30</v>
      </c>
      <c r="EH368" s="2">
        <v>0</v>
      </c>
      <c r="EI368" s="2" t="s">
        <v>3</v>
      </c>
      <c r="EJ368" s="2">
        <v>2</v>
      </c>
      <c r="EK368" s="2">
        <v>72</v>
      </c>
      <c r="EL368" s="2" t="s">
        <v>31</v>
      </c>
      <c r="EM368" s="2" t="s">
        <v>32</v>
      </c>
      <c r="EN368" s="2"/>
      <c r="EO368" s="2" t="s">
        <v>109</v>
      </c>
      <c r="EP368" s="2"/>
      <c r="EQ368" s="2">
        <v>0</v>
      </c>
      <c r="ER368" s="2">
        <v>6.75</v>
      </c>
      <c r="ES368" s="2">
        <v>0</v>
      </c>
      <c r="ET368" s="2">
        <v>0</v>
      </c>
      <c r="EU368" s="2">
        <v>0</v>
      </c>
      <c r="EV368" s="2">
        <v>6.75</v>
      </c>
      <c r="EW368" s="2">
        <v>0.52</v>
      </c>
      <c r="EX368" s="2">
        <v>0</v>
      </c>
      <c r="EY368" s="2">
        <v>0</v>
      </c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>
        <v>0</v>
      </c>
      <c r="FR368" s="2">
        <v>0</v>
      </c>
      <c r="FS368" s="2">
        <v>0</v>
      </c>
      <c r="FT368" s="2"/>
      <c r="FU368" s="2"/>
      <c r="FV368" s="2"/>
      <c r="FW368" s="2"/>
      <c r="FX368" s="2">
        <v>90</v>
      </c>
      <c r="FY368" s="2">
        <v>46</v>
      </c>
      <c r="FZ368" s="2"/>
      <c r="GA368" s="2" t="s">
        <v>3</v>
      </c>
      <c r="GB368" s="2"/>
      <c r="GC368" s="2"/>
      <c r="GD368" s="2">
        <v>1</v>
      </c>
      <c r="GE368" s="2"/>
      <c r="GF368" s="2">
        <v>-1834868417</v>
      </c>
      <c r="GG368" s="2">
        <v>2</v>
      </c>
      <c r="GH368" s="2">
        <v>1</v>
      </c>
      <c r="GI368" s="2">
        <v>2</v>
      </c>
      <c r="GJ368" s="2">
        <v>0</v>
      </c>
      <c r="GK368" s="2">
        <v>0</v>
      </c>
      <c r="GL368" s="2">
        <f t="shared" ref="GL368:GL399" si="291">ROUND(IF(AND(BH368=3,BI368=3,FS368&lt;&gt;0),P368,0),2)</f>
        <v>0</v>
      </c>
      <c r="GM368" s="2">
        <f t="shared" ref="GM368:GM399" si="292">ROUND(O368+X368+Y368,2)+GX368</f>
        <v>4463.2299999999996</v>
      </c>
      <c r="GN368" s="2">
        <f t="shared" ref="GN368:GN399" si="293">IF(OR(BI368=0,BI368=1),GM368-GX368,0)</f>
        <v>0</v>
      </c>
      <c r="GO368" s="2">
        <f t="shared" ref="GO368:GO399" si="294">IF(BI368=2,GM368-GX368,0)</f>
        <v>4463.2299999999996</v>
      </c>
      <c r="GP368" s="2">
        <f t="shared" ref="GP368:GP399" si="295">IF(BI368=4,GM368-GX368,0)</f>
        <v>0</v>
      </c>
      <c r="GQ368" s="2"/>
      <c r="GR368" s="2">
        <v>0</v>
      </c>
      <c r="GS368" s="2">
        <v>3</v>
      </c>
      <c r="GT368" s="2">
        <v>0</v>
      </c>
      <c r="GU368" s="2" t="s">
        <v>3</v>
      </c>
      <c r="GV368" s="2">
        <f t="shared" ref="GV368:GV399" si="296">ROUND((GT368),6)</f>
        <v>0</v>
      </c>
      <c r="GW368" s="2">
        <v>1</v>
      </c>
      <c r="GX368" s="2">
        <f t="shared" ref="GX368:GX399" si="297">ROUND(HC368*I368,2)</f>
        <v>0</v>
      </c>
      <c r="GY368" s="2"/>
      <c r="GZ368" s="2"/>
      <c r="HA368" s="2">
        <v>0</v>
      </c>
      <c r="HB368" s="2">
        <v>0</v>
      </c>
      <c r="HC368" s="2">
        <f t="shared" ref="HC368:HC399" si="298">GV368*GW368</f>
        <v>0</v>
      </c>
      <c r="HD368" s="2"/>
      <c r="HE368" s="2" t="s">
        <v>3</v>
      </c>
      <c r="HF368" s="2" t="s">
        <v>3</v>
      </c>
      <c r="HG368" s="2"/>
      <c r="HH368" s="2"/>
      <c r="HI368" s="2"/>
      <c r="HJ368" s="2"/>
      <c r="HK368" s="2"/>
      <c r="HL368" s="2"/>
      <c r="HM368" s="2" t="s">
        <v>3</v>
      </c>
      <c r="HN368" s="2" t="s">
        <v>3</v>
      </c>
      <c r="HO368" s="2" t="s">
        <v>3</v>
      </c>
      <c r="HP368" s="2" t="s">
        <v>3</v>
      </c>
      <c r="HQ368" s="2" t="s">
        <v>3</v>
      </c>
      <c r="HR368" s="2"/>
      <c r="HS368" s="2">
        <v>0</v>
      </c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>
        <v>0</v>
      </c>
      <c r="IL368" s="2"/>
      <c r="IM368" s="2"/>
      <c r="IN368" s="2"/>
      <c r="IO368" s="2"/>
      <c r="IP368" s="2"/>
      <c r="IQ368" s="2"/>
      <c r="IR368" s="2"/>
      <c r="IS368" s="2"/>
      <c r="IT368" s="2"/>
      <c r="IU368" s="2"/>
    </row>
    <row r="369" spans="1:255" x14ac:dyDescent="0.25">
      <c r="A369" s="3">
        <v>17</v>
      </c>
      <c r="B369" s="3">
        <v>1</v>
      </c>
      <c r="C369" s="3">
        <f>ROW(SmtRes!A210)</f>
        <v>210</v>
      </c>
      <c r="D369" s="3">
        <f>ROW(EtalonRes!A222)</f>
        <v>222</v>
      </c>
      <c r="E369" s="3" t="s">
        <v>292</v>
      </c>
      <c r="F369" s="3" t="s">
        <v>293</v>
      </c>
      <c r="G369" s="3" t="s">
        <v>294</v>
      </c>
      <c r="H369" s="3" t="s">
        <v>26</v>
      </c>
      <c r="I369" s="3">
        <v>223</v>
      </c>
      <c r="J369" s="3">
        <v>0</v>
      </c>
      <c r="K369" s="3">
        <v>223</v>
      </c>
      <c r="O369" s="3">
        <f t="shared" si="276"/>
        <v>106569.12</v>
      </c>
      <c r="P369" s="3">
        <f>ROUND((ROUND((AC369*AW369*I369),2)*BC369),2)</f>
        <v>0</v>
      </c>
      <c r="Q369" s="3">
        <f>(ROUND((ROUND((((ET369*1.2))*AV369*I369),2)*BB369),2)+ROUND((ROUND(((AE369-((EU369*1.2)))*AV369*I369),2)*BS369),2))</f>
        <v>0</v>
      </c>
      <c r="R369" s="3">
        <f>(ROUND((ROUND((((EU369*1.2))*AV369*I369),2)*BS369),2)+ROUND((ROUND(((AE369-((EU369*1.2)))*AV369*I369),2)*BS369),2))</f>
        <v>0</v>
      </c>
      <c r="S369" s="3">
        <f t="shared" si="277"/>
        <v>106569.12</v>
      </c>
      <c r="T369" s="3">
        <f t="shared" si="278"/>
        <v>0</v>
      </c>
      <c r="U369" s="3">
        <f t="shared" si="279"/>
        <v>145.69214399999998</v>
      </c>
      <c r="V369" s="3">
        <f t="shared" si="280"/>
        <v>0</v>
      </c>
      <c r="W369" s="3">
        <f t="shared" si="281"/>
        <v>0</v>
      </c>
      <c r="X369" s="3">
        <f>(ROUND((((S369+ROUND((ROUND((((EU369*1.2))*AV369*I369),2)*BS369),2))*AT369)/100),2)+ROUND(((ROUND((ROUND(((AE369-((EU369*1.2)))*AV369*I369),2)*BS369),2)*AT369)/100),2))</f>
        <v>95912.21</v>
      </c>
      <c r="Y369" s="3">
        <f>(ROUND((((S369+ROUND((ROUND((((EU369*1.2))*AV369*I369),2)*BS369),2))*AU369)/100),2)+ROUND(((ROUND((ROUND(((AE369-((EU369*1.2)))*AV369*I369),2)*BS369),2)*AU369)/100),2))</f>
        <v>49021.8</v>
      </c>
      <c r="AA369" s="3">
        <v>57034454</v>
      </c>
      <c r="AB369" s="3">
        <f t="shared" si="282"/>
        <v>8.1</v>
      </c>
      <c r="AC369" s="3">
        <f>ROUND(((ES369*1)),6)</f>
        <v>0</v>
      </c>
      <c r="AD369" s="3">
        <f>ROUND(((((ET369*1.2))-((EU369*1.2)))+AE369),6)</f>
        <v>0</v>
      </c>
      <c r="AE369" s="3">
        <f>ROUND(((EU369*1.2)),6)</f>
        <v>0</v>
      </c>
      <c r="AF369" s="3">
        <f>ROUND(((EV369*1.2)),6)</f>
        <v>8.1</v>
      </c>
      <c r="AG369" s="3">
        <f t="shared" si="283"/>
        <v>0</v>
      </c>
      <c r="AH369" s="3">
        <f>((EW369*1.2))</f>
        <v>0.624</v>
      </c>
      <c r="AI369" s="3">
        <f>((EX369*1.2))</f>
        <v>0</v>
      </c>
      <c r="AJ369" s="3">
        <f t="shared" si="284"/>
        <v>0</v>
      </c>
      <c r="AK369" s="3">
        <v>6.75</v>
      </c>
      <c r="AL369" s="3">
        <v>0</v>
      </c>
      <c r="AM369" s="3">
        <v>0</v>
      </c>
      <c r="AN369" s="3">
        <v>0</v>
      </c>
      <c r="AO369" s="3">
        <v>6.75</v>
      </c>
      <c r="AP369" s="3">
        <v>0</v>
      </c>
      <c r="AQ369" s="3">
        <v>0.52</v>
      </c>
      <c r="AR369" s="3">
        <v>0</v>
      </c>
      <c r="AS369" s="3">
        <v>0</v>
      </c>
      <c r="AT369" s="3">
        <v>90</v>
      </c>
      <c r="AU369" s="3">
        <v>46</v>
      </c>
      <c r="AV369" s="3">
        <v>1.0469999999999999</v>
      </c>
      <c r="AW369" s="3">
        <v>1</v>
      </c>
      <c r="AZ369" s="3">
        <v>1</v>
      </c>
      <c r="BA369" s="3">
        <v>56.35</v>
      </c>
      <c r="BB369" s="3">
        <v>1</v>
      </c>
      <c r="BC369" s="3">
        <v>1</v>
      </c>
      <c r="BD369" s="3" t="s">
        <v>3</v>
      </c>
      <c r="BE369" s="3" t="s">
        <v>3</v>
      </c>
      <c r="BF369" s="3" t="s">
        <v>3</v>
      </c>
      <c r="BG369" s="3" t="s">
        <v>3</v>
      </c>
      <c r="BH369" s="3">
        <v>0</v>
      </c>
      <c r="BI369" s="3">
        <v>2</v>
      </c>
      <c r="BJ369" s="3" t="s">
        <v>295</v>
      </c>
      <c r="BM369" s="3">
        <v>72</v>
      </c>
      <c r="BN369" s="3">
        <v>0</v>
      </c>
      <c r="BO369" s="3" t="s">
        <v>293</v>
      </c>
      <c r="BP369" s="3">
        <v>1</v>
      </c>
      <c r="BQ369" s="3">
        <v>40</v>
      </c>
      <c r="BR369" s="3">
        <v>0</v>
      </c>
      <c r="BS369" s="3">
        <v>56.35</v>
      </c>
      <c r="BT369" s="3">
        <v>1</v>
      </c>
      <c r="BU369" s="3">
        <v>1</v>
      </c>
      <c r="BV369" s="3">
        <v>1</v>
      </c>
      <c r="BW369" s="3">
        <v>1</v>
      </c>
      <c r="BX369" s="3">
        <v>1</v>
      </c>
      <c r="BY369" s="3" t="s">
        <v>3</v>
      </c>
      <c r="BZ369" s="3">
        <v>90</v>
      </c>
      <c r="CA369" s="3">
        <v>46</v>
      </c>
      <c r="CB369" s="3" t="s">
        <v>3</v>
      </c>
      <c r="CE369" s="3">
        <v>1566</v>
      </c>
      <c r="CF369" s="3">
        <v>0</v>
      </c>
      <c r="CG369" s="3">
        <v>0</v>
      </c>
      <c r="CM369" s="3">
        <v>0</v>
      </c>
      <c r="CN369" s="3" t="s">
        <v>614</v>
      </c>
      <c r="CO369" s="3">
        <v>0</v>
      </c>
      <c r="CP369" s="3">
        <f t="shared" si="285"/>
        <v>106569.12</v>
      </c>
      <c r="CQ369" s="3">
        <f>ROUND((ROUND((AC369*AW369*1),2)*BC369),2)</f>
        <v>0</v>
      </c>
      <c r="CR369" s="3">
        <f>(ROUND((ROUND((((ET369*1.2))*AV369*1),2)*BB369),2)+ROUND((ROUND(((AE369-((EU369*1.2)))*AV369*1),2)*BS369),2))</f>
        <v>0</v>
      </c>
      <c r="CS369" s="3">
        <f>(ROUND((ROUND((((EU369*1.2))*AV369*1),2)*BS369),2)+ROUND((ROUND(((AE369-((EU369*1.2)))*AV369*1),2)*BS369),2))</f>
        <v>0</v>
      </c>
      <c r="CT369" s="3">
        <f t="shared" si="286"/>
        <v>477.85</v>
      </c>
      <c r="CU369" s="3">
        <f t="shared" si="287"/>
        <v>0</v>
      </c>
      <c r="CV369" s="3">
        <f t="shared" si="288"/>
        <v>0.65332799999999991</v>
      </c>
      <c r="CW369" s="3">
        <f t="shared" si="289"/>
        <v>0</v>
      </c>
      <c r="CX369" s="3">
        <f t="shared" si="290"/>
        <v>0</v>
      </c>
      <c r="CY369" s="3">
        <f>(ROUND((((S369+ROUND((ROUND((((EU369*1.2))*AV369*1),2)*BS369),2))*AT369)/100),2)+ROUND(((ROUND((ROUND(((AE369-((EU369*1.2)))*AV369*1),2)*BS369),2)*AT369)/100),2))</f>
        <v>95912.21</v>
      </c>
      <c r="CZ369" s="3">
        <f>(ROUND((((S369+ROUND((ROUND((((EU369*1.2))*AV369*1),2)*BS369),2))*AU369)/100),2)+ROUND(((ROUND((ROUND(((AE369-((EU369*1.2)))*AV369*1),2)*BS369),2)*AU369)/100),2))</f>
        <v>49021.8</v>
      </c>
      <c r="DB369" s="3">
        <v>118</v>
      </c>
      <c r="DC369" s="3" t="s">
        <v>3</v>
      </c>
      <c r="DD369" s="3" t="s">
        <v>104</v>
      </c>
      <c r="DE369" s="3" t="s">
        <v>105</v>
      </c>
      <c r="DF369" s="3" t="s">
        <v>105</v>
      </c>
      <c r="DG369" s="3" t="s">
        <v>105</v>
      </c>
      <c r="DH369" s="3" t="s">
        <v>3</v>
      </c>
      <c r="DI369" s="3" t="s">
        <v>105</v>
      </c>
      <c r="DJ369" s="3" t="s">
        <v>105</v>
      </c>
      <c r="DK369" s="3" t="s">
        <v>3</v>
      </c>
      <c r="DL369" s="3" t="s">
        <v>3</v>
      </c>
      <c r="DM369" s="3" t="s">
        <v>3</v>
      </c>
      <c r="DN369" s="3">
        <v>0</v>
      </c>
      <c r="DO369" s="3">
        <v>0</v>
      </c>
      <c r="DP369" s="3">
        <v>1</v>
      </c>
      <c r="DQ369" s="3">
        <v>1</v>
      </c>
      <c r="DU369" s="3">
        <v>1013</v>
      </c>
      <c r="DV369" s="3" t="s">
        <v>26</v>
      </c>
      <c r="DW369" s="3" t="s">
        <v>26</v>
      </c>
      <c r="DX369" s="3">
        <v>1</v>
      </c>
      <c r="DZ369" s="3" t="s">
        <v>3</v>
      </c>
      <c r="EA369" s="3" t="s">
        <v>3</v>
      </c>
      <c r="EB369" s="3" t="s">
        <v>3</v>
      </c>
      <c r="EC369" s="3" t="s">
        <v>3</v>
      </c>
      <c r="EE369" s="3">
        <v>57042962</v>
      </c>
      <c r="EF369" s="3">
        <v>40</v>
      </c>
      <c r="EG369" s="3" t="s">
        <v>30</v>
      </c>
      <c r="EH369" s="3">
        <v>0</v>
      </c>
      <c r="EI369" s="3" t="s">
        <v>3</v>
      </c>
      <c r="EJ369" s="3">
        <v>2</v>
      </c>
      <c r="EK369" s="3">
        <v>72</v>
      </c>
      <c r="EL369" s="3" t="s">
        <v>31</v>
      </c>
      <c r="EM369" s="3" t="s">
        <v>32</v>
      </c>
      <c r="EO369" s="3" t="s">
        <v>109</v>
      </c>
      <c r="EQ369" s="3">
        <v>0</v>
      </c>
      <c r="ER369" s="3">
        <v>6.75</v>
      </c>
      <c r="ES369" s="3">
        <v>0</v>
      </c>
      <c r="ET369" s="3">
        <v>0</v>
      </c>
      <c r="EU369" s="3">
        <v>0</v>
      </c>
      <c r="EV369" s="3">
        <v>6.75</v>
      </c>
      <c r="EW369" s="3">
        <v>0.52</v>
      </c>
      <c r="EX369" s="3">
        <v>0</v>
      </c>
      <c r="EY369" s="3">
        <v>0</v>
      </c>
      <c r="FQ369" s="3">
        <v>0</v>
      </c>
      <c r="FR369" s="3">
        <v>0</v>
      </c>
      <c r="FS369" s="3">
        <v>0</v>
      </c>
      <c r="FX369" s="3">
        <v>90</v>
      </c>
      <c r="FY369" s="3">
        <v>46</v>
      </c>
      <c r="GA369" s="3" t="s">
        <v>3</v>
      </c>
      <c r="GD369" s="3">
        <v>1</v>
      </c>
      <c r="GF369" s="3">
        <v>-1834868417</v>
      </c>
      <c r="GG369" s="3">
        <v>2</v>
      </c>
      <c r="GH369" s="3">
        <v>1</v>
      </c>
      <c r="GI369" s="3">
        <v>2</v>
      </c>
      <c r="GJ369" s="3">
        <v>0</v>
      </c>
      <c r="GK369" s="3">
        <v>0</v>
      </c>
      <c r="GL369" s="3">
        <f t="shared" si="291"/>
        <v>0</v>
      </c>
      <c r="GM369" s="3">
        <f t="shared" si="292"/>
        <v>251503.13</v>
      </c>
      <c r="GN369" s="3">
        <f t="shared" si="293"/>
        <v>0</v>
      </c>
      <c r="GO369" s="3">
        <f t="shared" si="294"/>
        <v>251503.13</v>
      </c>
      <c r="GP369" s="3">
        <f t="shared" si="295"/>
        <v>0</v>
      </c>
      <c r="GR369" s="3">
        <v>0</v>
      </c>
      <c r="GS369" s="3">
        <v>3</v>
      </c>
      <c r="GT369" s="3">
        <v>0</v>
      </c>
      <c r="GU369" s="3" t="s">
        <v>3</v>
      </c>
      <c r="GV369" s="3">
        <f t="shared" si="296"/>
        <v>0</v>
      </c>
      <c r="GW369" s="3">
        <v>1</v>
      </c>
      <c r="GX369" s="3">
        <f t="shared" si="297"/>
        <v>0</v>
      </c>
      <c r="HA369" s="3">
        <v>0</v>
      </c>
      <c r="HB369" s="3">
        <v>0</v>
      </c>
      <c r="HC369" s="3">
        <f t="shared" si="298"/>
        <v>0</v>
      </c>
      <c r="HE369" s="3" t="s">
        <v>3</v>
      </c>
      <c r="HF369" s="3" t="s">
        <v>3</v>
      </c>
      <c r="HM369" s="3" t="s">
        <v>3</v>
      </c>
      <c r="HN369" s="3" t="s">
        <v>3</v>
      </c>
      <c r="HO369" s="3" t="s">
        <v>3</v>
      </c>
      <c r="HP369" s="3" t="s">
        <v>3</v>
      </c>
      <c r="HQ369" s="3" t="s">
        <v>3</v>
      </c>
      <c r="HS369" s="3">
        <v>0</v>
      </c>
      <c r="IK369" s="3">
        <v>0</v>
      </c>
    </row>
    <row r="370" spans="1:255" x14ac:dyDescent="0.25">
      <c r="A370" s="2">
        <v>18</v>
      </c>
      <c r="B370" s="2">
        <v>1</v>
      </c>
      <c r="C370" s="2">
        <v>208</v>
      </c>
      <c r="D370" s="2"/>
      <c r="E370" s="2" t="s">
        <v>296</v>
      </c>
      <c r="F370" s="2" t="s">
        <v>297</v>
      </c>
      <c r="G370" s="2" t="s">
        <v>298</v>
      </c>
      <c r="H370" s="2" t="s">
        <v>299</v>
      </c>
      <c r="I370" s="2">
        <f>I368*J370</f>
        <v>7.8050000000000012E-3</v>
      </c>
      <c r="J370" s="2">
        <v>3.5000000000000004E-5</v>
      </c>
      <c r="K370" s="2">
        <v>3.5000000000000004E-5</v>
      </c>
      <c r="L370" s="2"/>
      <c r="M370" s="2"/>
      <c r="N370" s="2"/>
      <c r="O370" s="2">
        <f t="shared" si="276"/>
        <v>175.8</v>
      </c>
      <c r="P370" s="2">
        <f>ROUND((ROUND((AC370*AW370*I370),2)*BC370),2)</f>
        <v>175.8</v>
      </c>
      <c r="Q370" s="2">
        <f>(ROUND((ROUND(((ET370)*AV370*I370),2)*BB370),2)+ROUND((ROUND(((AE370-(EU370))*AV370*I370),2)*BS370),2))</f>
        <v>0</v>
      </c>
      <c r="R370" s="2">
        <f>(ROUND((ROUND(((EU370)*AV370*I370),2)*BS370),2)+ROUND((ROUND(((AE370-(EU370))*AV370*I370),2)*BS370),2))</f>
        <v>0</v>
      </c>
      <c r="S370" s="2">
        <f t="shared" si="277"/>
        <v>0</v>
      </c>
      <c r="T370" s="2">
        <f t="shared" si="278"/>
        <v>0</v>
      </c>
      <c r="U370" s="2">
        <f t="shared" si="279"/>
        <v>0</v>
      </c>
      <c r="V370" s="2">
        <f t="shared" si="280"/>
        <v>0</v>
      </c>
      <c r="W370" s="2">
        <f t="shared" si="281"/>
        <v>0</v>
      </c>
      <c r="X370" s="2">
        <f>(ROUND((((S370+ROUND((ROUND(((EU370)*AV370*I370),2)*BS370),2))*AT370)/100),2)+ROUND(((ROUND((ROUND(((AE370-(EU370))*AV370*I370),2)*BS370),2)*AT370)/100),2))</f>
        <v>0</v>
      </c>
      <c r="Y370" s="2">
        <f>(ROUND((((S370+ROUND((ROUND(((EU370)*AV370*I370),2)*BS370),2))*AU370)/100),2)+ROUND(((ROUND((ROUND(((AE370-(EU370))*AV370*I370),2)*BS370),2)*AU370)/100),2))</f>
        <v>0</v>
      </c>
      <c r="Z370" s="2"/>
      <c r="AA370" s="2">
        <v>57034452</v>
      </c>
      <c r="AB370" s="2">
        <f t="shared" si="282"/>
        <v>22524.65</v>
      </c>
      <c r="AC370" s="2">
        <f>ROUND((ES370),6)</f>
        <v>22524.65</v>
      </c>
      <c r="AD370" s="2">
        <f>ROUND((((ET370)-(EU370))+AE370),6)</f>
        <v>0</v>
      </c>
      <c r="AE370" s="2">
        <f t="shared" ref="AE370:AF373" si="299">ROUND((EU370),6)</f>
        <v>0</v>
      </c>
      <c r="AF370" s="2">
        <f t="shared" si="299"/>
        <v>0</v>
      </c>
      <c r="AG370" s="2">
        <f t="shared" si="283"/>
        <v>0</v>
      </c>
      <c r="AH370" s="2">
        <f t="shared" ref="AH370:AI373" si="300">(EW370)</f>
        <v>0</v>
      </c>
      <c r="AI370" s="2">
        <f t="shared" si="300"/>
        <v>0</v>
      </c>
      <c r="AJ370" s="2">
        <f t="shared" si="284"/>
        <v>0</v>
      </c>
      <c r="AK370" s="2">
        <v>22524.65</v>
      </c>
      <c r="AL370" s="2">
        <v>22524.65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90</v>
      </c>
      <c r="AU370" s="2">
        <v>46</v>
      </c>
      <c r="AV370" s="2">
        <v>1</v>
      </c>
      <c r="AW370" s="2">
        <v>1</v>
      </c>
      <c r="AX370" s="2"/>
      <c r="AY370" s="2"/>
      <c r="AZ370" s="2">
        <v>1</v>
      </c>
      <c r="BA370" s="2">
        <v>1</v>
      </c>
      <c r="BB370" s="2">
        <v>1</v>
      </c>
      <c r="BC370" s="2">
        <v>1</v>
      </c>
      <c r="BD370" s="2" t="s">
        <v>3</v>
      </c>
      <c r="BE370" s="2" t="s">
        <v>3</v>
      </c>
      <c r="BF370" s="2" t="s">
        <v>3</v>
      </c>
      <c r="BG370" s="2" t="s">
        <v>3</v>
      </c>
      <c r="BH370" s="2">
        <v>3</v>
      </c>
      <c r="BI370" s="2">
        <v>2</v>
      </c>
      <c r="BJ370" s="2" t="s">
        <v>300</v>
      </c>
      <c r="BK370" s="2"/>
      <c r="BL370" s="2"/>
      <c r="BM370" s="2">
        <v>72</v>
      </c>
      <c r="BN370" s="2">
        <v>0</v>
      </c>
      <c r="BO370" s="2" t="s">
        <v>3</v>
      </c>
      <c r="BP370" s="2">
        <v>0</v>
      </c>
      <c r="BQ370" s="2">
        <v>40</v>
      </c>
      <c r="BR370" s="2">
        <v>0</v>
      </c>
      <c r="BS370" s="2">
        <v>1</v>
      </c>
      <c r="BT370" s="2">
        <v>1</v>
      </c>
      <c r="BU370" s="2">
        <v>1</v>
      </c>
      <c r="BV370" s="2">
        <v>1</v>
      </c>
      <c r="BW370" s="2">
        <v>1</v>
      </c>
      <c r="BX370" s="2">
        <v>1</v>
      </c>
      <c r="BY370" s="2" t="s">
        <v>3</v>
      </c>
      <c r="BZ370" s="2">
        <v>90</v>
      </c>
      <c r="CA370" s="2">
        <v>46</v>
      </c>
      <c r="CB370" s="2" t="s">
        <v>3</v>
      </c>
      <c r="CC370" s="2"/>
      <c r="CD370" s="2"/>
      <c r="CE370" s="2">
        <v>1566</v>
      </c>
      <c r="CF370" s="2">
        <v>0</v>
      </c>
      <c r="CG370" s="2">
        <v>0</v>
      </c>
      <c r="CH370" s="2"/>
      <c r="CI370" s="2"/>
      <c r="CJ370" s="2"/>
      <c r="CK370" s="2"/>
      <c r="CL370" s="2"/>
      <c r="CM370" s="2">
        <v>0</v>
      </c>
      <c r="CN370" s="2" t="s">
        <v>3</v>
      </c>
      <c r="CO370" s="2">
        <v>0</v>
      </c>
      <c r="CP370" s="2">
        <f t="shared" si="285"/>
        <v>175.8</v>
      </c>
      <c r="CQ370" s="2">
        <f>ROUND((ROUND((AC370*AW370*1),2)*BC370),2)</f>
        <v>22524.65</v>
      </c>
      <c r="CR370" s="2">
        <f>(ROUND((ROUND(((ET370)*AV370*1),2)*BB370),2)+ROUND((ROUND(((AE370-(EU370))*AV370*1),2)*BS370),2))</f>
        <v>0</v>
      </c>
      <c r="CS370" s="2">
        <f>(ROUND((ROUND(((EU370)*AV370*1),2)*BS370),2)+ROUND((ROUND(((AE370-(EU370))*AV370*1),2)*BS370),2))</f>
        <v>0</v>
      </c>
      <c r="CT370" s="2">
        <f t="shared" si="286"/>
        <v>0</v>
      </c>
      <c r="CU370" s="2">
        <f t="shared" si="287"/>
        <v>0</v>
      </c>
      <c r="CV370" s="2">
        <f t="shared" si="288"/>
        <v>0</v>
      </c>
      <c r="CW370" s="2">
        <f t="shared" si="289"/>
        <v>0</v>
      </c>
      <c r="CX370" s="2">
        <f t="shared" si="290"/>
        <v>0</v>
      </c>
      <c r="CY370" s="2">
        <f>(ROUND((((S370+ROUND((ROUND(((EU370)*AV370*1),2)*BS370),2))*AT370)/100),2)+ROUND(((ROUND((ROUND(((AE370-(EU370))*AV370*1),2)*BS370),2)*AT370)/100),2))</f>
        <v>0</v>
      </c>
      <c r="CZ370" s="2">
        <f>(ROUND((((S370+ROUND((ROUND(((EU370)*AV370*1),2)*BS370),2))*AU370)/100),2)+ROUND(((ROUND((ROUND(((AE370-(EU370))*AV370*1),2)*BS370),2)*AU370)/100),2))</f>
        <v>0</v>
      </c>
      <c r="DA370" s="2"/>
      <c r="DB370" s="2"/>
      <c r="DC370" s="2" t="s">
        <v>3</v>
      </c>
      <c r="DD370" s="2" t="s">
        <v>3</v>
      </c>
      <c r="DE370" s="2" t="s">
        <v>3</v>
      </c>
      <c r="DF370" s="2" t="s">
        <v>3</v>
      </c>
      <c r="DG370" s="2" t="s">
        <v>3</v>
      </c>
      <c r="DH370" s="2" t="s">
        <v>3</v>
      </c>
      <c r="DI370" s="2" t="s">
        <v>3</v>
      </c>
      <c r="DJ370" s="2" t="s">
        <v>3</v>
      </c>
      <c r="DK370" s="2" t="s">
        <v>3</v>
      </c>
      <c r="DL370" s="2" t="s">
        <v>3</v>
      </c>
      <c r="DM370" s="2" t="s">
        <v>3</v>
      </c>
      <c r="DN370" s="2">
        <v>0</v>
      </c>
      <c r="DO370" s="2">
        <v>0</v>
      </c>
      <c r="DP370" s="2">
        <v>1</v>
      </c>
      <c r="DQ370" s="2">
        <v>1</v>
      </c>
      <c r="DR370" s="2"/>
      <c r="DS370" s="2"/>
      <c r="DT370" s="2"/>
      <c r="DU370" s="2">
        <v>1009</v>
      </c>
      <c r="DV370" s="2" t="s">
        <v>299</v>
      </c>
      <c r="DW370" s="2" t="s">
        <v>299</v>
      </c>
      <c r="DX370" s="2">
        <v>1000</v>
      </c>
      <c r="DY370" s="2"/>
      <c r="DZ370" s="2" t="s">
        <v>3</v>
      </c>
      <c r="EA370" s="2" t="s">
        <v>3</v>
      </c>
      <c r="EB370" s="2" t="s">
        <v>3</v>
      </c>
      <c r="EC370" s="2" t="s">
        <v>3</v>
      </c>
      <c r="ED370" s="2"/>
      <c r="EE370" s="2">
        <v>57042962</v>
      </c>
      <c r="EF370" s="2">
        <v>40</v>
      </c>
      <c r="EG370" s="2" t="s">
        <v>30</v>
      </c>
      <c r="EH370" s="2">
        <v>0</v>
      </c>
      <c r="EI370" s="2" t="s">
        <v>3</v>
      </c>
      <c r="EJ370" s="2">
        <v>2</v>
      </c>
      <c r="EK370" s="2">
        <v>72</v>
      </c>
      <c r="EL370" s="2" t="s">
        <v>31</v>
      </c>
      <c r="EM370" s="2" t="s">
        <v>32</v>
      </c>
      <c r="EN370" s="2"/>
      <c r="EO370" s="2" t="s">
        <v>3</v>
      </c>
      <c r="EP370" s="2"/>
      <c r="EQ370" s="2">
        <v>0</v>
      </c>
      <c r="ER370" s="2">
        <v>22524.65</v>
      </c>
      <c r="ES370" s="2">
        <v>22524.65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>
        <v>0</v>
      </c>
      <c r="FR370" s="2">
        <v>0</v>
      </c>
      <c r="FS370" s="2">
        <v>0</v>
      </c>
      <c r="FT370" s="2"/>
      <c r="FU370" s="2"/>
      <c r="FV370" s="2"/>
      <c r="FW370" s="2"/>
      <c r="FX370" s="2">
        <v>90</v>
      </c>
      <c r="FY370" s="2">
        <v>46</v>
      </c>
      <c r="FZ370" s="2"/>
      <c r="GA370" s="2" t="s">
        <v>3</v>
      </c>
      <c r="GB370" s="2"/>
      <c r="GC370" s="2"/>
      <c r="GD370" s="2">
        <v>1</v>
      </c>
      <c r="GE370" s="2"/>
      <c r="GF370" s="2">
        <v>1706974629</v>
      </c>
      <c r="GG370" s="2">
        <v>2</v>
      </c>
      <c r="GH370" s="2">
        <v>1</v>
      </c>
      <c r="GI370" s="2">
        <v>-2</v>
      </c>
      <c r="GJ370" s="2">
        <v>0</v>
      </c>
      <c r="GK370" s="2">
        <v>0</v>
      </c>
      <c r="GL370" s="2">
        <f t="shared" si="291"/>
        <v>0</v>
      </c>
      <c r="GM370" s="2">
        <f t="shared" si="292"/>
        <v>175.8</v>
      </c>
      <c r="GN370" s="2">
        <f t="shared" si="293"/>
        <v>0</v>
      </c>
      <c r="GO370" s="2">
        <f t="shared" si="294"/>
        <v>175.8</v>
      </c>
      <c r="GP370" s="2">
        <f t="shared" si="295"/>
        <v>0</v>
      </c>
      <c r="GQ370" s="2"/>
      <c r="GR370" s="2">
        <v>0</v>
      </c>
      <c r="GS370" s="2">
        <v>3</v>
      </c>
      <c r="GT370" s="2">
        <v>0</v>
      </c>
      <c r="GU370" s="2" t="s">
        <v>3</v>
      </c>
      <c r="GV370" s="2">
        <f t="shared" si="296"/>
        <v>0</v>
      </c>
      <c r="GW370" s="2">
        <v>1</v>
      </c>
      <c r="GX370" s="2">
        <f t="shared" si="297"/>
        <v>0</v>
      </c>
      <c r="GY370" s="2"/>
      <c r="GZ370" s="2"/>
      <c r="HA370" s="2">
        <v>0</v>
      </c>
      <c r="HB370" s="2">
        <v>0</v>
      </c>
      <c r="HC370" s="2">
        <f t="shared" si="298"/>
        <v>0</v>
      </c>
      <c r="HD370" s="2"/>
      <c r="HE370" s="2" t="s">
        <v>3</v>
      </c>
      <c r="HF370" s="2" t="s">
        <v>3</v>
      </c>
      <c r="HG370" s="2"/>
      <c r="HH370" s="2"/>
      <c r="HI370" s="2"/>
      <c r="HJ370" s="2"/>
      <c r="HK370" s="2"/>
      <c r="HL370" s="2"/>
      <c r="HM370" s="2" t="s">
        <v>104</v>
      </c>
      <c r="HN370" s="2" t="s">
        <v>3</v>
      </c>
      <c r="HO370" s="2" t="s">
        <v>3</v>
      </c>
      <c r="HP370" s="2" t="s">
        <v>3</v>
      </c>
      <c r="HQ370" s="2" t="s">
        <v>3</v>
      </c>
      <c r="HR370" s="2"/>
      <c r="HS370" s="2">
        <v>0</v>
      </c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>
        <v>0</v>
      </c>
      <c r="IL370" s="2"/>
      <c r="IM370" s="2"/>
      <c r="IN370" s="2"/>
      <c r="IO370" s="2"/>
      <c r="IP370" s="2"/>
      <c r="IQ370" s="2"/>
      <c r="IR370" s="2"/>
      <c r="IS370" s="2"/>
      <c r="IT370" s="2"/>
      <c r="IU370" s="2"/>
    </row>
    <row r="371" spans="1:255" x14ac:dyDescent="0.25">
      <c r="A371" s="3">
        <v>18</v>
      </c>
      <c r="B371" s="3">
        <v>1</v>
      </c>
      <c r="C371" s="3">
        <v>210</v>
      </c>
      <c r="E371" s="3" t="s">
        <v>296</v>
      </c>
      <c r="F371" s="3" t="s">
        <v>297</v>
      </c>
      <c r="G371" s="3" t="s">
        <v>298</v>
      </c>
      <c r="H371" s="3" t="s">
        <v>299</v>
      </c>
      <c r="I371" s="3">
        <f>I369*J371</f>
        <v>7.8050000000000012E-3</v>
      </c>
      <c r="J371" s="3">
        <v>3.5000000000000004E-5</v>
      </c>
      <c r="K371" s="3">
        <v>3.5000000000000004E-5</v>
      </c>
      <c r="O371" s="3">
        <f t="shared" si="276"/>
        <v>1042.49</v>
      </c>
      <c r="P371" s="3">
        <f>ROUND((ROUND((AC371*AW371*I371),2)*BC371),2)</f>
        <v>1042.49</v>
      </c>
      <c r="Q371" s="3">
        <f>(ROUND((ROUND(((ET371)*AV371*I371),2)*BB371),2)+ROUND((ROUND(((AE371-(EU371))*AV371*I371),2)*BS371),2))</f>
        <v>0</v>
      </c>
      <c r="R371" s="3">
        <f>(ROUND((ROUND(((EU371)*AV371*I371),2)*BS371),2)+ROUND((ROUND(((AE371-(EU371))*AV371*I371),2)*BS371),2))</f>
        <v>0</v>
      </c>
      <c r="S371" s="3">
        <f t="shared" si="277"/>
        <v>0</v>
      </c>
      <c r="T371" s="3">
        <f t="shared" si="278"/>
        <v>0</v>
      </c>
      <c r="U371" s="3">
        <f t="shared" si="279"/>
        <v>0</v>
      </c>
      <c r="V371" s="3">
        <f t="shared" si="280"/>
        <v>0</v>
      </c>
      <c r="W371" s="3">
        <f t="shared" si="281"/>
        <v>0</v>
      </c>
      <c r="X371" s="3">
        <f>(ROUND((((S371+ROUND((ROUND(((EU371)*AV371*I371),2)*BS371),2))*AT371)/100),2)+ROUND(((ROUND((ROUND(((AE371-(EU371))*AV371*I371),2)*BS371),2)*AT371)/100),2))</f>
        <v>0</v>
      </c>
      <c r="Y371" s="3">
        <f>(ROUND((((S371+ROUND((ROUND(((EU371)*AV371*I371),2)*BS371),2))*AU371)/100),2)+ROUND(((ROUND((ROUND(((AE371-(EU371))*AV371*I371),2)*BS371),2)*AU371)/100),2))</f>
        <v>0</v>
      </c>
      <c r="AA371" s="3">
        <v>57034454</v>
      </c>
      <c r="AB371" s="3">
        <f t="shared" si="282"/>
        <v>22524.65</v>
      </c>
      <c r="AC371" s="3">
        <f>ROUND((ES371),6)</f>
        <v>22524.65</v>
      </c>
      <c r="AD371" s="3">
        <f>ROUND((((ET371)-(EU371))+AE371),6)</f>
        <v>0</v>
      </c>
      <c r="AE371" s="3">
        <f t="shared" si="299"/>
        <v>0</v>
      </c>
      <c r="AF371" s="3">
        <f t="shared" si="299"/>
        <v>0</v>
      </c>
      <c r="AG371" s="3">
        <f t="shared" si="283"/>
        <v>0</v>
      </c>
      <c r="AH371" s="3">
        <f t="shared" si="300"/>
        <v>0</v>
      </c>
      <c r="AI371" s="3">
        <f t="shared" si="300"/>
        <v>0</v>
      </c>
      <c r="AJ371" s="3">
        <f t="shared" si="284"/>
        <v>0</v>
      </c>
      <c r="AK371" s="3">
        <v>22524.65</v>
      </c>
      <c r="AL371" s="3">
        <v>22524.65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90</v>
      </c>
      <c r="AU371" s="3">
        <v>46</v>
      </c>
      <c r="AV371" s="3">
        <v>1</v>
      </c>
      <c r="AW371" s="3">
        <v>1</v>
      </c>
      <c r="AZ371" s="3">
        <v>1</v>
      </c>
      <c r="BA371" s="3">
        <v>1</v>
      </c>
      <c r="BB371" s="3">
        <v>1</v>
      </c>
      <c r="BC371" s="3">
        <v>5.93</v>
      </c>
      <c r="BD371" s="3" t="s">
        <v>3</v>
      </c>
      <c r="BE371" s="3" t="s">
        <v>3</v>
      </c>
      <c r="BF371" s="3" t="s">
        <v>3</v>
      </c>
      <c r="BG371" s="3" t="s">
        <v>3</v>
      </c>
      <c r="BH371" s="3">
        <v>3</v>
      </c>
      <c r="BI371" s="3">
        <v>2</v>
      </c>
      <c r="BJ371" s="3" t="s">
        <v>300</v>
      </c>
      <c r="BM371" s="3">
        <v>72</v>
      </c>
      <c r="BN371" s="3">
        <v>0</v>
      </c>
      <c r="BO371" s="3" t="s">
        <v>297</v>
      </c>
      <c r="BP371" s="3">
        <v>1</v>
      </c>
      <c r="BQ371" s="3">
        <v>40</v>
      </c>
      <c r="BR371" s="3">
        <v>0</v>
      </c>
      <c r="BS371" s="3">
        <v>1</v>
      </c>
      <c r="BT371" s="3">
        <v>1</v>
      </c>
      <c r="BU371" s="3">
        <v>1</v>
      </c>
      <c r="BV371" s="3">
        <v>1</v>
      </c>
      <c r="BW371" s="3">
        <v>1</v>
      </c>
      <c r="BX371" s="3">
        <v>1</v>
      </c>
      <c r="BY371" s="3" t="s">
        <v>3</v>
      </c>
      <c r="BZ371" s="3">
        <v>90</v>
      </c>
      <c r="CA371" s="3">
        <v>46</v>
      </c>
      <c r="CB371" s="3" t="s">
        <v>3</v>
      </c>
      <c r="CE371" s="3">
        <v>1566</v>
      </c>
      <c r="CF371" s="3">
        <v>0</v>
      </c>
      <c r="CG371" s="3">
        <v>0</v>
      </c>
      <c r="CM371" s="3">
        <v>0</v>
      </c>
      <c r="CN371" s="3" t="s">
        <v>3</v>
      </c>
      <c r="CO371" s="3">
        <v>0</v>
      </c>
      <c r="CP371" s="3">
        <f t="shared" si="285"/>
        <v>1042.49</v>
      </c>
      <c r="CQ371" s="3">
        <f>ROUND((ROUND((AC371*AW371*1),2)*BC371),2)</f>
        <v>133571.17000000001</v>
      </c>
      <c r="CR371" s="3">
        <f>(ROUND((ROUND(((ET371)*AV371*1),2)*BB371),2)+ROUND((ROUND(((AE371-(EU371))*AV371*1),2)*BS371),2))</f>
        <v>0</v>
      </c>
      <c r="CS371" s="3">
        <f>(ROUND((ROUND(((EU371)*AV371*1),2)*BS371),2)+ROUND((ROUND(((AE371-(EU371))*AV371*1),2)*BS371),2))</f>
        <v>0</v>
      </c>
      <c r="CT371" s="3">
        <f t="shared" si="286"/>
        <v>0</v>
      </c>
      <c r="CU371" s="3">
        <f t="shared" si="287"/>
        <v>0</v>
      </c>
      <c r="CV371" s="3">
        <f t="shared" si="288"/>
        <v>0</v>
      </c>
      <c r="CW371" s="3">
        <f t="shared" si="289"/>
        <v>0</v>
      </c>
      <c r="CX371" s="3">
        <f t="shared" si="290"/>
        <v>0</v>
      </c>
      <c r="CY371" s="3">
        <f>(ROUND((((S371+ROUND((ROUND(((EU371)*AV371*1),2)*BS371),2))*AT371)/100),2)+ROUND(((ROUND((ROUND(((AE371-(EU371))*AV371*1),2)*BS371),2)*AT371)/100),2))</f>
        <v>0</v>
      </c>
      <c r="CZ371" s="3">
        <f>(ROUND((((S371+ROUND((ROUND(((EU371)*AV371*1),2)*BS371),2))*AU371)/100),2)+ROUND(((ROUND((ROUND(((AE371-(EU371))*AV371*1),2)*BS371),2)*AU371)/100),2))</f>
        <v>0</v>
      </c>
      <c r="DC371" s="3" t="s">
        <v>3</v>
      </c>
      <c r="DD371" s="3" t="s">
        <v>3</v>
      </c>
      <c r="DE371" s="3" t="s">
        <v>3</v>
      </c>
      <c r="DF371" s="3" t="s">
        <v>3</v>
      </c>
      <c r="DG371" s="3" t="s">
        <v>3</v>
      </c>
      <c r="DH371" s="3" t="s">
        <v>3</v>
      </c>
      <c r="DI371" s="3" t="s">
        <v>3</v>
      </c>
      <c r="DJ371" s="3" t="s">
        <v>3</v>
      </c>
      <c r="DK371" s="3" t="s">
        <v>3</v>
      </c>
      <c r="DL371" s="3" t="s">
        <v>3</v>
      </c>
      <c r="DM371" s="3" t="s">
        <v>3</v>
      </c>
      <c r="DN371" s="3">
        <v>0</v>
      </c>
      <c r="DO371" s="3">
        <v>0</v>
      </c>
      <c r="DP371" s="3">
        <v>1</v>
      </c>
      <c r="DQ371" s="3">
        <v>1</v>
      </c>
      <c r="DU371" s="3">
        <v>1009</v>
      </c>
      <c r="DV371" s="3" t="s">
        <v>299</v>
      </c>
      <c r="DW371" s="3" t="s">
        <v>299</v>
      </c>
      <c r="DX371" s="3">
        <v>1000</v>
      </c>
      <c r="DZ371" s="3" t="s">
        <v>3</v>
      </c>
      <c r="EA371" s="3" t="s">
        <v>3</v>
      </c>
      <c r="EB371" s="3" t="s">
        <v>3</v>
      </c>
      <c r="EC371" s="3" t="s">
        <v>3</v>
      </c>
      <c r="EE371" s="3">
        <v>57042962</v>
      </c>
      <c r="EF371" s="3">
        <v>40</v>
      </c>
      <c r="EG371" s="3" t="s">
        <v>30</v>
      </c>
      <c r="EH371" s="3">
        <v>0</v>
      </c>
      <c r="EI371" s="3" t="s">
        <v>3</v>
      </c>
      <c r="EJ371" s="3">
        <v>2</v>
      </c>
      <c r="EK371" s="3">
        <v>72</v>
      </c>
      <c r="EL371" s="3" t="s">
        <v>31</v>
      </c>
      <c r="EM371" s="3" t="s">
        <v>32</v>
      </c>
      <c r="EO371" s="3" t="s">
        <v>3</v>
      </c>
      <c r="EQ371" s="3">
        <v>0</v>
      </c>
      <c r="ER371" s="3">
        <v>22524.65</v>
      </c>
      <c r="ES371" s="3">
        <v>22524.65</v>
      </c>
      <c r="ET371" s="3">
        <v>0</v>
      </c>
      <c r="EU371" s="3">
        <v>0</v>
      </c>
      <c r="EV371" s="3">
        <v>0</v>
      </c>
      <c r="EW371" s="3">
        <v>0</v>
      </c>
      <c r="EX371" s="3">
        <v>0</v>
      </c>
      <c r="FQ371" s="3">
        <v>0</v>
      </c>
      <c r="FR371" s="3">
        <v>0</v>
      </c>
      <c r="FS371" s="3">
        <v>0</v>
      </c>
      <c r="FX371" s="3">
        <v>90</v>
      </c>
      <c r="FY371" s="3">
        <v>46</v>
      </c>
      <c r="GA371" s="3" t="s">
        <v>3</v>
      </c>
      <c r="GD371" s="3">
        <v>1</v>
      </c>
      <c r="GF371" s="3">
        <v>1706974629</v>
      </c>
      <c r="GG371" s="3">
        <v>2</v>
      </c>
      <c r="GH371" s="3">
        <v>1</v>
      </c>
      <c r="GI371" s="3">
        <v>2</v>
      </c>
      <c r="GJ371" s="3">
        <v>0</v>
      </c>
      <c r="GK371" s="3">
        <v>0</v>
      </c>
      <c r="GL371" s="3">
        <f t="shared" si="291"/>
        <v>0</v>
      </c>
      <c r="GM371" s="3">
        <f t="shared" si="292"/>
        <v>1042.49</v>
      </c>
      <c r="GN371" s="3">
        <f t="shared" si="293"/>
        <v>0</v>
      </c>
      <c r="GO371" s="3">
        <f t="shared" si="294"/>
        <v>1042.49</v>
      </c>
      <c r="GP371" s="3">
        <f t="shared" si="295"/>
        <v>0</v>
      </c>
      <c r="GR371" s="3">
        <v>0</v>
      </c>
      <c r="GS371" s="3">
        <v>3</v>
      </c>
      <c r="GT371" s="3">
        <v>0</v>
      </c>
      <c r="GU371" s="3" t="s">
        <v>3</v>
      </c>
      <c r="GV371" s="3">
        <f t="shared" si="296"/>
        <v>0</v>
      </c>
      <c r="GW371" s="3">
        <v>1</v>
      </c>
      <c r="GX371" s="3">
        <f t="shared" si="297"/>
        <v>0</v>
      </c>
      <c r="HA371" s="3">
        <v>0</v>
      </c>
      <c r="HB371" s="3">
        <v>0</v>
      </c>
      <c r="HC371" s="3">
        <f t="shared" si="298"/>
        <v>0</v>
      </c>
      <c r="HE371" s="3" t="s">
        <v>3</v>
      </c>
      <c r="HF371" s="3" t="s">
        <v>3</v>
      </c>
      <c r="HM371" s="3" t="s">
        <v>104</v>
      </c>
      <c r="HN371" s="3" t="s">
        <v>3</v>
      </c>
      <c r="HO371" s="3" t="s">
        <v>3</v>
      </c>
      <c r="HP371" s="3" t="s">
        <v>3</v>
      </c>
      <c r="HQ371" s="3" t="s">
        <v>3</v>
      </c>
      <c r="HS371" s="3">
        <v>0</v>
      </c>
      <c r="IK371" s="3">
        <v>0</v>
      </c>
    </row>
    <row r="372" spans="1:255" x14ac:dyDescent="0.25">
      <c r="A372" s="2">
        <v>17</v>
      </c>
      <c r="B372" s="2">
        <v>1</v>
      </c>
      <c r="C372" s="2"/>
      <c r="D372" s="2"/>
      <c r="E372" s="2" t="s">
        <v>301</v>
      </c>
      <c r="F372" s="2" t="s">
        <v>302</v>
      </c>
      <c r="G372" s="2" t="s">
        <v>303</v>
      </c>
      <c r="H372" s="2" t="s">
        <v>177</v>
      </c>
      <c r="I372" s="2">
        <v>223</v>
      </c>
      <c r="J372" s="2">
        <v>0</v>
      </c>
      <c r="K372" s="2">
        <v>223</v>
      </c>
      <c r="L372" s="2"/>
      <c r="M372" s="2"/>
      <c r="N372" s="2"/>
      <c r="O372" s="2">
        <f t="shared" si="276"/>
        <v>104450.97</v>
      </c>
      <c r="P372" s="2">
        <f>ROUND((ROUND((AC372*I372),2)*BC372),2)</f>
        <v>104450.97</v>
      </c>
      <c r="Q372" s="2">
        <f>(ROUND((ROUND(((ET372)*AV372*I372),2)*BB372),2)+ROUND((ROUND(((AE372-(EU372))*AV372*I372),2)*BS372),2))</f>
        <v>0</v>
      </c>
      <c r="R372" s="2">
        <f>(ROUND((ROUND(((EU372)*AV372*I372),2)*BS372),2)+ROUND((ROUND(((AE372-(EU372))*AV372*I372),2)*BS372),2))</f>
        <v>0</v>
      </c>
      <c r="S372" s="2">
        <f t="shared" si="277"/>
        <v>0</v>
      </c>
      <c r="T372" s="2">
        <f t="shared" si="278"/>
        <v>0</v>
      </c>
      <c r="U372" s="2">
        <f t="shared" si="279"/>
        <v>0</v>
      </c>
      <c r="V372" s="2">
        <f t="shared" si="280"/>
        <v>0</v>
      </c>
      <c r="W372" s="2">
        <f t="shared" si="281"/>
        <v>0</v>
      </c>
      <c r="X372" s="2">
        <f>(ROUND((((S372+ROUND((ROUND(((EU372)*AV372*I372),2)*BS372),2))*AT372)/100),2)+ROUND(((ROUND((ROUND(((AE372-(EU372))*AV372*I372),2)*BS372),2)*AT372)/100),2))</f>
        <v>0</v>
      </c>
      <c r="Y372" s="2">
        <f>(ROUND((((S372+ROUND((ROUND(((EU372)*AV372*I372),2)*BS372),2))*AU372)/100),2)+ROUND(((ROUND((ROUND(((AE372-(EU372))*AV372*I372),2)*BS372),2)*AU372)/100),2))</f>
        <v>0</v>
      </c>
      <c r="Z372" s="2"/>
      <c r="AA372" s="2">
        <v>57034452</v>
      </c>
      <c r="AB372" s="2">
        <f t="shared" si="282"/>
        <v>468.39</v>
      </c>
      <c r="AC372" s="2">
        <f>ROUND((ES372),6)</f>
        <v>468.39</v>
      </c>
      <c r="AD372" s="2">
        <f>ROUND((((ET372)-(EU372))+AE372),6)</f>
        <v>0</v>
      </c>
      <c r="AE372" s="2">
        <f t="shared" si="299"/>
        <v>0</v>
      </c>
      <c r="AF372" s="2">
        <f t="shared" si="299"/>
        <v>0</v>
      </c>
      <c r="AG372" s="2">
        <f t="shared" si="283"/>
        <v>0</v>
      </c>
      <c r="AH372" s="2">
        <f t="shared" si="300"/>
        <v>0</v>
      </c>
      <c r="AI372" s="2">
        <f t="shared" si="300"/>
        <v>0</v>
      </c>
      <c r="AJ372" s="2">
        <f t="shared" si="284"/>
        <v>0</v>
      </c>
      <c r="AK372" s="2">
        <v>468.39000000000004</v>
      </c>
      <c r="AL372" s="2">
        <v>468.39000000000004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1</v>
      </c>
      <c r="AW372" s="2">
        <v>1</v>
      </c>
      <c r="AX372" s="2"/>
      <c r="AY372" s="2"/>
      <c r="AZ372" s="2">
        <v>1</v>
      </c>
      <c r="BA372" s="2">
        <v>1</v>
      </c>
      <c r="BB372" s="2">
        <v>1</v>
      </c>
      <c r="BC372" s="2">
        <v>1</v>
      </c>
      <c r="BD372" s="2" t="s">
        <v>3</v>
      </c>
      <c r="BE372" s="2" t="s">
        <v>3</v>
      </c>
      <c r="BF372" s="2" t="s">
        <v>3</v>
      </c>
      <c r="BG372" s="2" t="s">
        <v>3</v>
      </c>
      <c r="BH372" s="2">
        <v>3</v>
      </c>
      <c r="BI372" s="2">
        <v>3</v>
      </c>
      <c r="BJ372" s="2" t="s">
        <v>3</v>
      </c>
      <c r="BK372" s="2"/>
      <c r="BL372" s="2"/>
      <c r="BM372" s="2">
        <v>746</v>
      </c>
      <c r="BN372" s="2">
        <v>0</v>
      </c>
      <c r="BO372" s="2" t="s">
        <v>3</v>
      </c>
      <c r="BP372" s="2">
        <v>0</v>
      </c>
      <c r="BQ372" s="2">
        <v>130</v>
      </c>
      <c r="BR372" s="2">
        <v>0</v>
      </c>
      <c r="BS372" s="2">
        <v>1</v>
      </c>
      <c r="BT372" s="2">
        <v>1</v>
      </c>
      <c r="BU372" s="2">
        <v>1</v>
      </c>
      <c r="BV372" s="2">
        <v>1</v>
      </c>
      <c r="BW372" s="2">
        <v>1</v>
      </c>
      <c r="BX372" s="2">
        <v>1</v>
      </c>
      <c r="BY372" s="2" t="s">
        <v>3</v>
      </c>
      <c r="BZ372" s="2">
        <v>97</v>
      </c>
      <c r="CA372" s="2">
        <v>51</v>
      </c>
      <c r="CB372" s="2" t="s">
        <v>3</v>
      </c>
      <c r="CC372" s="2"/>
      <c r="CD372" s="2"/>
      <c r="CE372" s="2">
        <v>1566</v>
      </c>
      <c r="CF372" s="2">
        <v>0</v>
      </c>
      <c r="CG372" s="2">
        <v>0</v>
      </c>
      <c r="CH372" s="2"/>
      <c r="CI372" s="2"/>
      <c r="CJ372" s="2"/>
      <c r="CK372" s="2"/>
      <c r="CL372" s="2"/>
      <c r="CM372" s="2">
        <v>0</v>
      </c>
      <c r="CN372" s="2" t="s">
        <v>615</v>
      </c>
      <c r="CO372" s="2">
        <v>0</v>
      </c>
      <c r="CP372" s="2">
        <f t="shared" si="285"/>
        <v>104450.97</v>
      </c>
      <c r="CQ372" s="2">
        <f>ROUND((ROUND((AC372*1),2)*BC372),2)</f>
        <v>468.39</v>
      </c>
      <c r="CR372" s="2">
        <f>(ROUND((ROUND(((ET372)*AV372*1),2)*BB372),2)+ROUND((ROUND(((AE372-(EU372))*AV372*1),2)*BS372),2))</f>
        <v>0</v>
      </c>
      <c r="CS372" s="2">
        <f>(ROUND((ROUND(((EU372)*AV372*1),2)*BS372),2)+ROUND((ROUND(((AE372-(EU372))*AV372*1),2)*BS372),2))</f>
        <v>0</v>
      </c>
      <c r="CT372" s="2">
        <f t="shared" si="286"/>
        <v>0</v>
      </c>
      <c r="CU372" s="2">
        <f t="shared" si="287"/>
        <v>0</v>
      </c>
      <c r="CV372" s="2">
        <f t="shared" si="288"/>
        <v>0</v>
      </c>
      <c r="CW372" s="2">
        <f t="shared" si="289"/>
        <v>0</v>
      </c>
      <c r="CX372" s="2">
        <f t="shared" si="290"/>
        <v>0</v>
      </c>
      <c r="CY372" s="2">
        <f>(ROUND((((S372+ROUND((ROUND(((EU372)*AV372*1),2)*BS372),2))*AT372)/100),2)+ROUND(((ROUND((ROUND(((AE372-(EU372))*AV372*1),2)*BS372),2)*AT372)/100),2))</f>
        <v>0</v>
      </c>
      <c r="CZ372" s="2">
        <f>(ROUND((((S372+ROUND((ROUND(((EU372)*AV372*1),2)*BS372),2))*AU372)/100),2)+ROUND(((ROUND((ROUND(((AE372-(EU372))*AV372*1),2)*BS372),2)*AU372)/100),2))</f>
        <v>0</v>
      </c>
      <c r="DA372" s="2"/>
      <c r="DB372" s="2"/>
      <c r="DC372" s="2" t="s">
        <v>3</v>
      </c>
      <c r="DD372" s="2" t="s">
        <v>3</v>
      </c>
      <c r="DE372" s="2" t="s">
        <v>3</v>
      </c>
      <c r="DF372" s="2" t="s">
        <v>3</v>
      </c>
      <c r="DG372" s="2" t="s">
        <v>3</v>
      </c>
      <c r="DH372" s="2" t="s">
        <v>3</v>
      </c>
      <c r="DI372" s="2" t="s">
        <v>3</v>
      </c>
      <c r="DJ372" s="2" t="s">
        <v>3</v>
      </c>
      <c r="DK372" s="2" t="s">
        <v>3</v>
      </c>
      <c r="DL372" s="2" t="s">
        <v>3</v>
      </c>
      <c r="DM372" s="2" t="s">
        <v>3</v>
      </c>
      <c r="DN372" s="2">
        <v>0</v>
      </c>
      <c r="DO372" s="2">
        <v>0</v>
      </c>
      <c r="DP372" s="2">
        <v>1</v>
      </c>
      <c r="DQ372" s="2">
        <v>1</v>
      </c>
      <c r="DR372" s="2"/>
      <c r="DS372" s="2"/>
      <c r="DT372" s="2"/>
      <c r="DU372" s="2">
        <v>1010</v>
      </c>
      <c r="DV372" s="2" t="s">
        <v>177</v>
      </c>
      <c r="DW372" s="2" t="s">
        <v>177</v>
      </c>
      <c r="DX372" s="2">
        <v>1</v>
      </c>
      <c r="DY372" s="2"/>
      <c r="DZ372" s="2" t="s">
        <v>3</v>
      </c>
      <c r="EA372" s="2" t="s">
        <v>3</v>
      </c>
      <c r="EB372" s="2" t="s">
        <v>3</v>
      </c>
      <c r="EC372" s="2" t="s">
        <v>3</v>
      </c>
      <c r="ED372" s="2"/>
      <c r="EE372" s="2">
        <v>57043064</v>
      </c>
      <c r="EF372" s="2">
        <v>130</v>
      </c>
      <c r="EG372" s="2" t="s">
        <v>178</v>
      </c>
      <c r="EH372" s="2">
        <v>0</v>
      </c>
      <c r="EI372" s="2" t="s">
        <v>3</v>
      </c>
      <c r="EJ372" s="2">
        <v>3</v>
      </c>
      <c r="EK372" s="2">
        <v>746</v>
      </c>
      <c r="EL372" s="2" t="s">
        <v>179</v>
      </c>
      <c r="EM372" s="2" t="s">
        <v>180</v>
      </c>
      <c r="EN372" s="2"/>
      <c r="EO372" s="2" t="s">
        <v>109</v>
      </c>
      <c r="EP372" s="2"/>
      <c r="EQ372" s="2">
        <v>2097152</v>
      </c>
      <c r="ER372" s="2">
        <v>0</v>
      </c>
      <c r="ES372" s="2">
        <v>468.39000000000004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>
        <v>0</v>
      </c>
      <c r="FR372" s="2">
        <f>P372</f>
        <v>104450.97</v>
      </c>
      <c r="FS372" s="2">
        <v>0</v>
      </c>
      <c r="FT372" s="2"/>
      <c r="FU372" s="2"/>
      <c r="FV372" s="2"/>
      <c r="FW372" s="2"/>
      <c r="FX372" s="2">
        <v>97</v>
      </c>
      <c r="FY372" s="2">
        <v>51</v>
      </c>
      <c r="FZ372" s="2"/>
      <c r="GA372" s="2" t="s">
        <v>304</v>
      </c>
      <c r="GB372" s="2"/>
      <c r="GC372" s="2"/>
      <c r="GD372" s="2">
        <v>1</v>
      </c>
      <c r="GE372" s="2"/>
      <c r="GF372" s="2">
        <v>1382406235</v>
      </c>
      <c r="GG372" s="2">
        <v>2</v>
      </c>
      <c r="GH372" s="2">
        <v>4</v>
      </c>
      <c r="GI372" s="2">
        <v>-2</v>
      </c>
      <c r="GJ372" s="2">
        <v>0</v>
      </c>
      <c r="GK372" s="2">
        <v>0</v>
      </c>
      <c r="GL372" s="2">
        <f t="shared" si="291"/>
        <v>0</v>
      </c>
      <c r="GM372" s="2">
        <f t="shared" si="292"/>
        <v>104450.97</v>
      </c>
      <c r="GN372" s="2">
        <f t="shared" si="293"/>
        <v>0</v>
      </c>
      <c r="GO372" s="2">
        <f t="shared" si="294"/>
        <v>0</v>
      </c>
      <c r="GP372" s="2">
        <f t="shared" si="295"/>
        <v>0</v>
      </c>
      <c r="GQ372" s="2"/>
      <c r="GR372" s="2">
        <v>0</v>
      </c>
      <c r="GS372" s="2">
        <v>2</v>
      </c>
      <c r="GT372" s="2">
        <v>0</v>
      </c>
      <c r="GU372" s="2" t="s">
        <v>3</v>
      </c>
      <c r="GV372" s="2">
        <f t="shared" si="296"/>
        <v>0</v>
      </c>
      <c r="GW372" s="2">
        <v>1</v>
      </c>
      <c r="GX372" s="2">
        <f t="shared" si="297"/>
        <v>0</v>
      </c>
      <c r="GY372" s="2"/>
      <c r="GZ372" s="2"/>
      <c r="HA372" s="2">
        <v>0</v>
      </c>
      <c r="HB372" s="2">
        <v>0</v>
      </c>
      <c r="HC372" s="2">
        <f t="shared" si="298"/>
        <v>0</v>
      </c>
      <c r="HD372" s="2"/>
      <c r="HE372" s="2" t="s">
        <v>40</v>
      </c>
      <c r="HF372" s="2" t="s">
        <v>182</v>
      </c>
      <c r="HG372" s="2"/>
      <c r="HH372" s="2"/>
      <c r="HI372" s="2"/>
      <c r="HJ372" s="2"/>
      <c r="HK372" s="2"/>
      <c r="HL372" s="2"/>
      <c r="HM372" s="2" t="s">
        <v>3</v>
      </c>
      <c r="HN372" s="2" t="s">
        <v>3</v>
      </c>
      <c r="HO372" s="2" t="s">
        <v>3</v>
      </c>
      <c r="HP372" s="2" t="s">
        <v>3</v>
      </c>
      <c r="HQ372" s="2" t="s">
        <v>3</v>
      </c>
      <c r="HR372" s="2"/>
      <c r="HS372" s="2">
        <v>0</v>
      </c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>
        <v>0</v>
      </c>
      <c r="IL372" s="2"/>
      <c r="IM372" s="2"/>
      <c r="IN372" s="2"/>
      <c r="IO372" s="2"/>
      <c r="IP372" s="2"/>
      <c r="IQ372" s="2"/>
      <c r="IR372" s="2"/>
      <c r="IS372" s="2"/>
      <c r="IT372" s="2"/>
      <c r="IU372" s="2"/>
    </row>
    <row r="373" spans="1:255" x14ac:dyDescent="0.25">
      <c r="A373" s="3">
        <v>17</v>
      </c>
      <c r="B373" s="3">
        <v>1</v>
      </c>
      <c r="E373" s="3" t="s">
        <v>301</v>
      </c>
      <c r="F373" s="3" t="s">
        <v>302</v>
      </c>
      <c r="G373" s="3" t="s">
        <v>303</v>
      </c>
      <c r="H373" s="3" t="s">
        <v>177</v>
      </c>
      <c r="I373" s="3">
        <v>223</v>
      </c>
      <c r="J373" s="3">
        <v>0</v>
      </c>
      <c r="K373" s="3">
        <v>223</v>
      </c>
      <c r="O373" s="3">
        <f t="shared" si="276"/>
        <v>790693.84</v>
      </c>
      <c r="P373" s="3">
        <f>ROUND((ROUND((AC373*I373),2)*BC373),2)</f>
        <v>790693.84</v>
      </c>
      <c r="Q373" s="3">
        <f>(ROUND((ROUND(((ET373)*AV373*I373),2)*BB373),2)+ROUND((ROUND(((AE373-(EU373))*AV373*I373),2)*BS373),2))</f>
        <v>0</v>
      </c>
      <c r="R373" s="3">
        <f>(ROUND((ROUND(((EU373)*AV373*I373),2)*BS373),2)+ROUND((ROUND(((AE373-(EU373))*AV373*I373),2)*BS373),2))</f>
        <v>0</v>
      </c>
      <c r="S373" s="3">
        <f t="shared" si="277"/>
        <v>0</v>
      </c>
      <c r="T373" s="3">
        <f t="shared" si="278"/>
        <v>0</v>
      </c>
      <c r="U373" s="3">
        <f t="shared" si="279"/>
        <v>0</v>
      </c>
      <c r="V373" s="3">
        <f t="shared" si="280"/>
        <v>0</v>
      </c>
      <c r="W373" s="3">
        <f t="shared" si="281"/>
        <v>0</v>
      </c>
      <c r="X373" s="3">
        <f>(ROUND((((S373+ROUND((ROUND(((EU373)*AV373*I373),2)*BS373),2))*AT373)/100),2)+ROUND(((ROUND((ROUND(((AE373-(EU373))*AV373*I373),2)*BS373),2)*AT373)/100),2))</f>
        <v>0</v>
      </c>
      <c r="Y373" s="3">
        <f>(ROUND((((S373+ROUND((ROUND(((EU373)*AV373*I373),2)*BS373),2))*AU373)/100),2)+ROUND(((ROUND((ROUND(((AE373-(EU373))*AV373*I373),2)*BS373),2)*AU373)/100),2))</f>
        <v>0</v>
      </c>
      <c r="AA373" s="3">
        <v>57034454</v>
      </c>
      <c r="AB373" s="3">
        <f t="shared" si="282"/>
        <v>468.39</v>
      </c>
      <c r="AC373" s="3">
        <f>ROUND((ES373),6)</f>
        <v>468.39</v>
      </c>
      <c r="AD373" s="3">
        <f>ROUND((((ET373)-(EU373))+AE373),6)</f>
        <v>0</v>
      </c>
      <c r="AE373" s="3">
        <f t="shared" si="299"/>
        <v>0</v>
      </c>
      <c r="AF373" s="3">
        <f t="shared" si="299"/>
        <v>0</v>
      </c>
      <c r="AG373" s="3">
        <f t="shared" si="283"/>
        <v>0</v>
      </c>
      <c r="AH373" s="3">
        <f t="shared" si="300"/>
        <v>0</v>
      </c>
      <c r="AI373" s="3">
        <f t="shared" si="300"/>
        <v>0</v>
      </c>
      <c r="AJ373" s="3">
        <f t="shared" si="284"/>
        <v>0</v>
      </c>
      <c r="AK373" s="3">
        <v>468.39000000000004</v>
      </c>
      <c r="AL373" s="3">
        <v>468.39000000000004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1</v>
      </c>
      <c r="AW373" s="3">
        <v>1</v>
      </c>
      <c r="AZ373" s="3">
        <v>1</v>
      </c>
      <c r="BA373" s="3">
        <v>1</v>
      </c>
      <c r="BB373" s="3">
        <v>1</v>
      </c>
      <c r="BC373" s="3">
        <v>7.57</v>
      </c>
      <c r="BD373" s="3" t="s">
        <v>3</v>
      </c>
      <c r="BE373" s="3" t="s">
        <v>3</v>
      </c>
      <c r="BF373" s="3" t="s">
        <v>3</v>
      </c>
      <c r="BG373" s="3" t="s">
        <v>3</v>
      </c>
      <c r="BH373" s="3">
        <v>3</v>
      </c>
      <c r="BI373" s="3">
        <v>3</v>
      </c>
      <c r="BJ373" s="3" t="s">
        <v>3</v>
      </c>
      <c r="BM373" s="3">
        <v>746</v>
      </c>
      <c r="BN373" s="3">
        <v>0</v>
      </c>
      <c r="BO373" s="3" t="s">
        <v>3</v>
      </c>
      <c r="BP373" s="3">
        <v>0</v>
      </c>
      <c r="BQ373" s="3">
        <v>130</v>
      </c>
      <c r="BR373" s="3">
        <v>0</v>
      </c>
      <c r="BS373" s="3">
        <v>1</v>
      </c>
      <c r="BT373" s="3">
        <v>1</v>
      </c>
      <c r="BU373" s="3">
        <v>1</v>
      </c>
      <c r="BV373" s="3">
        <v>1</v>
      </c>
      <c r="BW373" s="3">
        <v>1</v>
      </c>
      <c r="BX373" s="3">
        <v>1</v>
      </c>
      <c r="BY373" s="3" t="s">
        <v>3</v>
      </c>
      <c r="BZ373" s="3">
        <v>97</v>
      </c>
      <c r="CA373" s="3">
        <v>51</v>
      </c>
      <c r="CB373" s="3" t="s">
        <v>3</v>
      </c>
      <c r="CE373" s="3">
        <v>1566</v>
      </c>
      <c r="CF373" s="3">
        <v>0</v>
      </c>
      <c r="CG373" s="3">
        <v>0</v>
      </c>
      <c r="CM373" s="3">
        <v>0</v>
      </c>
      <c r="CN373" s="3" t="s">
        <v>615</v>
      </c>
      <c r="CO373" s="3">
        <v>0</v>
      </c>
      <c r="CP373" s="3">
        <f t="shared" si="285"/>
        <v>790693.84</v>
      </c>
      <c r="CQ373" s="3">
        <f>ROUND((ROUND((AC373*1),2)*BC373),2)</f>
        <v>3545.71</v>
      </c>
      <c r="CR373" s="3">
        <f>(ROUND((ROUND(((ET373)*AV373*1),2)*BB373),2)+ROUND((ROUND(((AE373-(EU373))*AV373*1),2)*BS373),2))</f>
        <v>0</v>
      </c>
      <c r="CS373" s="3">
        <f>(ROUND((ROUND(((EU373)*AV373*1),2)*BS373),2)+ROUND((ROUND(((AE373-(EU373))*AV373*1),2)*BS373),2))</f>
        <v>0</v>
      </c>
      <c r="CT373" s="3">
        <f t="shared" si="286"/>
        <v>0</v>
      </c>
      <c r="CU373" s="3">
        <f t="shared" si="287"/>
        <v>0</v>
      </c>
      <c r="CV373" s="3">
        <f t="shared" si="288"/>
        <v>0</v>
      </c>
      <c r="CW373" s="3">
        <f t="shared" si="289"/>
        <v>0</v>
      </c>
      <c r="CX373" s="3">
        <f t="shared" si="290"/>
        <v>0</v>
      </c>
      <c r="CY373" s="3">
        <f>(ROUND((((S373+ROUND((ROUND(((EU373)*AV373*1),2)*BS373),2))*AT373)/100),2)+ROUND(((ROUND((ROUND(((AE373-(EU373))*AV373*1),2)*BS373),2)*AT373)/100),2))</f>
        <v>0</v>
      </c>
      <c r="CZ373" s="3">
        <f>(ROUND((((S373+ROUND((ROUND(((EU373)*AV373*1),2)*BS373),2))*AU373)/100),2)+ROUND(((ROUND((ROUND(((AE373-(EU373))*AV373*1),2)*BS373),2)*AU373)/100),2))</f>
        <v>0</v>
      </c>
      <c r="DC373" s="3" t="s">
        <v>3</v>
      </c>
      <c r="DD373" s="3" t="s">
        <v>3</v>
      </c>
      <c r="DE373" s="3" t="s">
        <v>3</v>
      </c>
      <c r="DF373" s="3" t="s">
        <v>3</v>
      </c>
      <c r="DG373" s="3" t="s">
        <v>3</v>
      </c>
      <c r="DH373" s="3" t="s">
        <v>3</v>
      </c>
      <c r="DI373" s="3" t="s">
        <v>3</v>
      </c>
      <c r="DJ373" s="3" t="s">
        <v>3</v>
      </c>
      <c r="DK373" s="3" t="s">
        <v>3</v>
      </c>
      <c r="DL373" s="3" t="s">
        <v>3</v>
      </c>
      <c r="DM373" s="3" t="s">
        <v>3</v>
      </c>
      <c r="DN373" s="3">
        <v>0</v>
      </c>
      <c r="DO373" s="3">
        <v>0</v>
      </c>
      <c r="DP373" s="3">
        <v>1</v>
      </c>
      <c r="DQ373" s="3">
        <v>1</v>
      </c>
      <c r="DU373" s="3">
        <v>1010</v>
      </c>
      <c r="DV373" s="3" t="s">
        <v>177</v>
      </c>
      <c r="DW373" s="3" t="s">
        <v>177</v>
      </c>
      <c r="DX373" s="3">
        <v>1</v>
      </c>
      <c r="DZ373" s="3" t="s">
        <v>3</v>
      </c>
      <c r="EA373" s="3" t="s">
        <v>3</v>
      </c>
      <c r="EB373" s="3" t="s">
        <v>3</v>
      </c>
      <c r="EC373" s="3" t="s">
        <v>3</v>
      </c>
      <c r="EE373" s="3">
        <v>57043064</v>
      </c>
      <c r="EF373" s="3">
        <v>130</v>
      </c>
      <c r="EG373" s="3" t="s">
        <v>178</v>
      </c>
      <c r="EH373" s="3">
        <v>0</v>
      </c>
      <c r="EI373" s="3" t="s">
        <v>3</v>
      </c>
      <c r="EJ373" s="3">
        <v>3</v>
      </c>
      <c r="EK373" s="3">
        <v>746</v>
      </c>
      <c r="EL373" s="3" t="s">
        <v>179</v>
      </c>
      <c r="EM373" s="3" t="s">
        <v>180</v>
      </c>
      <c r="EO373" s="3" t="s">
        <v>109</v>
      </c>
      <c r="EQ373" s="3">
        <v>2097152</v>
      </c>
      <c r="ER373" s="3">
        <v>468.39000000000004</v>
      </c>
      <c r="ES373" s="3">
        <v>468.39000000000004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5</v>
      </c>
      <c r="FC373" s="3">
        <v>1</v>
      </c>
      <c r="FD373" s="3">
        <v>18</v>
      </c>
      <c r="FF373" s="3">
        <v>4150</v>
      </c>
      <c r="FQ373" s="3">
        <v>0</v>
      </c>
      <c r="FR373" s="3">
        <f>P373</f>
        <v>790693.84</v>
      </c>
      <c r="FS373" s="3">
        <v>0</v>
      </c>
      <c r="FX373" s="3">
        <v>97</v>
      </c>
      <c r="FY373" s="3">
        <v>51</v>
      </c>
      <c r="GA373" s="3" t="s">
        <v>304</v>
      </c>
      <c r="GD373" s="3">
        <v>1</v>
      </c>
      <c r="GF373" s="3">
        <v>1382406235</v>
      </c>
      <c r="GG373" s="3">
        <v>2</v>
      </c>
      <c r="GH373" s="3">
        <v>3</v>
      </c>
      <c r="GI373" s="3">
        <v>5</v>
      </c>
      <c r="GJ373" s="3">
        <v>0</v>
      </c>
      <c r="GK373" s="3">
        <v>0</v>
      </c>
      <c r="GL373" s="3">
        <f t="shared" si="291"/>
        <v>0</v>
      </c>
      <c r="GM373" s="3">
        <f t="shared" si="292"/>
        <v>790693.84</v>
      </c>
      <c r="GN373" s="3">
        <f t="shared" si="293"/>
        <v>0</v>
      </c>
      <c r="GO373" s="3">
        <f t="shared" si="294"/>
        <v>0</v>
      </c>
      <c r="GP373" s="3">
        <f t="shared" si="295"/>
        <v>0</v>
      </c>
      <c r="GR373" s="3">
        <v>1</v>
      </c>
      <c r="GS373" s="3">
        <v>1</v>
      </c>
      <c r="GT373" s="3">
        <v>0</v>
      </c>
      <c r="GU373" s="3" t="s">
        <v>3</v>
      </c>
      <c r="GV373" s="3">
        <f t="shared" si="296"/>
        <v>0</v>
      </c>
      <c r="GW373" s="3">
        <v>1</v>
      </c>
      <c r="GX373" s="3">
        <f t="shared" si="297"/>
        <v>0</v>
      </c>
      <c r="HA373" s="3">
        <v>0</v>
      </c>
      <c r="HB373" s="3">
        <v>0</v>
      </c>
      <c r="HC373" s="3">
        <f t="shared" si="298"/>
        <v>0</v>
      </c>
      <c r="HE373" s="3" t="s">
        <v>40</v>
      </c>
      <c r="HF373" s="3" t="s">
        <v>182</v>
      </c>
      <c r="HM373" s="3" t="s">
        <v>3</v>
      </c>
      <c r="HN373" s="3" t="s">
        <v>3</v>
      </c>
      <c r="HO373" s="3" t="s">
        <v>3</v>
      </c>
      <c r="HP373" s="3" t="s">
        <v>3</v>
      </c>
      <c r="HQ373" s="3" t="s">
        <v>3</v>
      </c>
      <c r="HS373" s="3">
        <v>0</v>
      </c>
      <c r="IK373" s="3">
        <v>0</v>
      </c>
    </row>
    <row r="374" spans="1:255" x14ac:dyDescent="0.25">
      <c r="A374" s="2">
        <v>17</v>
      </c>
      <c r="B374" s="2">
        <v>1</v>
      </c>
      <c r="C374" s="2">
        <f>ROW(SmtRes!A213)</f>
        <v>213</v>
      </c>
      <c r="D374" s="2">
        <f>ROW(EtalonRes!A226)</f>
        <v>226</v>
      </c>
      <c r="E374" s="2" t="s">
        <v>3</v>
      </c>
      <c r="F374" s="2" t="s">
        <v>77</v>
      </c>
      <c r="G374" s="2" t="s">
        <v>305</v>
      </c>
      <c r="H374" s="2" t="s">
        <v>26</v>
      </c>
      <c r="I374" s="2">
        <f>ROUND(223,9)</f>
        <v>223</v>
      </c>
      <c r="J374" s="2">
        <v>0</v>
      </c>
      <c r="K374" s="2">
        <f>ROUND(223,9)</f>
        <v>223</v>
      </c>
      <c r="L374" s="2"/>
      <c r="M374" s="2"/>
      <c r="N374" s="2"/>
      <c r="O374" s="2">
        <f t="shared" si="276"/>
        <v>4339.9399999999996</v>
      </c>
      <c r="P374" s="2">
        <f>ROUND((ROUND((AC374*AW374*I374),2)*BC374),2)</f>
        <v>0</v>
      </c>
      <c r="Q374" s="2">
        <f>(ROUND((ROUND((((ET374*1.2))*AV374*I374),2)*BB374),2)+ROUND((ROUND(((AE374-((EU374*1.2)))*AV374*I374),2)*BS374),2))</f>
        <v>697.64</v>
      </c>
      <c r="R374" s="2">
        <f>(ROUND((ROUND((((EU374*1.2))*AV374*I374),2)*BS374),2)+ROUND((ROUND(((AE374-((EU374*1.2)))*AV374*I374),2)*BS374),2))</f>
        <v>106.47</v>
      </c>
      <c r="S374" s="2">
        <f t="shared" si="277"/>
        <v>3642.3</v>
      </c>
      <c r="T374" s="2">
        <f t="shared" si="278"/>
        <v>0</v>
      </c>
      <c r="U374" s="2">
        <f t="shared" si="279"/>
        <v>288.58251599999994</v>
      </c>
      <c r="V374" s="2">
        <f t="shared" si="280"/>
        <v>0</v>
      </c>
      <c r="W374" s="2">
        <f t="shared" si="281"/>
        <v>0</v>
      </c>
      <c r="X374" s="2">
        <f>(ROUND((((S374+ROUND((ROUND((((EU374*1.2))*AV374*I374),2)*BS374),2))*AT374)/100),2)+ROUND(((ROUND((ROUND(((AE374-((EU374*1.2)))*AV374*I374),2)*BS374),2)*AT374)/100),2))</f>
        <v>3636.31</v>
      </c>
      <c r="Y374" s="2">
        <f>(ROUND((((S374+ROUND((ROUND((((EU374*1.2))*AV374*I374),2)*BS374),2))*AU374)/100),2)+ROUND(((ROUND((ROUND(((AE374-((EU374*1.2)))*AV374*I374),2)*BS374),2)*AU374)/100),2))</f>
        <v>1911.87</v>
      </c>
      <c r="Z374" s="2"/>
      <c r="AA374" s="2">
        <v>-1</v>
      </c>
      <c r="AB374" s="2">
        <f t="shared" si="282"/>
        <v>18.588000000000001</v>
      </c>
      <c r="AC374" s="2">
        <f>ROUND(((ES374*1)),6)</f>
        <v>0</v>
      </c>
      <c r="AD374" s="2">
        <f>ROUND(((((ET374*1.2))-((EU374*1.2)))+AE374),6)</f>
        <v>2.988</v>
      </c>
      <c r="AE374" s="2">
        <f>ROUND(((EU374*1.2)),6)</f>
        <v>0.45600000000000002</v>
      </c>
      <c r="AF374" s="2">
        <f>ROUND(((EV374*1.2)),6)</f>
        <v>15.6</v>
      </c>
      <c r="AG374" s="2">
        <f t="shared" si="283"/>
        <v>0</v>
      </c>
      <c r="AH374" s="2">
        <f>((EW374*1.2))</f>
        <v>1.236</v>
      </c>
      <c r="AI374" s="2">
        <f>((EX374*1.2))</f>
        <v>0</v>
      </c>
      <c r="AJ374" s="2">
        <f t="shared" si="284"/>
        <v>0</v>
      </c>
      <c r="AK374" s="2">
        <v>15.49</v>
      </c>
      <c r="AL374" s="2">
        <v>0</v>
      </c>
      <c r="AM374" s="2">
        <v>2.4900000000000002</v>
      </c>
      <c r="AN374" s="2">
        <v>0.38</v>
      </c>
      <c r="AO374" s="2">
        <v>13</v>
      </c>
      <c r="AP374" s="2">
        <v>0</v>
      </c>
      <c r="AQ374" s="2">
        <v>1.03</v>
      </c>
      <c r="AR374" s="2">
        <v>0</v>
      </c>
      <c r="AS374" s="2">
        <v>0</v>
      </c>
      <c r="AT374" s="2">
        <v>97</v>
      </c>
      <c r="AU374" s="2">
        <v>51</v>
      </c>
      <c r="AV374" s="2">
        <v>1.0469999999999999</v>
      </c>
      <c r="AW374" s="2">
        <v>1</v>
      </c>
      <c r="AX374" s="2"/>
      <c r="AY374" s="2"/>
      <c r="AZ374" s="2">
        <v>1</v>
      </c>
      <c r="BA374" s="2">
        <v>1</v>
      </c>
      <c r="BB374" s="2">
        <v>1</v>
      </c>
      <c r="BC374" s="2">
        <v>1</v>
      </c>
      <c r="BD374" s="2" t="s">
        <v>3</v>
      </c>
      <c r="BE374" s="2" t="s">
        <v>3</v>
      </c>
      <c r="BF374" s="2" t="s">
        <v>3</v>
      </c>
      <c r="BG374" s="2" t="s">
        <v>3</v>
      </c>
      <c r="BH374" s="2">
        <v>0</v>
      </c>
      <c r="BI374" s="2">
        <v>2</v>
      </c>
      <c r="BJ374" s="2" t="s">
        <v>79</v>
      </c>
      <c r="BK374" s="2"/>
      <c r="BL374" s="2"/>
      <c r="BM374" s="2">
        <v>67</v>
      </c>
      <c r="BN374" s="2">
        <v>0</v>
      </c>
      <c r="BO374" s="2" t="s">
        <v>77</v>
      </c>
      <c r="BP374" s="2">
        <v>1</v>
      </c>
      <c r="BQ374" s="2">
        <v>40</v>
      </c>
      <c r="BR374" s="2">
        <v>0</v>
      </c>
      <c r="BS374" s="2">
        <v>1</v>
      </c>
      <c r="BT374" s="2">
        <v>1</v>
      </c>
      <c r="BU374" s="2">
        <v>1</v>
      </c>
      <c r="BV374" s="2">
        <v>1</v>
      </c>
      <c r="BW374" s="2">
        <v>1</v>
      </c>
      <c r="BX374" s="2">
        <v>1</v>
      </c>
      <c r="BY374" s="2" t="s">
        <v>3</v>
      </c>
      <c r="BZ374" s="2">
        <v>97</v>
      </c>
      <c r="CA374" s="2">
        <v>51</v>
      </c>
      <c r="CB374" s="2" t="s">
        <v>3</v>
      </c>
      <c r="CC374" s="2"/>
      <c r="CD374" s="2"/>
      <c r="CE374" s="2">
        <v>1566</v>
      </c>
      <c r="CF374" s="2">
        <v>0</v>
      </c>
      <c r="CG374" s="2">
        <v>0</v>
      </c>
      <c r="CH374" s="2"/>
      <c r="CI374" s="2"/>
      <c r="CJ374" s="2"/>
      <c r="CK374" s="2"/>
      <c r="CL374" s="2"/>
      <c r="CM374" s="2">
        <v>0</v>
      </c>
      <c r="CN374" s="2" t="s">
        <v>614</v>
      </c>
      <c r="CO374" s="2">
        <v>0</v>
      </c>
      <c r="CP374" s="2">
        <f t="shared" si="285"/>
        <v>4339.9400000000005</v>
      </c>
      <c r="CQ374" s="2">
        <f>ROUND((ROUND((AC374*AW374*1),2)*BC374),2)</f>
        <v>0</v>
      </c>
      <c r="CR374" s="2">
        <f>(ROUND((ROUND((((ET374*1.2))*AV374*1),2)*BB374),2)+ROUND((ROUND(((AE374-((EU374*1.2)))*AV374*1),2)*BS374),2))</f>
        <v>3.13</v>
      </c>
      <c r="CS374" s="2">
        <f>(ROUND((ROUND((((EU374*1.2))*AV374*1),2)*BS374),2)+ROUND((ROUND(((AE374-((EU374*1.2)))*AV374*1),2)*BS374),2))</f>
        <v>0.48</v>
      </c>
      <c r="CT374" s="2">
        <f t="shared" si="286"/>
        <v>16.329999999999998</v>
      </c>
      <c r="CU374" s="2">
        <f t="shared" si="287"/>
        <v>0</v>
      </c>
      <c r="CV374" s="2">
        <f t="shared" si="288"/>
        <v>1.2940919999999998</v>
      </c>
      <c r="CW374" s="2">
        <f t="shared" si="289"/>
        <v>0</v>
      </c>
      <c r="CX374" s="2">
        <f t="shared" si="290"/>
        <v>0</v>
      </c>
      <c r="CY374" s="2">
        <f>(ROUND((((S374+ROUND((ROUND((((EU374*1.2))*AV374*1),2)*BS374),2))*AT374)/100),2)+ROUND(((ROUND((ROUND(((AE374-((EU374*1.2)))*AV374*1),2)*BS374),2)*AT374)/100),2))</f>
        <v>3533.5</v>
      </c>
      <c r="CZ374" s="2">
        <f>(ROUND((((S374+ROUND((ROUND((((EU374*1.2))*AV374*1),2)*BS374),2))*AU374)/100),2)+ROUND(((ROUND((ROUND(((AE374-((EU374*1.2)))*AV374*1),2)*BS374),2)*AU374)/100),2))</f>
        <v>1857.82</v>
      </c>
      <c r="DA374" s="2"/>
      <c r="DB374" s="2">
        <v>119</v>
      </c>
      <c r="DC374" s="2" t="s">
        <v>3</v>
      </c>
      <c r="DD374" s="2" t="s">
        <v>104</v>
      </c>
      <c r="DE374" s="2" t="s">
        <v>105</v>
      </c>
      <c r="DF374" s="2" t="s">
        <v>105</v>
      </c>
      <c r="DG374" s="2" t="s">
        <v>105</v>
      </c>
      <c r="DH374" s="2" t="s">
        <v>3</v>
      </c>
      <c r="DI374" s="2" t="s">
        <v>105</v>
      </c>
      <c r="DJ374" s="2" t="s">
        <v>105</v>
      </c>
      <c r="DK374" s="2" t="s">
        <v>3</v>
      </c>
      <c r="DL374" s="2" t="s">
        <v>3</v>
      </c>
      <c r="DM374" s="2" t="s">
        <v>3</v>
      </c>
      <c r="DN374" s="2">
        <v>0</v>
      </c>
      <c r="DO374" s="2">
        <v>0</v>
      </c>
      <c r="DP374" s="2">
        <v>1</v>
      </c>
      <c r="DQ374" s="2">
        <v>1</v>
      </c>
      <c r="DR374" s="2"/>
      <c r="DS374" s="2"/>
      <c r="DT374" s="2"/>
      <c r="DU374" s="2">
        <v>1013</v>
      </c>
      <c r="DV374" s="2" t="s">
        <v>26</v>
      </c>
      <c r="DW374" s="2" t="s">
        <v>26</v>
      </c>
      <c r="DX374" s="2">
        <v>1</v>
      </c>
      <c r="DY374" s="2"/>
      <c r="DZ374" s="2" t="s">
        <v>3</v>
      </c>
      <c r="EA374" s="2" t="s">
        <v>3</v>
      </c>
      <c r="EB374" s="2" t="s">
        <v>3</v>
      </c>
      <c r="EC374" s="2" t="s">
        <v>3</v>
      </c>
      <c r="ED374" s="2"/>
      <c r="EE374" s="2">
        <v>57042957</v>
      </c>
      <c r="EF374" s="2">
        <v>40</v>
      </c>
      <c r="EG374" s="2" t="s">
        <v>30</v>
      </c>
      <c r="EH374" s="2">
        <v>0</v>
      </c>
      <c r="EI374" s="2" t="s">
        <v>3</v>
      </c>
      <c r="EJ374" s="2">
        <v>2</v>
      </c>
      <c r="EK374" s="2">
        <v>67</v>
      </c>
      <c r="EL374" s="2" t="s">
        <v>80</v>
      </c>
      <c r="EM374" s="2" t="s">
        <v>81</v>
      </c>
      <c r="EN374" s="2"/>
      <c r="EO374" s="2" t="s">
        <v>109</v>
      </c>
      <c r="EP374" s="2"/>
      <c r="EQ374" s="2">
        <v>132096</v>
      </c>
      <c r="ER374" s="2">
        <v>15.49</v>
      </c>
      <c r="ES374" s="2">
        <v>0</v>
      </c>
      <c r="ET374" s="2">
        <v>2.4900000000000002</v>
      </c>
      <c r="EU374" s="2">
        <v>0.38</v>
      </c>
      <c r="EV374" s="2">
        <v>13</v>
      </c>
      <c r="EW374" s="2">
        <v>1.03</v>
      </c>
      <c r="EX374" s="2">
        <v>0</v>
      </c>
      <c r="EY374" s="2">
        <v>0</v>
      </c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>
        <v>0</v>
      </c>
      <c r="FR374" s="2">
        <v>0</v>
      </c>
      <c r="FS374" s="2">
        <v>0</v>
      </c>
      <c r="FT374" s="2"/>
      <c r="FU374" s="2"/>
      <c r="FV374" s="2"/>
      <c r="FW374" s="2"/>
      <c r="FX374" s="2">
        <v>97</v>
      </c>
      <c r="FY374" s="2">
        <v>51</v>
      </c>
      <c r="FZ374" s="2"/>
      <c r="GA374" s="2" t="s">
        <v>3</v>
      </c>
      <c r="GB374" s="2"/>
      <c r="GC374" s="2"/>
      <c r="GD374" s="2">
        <v>1</v>
      </c>
      <c r="GE374" s="2"/>
      <c r="GF374" s="2">
        <v>2014575545</v>
      </c>
      <c r="GG374" s="2">
        <v>2</v>
      </c>
      <c r="GH374" s="2">
        <v>1</v>
      </c>
      <c r="GI374" s="2">
        <v>2</v>
      </c>
      <c r="GJ374" s="2">
        <v>0</v>
      </c>
      <c r="GK374" s="2">
        <v>0</v>
      </c>
      <c r="GL374" s="2">
        <f t="shared" si="291"/>
        <v>0</v>
      </c>
      <c r="GM374" s="2">
        <f t="shared" si="292"/>
        <v>9888.1200000000008</v>
      </c>
      <c r="GN374" s="2">
        <f t="shared" si="293"/>
        <v>0</v>
      </c>
      <c r="GO374" s="2">
        <f t="shared" si="294"/>
        <v>9888.1200000000008</v>
      </c>
      <c r="GP374" s="2">
        <f t="shared" si="295"/>
        <v>0</v>
      </c>
      <c r="GQ374" s="2"/>
      <c r="GR374" s="2">
        <v>0</v>
      </c>
      <c r="GS374" s="2">
        <v>3</v>
      </c>
      <c r="GT374" s="2">
        <v>0</v>
      </c>
      <c r="GU374" s="2" t="s">
        <v>3</v>
      </c>
      <c r="GV374" s="2">
        <f t="shared" si="296"/>
        <v>0</v>
      </c>
      <c r="GW374" s="2">
        <v>1</v>
      </c>
      <c r="GX374" s="2">
        <f t="shared" si="297"/>
        <v>0</v>
      </c>
      <c r="GY374" s="2"/>
      <c r="GZ374" s="2"/>
      <c r="HA374" s="2">
        <v>0</v>
      </c>
      <c r="HB374" s="2">
        <v>0</v>
      </c>
      <c r="HC374" s="2">
        <f t="shared" si="298"/>
        <v>0</v>
      </c>
      <c r="HD374" s="2"/>
      <c r="HE374" s="2" t="s">
        <v>3</v>
      </c>
      <c r="HF374" s="2" t="s">
        <v>3</v>
      </c>
      <c r="HG374" s="2"/>
      <c r="HH374" s="2"/>
      <c r="HI374" s="2"/>
      <c r="HJ374" s="2"/>
      <c r="HK374" s="2"/>
      <c r="HL374" s="2"/>
      <c r="HM374" s="2" t="s">
        <v>3</v>
      </c>
      <c r="HN374" s="2" t="s">
        <v>3</v>
      </c>
      <c r="HO374" s="2" t="s">
        <v>3</v>
      </c>
      <c r="HP374" s="2" t="s">
        <v>3</v>
      </c>
      <c r="HQ374" s="2" t="s">
        <v>3</v>
      </c>
      <c r="HR374" s="2"/>
      <c r="HS374" s="2">
        <v>0</v>
      </c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>
        <v>0</v>
      </c>
      <c r="IL374" s="2"/>
      <c r="IM374" s="2"/>
      <c r="IN374" s="2"/>
      <c r="IO374" s="2"/>
      <c r="IP374" s="2"/>
      <c r="IQ374" s="2"/>
      <c r="IR374" s="2"/>
      <c r="IS374" s="2"/>
      <c r="IT374" s="2"/>
      <c r="IU374" s="2"/>
    </row>
    <row r="375" spans="1:255" x14ac:dyDescent="0.25">
      <c r="A375" s="3">
        <v>17</v>
      </c>
      <c r="B375" s="3">
        <v>1</v>
      </c>
      <c r="C375" s="3">
        <f>ROW(SmtRes!A216)</f>
        <v>216</v>
      </c>
      <c r="D375" s="3">
        <f>ROW(EtalonRes!A230)</f>
        <v>230</v>
      </c>
      <c r="E375" s="3" t="s">
        <v>3</v>
      </c>
      <c r="F375" s="3" t="s">
        <v>77</v>
      </c>
      <c r="G375" s="3" t="s">
        <v>305</v>
      </c>
      <c r="H375" s="3" t="s">
        <v>26</v>
      </c>
      <c r="I375" s="3">
        <f>ROUND(223,9)</f>
        <v>223</v>
      </c>
      <c r="J375" s="3">
        <v>0</v>
      </c>
      <c r="K375" s="3">
        <f>ROUND(223,9)</f>
        <v>223</v>
      </c>
      <c r="O375" s="3">
        <f t="shared" si="276"/>
        <v>217166.28</v>
      </c>
      <c r="P375" s="3">
        <f>ROUND((ROUND((AC375*AW375*I375),2)*BC375),2)</f>
        <v>0</v>
      </c>
      <c r="Q375" s="3">
        <f>(ROUND((ROUND((((ET375*1.2))*AV375*I375),2)*BB375),2)+ROUND((ROUND(((AE375-((EU375*1.2)))*AV375*I375),2)*BS375),2))</f>
        <v>11922.67</v>
      </c>
      <c r="R375" s="3">
        <f>(ROUND((ROUND((((EU375*1.2))*AV375*I375),2)*BS375),2)+ROUND((ROUND(((AE375-((EU375*1.2)))*AV375*I375),2)*BS375),2))</f>
        <v>5999.58</v>
      </c>
      <c r="S375" s="3">
        <f t="shared" si="277"/>
        <v>205243.61</v>
      </c>
      <c r="T375" s="3">
        <f t="shared" si="278"/>
        <v>0</v>
      </c>
      <c r="U375" s="3">
        <f t="shared" si="279"/>
        <v>288.58251599999994</v>
      </c>
      <c r="V375" s="3">
        <f t="shared" si="280"/>
        <v>0</v>
      </c>
      <c r="W375" s="3">
        <f t="shared" si="281"/>
        <v>0</v>
      </c>
      <c r="X375" s="3">
        <f>(ROUND((((S375+ROUND((ROUND((((EU375*1.2))*AV375*I375),2)*BS375),2))*AT375)/100),2)+ROUND(((ROUND((ROUND(((AE375-((EU375*1.2)))*AV375*I375),2)*BS375),2)*AT375)/100),2))</f>
        <v>204905.89</v>
      </c>
      <c r="Y375" s="3">
        <f>(ROUND((((S375+ROUND((ROUND((((EU375*1.2))*AV375*I375),2)*BS375),2))*AU375)/100),2)+ROUND(((ROUND((ROUND(((AE375-((EU375*1.2)))*AV375*I375),2)*BS375),2)*AU375)/100),2))</f>
        <v>107734.03</v>
      </c>
      <c r="AA375" s="3">
        <v>-1</v>
      </c>
      <c r="AB375" s="3">
        <f t="shared" si="282"/>
        <v>18.588000000000001</v>
      </c>
      <c r="AC375" s="3">
        <f>ROUND(((ES375*1)),6)</f>
        <v>0</v>
      </c>
      <c r="AD375" s="3">
        <f>ROUND(((((ET375*1.2))-((EU375*1.2)))+AE375),6)</f>
        <v>2.988</v>
      </c>
      <c r="AE375" s="3">
        <f>ROUND(((EU375*1.2)),6)</f>
        <v>0.45600000000000002</v>
      </c>
      <c r="AF375" s="3">
        <f>ROUND(((EV375*1.2)),6)</f>
        <v>15.6</v>
      </c>
      <c r="AG375" s="3">
        <f t="shared" si="283"/>
        <v>0</v>
      </c>
      <c r="AH375" s="3">
        <f>((EW375*1.2))</f>
        <v>1.236</v>
      </c>
      <c r="AI375" s="3">
        <f>((EX375*1.2))</f>
        <v>0</v>
      </c>
      <c r="AJ375" s="3">
        <f t="shared" si="284"/>
        <v>0</v>
      </c>
      <c r="AK375" s="3">
        <v>15.49</v>
      </c>
      <c r="AL375" s="3">
        <v>0</v>
      </c>
      <c r="AM375" s="3">
        <v>2.4900000000000002</v>
      </c>
      <c r="AN375" s="3">
        <v>0.38</v>
      </c>
      <c r="AO375" s="3">
        <v>13</v>
      </c>
      <c r="AP375" s="3">
        <v>0</v>
      </c>
      <c r="AQ375" s="3">
        <v>1.03</v>
      </c>
      <c r="AR375" s="3">
        <v>0</v>
      </c>
      <c r="AS375" s="3">
        <v>0</v>
      </c>
      <c r="AT375" s="3">
        <v>97</v>
      </c>
      <c r="AU375" s="3">
        <v>51</v>
      </c>
      <c r="AV375" s="3">
        <v>1.0469999999999999</v>
      </c>
      <c r="AW375" s="3">
        <v>1</v>
      </c>
      <c r="AZ375" s="3">
        <v>1</v>
      </c>
      <c r="BA375" s="3">
        <v>56.35</v>
      </c>
      <c r="BB375" s="3">
        <v>17.09</v>
      </c>
      <c r="BC375" s="3">
        <v>1</v>
      </c>
      <c r="BD375" s="3" t="s">
        <v>3</v>
      </c>
      <c r="BE375" s="3" t="s">
        <v>3</v>
      </c>
      <c r="BF375" s="3" t="s">
        <v>3</v>
      </c>
      <c r="BG375" s="3" t="s">
        <v>3</v>
      </c>
      <c r="BH375" s="3">
        <v>0</v>
      </c>
      <c r="BI375" s="3">
        <v>2</v>
      </c>
      <c r="BJ375" s="3" t="s">
        <v>79</v>
      </c>
      <c r="BM375" s="3">
        <v>67</v>
      </c>
      <c r="BN375" s="3">
        <v>0</v>
      </c>
      <c r="BO375" s="3" t="s">
        <v>77</v>
      </c>
      <c r="BP375" s="3">
        <v>1</v>
      </c>
      <c r="BQ375" s="3">
        <v>40</v>
      </c>
      <c r="BR375" s="3">
        <v>0</v>
      </c>
      <c r="BS375" s="3">
        <v>56.35</v>
      </c>
      <c r="BT375" s="3">
        <v>1</v>
      </c>
      <c r="BU375" s="3">
        <v>1</v>
      </c>
      <c r="BV375" s="3">
        <v>1</v>
      </c>
      <c r="BW375" s="3">
        <v>1</v>
      </c>
      <c r="BX375" s="3">
        <v>1</v>
      </c>
      <c r="BY375" s="3" t="s">
        <v>3</v>
      </c>
      <c r="BZ375" s="3">
        <v>97</v>
      </c>
      <c r="CA375" s="3">
        <v>51</v>
      </c>
      <c r="CB375" s="3" t="s">
        <v>3</v>
      </c>
      <c r="CE375" s="3">
        <v>1566</v>
      </c>
      <c r="CF375" s="3">
        <v>0</v>
      </c>
      <c r="CG375" s="3">
        <v>0</v>
      </c>
      <c r="CM375" s="3">
        <v>0</v>
      </c>
      <c r="CN375" s="3" t="s">
        <v>614</v>
      </c>
      <c r="CO375" s="3">
        <v>0</v>
      </c>
      <c r="CP375" s="3">
        <f t="shared" si="285"/>
        <v>217166.28</v>
      </c>
      <c r="CQ375" s="3">
        <f>ROUND((ROUND((AC375*AW375*1),2)*BC375),2)</f>
        <v>0</v>
      </c>
      <c r="CR375" s="3">
        <f>(ROUND((ROUND((((ET375*1.2))*AV375*1),2)*BB375),2)+ROUND((ROUND(((AE375-((EU375*1.2)))*AV375*1),2)*BS375),2))</f>
        <v>53.49</v>
      </c>
      <c r="CS375" s="3">
        <f>(ROUND((ROUND((((EU375*1.2))*AV375*1),2)*BS375),2)+ROUND((ROUND(((AE375-((EU375*1.2)))*AV375*1),2)*BS375),2))</f>
        <v>27.05</v>
      </c>
      <c r="CT375" s="3">
        <f t="shared" si="286"/>
        <v>920.2</v>
      </c>
      <c r="CU375" s="3">
        <f t="shared" si="287"/>
        <v>0</v>
      </c>
      <c r="CV375" s="3">
        <f t="shared" si="288"/>
        <v>1.2940919999999998</v>
      </c>
      <c r="CW375" s="3">
        <f t="shared" si="289"/>
        <v>0</v>
      </c>
      <c r="CX375" s="3">
        <f t="shared" si="290"/>
        <v>0</v>
      </c>
      <c r="CY375" s="3">
        <f>(ROUND((((S375+ROUND((ROUND((((EU375*1.2))*AV375*1),2)*BS375),2))*AT375)/100),2)+ROUND(((ROUND((ROUND(((AE375-((EU375*1.2)))*AV375*1),2)*BS375),2)*AT375)/100),2))</f>
        <v>199112.54</v>
      </c>
      <c r="CZ375" s="3">
        <f>(ROUND((((S375+ROUND((ROUND((((EU375*1.2))*AV375*1),2)*BS375),2))*AU375)/100),2)+ROUND(((ROUND((ROUND(((AE375-((EU375*1.2)))*AV375*1),2)*BS375),2)*AU375)/100),2))</f>
        <v>104688.04</v>
      </c>
      <c r="DB375" s="3">
        <v>120</v>
      </c>
      <c r="DC375" s="3" t="s">
        <v>3</v>
      </c>
      <c r="DD375" s="3" t="s">
        <v>104</v>
      </c>
      <c r="DE375" s="3" t="s">
        <v>105</v>
      </c>
      <c r="DF375" s="3" t="s">
        <v>105</v>
      </c>
      <c r="DG375" s="3" t="s">
        <v>105</v>
      </c>
      <c r="DH375" s="3" t="s">
        <v>3</v>
      </c>
      <c r="DI375" s="3" t="s">
        <v>105</v>
      </c>
      <c r="DJ375" s="3" t="s">
        <v>105</v>
      </c>
      <c r="DK375" s="3" t="s">
        <v>3</v>
      </c>
      <c r="DL375" s="3" t="s">
        <v>3</v>
      </c>
      <c r="DM375" s="3" t="s">
        <v>3</v>
      </c>
      <c r="DN375" s="3">
        <v>0</v>
      </c>
      <c r="DO375" s="3">
        <v>0</v>
      </c>
      <c r="DP375" s="3">
        <v>1</v>
      </c>
      <c r="DQ375" s="3">
        <v>1</v>
      </c>
      <c r="DU375" s="3">
        <v>1013</v>
      </c>
      <c r="DV375" s="3" t="s">
        <v>26</v>
      </c>
      <c r="DW375" s="3" t="s">
        <v>26</v>
      </c>
      <c r="DX375" s="3">
        <v>1</v>
      </c>
      <c r="DZ375" s="3" t="s">
        <v>3</v>
      </c>
      <c r="EA375" s="3" t="s">
        <v>3</v>
      </c>
      <c r="EB375" s="3" t="s">
        <v>3</v>
      </c>
      <c r="EC375" s="3" t="s">
        <v>3</v>
      </c>
      <c r="EE375" s="3">
        <v>57042957</v>
      </c>
      <c r="EF375" s="3">
        <v>40</v>
      </c>
      <c r="EG375" s="3" t="s">
        <v>30</v>
      </c>
      <c r="EH375" s="3">
        <v>0</v>
      </c>
      <c r="EI375" s="3" t="s">
        <v>3</v>
      </c>
      <c r="EJ375" s="3">
        <v>2</v>
      </c>
      <c r="EK375" s="3">
        <v>67</v>
      </c>
      <c r="EL375" s="3" t="s">
        <v>80</v>
      </c>
      <c r="EM375" s="3" t="s">
        <v>81</v>
      </c>
      <c r="EO375" s="3" t="s">
        <v>109</v>
      </c>
      <c r="EQ375" s="3">
        <v>132096</v>
      </c>
      <c r="ER375" s="3">
        <v>15.49</v>
      </c>
      <c r="ES375" s="3">
        <v>0</v>
      </c>
      <c r="ET375" s="3">
        <v>2.4900000000000002</v>
      </c>
      <c r="EU375" s="3">
        <v>0.38</v>
      </c>
      <c r="EV375" s="3">
        <v>13</v>
      </c>
      <c r="EW375" s="3">
        <v>1.03</v>
      </c>
      <c r="EX375" s="3">
        <v>0</v>
      </c>
      <c r="EY375" s="3">
        <v>0</v>
      </c>
      <c r="FQ375" s="3">
        <v>0</v>
      </c>
      <c r="FR375" s="3">
        <v>0</v>
      </c>
      <c r="FS375" s="3">
        <v>0</v>
      </c>
      <c r="FX375" s="3">
        <v>97</v>
      </c>
      <c r="FY375" s="3">
        <v>51</v>
      </c>
      <c r="GA375" s="3" t="s">
        <v>3</v>
      </c>
      <c r="GD375" s="3">
        <v>1</v>
      </c>
      <c r="GF375" s="3">
        <v>2014575545</v>
      </c>
      <c r="GG375" s="3">
        <v>2</v>
      </c>
      <c r="GH375" s="3">
        <v>1</v>
      </c>
      <c r="GI375" s="3">
        <v>2</v>
      </c>
      <c r="GJ375" s="3">
        <v>0</v>
      </c>
      <c r="GK375" s="3">
        <v>0</v>
      </c>
      <c r="GL375" s="3">
        <f t="shared" si="291"/>
        <v>0</v>
      </c>
      <c r="GM375" s="3">
        <f t="shared" si="292"/>
        <v>529806.19999999995</v>
      </c>
      <c r="GN375" s="3">
        <f t="shared" si="293"/>
        <v>0</v>
      </c>
      <c r="GO375" s="3">
        <f t="shared" si="294"/>
        <v>529806.19999999995</v>
      </c>
      <c r="GP375" s="3">
        <f t="shared" si="295"/>
        <v>0</v>
      </c>
      <c r="GR375" s="3">
        <v>0</v>
      </c>
      <c r="GS375" s="3">
        <v>3</v>
      </c>
      <c r="GT375" s="3">
        <v>0</v>
      </c>
      <c r="GU375" s="3" t="s">
        <v>3</v>
      </c>
      <c r="GV375" s="3">
        <f t="shared" si="296"/>
        <v>0</v>
      </c>
      <c r="GW375" s="3">
        <v>1</v>
      </c>
      <c r="GX375" s="3">
        <f t="shared" si="297"/>
        <v>0</v>
      </c>
      <c r="HA375" s="3">
        <v>0</v>
      </c>
      <c r="HB375" s="3">
        <v>0</v>
      </c>
      <c r="HC375" s="3">
        <f t="shared" si="298"/>
        <v>0</v>
      </c>
      <c r="HE375" s="3" t="s">
        <v>3</v>
      </c>
      <c r="HF375" s="3" t="s">
        <v>3</v>
      </c>
      <c r="HM375" s="3" t="s">
        <v>3</v>
      </c>
      <c r="HN375" s="3" t="s">
        <v>3</v>
      </c>
      <c r="HO375" s="3" t="s">
        <v>3</v>
      </c>
      <c r="HP375" s="3" t="s">
        <v>3</v>
      </c>
      <c r="HQ375" s="3" t="s">
        <v>3</v>
      </c>
      <c r="HS375" s="3">
        <v>0</v>
      </c>
      <c r="IK375" s="3">
        <v>0</v>
      </c>
    </row>
    <row r="376" spans="1:255" x14ac:dyDescent="0.25">
      <c r="A376" s="2">
        <v>18</v>
      </c>
      <c r="B376" s="2">
        <v>1</v>
      </c>
      <c r="C376" s="2">
        <v>213</v>
      </c>
      <c r="D376" s="2"/>
      <c r="E376" s="2" t="s">
        <v>3</v>
      </c>
      <c r="F376" s="2" t="s">
        <v>302</v>
      </c>
      <c r="G376" s="2" t="s">
        <v>303</v>
      </c>
      <c r="H376" s="2" t="s">
        <v>177</v>
      </c>
      <c r="I376" s="2">
        <f>I374*J376</f>
        <v>223</v>
      </c>
      <c r="J376" s="2">
        <v>1</v>
      </c>
      <c r="K376" s="2">
        <v>1</v>
      </c>
      <c r="L376" s="2"/>
      <c r="M376" s="2"/>
      <c r="N376" s="2"/>
      <c r="O376" s="2">
        <f t="shared" si="276"/>
        <v>104450.97</v>
      </c>
      <c r="P376" s="2">
        <f>ROUND((ROUND((AC376*I376),2)*BC376),2)</f>
        <v>104450.97</v>
      </c>
      <c r="Q376" s="2">
        <f>(ROUND((ROUND(((ET376)*AV376*I376),2)*BB376),2)+ROUND((ROUND(((AE376-(EU376))*AV376*I376),2)*BS376),2))</f>
        <v>0</v>
      </c>
      <c r="R376" s="2">
        <f>(ROUND((ROUND(((EU376)*AV376*I376),2)*BS376),2)+ROUND((ROUND(((AE376-(EU376))*AV376*I376),2)*BS376),2))</f>
        <v>0</v>
      </c>
      <c r="S376" s="2">
        <f t="shared" si="277"/>
        <v>0</v>
      </c>
      <c r="T376" s="2">
        <f t="shared" si="278"/>
        <v>0</v>
      </c>
      <c r="U376" s="2">
        <f t="shared" si="279"/>
        <v>0</v>
      </c>
      <c r="V376" s="2">
        <f t="shared" si="280"/>
        <v>0</v>
      </c>
      <c r="W376" s="2">
        <f t="shared" si="281"/>
        <v>0</v>
      </c>
      <c r="X376" s="2">
        <f>(ROUND((((S376+ROUND((ROUND(((EU376)*AV376*I376),2)*BS376),2))*AT376)/100),2)+ROUND(((ROUND((ROUND(((AE376-(EU376))*AV376*I376),2)*BS376),2)*AT376)/100),2))</f>
        <v>0</v>
      </c>
      <c r="Y376" s="2">
        <f>(ROUND((((S376+ROUND((ROUND(((EU376)*AV376*I376),2)*BS376),2))*AU376)/100),2)+ROUND(((ROUND((ROUND(((AE376-(EU376))*AV376*I376),2)*BS376),2)*AU376)/100),2))</f>
        <v>0</v>
      </c>
      <c r="Z376" s="2"/>
      <c r="AA376" s="2">
        <v>-1</v>
      </c>
      <c r="AB376" s="2">
        <f t="shared" si="282"/>
        <v>468.39</v>
      </c>
      <c r="AC376" s="2">
        <f>ROUND((ES376),6)</f>
        <v>468.39</v>
      </c>
      <c r="AD376" s="2">
        <f>ROUND((((ET376)-(EU376))+AE376),6)</f>
        <v>0</v>
      </c>
      <c r="AE376" s="2">
        <f>ROUND((EU376),6)</f>
        <v>0</v>
      </c>
      <c r="AF376" s="2">
        <f>ROUND((EV376),6)</f>
        <v>0</v>
      </c>
      <c r="AG376" s="2">
        <f t="shared" si="283"/>
        <v>0</v>
      </c>
      <c r="AH376" s="2">
        <f>(EW376)</f>
        <v>0</v>
      </c>
      <c r="AI376" s="2">
        <f>(EX376)</f>
        <v>0</v>
      </c>
      <c r="AJ376" s="2">
        <f t="shared" si="284"/>
        <v>0</v>
      </c>
      <c r="AK376" s="2">
        <v>468.39000000000004</v>
      </c>
      <c r="AL376" s="2">
        <v>468.39000000000004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1</v>
      </c>
      <c r="AW376" s="2">
        <v>1</v>
      </c>
      <c r="AX376" s="2"/>
      <c r="AY376" s="2"/>
      <c r="AZ376" s="2">
        <v>1</v>
      </c>
      <c r="BA376" s="2">
        <v>1</v>
      </c>
      <c r="BB376" s="2">
        <v>1</v>
      </c>
      <c r="BC376" s="2">
        <v>1</v>
      </c>
      <c r="BD376" s="2" t="s">
        <v>3</v>
      </c>
      <c r="BE376" s="2" t="s">
        <v>3</v>
      </c>
      <c r="BF376" s="2" t="s">
        <v>3</v>
      </c>
      <c r="BG376" s="2" t="s">
        <v>3</v>
      </c>
      <c r="BH376" s="2">
        <v>3</v>
      </c>
      <c r="BI376" s="2">
        <v>3</v>
      </c>
      <c r="BJ376" s="2" t="s">
        <v>3</v>
      </c>
      <c r="BK376" s="2"/>
      <c r="BL376" s="2"/>
      <c r="BM376" s="2">
        <v>746</v>
      </c>
      <c r="BN376" s="2">
        <v>0</v>
      </c>
      <c r="BO376" s="2" t="s">
        <v>3</v>
      </c>
      <c r="BP376" s="2">
        <v>0</v>
      </c>
      <c r="BQ376" s="2">
        <v>130</v>
      </c>
      <c r="BR376" s="2">
        <v>0</v>
      </c>
      <c r="BS376" s="2">
        <v>1</v>
      </c>
      <c r="BT376" s="2">
        <v>1</v>
      </c>
      <c r="BU376" s="2">
        <v>1</v>
      </c>
      <c r="BV376" s="2">
        <v>1</v>
      </c>
      <c r="BW376" s="2">
        <v>1</v>
      </c>
      <c r="BX376" s="2">
        <v>1</v>
      </c>
      <c r="BY376" s="2" t="s">
        <v>3</v>
      </c>
      <c r="BZ376" s="2">
        <v>97</v>
      </c>
      <c r="CA376" s="2">
        <v>51</v>
      </c>
      <c r="CB376" s="2" t="s">
        <v>3</v>
      </c>
      <c r="CC376" s="2"/>
      <c r="CD376" s="2"/>
      <c r="CE376" s="2">
        <v>1566</v>
      </c>
      <c r="CF376" s="2">
        <v>0</v>
      </c>
      <c r="CG376" s="2">
        <v>0</v>
      </c>
      <c r="CH376" s="2"/>
      <c r="CI376" s="2"/>
      <c r="CJ376" s="2"/>
      <c r="CK376" s="2"/>
      <c r="CL376" s="2"/>
      <c r="CM376" s="2">
        <v>0</v>
      </c>
      <c r="CN376" s="2" t="s">
        <v>615</v>
      </c>
      <c r="CO376" s="2">
        <v>0</v>
      </c>
      <c r="CP376" s="2">
        <f t="shared" si="285"/>
        <v>104450.97</v>
      </c>
      <c r="CQ376" s="2">
        <f>ROUND((ROUND((AC376*1),2)*BC376),2)</f>
        <v>468.39</v>
      </c>
      <c r="CR376" s="2">
        <f>(ROUND((ROUND(((ET376)*AV376*1),2)*BB376),2)+ROUND((ROUND(((AE376-(EU376))*AV376*1),2)*BS376),2))</f>
        <v>0</v>
      </c>
      <c r="CS376" s="2">
        <f>(ROUND((ROUND(((EU376)*AV376*1),2)*BS376),2)+ROUND((ROUND(((AE376-(EU376))*AV376*1),2)*BS376),2))</f>
        <v>0</v>
      </c>
      <c r="CT376" s="2">
        <f t="shared" si="286"/>
        <v>0</v>
      </c>
      <c r="CU376" s="2">
        <f t="shared" si="287"/>
        <v>0</v>
      </c>
      <c r="CV376" s="2">
        <f t="shared" si="288"/>
        <v>0</v>
      </c>
      <c r="CW376" s="2">
        <f t="shared" si="289"/>
        <v>0</v>
      </c>
      <c r="CX376" s="2">
        <f t="shared" si="290"/>
        <v>0</v>
      </c>
      <c r="CY376" s="2">
        <f>(ROUND((((S376+ROUND((ROUND(((EU376)*AV376*1),2)*BS376),2))*AT376)/100),2)+ROUND(((ROUND((ROUND(((AE376-(EU376))*AV376*1),2)*BS376),2)*AT376)/100),2))</f>
        <v>0</v>
      </c>
      <c r="CZ376" s="2">
        <f>(ROUND((((S376+ROUND((ROUND(((EU376)*AV376*1),2)*BS376),2))*AU376)/100),2)+ROUND(((ROUND((ROUND(((AE376-(EU376))*AV376*1),2)*BS376),2)*AU376)/100),2))</f>
        <v>0</v>
      </c>
      <c r="DA376" s="2"/>
      <c r="DB376" s="2"/>
      <c r="DC376" s="2" t="s">
        <v>3</v>
      </c>
      <c r="DD376" s="2" t="s">
        <v>3</v>
      </c>
      <c r="DE376" s="2" t="s">
        <v>3</v>
      </c>
      <c r="DF376" s="2" t="s">
        <v>3</v>
      </c>
      <c r="DG376" s="2" t="s">
        <v>3</v>
      </c>
      <c r="DH376" s="2" t="s">
        <v>3</v>
      </c>
      <c r="DI376" s="2" t="s">
        <v>3</v>
      </c>
      <c r="DJ376" s="2" t="s">
        <v>3</v>
      </c>
      <c r="DK376" s="2" t="s">
        <v>3</v>
      </c>
      <c r="DL376" s="2" t="s">
        <v>3</v>
      </c>
      <c r="DM376" s="2" t="s">
        <v>3</v>
      </c>
      <c r="DN376" s="2">
        <v>0</v>
      </c>
      <c r="DO376" s="2">
        <v>0</v>
      </c>
      <c r="DP376" s="2">
        <v>1</v>
      </c>
      <c r="DQ376" s="2">
        <v>1</v>
      </c>
      <c r="DR376" s="2"/>
      <c r="DS376" s="2"/>
      <c r="DT376" s="2"/>
      <c r="DU376" s="2">
        <v>1010</v>
      </c>
      <c r="DV376" s="2" t="s">
        <v>177</v>
      </c>
      <c r="DW376" s="2" t="s">
        <v>177</v>
      </c>
      <c r="DX376" s="2">
        <v>1</v>
      </c>
      <c r="DY376" s="2"/>
      <c r="DZ376" s="2" t="s">
        <v>3</v>
      </c>
      <c r="EA376" s="2" t="s">
        <v>3</v>
      </c>
      <c r="EB376" s="2" t="s">
        <v>3</v>
      </c>
      <c r="EC376" s="2" t="s">
        <v>3</v>
      </c>
      <c r="ED376" s="2"/>
      <c r="EE376" s="2">
        <v>57043064</v>
      </c>
      <c r="EF376" s="2">
        <v>130</v>
      </c>
      <c r="EG376" s="2" t="s">
        <v>178</v>
      </c>
      <c r="EH376" s="2">
        <v>0</v>
      </c>
      <c r="EI376" s="2" t="s">
        <v>3</v>
      </c>
      <c r="EJ376" s="2">
        <v>3</v>
      </c>
      <c r="EK376" s="2">
        <v>746</v>
      </c>
      <c r="EL376" s="2" t="s">
        <v>179</v>
      </c>
      <c r="EM376" s="2" t="s">
        <v>180</v>
      </c>
      <c r="EN376" s="2"/>
      <c r="EO376" s="2" t="s">
        <v>109</v>
      </c>
      <c r="EP376" s="2"/>
      <c r="EQ376" s="2">
        <v>2098176</v>
      </c>
      <c r="ER376" s="2">
        <v>0</v>
      </c>
      <c r="ES376" s="2">
        <v>468.39000000000004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>
        <v>0</v>
      </c>
      <c r="FR376" s="2">
        <f>P376</f>
        <v>104450.97</v>
      </c>
      <c r="FS376" s="2">
        <v>0</v>
      </c>
      <c r="FT376" s="2"/>
      <c r="FU376" s="2"/>
      <c r="FV376" s="2"/>
      <c r="FW376" s="2"/>
      <c r="FX376" s="2">
        <v>97</v>
      </c>
      <c r="FY376" s="2">
        <v>51</v>
      </c>
      <c r="FZ376" s="2"/>
      <c r="GA376" s="2" t="s">
        <v>304</v>
      </c>
      <c r="GB376" s="2"/>
      <c r="GC376" s="2"/>
      <c r="GD376" s="2">
        <v>1</v>
      </c>
      <c r="GE376" s="2"/>
      <c r="GF376" s="2">
        <v>1382406235</v>
      </c>
      <c r="GG376" s="2">
        <v>2</v>
      </c>
      <c r="GH376" s="2">
        <v>4</v>
      </c>
      <c r="GI376" s="2">
        <v>-2</v>
      </c>
      <c r="GJ376" s="2">
        <v>0</v>
      </c>
      <c r="GK376" s="2">
        <v>0</v>
      </c>
      <c r="GL376" s="2">
        <f t="shared" si="291"/>
        <v>0</v>
      </c>
      <c r="GM376" s="2">
        <f t="shared" si="292"/>
        <v>104450.97</v>
      </c>
      <c r="GN376" s="2">
        <f t="shared" si="293"/>
        <v>0</v>
      </c>
      <c r="GO376" s="2">
        <f t="shared" si="294"/>
        <v>0</v>
      </c>
      <c r="GP376" s="2">
        <f t="shared" si="295"/>
        <v>0</v>
      </c>
      <c r="GQ376" s="2"/>
      <c r="GR376" s="2">
        <v>0</v>
      </c>
      <c r="GS376" s="2">
        <v>2</v>
      </c>
      <c r="GT376" s="2">
        <v>0</v>
      </c>
      <c r="GU376" s="2" t="s">
        <v>3</v>
      </c>
      <c r="GV376" s="2">
        <f t="shared" si="296"/>
        <v>0</v>
      </c>
      <c r="GW376" s="2">
        <v>1</v>
      </c>
      <c r="GX376" s="2">
        <f t="shared" si="297"/>
        <v>0</v>
      </c>
      <c r="GY376" s="2"/>
      <c r="GZ376" s="2"/>
      <c r="HA376" s="2">
        <v>0</v>
      </c>
      <c r="HB376" s="2">
        <v>0</v>
      </c>
      <c r="HC376" s="2">
        <f t="shared" si="298"/>
        <v>0</v>
      </c>
      <c r="HD376" s="2"/>
      <c r="HE376" s="2" t="s">
        <v>40</v>
      </c>
      <c r="HF376" s="2" t="s">
        <v>182</v>
      </c>
      <c r="HG376" s="2"/>
      <c r="HH376" s="2"/>
      <c r="HI376" s="2"/>
      <c r="HJ376" s="2"/>
      <c r="HK376" s="2"/>
      <c r="HL376" s="2"/>
      <c r="HM376" s="2" t="s">
        <v>104</v>
      </c>
      <c r="HN376" s="2" t="s">
        <v>3</v>
      </c>
      <c r="HO376" s="2" t="s">
        <v>3</v>
      </c>
      <c r="HP376" s="2" t="s">
        <v>3</v>
      </c>
      <c r="HQ376" s="2" t="s">
        <v>3</v>
      </c>
      <c r="HR376" s="2"/>
      <c r="HS376" s="2">
        <v>0</v>
      </c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>
        <v>0</v>
      </c>
      <c r="IL376" s="2"/>
      <c r="IM376" s="2"/>
      <c r="IN376" s="2"/>
      <c r="IO376" s="2"/>
      <c r="IP376" s="2"/>
      <c r="IQ376" s="2"/>
      <c r="IR376" s="2"/>
      <c r="IS376" s="2"/>
      <c r="IT376" s="2"/>
      <c r="IU376" s="2"/>
    </row>
    <row r="377" spans="1:255" x14ac:dyDescent="0.25">
      <c r="A377" s="3">
        <v>18</v>
      </c>
      <c r="B377" s="3">
        <v>1</v>
      </c>
      <c r="C377" s="3">
        <v>216</v>
      </c>
      <c r="E377" s="3" t="s">
        <v>3</v>
      </c>
      <c r="F377" s="3" t="s">
        <v>302</v>
      </c>
      <c r="G377" s="3" t="s">
        <v>303</v>
      </c>
      <c r="H377" s="3" t="s">
        <v>177</v>
      </c>
      <c r="I377" s="3">
        <f>I375*J377</f>
        <v>223</v>
      </c>
      <c r="J377" s="3">
        <v>1</v>
      </c>
      <c r="K377" s="3">
        <v>1</v>
      </c>
      <c r="O377" s="3">
        <f t="shared" si="276"/>
        <v>790693.84</v>
      </c>
      <c r="P377" s="3">
        <f>ROUND((ROUND((AC377*I377),2)*BC377),2)</f>
        <v>790693.84</v>
      </c>
      <c r="Q377" s="3">
        <f>(ROUND((ROUND(((ET377)*AV377*I377),2)*BB377),2)+ROUND((ROUND(((AE377-(EU377))*AV377*I377),2)*BS377),2))</f>
        <v>0</v>
      </c>
      <c r="R377" s="3">
        <f>(ROUND((ROUND(((EU377)*AV377*I377),2)*BS377),2)+ROUND((ROUND(((AE377-(EU377))*AV377*I377),2)*BS377),2))</f>
        <v>0</v>
      </c>
      <c r="S377" s="3">
        <f t="shared" si="277"/>
        <v>0</v>
      </c>
      <c r="T377" s="3">
        <f t="shared" si="278"/>
        <v>0</v>
      </c>
      <c r="U377" s="3">
        <f t="shared" si="279"/>
        <v>0</v>
      </c>
      <c r="V377" s="3">
        <f t="shared" si="280"/>
        <v>0</v>
      </c>
      <c r="W377" s="3">
        <f t="shared" si="281"/>
        <v>0</v>
      </c>
      <c r="X377" s="3">
        <f>(ROUND((((S377+ROUND((ROUND(((EU377)*AV377*I377),2)*BS377),2))*AT377)/100),2)+ROUND(((ROUND((ROUND(((AE377-(EU377))*AV377*I377),2)*BS377),2)*AT377)/100),2))</f>
        <v>0</v>
      </c>
      <c r="Y377" s="3">
        <f>(ROUND((((S377+ROUND((ROUND(((EU377)*AV377*I377),2)*BS377),2))*AU377)/100),2)+ROUND(((ROUND((ROUND(((AE377-(EU377))*AV377*I377),2)*BS377),2)*AU377)/100),2))</f>
        <v>0</v>
      </c>
      <c r="AA377" s="3">
        <v>-1</v>
      </c>
      <c r="AB377" s="3">
        <f t="shared" si="282"/>
        <v>468.39</v>
      </c>
      <c r="AC377" s="3">
        <f>ROUND((ES377),6)</f>
        <v>468.39</v>
      </c>
      <c r="AD377" s="3">
        <f>ROUND((((ET377)-(EU377))+AE377),6)</f>
        <v>0</v>
      </c>
      <c r="AE377" s="3">
        <f>ROUND((EU377),6)</f>
        <v>0</v>
      </c>
      <c r="AF377" s="3">
        <f>ROUND((EV377),6)</f>
        <v>0</v>
      </c>
      <c r="AG377" s="3">
        <f t="shared" si="283"/>
        <v>0</v>
      </c>
      <c r="AH377" s="3">
        <f>(EW377)</f>
        <v>0</v>
      </c>
      <c r="AI377" s="3">
        <f>(EX377)</f>
        <v>0</v>
      </c>
      <c r="AJ377" s="3">
        <f t="shared" si="284"/>
        <v>0</v>
      </c>
      <c r="AK377" s="3">
        <v>468.39000000000004</v>
      </c>
      <c r="AL377" s="3">
        <v>468.39000000000004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1</v>
      </c>
      <c r="AW377" s="3">
        <v>1</v>
      </c>
      <c r="AZ377" s="3">
        <v>1</v>
      </c>
      <c r="BA377" s="3">
        <v>1</v>
      </c>
      <c r="BB377" s="3">
        <v>1</v>
      </c>
      <c r="BC377" s="3">
        <v>7.57</v>
      </c>
      <c r="BD377" s="3" t="s">
        <v>3</v>
      </c>
      <c r="BE377" s="3" t="s">
        <v>3</v>
      </c>
      <c r="BF377" s="3" t="s">
        <v>3</v>
      </c>
      <c r="BG377" s="3" t="s">
        <v>3</v>
      </c>
      <c r="BH377" s="3">
        <v>3</v>
      </c>
      <c r="BI377" s="3">
        <v>3</v>
      </c>
      <c r="BJ377" s="3" t="s">
        <v>3</v>
      </c>
      <c r="BM377" s="3">
        <v>746</v>
      </c>
      <c r="BN377" s="3">
        <v>0</v>
      </c>
      <c r="BO377" s="3" t="s">
        <v>3</v>
      </c>
      <c r="BP377" s="3">
        <v>0</v>
      </c>
      <c r="BQ377" s="3">
        <v>130</v>
      </c>
      <c r="BR377" s="3">
        <v>0</v>
      </c>
      <c r="BS377" s="3">
        <v>1</v>
      </c>
      <c r="BT377" s="3">
        <v>1</v>
      </c>
      <c r="BU377" s="3">
        <v>1</v>
      </c>
      <c r="BV377" s="3">
        <v>1</v>
      </c>
      <c r="BW377" s="3">
        <v>1</v>
      </c>
      <c r="BX377" s="3">
        <v>1</v>
      </c>
      <c r="BY377" s="3" t="s">
        <v>3</v>
      </c>
      <c r="BZ377" s="3">
        <v>97</v>
      </c>
      <c r="CA377" s="3">
        <v>51</v>
      </c>
      <c r="CB377" s="3" t="s">
        <v>3</v>
      </c>
      <c r="CE377" s="3">
        <v>1566</v>
      </c>
      <c r="CF377" s="3">
        <v>0</v>
      </c>
      <c r="CG377" s="3">
        <v>0</v>
      </c>
      <c r="CM377" s="3">
        <v>0</v>
      </c>
      <c r="CN377" s="3" t="s">
        <v>615</v>
      </c>
      <c r="CO377" s="3">
        <v>0</v>
      </c>
      <c r="CP377" s="3">
        <f t="shared" si="285"/>
        <v>790693.84</v>
      </c>
      <c r="CQ377" s="3">
        <f>ROUND((ROUND((AC377*1),2)*BC377),2)</f>
        <v>3545.71</v>
      </c>
      <c r="CR377" s="3">
        <f>(ROUND((ROUND(((ET377)*AV377*1),2)*BB377),2)+ROUND((ROUND(((AE377-(EU377))*AV377*1),2)*BS377),2))</f>
        <v>0</v>
      </c>
      <c r="CS377" s="3">
        <f>(ROUND((ROUND(((EU377)*AV377*1),2)*BS377),2)+ROUND((ROUND(((AE377-(EU377))*AV377*1),2)*BS377),2))</f>
        <v>0</v>
      </c>
      <c r="CT377" s="3">
        <f t="shared" si="286"/>
        <v>0</v>
      </c>
      <c r="CU377" s="3">
        <f t="shared" si="287"/>
        <v>0</v>
      </c>
      <c r="CV377" s="3">
        <f t="shared" si="288"/>
        <v>0</v>
      </c>
      <c r="CW377" s="3">
        <f t="shared" si="289"/>
        <v>0</v>
      </c>
      <c r="CX377" s="3">
        <f t="shared" si="290"/>
        <v>0</v>
      </c>
      <c r="CY377" s="3">
        <f>(ROUND((((S377+ROUND((ROUND(((EU377)*AV377*1),2)*BS377),2))*AT377)/100),2)+ROUND(((ROUND((ROUND(((AE377-(EU377))*AV377*1),2)*BS377),2)*AT377)/100),2))</f>
        <v>0</v>
      </c>
      <c r="CZ377" s="3">
        <f>(ROUND((((S377+ROUND((ROUND(((EU377)*AV377*1),2)*BS377),2))*AU377)/100),2)+ROUND(((ROUND((ROUND(((AE377-(EU377))*AV377*1),2)*BS377),2)*AU377)/100),2))</f>
        <v>0</v>
      </c>
      <c r="DC377" s="3" t="s">
        <v>3</v>
      </c>
      <c r="DD377" s="3" t="s">
        <v>3</v>
      </c>
      <c r="DE377" s="3" t="s">
        <v>3</v>
      </c>
      <c r="DF377" s="3" t="s">
        <v>3</v>
      </c>
      <c r="DG377" s="3" t="s">
        <v>3</v>
      </c>
      <c r="DH377" s="3" t="s">
        <v>3</v>
      </c>
      <c r="DI377" s="3" t="s">
        <v>3</v>
      </c>
      <c r="DJ377" s="3" t="s">
        <v>3</v>
      </c>
      <c r="DK377" s="3" t="s">
        <v>3</v>
      </c>
      <c r="DL377" s="3" t="s">
        <v>3</v>
      </c>
      <c r="DM377" s="3" t="s">
        <v>3</v>
      </c>
      <c r="DN377" s="3">
        <v>0</v>
      </c>
      <c r="DO377" s="3">
        <v>0</v>
      </c>
      <c r="DP377" s="3">
        <v>1</v>
      </c>
      <c r="DQ377" s="3">
        <v>1</v>
      </c>
      <c r="DU377" s="3">
        <v>1010</v>
      </c>
      <c r="DV377" s="3" t="s">
        <v>177</v>
      </c>
      <c r="DW377" s="3" t="s">
        <v>177</v>
      </c>
      <c r="DX377" s="3">
        <v>1</v>
      </c>
      <c r="DZ377" s="3" t="s">
        <v>3</v>
      </c>
      <c r="EA377" s="3" t="s">
        <v>3</v>
      </c>
      <c r="EB377" s="3" t="s">
        <v>3</v>
      </c>
      <c r="EC377" s="3" t="s">
        <v>3</v>
      </c>
      <c r="EE377" s="3">
        <v>57043064</v>
      </c>
      <c r="EF377" s="3">
        <v>130</v>
      </c>
      <c r="EG377" s="3" t="s">
        <v>178</v>
      </c>
      <c r="EH377" s="3">
        <v>0</v>
      </c>
      <c r="EI377" s="3" t="s">
        <v>3</v>
      </c>
      <c r="EJ377" s="3">
        <v>3</v>
      </c>
      <c r="EK377" s="3">
        <v>746</v>
      </c>
      <c r="EL377" s="3" t="s">
        <v>179</v>
      </c>
      <c r="EM377" s="3" t="s">
        <v>180</v>
      </c>
      <c r="EO377" s="3" t="s">
        <v>109</v>
      </c>
      <c r="EQ377" s="3">
        <v>2098176</v>
      </c>
      <c r="ER377" s="3">
        <v>468.39000000000004</v>
      </c>
      <c r="ES377" s="3">
        <v>468.39000000000004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EZ377" s="3">
        <v>5</v>
      </c>
      <c r="FC377" s="3">
        <v>1</v>
      </c>
      <c r="FD377" s="3">
        <v>18</v>
      </c>
      <c r="FF377" s="3">
        <v>4150</v>
      </c>
      <c r="FQ377" s="3">
        <v>0</v>
      </c>
      <c r="FR377" s="3">
        <f>P377</f>
        <v>790693.84</v>
      </c>
      <c r="FS377" s="3">
        <v>0</v>
      </c>
      <c r="FX377" s="3">
        <v>97</v>
      </c>
      <c r="FY377" s="3">
        <v>51</v>
      </c>
      <c r="GA377" s="3" t="s">
        <v>304</v>
      </c>
      <c r="GD377" s="3">
        <v>1</v>
      </c>
      <c r="GF377" s="3">
        <v>1382406235</v>
      </c>
      <c r="GG377" s="3">
        <v>2</v>
      </c>
      <c r="GH377" s="3">
        <v>3</v>
      </c>
      <c r="GI377" s="3">
        <v>5</v>
      </c>
      <c r="GJ377" s="3">
        <v>0</v>
      </c>
      <c r="GK377" s="3">
        <v>0</v>
      </c>
      <c r="GL377" s="3">
        <f t="shared" si="291"/>
        <v>0</v>
      </c>
      <c r="GM377" s="3">
        <f t="shared" si="292"/>
        <v>790693.84</v>
      </c>
      <c r="GN377" s="3">
        <f t="shared" si="293"/>
        <v>0</v>
      </c>
      <c r="GO377" s="3">
        <f t="shared" si="294"/>
        <v>0</v>
      </c>
      <c r="GP377" s="3">
        <f t="shared" si="295"/>
        <v>0</v>
      </c>
      <c r="GR377" s="3">
        <v>1</v>
      </c>
      <c r="GS377" s="3">
        <v>1</v>
      </c>
      <c r="GT377" s="3">
        <v>0</v>
      </c>
      <c r="GU377" s="3" t="s">
        <v>3</v>
      </c>
      <c r="GV377" s="3">
        <f t="shared" si="296"/>
        <v>0</v>
      </c>
      <c r="GW377" s="3">
        <v>1</v>
      </c>
      <c r="GX377" s="3">
        <f t="shared" si="297"/>
        <v>0</v>
      </c>
      <c r="HA377" s="3">
        <v>0</v>
      </c>
      <c r="HB377" s="3">
        <v>0</v>
      </c>
      <c r="HC377" s="3">
        <f t="shared" si="298"/>
        <v>0</v>
      </c>
      <c r="HE377" s="3" t="s">
        <v>40</v>
      </c>
      <c r="HF377" s="3" t="s">
        <v>182</v>
      </c>
      <c r="HM377" s="3" t="s">
        <v>104</v>
      </c>
      <c r="HN377" s="3" t="s">
        <v>3</v>
      </c>
      <c r="HO377" s="3" t="s">
        <v>3</v>
      </c>
      <c r="HP377" s="3" t="s">
        <v>3</v>
      </c>
      <c r="HQ377" s="3" t="s">
        <v>3</v>
      </c>
      <c r="HS377" s="3">
        <v>0</v>
      </c>
      <c r="IK377" s="3">
        <v>0</v>
      </c>
    </row>
    <row r="378" spans="1:255" x14ac:dyDescent="0.25">
      <c r="A378" s="2">
        <v>17</v>
      </c>
      <c r="B378" s="2">
        <v>1</v>
      </c>
      <c r="C378" s="2">
        <f>ROW(SmtRes!A220)</f>
        <v>220</v>
      </c>
      <c r="D378" s="2">
        <f>ROW(EtalonRes!A234)</f>
        <v>234</v>
      </c>
      <c r="E378" s="2" t="s">
        <v>306</v>
      </c>
      <c r="F378" s="2" t="s">
        <v>57</v>
      </c>
      <c r="G378" s="2" t="s">
        <v>241</v>
      </c>
      <c r="H378" s="2" t="s">
        <v>26</v>
      </c>
      <c r="I378" s="2">
        <v>20</v>
      </c>
      <c r="J378" s="2">
        <v>0</v>
      </c>
      <c r="K378" s="2">
        <v>20</v>
      </c>
      <c r="L378" s="2"/>
      <c r="M378" s="2"/>
      <c r="N378" s="2"/>
      <c r="O378" s="2">
        <f t="shared" si="276"/>
        <v>332.17</v>
      </c>
      <c r="P378" s="2">
        <f>ROUND((ROUND((AC378*AW378*I378),2)*BC378),2)</f>
        <v>33.4</v>
      </c>
      <c r="Q378" s="2">
        <f>(ROUND((ROUND((((ET378*1.2))*AV378*I378),2)*BB378),2)+ROUND((ROUND(((AE378-((EU378*1.2)))*AV378*I378),2)*BS378),2))</f>
        <v>0</v>
      </c>
      <c r="R378" s="2">
        <f>(ROUND((ROUND((((EU378*1.2))*AV378*I378),2)*BS378),2)+ROUND((ROUND(((AE378-((EU378*1.2)))*AV378*I378),2)*BS378),2))</f>
        <v>0</v>
      </c>
      <c r="S378" s="2">
        <f t="shared" si="277"/>
        <v>298.77</v>
      </c>
      <c r="T378" s="2">
        <f t="shared" si="278"/>
        <v>0</v>
      </c>
      <c r="U378" s="2">
        <f t="shared" si="279"/>
        <v>25.128</v>
      </c>
      <c r="V378" s="2">
        <f t="shared" si="280"/>
        <v>0</v>
      </c>
      <c r="W378" s="2">
        <f t="shared" si="281"/>
        <v>0</v>
      </c>
      <c r="X378" s="2">
        <f>(ROUND((((S378+ROUND((ROUND((((EU378*1.2))*AV378*I378),2)*BS378),2))*AT378)/100),2)+ROUND(((ROUND((ROUND(((AE378-((EU378*1.2)))*AV378*I378),2)*BS378),2)*AT378)/100),2))</f>
        <v>283.83</v>
      </c>
      <c r="Y378" s="2">
        <f>(ROUND((((S378+ROUND((ROUND((((EU378*1.2))*AV378*I378),2)*BS378),2))*AU378)/100),2)+ROUND(((ROUND((ROUND(((AE378-((EU378*1.2)))*AV378*I378),2)*BS378),2)*AU378)/100),2))</f>
        <v>158.35</v>
      </c>
      <c r="Z378" s="2"/>
      <c r="AA378" s="2">
        <v>57034452</v>
      </c>
      <c r="AB378" s="2">
        <f t="shared" si="282"/>
        <v>15.938000000000001</v>
      </c>
      <c r="AC378" s="2">
        <f>ROUND(((ES378*1)),6)</f>
        <v>1.67</v>
      </c>
      <c r="AD378" s="2">
        <f>ROUND(((((ET378*1.2))-((EU378*1.2)))+AE378),6)</f>
        <v>0</v>
      </c>
      <c r="AE378" s="2">
        <f>ROUND(((EU378*1.2)),6)</f>
        <v>0</v>
      </c>
      <c r="AF378" s="2">
        <f>ROUND(((EV378*1.2)),6)</f>
        <v>14.268000000000001</v>
      </c>
      <c r="AG378" s="2">
        <f t="shared" si="283"/>
        <v>0</v>
      </c>
      <c r="AH378" s="2">
        <f>((EW378*1.2))</f>
        <v>1.2</v>
      </c>
      <c r="AI378" s="2">
        <f>((EX378*1.2))</f>
        <v>0</v>
      </c>
      <c r="AJ378" s="2">
        <f t="shared" si="284"/>
        <v>0</v>
      </c>
      <c r="AK378" s="2">
        <v>13.56</v>
      </c>
      <c r="AL378" s="2">
        <v>1.67</v>
      </c>
      <c r="AM378" s="2">
        <v>0</v>
      </c>
      <c r="AN378" s="2">
        <v>0</v>
      </c>
      <c r="AO378" s="2">
        <v>11.89</v>
      </c>
      <c r="AP378" s="2">
        <v>0</v>
      </c>
      <c r="AQ378" s="2">
        <v>1</v>
      </c>
      <c r="AR378" s="2">
        <v>0</v>
      </c>
      <c r="AS378" s="2">
        <v>0</v>
      </c>
      <c r="AT378" s="2">
        <v>95</v>
      </c>
      <c r="AU378" s="2">
        <v>53</v>
      </c>
      <c r="AV378" s="2">
        <v>1.0469999999999999</v>
      </c>
      <c r="AW378" s="2">
        <v>1</v>
      </c>
      <c r="AX378" s="2"/>
      <c r="AY378" s="2"/>
      <c r="AZ378" s="2">
        <v>1</v>
      </c>
      <c r="BA378" s="2">
        <v>1</v>
      </c>
      <c r="BB378" s="2">
        <v>1</v>
      </c>
      <c r="BC378" s="2">
        <v>1</v>
      </c>
      <c r="BD378" s="2" t="s">
        <v>3</v>
      </c>
      <c r="BE378" s="2" t="s">
        <v>3</v>
      </c>
      <c r="BF378" s="2" t="s">
        <v>3</v>
      </c>
      <c r="BG378" s="2" t="s">
        <v>3</v>
      </c>
      <c r="BH378" s="2">
        <v>0</v>
      </c>
      <c r="BI378" s="2">
        <v>2</v>
      </c>
      <c r="BJ378" s="2" t="s">
        <v>59</v>
      </c>
      <c r="BK378" s="2"/>
      <c r="BL378" s="2"/>
      <c r="BM378" s="2">
        <v>69</v>
      </c>
      <c r="BN378" s="2">
        <v>0</v>
      </c>
      <c r="BO378" s="2" t="s">
        <v>57</v>
      </c>
      <c r="BP378" s="2">
        <v>1</v>
      </c>
      <c r="BQ378" s="2">
        <v>40</v>
      </c>
      <c r="BR378" s="2">
        <v>0</v>
      </c>
      <c r="BS378" s="2">
        <v>1</v>
      </c>
      <c r="BT378" s="2">
        <v>1</v>
      </c>
      <c r="BU378" s="2">
        <v>1</v>
      </c>
      <c r="BV378" s="2">
        <v>1</v>
      </c>
      <c r="BW378" s="2">
        <v>1</v>
      </c>
      <c r="BX378" s="2">
        <v>1</v>
      </c>
      <c r="BY378" s="2" t="s">
        <v>3</v>
      </c>
      <c r="BZ378" s="2">
        <v>95</v>
      </c>
      <c r="CA378" s="2">
        <v>53</v>
      </c>
      <c r="CB378" s="2" t="s">
        <v>3</v>
      </c>
      <c r="CC378" s="2"/>
      <c r="CD378" s="2"/>
      <c r="CE378" s="2">
        <v>1566</v>
      </c>
      <c r="CF378" s="2">
        <v>0</v>
      </c>
      <c r="CG378" s="2">
        <v>0</v>
      </c>
      <c r="CH378" s="2"/>
      <c r="CI378" s="2"/>
      <c r="CJ378" s="2"/>
      <c r="CK378" s="2"/>
      <c r="CL378" s="2"/>
      <c r="CM378" s="2">
        <v>0</v>
      </c>
      <c r="CN378" s="2" t="s">
        <v>614</v>
      </c>
      <c r="CO378" s="2">
        <v>0</v>
      </c>
      <c r="CP378" s="2">
        <f t="shared" si="285"/>
        <v>332.16999999999996</v>
      </c>
      <c r="CQ378" s="2">
        <f>ROUND((ROUND((AC378*AW378*1),2)*BC378),2)</f>
        <v>1.67</v>
      </c>
      <c r="CR378" s="2">
        <f>(ROUND((ROUND((((ET378*1.2))*AV378*1),2)*BB378),2)+ROUND((ROUND(((AE378-((EU378*1.2)))*AV378*1),2)*BS378),2))</f>
        <v>0</v>
      </c>
      <c r="CS378" s="2">
        <f>(ROUND((ROUND((((EU378*1.2))*AV378*1),2)*BS378),2)+ROUND((ROUND(((AE378-((EU378*1.2)))*AV378*1),2)*BS378),2))</f>
        <v>0</v>
      </c>
      <c r="CT378" s="2">
        <f t="shared" si="286"/>
        <v>14.94</v>
      </c>
      <c r="CU378" s="2">
        <f t="shared" si="287"/>
        <v>0</v>
      </c>
      <c r="CV378" s="2">
        <f t="shared" si="288"/>
        <v>1.2564</v>
      </c>
      <c r="CW378" s="2">
        <f t="shared" si="289"/>
        <v>0</v>
      </c>
      <c r="CX378" s="2">
        <f t="shared" si="290"/>
        <v>0</v>
      </c>
      <c r="CY378" s="2">
        <f>(ROUND((((S378+ROUND((ROUND((((EU378*1.2))*AV378*1),2)*BS378),2))*AT378)/100),2)+ROUND(((ROUND((ROUND(((AE378-((EU378*1.2)))*AV378*1),2)*BS378),2)*AT378)/100),2))</f>
        <v>283.83</v>
      </c>
      <c r="CZ378" s="2">
        <f>(ROUND((((S378+ROUND((ROUND((((EU378*1.2))*AV378*1),2)*BS378),2))*AU378)/100),2)+ROUND(((ROUND((ROUND(((AE378-((EU378*1.2)))*AV378*1),2)*BS378),2)*AU378)/100),2))</f>
        <v>158.35</v>
      </c>
      <c r="DA378" s="2"/>
      <c r="DB378" s="2">
        <v>121</v>
      </c>
      <c r="DC378" s="2" t="s">
        <v>3</v>
      </c>
      <c r="DD378" s="2" t="s">
        <v>104</v>
      </c>
      <c r="DE378" s="2" t="s">
        <v>105</v>
      </c>
      <c r="DF378" s="2" t="s">
        <v>105</v>
      </c>
      <c r="DG378" s="2" t="s">
        <v>105</v>
      </c>
      <c r="DH378" s="2" t="s">
        <v>3</v>
      </c>
      <c r="DI378" s="2" t="s">
        <v>105</v>
      </c>
      <c r="DJ378" s="2" t="s">
        <v>105</v>
      </c>
      <c r="DK378" s="2" t="s">
        <v>3</v>
      </c>
      <c r="DL378" s="2" t="s">
        <v>3</v>
      </c>
      <c r="DM378" s="2" t="s">
        <v>3</v>
      </c>
      <c r="DN378" s="2">
        <v>0</v>
      </c>
      <c r="DO378" s="2">
        <v>0</v>
      </c>
      <c r="DP378" s="2">
        <v>1</v>
      </c>
      <c r="DQ378" s="2">
        <v>1</v>
      </c>
      <c r="DR378" s="2"/>
      <c r="DS378" s="2"/>
      <c r="DT378" s="2"/>
      <c r="DU378" s="2">
        <v>1013</v>
      </c>
      <c r="DV378" s="2" t="s">
        <v>26</v>
      </c>
      <c r="DW378" s="2" t="s">
        <v>26</v>
      </c>
      <c r="DX378" s="2">
        <v>1</v>
      </c>
      <c r="DY378" s="2"/>
      <c r="DZ378" s="2" t="s">
        <v>3</v>
      </c>
      <c r="EA378" s="2" t="s">
        <v>3</v>
      </c>
      <c r="EB378" s="2" t="s">
        <v>3</v>
      </c>
      <c r="EC378" s="2" t="s">
        <v>3</v>
      </c>
      <c r="ED378" s="2"/>
      <c r="EE378" s="2">
        <v>57042959</v>
      </c>
      <c r="EF378" s="2">
        <v>40</v>
      </c>
      <c r="EG378" s="2" t="s">
        <v>30</v>
      </c>
      <c r="EH378" s="2">
        <v>0</v>
      </c>
      <c r="EI378" s="2" t="s">
        <v>3</v>
      </c>
      <c r="EJ378" s="2">
        <v>2</v>
      </c>
      <c r="EK378" s="2">
        <v>69</v>
      </c>
      <c r="EL378" s="2" t="s">
        <v>60</v>
      </c>
      <c r="EM378" s="2" t="s">
        <v>61</v>
      </c>
      <c r="EN378" s="2"/>
      <c r="EO378" s="2" t="s">
        <v>109</v>
      </c>
      <c r="EP378" s="2"/>
      <c r="EQ378" s="2">
        <v>131072</v>
      </c>
      <c r="ER378" s="2">
        <v>13.56</v>
      </c>
      <c r="ES378" s="2">
        <v>1.67</v>
      </c>
      <c r="ET378" s="2">
        <v>0</v>
      </c>
      <c r="EU378" s="2">
        <v>0</v>
      </c>
      <c r="EV378" s="2">
        <v>11.89</v>
      </c>
      <c r="EW378" s="2">
        <v>1</v>
      </c>
      <c r="EX378" s="2">
        <v>0</v>
      </c>
      <c r="EY378" s="2">
        <v>0</v>
      </c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>
        <v>0</v>
      </c>
      <c r="FR378" s="2">
        <v>0</v>
      </c>
      <c r="FS378" s="2">
        <v>0</v>
      </c>
      <c r="FT378" s="2"/>
      <c r="FU378" s="2"/>
      <c r="FV378" s="2"/>
      <c r="FW378" s="2"/>
      <c r="FX378" s="2">
        <v>95</v>
      </c>
      <c r="FY378" s="2">
        <v>53</v>
      </c>
      <c r="FZ378" s="2"/>
      <c r="GA378" s="2" t="s">
        <v>3</v>
      </c>
      <c r="GB378" s="2"/>
      <c r="GC378" s="2"/>
      <c r="GD378" s="2">
        <v>1</v>
      </c>
      <c r="GE378" s="2"/>
      <c r="GF378" s="2">
        <v>205901832</v>
      </c>
      <c r="GG378" s="2">
        <v>2</v>
      </c>
      <c r="GH378" s="2">
        <v>1</v>
      </c>
      <c r="GI378" s="2">
        <v>2</v>
      </c>
      <c r="GJ378" s="2">
        <v>0</v>
      </c>
      <c r="GK378" s="2">
        <v>0</v>
      </c>
      <c r="GL378" s="2">
        <f t="shared" si="291"/>
        <v>0</v>
      </c>
      <c r="GM378" s="2">
        <f t="shared" si="292"/>
        <v>774.35</v>
      </c>
      <c r="GN378" s="2">
        <f t="shared" si="293"/>
        <v>0</v>
      </c>
      <c r="GO378" s="2">
        <f t="shared" si="294"/>
        <v>774.35</v>
      </c>
      <c r="GP378" s="2">
        <f t="shared" si="295"/>
        <v>0</v>
      </c>
      <c r="GQ378" s="2"/>
      <c r="GR378" s="2">
        <v>0</v>
      </c>
      <c r="GS378" s="2">
        <v>3</v>
      </c>
      <c r="GT378" s="2">
        <v>0</v>
      </c>
      <c r="GU378" s="2" t="s">
        <v>3</v>
      </c>
      <c r="GV378" s="2">
        <f t="shared" si="296"/>
        <v>0</v>
      </c>
      <c r="GW378" s="2">
        <v>1</v>
      </c>
      <c r="GX378" s="2">
        <f t="shared" si="297"/>
        <v>0</v>
      </c>
      <c r="GY378" s="2"/>
      <c r="GZ378" s="2"/>
      <c r="HA378" s="2">
        <v>0</v>
      </c>
      <c r="HB378" s="2">
        <v>0</v>
      </c>
      <c r="HC378" s="2">
        <f t="shared" si="298"/>
        <v>0</v>
      </c>
      <c r="HD378" s="2"/>
      <c r="HE378" s="2" t="s">
        <v>3</v>
      </c>
      <c r="HF378" s="2" t="s">
        <v>3</v>
      </c>
      <c r="HG378" s="2"/>
      <c r="HH378" s="2"/>
      <c r="HI378" s="2"/>
      <c r="HJ378" s="2"/>
      <c r="HK378" s="2"/>
      <c r="HL378" s="2"/>
      <c r="HM378" s="2" t="s">
        <v>3</v>
      </c>
      <c r="HN378" s="2" t="s">
        <v>3</v>
      </c>
      <c r="HO378" s="2" t="s">
        <v>3</v>
      </c>
      <c r="HP378" s="2" t="s">
        <v>3</v>
      </c>
      <c r="HQ378" s="2" t="s">
        <v>3</v>
      </c>
      <c r="HR378" s="2"/>
      <c r="HS378" s="2">
        <v>0</v>
      </c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>
        <v>0</v>
      </c>
      <c r="IL378" s="2"/>
      <c r="IM378" s="2"/>
      <c r="IN378" s="2"/>
      <c r="IO378" s="2"/>
      <c r="IP378" s="2"/>
      <c r="IQ378" s="2"/>
      <c r="IR378" s="2"/>
      <c r="IS378" s="2"/>
      <c r="IT378" s="2"/>
      <c r="IU378" s="2"/>
    </row>
    <row r="379" spans="1:255" x14ac:dyDescent="0.25">
      <c r="A379" s="3">
        <v>17</v>
      </c>
      <c r="B379" s="3">
        <v>1</v>
      </c>
      <c r="C379" s="3">
        <f>ROW(SmtRes!A224)</f>
        <v>224</v>
      </c>
      <c r="D379" s="3">
        <f>ROW(EtalonRes!A238)</f>
        <v>238</v>
      </c>
      <c r="E379" s="3" t="s">
        <v>306</v>
      </c>
      <c r="F379" s="3" t="s">
        <v>57</v>
      </c>
      <c r="G379" s="3" t="s">
        <v>241</v>
      </c>
      <c r="H379" s="3" t="s">
        <v>26</v>
      </c>
      <c r="I379" s="3">
        <v>20</v>
      </c>
      <c r="J379" s="3">
        <v>0</v>
      </c>
      <c r="K379" s="3">
        <v>20</v>
      </c>
      <c r="O379" s="3">
        <f t="shared" si="276"/>
        <v>17432.55</v>
      </c>
      <c r="P379" s="3">
        <f>ROUND((ROUND((AC379*AW379*I379),2)*BC379),2)</f>
        <v>596.86</v>
      </c>
      <c r="Q379" s="3">
        <f>(ROUND((ROUND((((ET379*1.2))*AV379*I379),2)*BB379),2)+ROUND((ROUND(((AE379-((EU379*1.2)))*AV379*I379),2)*BS379),2))</f>
        <v>0</v>
      </c>
      <c r="R379" s="3">
        <f>(ROUND((ROUND((((EU379*1.2))*AV379*I379),2)*BS379),2)+ROUND((ROUND(((AE379-((EU379*1.2)))*AV379*I379),2)*BS379),2))</f>
        <v>0</v>
      </c>
      <c r="S379" s="3">
        <f t="shared" si="277"/>
        <v>16835.689999999999</v>
      </c>
      <c r="T379" s="3">
        <f t="shared" si="278"/>
        <v>0</v>
      </c>
      <c r="U379" s="3">
        <f t="shared" si="279"/>
        <v>25.128</v>
      </c>
      <c r="V379" s="3">
        <f t="shared" si="280"/>
        <v>0</v>
      </c>
      <c r="W379" s="3">
        <f t="shared" si="281"/>
        <v>0</v>
      </c>
      <c r="X379" s="3">
        <f>(ROUND((((S379+ROUND((ROUND((((EU379*1.2))*AV379*I379),2)*BS379),2))*AT379)/100),2)+ROUND(((ROUND((ROUND(((AE379-((EU379*1.2)))*AV379*I379),2)*BS379),2)*AT379)/100),2))</f>
        <v>15993.91</v>
      </c>
      <c r="Y379" s="3">
        <f>(ROUND((((S379+ROUND((ROUND((((EU379*1.2))*AV379*I379),2)*BS379),2))*AU379)/100),2)+ROUND(((ROUND((ROUND(((AE379-((EU379*1.2)))*AV379*I379),2)*BS379),2)*AU379)/100),2))</f>
        <v>8922.92</v>
      </c>
      <c r="AA379" s="3">
        <v>57034454</v>
      </c>
      <c r="AB379" s="3">
        <f t="shared" si="282"/>
        <v>15.938000000000001</v>
      </c>
      <c r="AC379" s="3">
        <f>ROUND(((ES379*1)),6)</f>
        <v>1.67</v>
      </c>
      <c r="AD379" s="3">
        <f>ROUND(((((ET379*1.2))-((EU379*1.2)))+AE379),6)</f>
        <v>0</v>
      </c>
      <c r="AE379" s="3">
        <f>ROUND(((EU379*1.2)),6)</f>
        <v>0</v>
      </c>
      <c r="AF379" s="3">
        <f>ROUND(((EV379*1.2)),6)</f>
        <v>14.268000000000001</v>
      </c>
      <c r="AG379" s="3">
        <f t="shared" si="283"/>
        <v>0</v>
      </c>
      <c r="AH379" s="3">
        <f>((EW379*1.2))</f>
        <v>1.2</v>
      </c>
      <c r="AI379" s="3">
        <f>((EX379*1.2))</f>
        <v>0</v>
      </c>
      <c r="AJ379" s="3">
        <f t="shared" si="284"/>
        <v>0</v>
      </c>
      <c r="AK379" s="3">
        <v>13.56</v>
      </c>
      <c r="AL379" s="3">
        <v>1.67</v>
      </c>
      <c r="AM379" s="3">
        <v>0</v>
      </c>
      <c r="AN379" s="3">
        <v>0</v>
      </c>
      <c r="AO379" s="3">
        <v>11.89</v>
      </c>
      <c r="AP379" s="3">
        <v>0</v>
      </c>
      <c r="AQ379" s="3">
        <v>1</v>
      </c>
      <c r="AR379" s="3">
        <v>0</v>
      </c>
      <c r="AS379" s="3">
        <v>0</v>
      </c>
      <c r="AT379" s="3">
        <v>95</v>
      </c>
      <c r="AU379" s="3">
        <v>53</v>
      </c>
      <c r="AV379" s="3">
        <v>1.0469999999999999</v>
      </c>
      <c r="AW379" s="3">
        <v>1</v>
      </c>
      <c r="AZ379" s="3">
        <v>1</v>
      </c>
      <c r="BA379" s="3">
        <v>56.35</v>
      </c>
      <c r="BB379" s="3">
        <v>1</v>
      </c>
      <c r="BC379" s="3">
        <v>17.87</v>
      </c>
      <c r="BD379" s="3" t="s">
        <v>3</v>
      </c>
      <c r="BE379" s="3" t="s">
        <v>3</v>
      </c>
      <c r="BF379" s="3" t="s">
        <v>3</v>
      </c>
      <c r="BG379" s="3" t="s">
        <v>3</v>
      </c>
      <c r="BH379" s="3">
        <v>0</v>
      </c>
      <c r="BI379" s="3">
        <v>2</v>
      </c>
      <c r="BJ379" s="3" t="s">
        <v>59</v>
      </c>
      <c r="BM379" s="3">
        <v>69</v>
      </c>
      <c r="BN379" s="3">
        <v>0</v>
      </c>
      <c r="BO379" s="3" t="s">
        <v>57</v>
      </c>
      <c r="BP379" s="3">
        <v>1</v>
      </c>
      <c r="BQ379" s="3">
        <v>40</v>
      </c>
      <c r="BR379" s="3">
        <v>0</v>
      </c>
      <c r="BS379" s="3">
        <v>56.35</v>
      </c>
      <c r="BT379" s="3">
        <v>1</v>
      </c>
      <c r="BU379" s="3">
        <v>1</v>
      </c>
      <c r="BV379" s="3">
        <v>1</v>
      </c>
      <c r="BW379" s="3">
        <v>1</v>
      </c>
      <c r="BX379" s="3">
        <v>1</v>
      </c>
      <c r="BY379" s="3" t="s">
        <v>3</v>
      </c>
      <c r="BZ379" s="3">
        <v>95</v>
      </c>
      <c r="CA379" s="3">
        <v>53</v>
      </c>
      <c r="CB379" s="3" t="s">
        <v>3</v>
      </c>
      <c r="CE379" s="3">
        <v>1566</v>
      </c>
      <c r="CF379" s="3">
        <v>0</v>
      </c>
      <c r="CG379" s="3">
        <v>0</v>
      </c>
      <c r="CM379" s="3">
        <v>0</v>
      </c>
      <c r="CN379" s="3" t="s">
        <v>614</v>
      </c>
      <c r="CO379" s="3">
        <v>0</v>
      </c>
      <c r="CP379" s="3">
        <f t="shared" si="285"/>
        <v>17432.55</v>
      </c>
      <c r="CQ379" s="3">
        <f>ROUND((ROUND((AC379*AW379*1),2)*BC379),2)</f>
        <v>29.84</v>
      </c>
      <c r="CR379" s="3">
        <f>(ROUND((ROUND((((ET379*1.2))*AV379*1),2)*BB379),2)+ROUND((ROUND(((AE379-((EU379*1.2)))*AV379*1),2)*BS379),2))</f>
        <v>0</v>
      </c>
      <c r="CS379" s="3">
        <f>(ROUND((ROUND((((EU379*1.2))*AV379*1),2)*BS379),2)+ROUND((ROUND(((AE379-((EU379*1.2)))*AV379*1),2)*BS379),2))</f>
        <v>0</v>
      </c>
      <c r="CT379" s="3">
        <f t="shared" si="286"/>
        <v>841.87</v>
      </c>
      <c r="CU379" s="3">
        <f t="shared" si="287"/>
        <v>0</v>
      </c>
      <c r="CV379" s="3">
        <f t="shared" si="288"/>
        <v>1.2564</v>
      </c>
      <c r="CW379" s="3">
        <f t="shared" si="289"/>
        <v>0</v>
      </c>
      <c r="CX379" s="3">
        <f t="shared" si="290"/>
        <v>0</v>
      </c>
      <c r="CY379" s="3">
        <f>(ROUND((((S379+ROUND((ROUND((((EU379*1.2))*AV379*1),2)*BS379),2))*AT379)/100),2)+ROUND(((ROUND((ROUND(((AE379-((EU379*1.2)))*AV379*1),2)*BS379),2)*AT379)/100),2))</f>
        <v>15993.91</v>
      </c>
      <c r="CZ379" s="3">
        <f>(ROUND((((S379+ROUND((ROUND((((EU379*1.2))*AV379*1),2)*BS379),2))*AU379)/100),2)+ROUND(((ROUND((ROUND(((AE379-((EU379*1.2)))*AV379*1),2)*BS379),2)*AU379)/100),2))</f>
        <v>8922.92</v>
      </c>
      <c r="DB379" s="3">
        <v>122</v>
      </c>
      <c r="DC379" s="3" t="s">
        <v>3</v>
      </c>
      <c r="DD379" s="3" t="s">
        <v>104</v>
      </c>
      <c r="DE379" s="3" t="s">
        <v>105</v>
      </c>
      <c r="DF379" s="3" t="s">
        <v>105</v>
      </c>
      <c r="DG379" s="3" t="s">
        <v>105</v>
      </c>
      <c r="DH379" s="3" t="s">
        <v>3</v>
      </c>
      <c r="DI379" s="3" t="s">
        <v>105</v>
      </c>
      <c r="DJ379" s="3" t="s">
        <v>105</v>
      </c>
      <c r="DK379" s="3" t="s">
        <v>3</v>
      </c>
      <c r="DL379" s="3" t="s">
        <v>3</v>
      </c>
      <c r="DM379" s="3" t="s">
        <v>3</v>
      </c>
      <c r="DN379" s="3">
        <v>0</v>
      </c>
      <c r="DO379" s="3">
        <v>0</v>
      </c>
      <c r="DP379" s="3">
        <v>1</v>
      </c>
      <c r="DQ379" s="3">
        <v>1</v>
      </c>
      <c r="DU379" s="3">
        <v>1013</v>
      </c>
      <c r="DV379" s="3" t="s">
        <v>26</v>
      </c>
      <c r="DW379" s="3" t="s">
        <v>26</v>
      </c>
      <c r="DX379" s="3">
        <v>1</v>
      </c>
      <c r="DZ379" s="3" t="s">
        <v>3</v>
      </c>
      <c r="EA379" s="3" t="s">
        <v>3</v>
      </c>
      <c r="EB379" s="3" t="s">
        <v>3</v>
      </c>
      <c r="EC379" s="3" t="s">
        <v>3</v>
      </c>
      <c r="EE379" s="3">
        <v>57042959</v>
      </c>
      <c r="EF379" s="3">
        <v>40</v>
      </c>
      <c r="EG379" s="3" t="s">
        <v>30</v>
      </c>
      <c r="EH379" s="3">
        <v>0</v>
      </c>
      <c r="EI379" s="3" t="s">
        <v>3</v>
      </c>
      <c r="EJ379" s="3">
        <v>2</v>
      </c>
      <c r="EK379" s="3">
        <v>69</v>
      </c>
      <c r="EL379" s="3" t="s">
        <v>60</v>
      </c>
      <c r="EM379" s="3" t="s">
        <v>61</v>
      </c>
      <c r="EO379" s="3" t="s">
        <v>109</v>
      </c>
      <c r="EQ379" s="3">
        <v>131072</v>
      </c>
      <c r="ER379" s="3">
        <v>13.56</v>
      </c>
      <c r="ES379" s="3">
        <v>1.67</v>
      </c>
      <c r="ET379" s="3">
        <v>0</v>
      </c>
      <c r="EU379" s="3">
        <v>0</v>
      </c>
      <c r="EV379" s="3">
        <v>11.89</v>
      </c>
      <c r="EW379" s="3">
        <v>1</v>
      </c>
      <c r="EX379" s="3">
        <v>0</v>
      </c>
      <c r="EY379" s="3">
        <v>0</v>
      </c>
      <c r="FQ379" s="3">
        <v>0</v>
      </c>
      <c r="FR379" s="3">
        <v>0</v>
      </c>
      <c r="FS379" s="3">
        <v>0</v>
      </c>
      <c r="FX379" s="3">
        <v>95</v>
      </c>
      <c r="FY379" s="3">
        <v>53</v>
      </c>
      <c r="GA379" s="3" t="s">
        <v>3</v>
      </c>
      <c r="GD379" s="3">
        <v>1</v>
      </c>
      <c r="GF379" s="3">
        <v>205901832</v>
      </c>
      <c r="GG379" s="3">
        <v>2</v>
      </c>
      <c r="GH379" s="3">
        <v>1</v>
      </c>
      <c r="GI379" s="3">
        <v>2</v>
      </c>
      <c r="GJ379" s="3">
        <v>0</v>
      </c>
      <c r="GK379" s="3">
        <v>0</v>
      </c>
      <c r="GL379" s="3">
        <f t="shared" si="291"/>
        <v>0</v>
      </c>
      <c r="GM379" s="3">
        <f t="shared" si="292"/>
        <v>42349.38</v>
      </c>
      <c r="GN379" s="3">
        <f t="shared" si="293"/>
        <v>0</v>
      </c>
      <c r="GO379" s="3">
        <f t="shared" si="294"/>
        <v>42349.38</v>
      </c>
      <c r="GP379" s="3">
        <f t="shared" si="295"/>
        <v>0</v>
      </c>
      <c r="GR379" s="3">
        <v>0</v>
      </c>
      <c r="GS379" s="3">
        <v>3</v>
      </c>
      <c r="GT379" s="3">
        <v>0</v>
      </c>
      <c r="GU379" s="3" t="s">
        <v>3</v>
      </c>
      <c r="GV379" s="3">
        <f t="shared" si="296"/>
        <v>0</v>
      </c>
      <c r="GW379" s="3">
        <v>1</v>
      </c>
      <c r="GX379" s="3">
        <f t="shared" si="297"/>
        <v>0</v>
      </c>
      <c r="HA379" s="3">
        <v>0</v>
      </c>
      <c r="HB379" s="3">
        <v>0</v>
      </c>
      <c r="HC379" s="3">
        <f t="shared" si="298"/>
        <v>0</v>
      </c>
      <c r="HE379" s="3" t="s">
        <v>3</v>
      </c>
      <c r="HF379" s="3" t="s">
        <v>3</v>
      </c>
      <c r="HM379" s="3" t="s">
        <v>3</v>
      </c>
      <c r="HN379" s="3" t="s">
        <v>3</v>
      </c>
      <c r="HO379" s="3" t="s">
        <v>3</v>
      </c>
      <c r="HP379" s="3" t="s">
        <v>3</v>
      </c>
      <c r="HQ379" s="3" t="s">
        <v>3</v>
      </c>
      <c r="HS379" s="3">
        <v>0</v>
      </c>
      <c r="IK379" s="3">
        <v>0</v>
      </c>
    </row>
    <row r="380" spans="1:255" x14ac:dyDescent="0.25">
      <c r="A380" s="2">
        <v>18</v>
      </c>
      <c r="B380" s="2">
        <v>1</v>
      </c>
      <c r="C380" s="2">
        <v>220</v>
      </c>
      <c r="D380" s="2"/>
      <c r="E380" s="2" t="s">
        <v>307</v>
      </c>
      <c r="F380" s="2" t="s">
        <v>308</v>
      </c>
      <c r="G380" s="2" t="s">
        <v>309</v>
      </c>
      <c r="H380" s="2" t="s">
        <v>177</v>
      </c>
      <c r="I380" s="2">
        <f>I378*J380</f>
        <v>20</v>
      </c>
      <c r="J380" s="2">
        <v>1</v>
      </c>
      <c r="K380" s="2">
        <v>1</v>
      </c>
      <c r="L380" s="2"/>
      <c r="M380" s="2"/>
      <c r="N380" s="2"/>
      <c r="O380" s="2">
        <f t="shared" si="276"/>
        <v>3453.2</v>
      </c>
      <c r="P380" s="2">
        <f>ROUND((ROUND((AC380*I380),2)*BC380),2)</f>
        <v>3453.2</v>
      </c>
      <c r="Q380" s="2">
        <f>(ROUND((ROUND(((ET380)*AV380*I380),2)*BB380),2)+ROUND((ROUND(((AE380-(EU380))*AV380*I380),2)*BS380),2))</f>
        <v>0</v>
      </c>
      <c r="R380" s="2">
        <f>(ROUND((ROUND(((EU380)*AV380*I380),2)*BS380),2)+ROUND((ROUND(((AE380-(EU380))*AV380*I380),2)*BS380),2))</f>
        <v>0</v>
      </c>
      <c r="S380" s="2">
        <f t="shared" si="277"/>
        <v>0</v>
      </c>
      <c r="T380" s="2">
        <f t="shared" si="278"/>
        <v>0</v>
      </c>
      <c r="U380" s="2">
        <f t="shared" si="279"/>
        <v>0</v>
      </c>
      <c r="V380" s="2">
        <f t="shared" si="280"/>
        <v>0</v>
      </c>
      <c r="W380" s="2">
        <f t="shared" si="281"/>
        <v>0</v>
      </c>
      <c r="X380" s="2">
        <f>(ROUND((((S380+ROUND((ROUND(((EU380)*AV380*I380),2)*BS380),2))*AT380)/100),2)+ROUND(((ROUND((ROUND(((AE380-(EU380))*AV380*I380),2)*BS380),2)*AT380)/100),2))</f>
        <v>0</v>
      </c>
      <c r="Y380" s="2">
        <f>(ROUND((((S380+ROUND((ROUND(((EU380)*AV380*I380),2)*BS380),2))*AU380)/100),2)+ROUND(((ROUND((ROUND(((AE380-(EU380))*AV380*I380),2)*BS380),2)*AU380)/100),2))</f>
        <v>0</v>
      </c>
      <c r="Z380" s="2"/>
      <c r="AA380" s="2">
        <v>57034452</v>
      </c>
      <c r="AB380" s="2">
        <f t="shared" si="282"/>
        <v>172.66</v>
      </c>
      <c r="AC380" s="2">
        <f>ROUND((ES380),6)</f>
        <v>172.66</v>
      </c>
      <c r="AD380" s="2">
        <f>ROUND((((ET380)-(EU380))+AE380),6)</f>
        <v>0</v>
      </c>
      <c r="AE380" s="2">
        <f>ROUND((EU380),6)</f>
        <v>0</v>
      </c>
      <c r="AF380" s="2">
        <f>ROUND((EV380),6)</f>
        <v>0</v>
      </c>
      <c r="AG380" s="2">
        <f t="shared" si="283"/>
        <v>0</v>
      </c>
      <c r="AH380" s="2">
        <f>(EW380)</f>
        <v>0</v>
      </c>
      <c r="AI380" s="2">
        <f>(EX380)</f>
        <v>0</v>
      </c>
      <c r="AJ380" s="2">
        <f t="shared" si="284"/>
        <v>0</v>
      </c>
      <c r="AK380" s="2">
        <v>172.66</v>
      </c>
      <c r="AL380" s="2">
        <v>172.66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1</v>
      </c>
      <c r="AW380" s="2">
        <v>1</v>
      </c>
      <c r="AX380" s="2"/>
      <c r="AY380" s="2"/>
      <c r="AZ380" s="2">
        <v>1</v>
      </c>
      <c r="BA380" s="2">
        <v>1</v>
      </c>
      <c r="BB380" s="2">
        <v>1</v>
      </c>
      <c r="BC380" s="2">
        <v>1</v>
      </c>
      <c r="BD380" s="2" t="s">
        <v>3</v>
      </c>
      <c r="BE380" s="2" t="s">
        <v>3</v>
      </c>
      <c r="BF380" s="2" t="s">
        <v>3</v>
      </c>
      <c r="BG380" s="2" t="s">
        <v>3</v>
      </c>
      <c r="BH380" s="2">
        <v>3</v>
      </c>
      <c r="BI380" s="2">
        <v>3</v>
      </c>
      <c r="BJ380" s="2" t="s">
        <v>3</v>
      </c>
      <c r="BK380" s="2"/>
      <c r="BL380" s="2"/>
      <c r="BM380" s="2">
        <v>746</v>
      </c>
      <c r="BN380" s="2">
        <v>0</v>
      </c>
      <c r="BO380" s="2" t="s">
        <v>3</v>
      </c>
      <c r="BP380" s="2">
        <v>0</v>
      </c>
      <c r="BQ380" s="2">
        <v>130</v>
      </c>
      <c r="BR380" s="2">
        <v>0</v>
      </c>
      <c r="BS380" s="2">
        <v>1</v>
      </c>
      <c r="BT380" s="2">
        <v>1</v>
      </c>
      <c r="BU380" s="2">
        <v>1</v>
      </c>
      <c r="BV380" s="2">
        <v>1</v>
      </c>
      <c r="BW380" s="2">
        <v>1</v>
      </c>
      <c r="BX380" s="2">
        <v>1</v>
      </c>
      <c r="BY380" s="2" t="s">
        <v>3</v>
      </c>
      <c r="BZ380" s="2">
        <v>95</v>
      </c>
      <c r="CA380" s="2">
        <v>53</v>
      </c>
      <c r="CB380" s="2" t="s">
        <v>3</v>
      </c>
      <c r="CC380" s="2"/>
      <c r="CD380" s="2"/>
      <c r="CE380" s="2">
        <v>1566</v>
      </c>
      <c r="CF380" s="2">
        <v>0</v>
      </c>
      <c r="CG380" s="2">
        <v>0</v>
      </c>
      <c r="CH380" s="2"/>
      <c r="CI380" s="2"/>
      <c r="CJ380" s="2"/>
      <c r="CK380" s="2"/>
      <c r="CL380" s="2"/>
      <c r="CM380" s="2">
        <v>0</v>
      </c>
      <c r="CN380" s="2" t="s">
        <v>615</v>
      </c>
      <c r="CO380" s="2">
        <v>0</v>
      </c>
      <c r="CP380" s="2">
        <f t="shared" si="285"/>
        <v>3453.2</v>
      </c>
      <c r="CQ380" s="2">
        <f>ROUND((ROUND((AC380*1),2)*BC380),2)</f>
        <v>172.66</v>
      </c>
      <c r="CR380" s="2">
        <f>(ROUND((ROUND(((ET380)*AV380*1),2)*BB380),2)+ROUND((ROUND(((AE380-(EU380))*AV380*1),2)*BS380),2))</f>
        <v>0</v>
      </c>
      <c r="CS380" s="2">
        <f>(ROUND((ROUND(((EU380)*AV380*1),2)*BS380),2)+ROUND((ROUND(((AE380-(EU380))*AV380*1),2)*BS380),2))</f>
        <v>0</v>
      </c>
      <c r="CT380" s="2">
        <f t="shared" si="286"/>
        <v>0</v>
      </c>
      <c r="CU380" s="2">
        <f t="shared" si="287"/>
        <v>0</v>
      </c>
      <c r="CV380" s="2">
        <f t="shared" si="288"/>
        <v>0</v>
      </c>
      <c r="CW380" s="2">
        <f t="shared" si="289"/>
        <v>0</v>
      </c>
      <c r="CX380" s="2">
        <f t="shared" si="290"/>
        <v>0</v>
      </c>
      <c r="CY380" s="2">
        <f>(ROUND((((S380+ROUND((ROUND(((EU380)*AV380*1),2)*BS380),2))*AT380)/100),2)+ROUND(((ROUND((ROUND(((AE380-(EU380))*AV380*1),2)*BS380),2)*AT380)/100),2))</f>
        <v>0</v>
      </c>
      <c r="CZ380" s="2">
        <f>(ROUND((((S380+ROUND((ROUND(((EU380)*AV380*1),2)*BS380),2))*AU380)/100),2)+ROUND(((ROUND((ROUND(((AE380-(EU380))*AV380*1),2)*BS380),2)*AU380)/100),2))</f>
        <v>0</v>
      </c>
      <c r="DA380" s="2"/>
      <c r="DB380" s="2"/>
      <c r="DC380" s="2" t="s">
        <v>3</v>
      </c>
      <c r="DD380" s="2" t="s">
        <v>3</v>
      </c>
      <c r="DE380" s="2" t="s">
        <v>3</v>
      </c>
      <c r="DF380" s="2" t="s">
        <v>3</v>
      </c>
      <c r="DG380" s="2" t="s">
        <v>3</v>
      </c>
      <c r="DH380" s="2" t="s">
        <v>3</v>
      </c>
      <c r="DI380" s="2" t="s">
        <v>3</v>
      </c>
      <c r="DJ380" s="2" t="s">
        <v>3</v>
      </c>
      <c r="DK380" s="2" t="s">
        <v>3</v>
      </c>
      <c r="DL380" s="2" t="s">
        <v>3</v>
      </c>
      <c r="DM380" s="2" t="s">
        <v>3</v>
      </c>
      <c r="DN380" s="2">
        <v>0</v>
      </c>
      <c r="DO380" s="2">
        <v>0</v>
      </c>
      <c r="DP380" s="2">
        <v>1</v>
      </c>
      <c r="DQ380" s="2">
        <v>1</v>
      </c>
      <c r="DR380" s="2"/>
      <c r="DS380" s="2"/>
      <c r="DT380" s="2"/>
      <c r="DU380" s="2">
        <v>1010</v>
      </c>
      <c r="DV380" s="2" t="s">
        <v>177</v>
      </c>
      <c r="DW380" s="2" t="s">
        <v>177</v>
      </c>
      <c r="DX380" s="2">
        <v>1</v>
      </c>
      <c r="DY380" s="2"/>
      <c r="DZ380" s="2" t="s">
        <v>3</v>
      </c>
      <c r="EA380" s="2" t="s">
        <v>3</v>
      </c>
      <c r="EB380" s="2" t="s">
        <v>3</v>
      </c>
      <c r="EC380" s="2" t="s">
        <v>3</v>
      </c>
      <c r="ED380" s="2"/>
      <c r="EE380" s="2">
        <v>57043064</v>
      </c>
      <c r="EF380" s="2">
        <v>130</v>
      </c>
      <c r="EG380" s="2" t="s">
        <v>178</v>
      </c>
      <c r="EH380" s="2">
        <v>0</v>
      </c>
      <c r="EI380" s="2" t="s">
        <v>3</v>
      </c>
      <c r="EJ380" s="2">
        <v>3</v>
      </c>
      <c r="EK380" s="2">
        <v>746</v>
      </c>
      <c r="EL380" s="2" t="s">
        <v>179</v>
      </c>
      <c r="EM380" s="2" t="s">
        <v>180</v>
      </c>
      <c r="EN380" s="2"/>
      <c r="EO380" s="2" t="s">
        <v>109</v>
      </c>
      <c r="EP380" s="2"/>
      <c r="EQ380" s="2">
        <v>2097152</v>
      </c>
      <c r="ER380" s="2">
        <v>0</v>
      </c>
      <c r="ES380" s="2">
        <v>172.66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>
        <v>0</v>
      </c>
      <c r="FR380" s="2">
        <f>P380</f>
        <v>3453.2</v>
      </c>
      <c r="FS380" s="2">
        <v>0</v>
      </c>
      <c r="FT380" s="2"/>
      <c r="FU380" s="2"/>
      <c r="FV380" s="2"/>
      <c r="FW380" s="2"/>
      <c r="FX380" s="2">
        <v>95</v>
      </c>
      <c r="FY380" s="2">
        <v>53</v>
      </c>
      <c r="FZ380" s="2"/>
      <c r="GA380" s="2" t="s">
        <v>310</v>
      </c>
      <c r="GB380" s="2"/>
      <c r="GC380" s="2"/>
      <c r="GD380" s="2">
        <v>1</v>
      </c>
      <c r="GE380" s="2"/>
      <c r="GF380" s="2">
        <v>693786329</v>
      </c>
      <c r="GG380" s="2">
        <v>2</v>
      </c>
      <c r="GH380" s="2">
        <v>4</v>
      </c>
      <c r="GI380" s="2">
        <v>-2</v>
      </c>
      <c r="GJ380" s="2">
        <v>0</v>
      </c>
      <c r="GK380" s="2">
        <v>0</v>
      </c>
      <c r="GL380" s="2">
        <f t="shared" si="291"/>
        <v>0</v>
      </c>
      <c r="GM380" s="2">
        <f t="shared" si="292"/>
        <v>3453.2</v>
      </c>
      <c r="GN380" s="2">
        <f t="shared" si="293"/>
        <v>0</v>
      </c>
      <c r="GO380" s="2">
        <f t="shared" si="294"/>
        <v>0</v>
      </c>
      <c r="GP380" s="2">
        <f t="shared" si="295"/>
        <v>0</v>
      </c>
      <c r="GQ380" s="2"/>
      <c r="GR380" s="2">
        <v>0</v>
      </c>
      <c r="GS380" s="2">
        <v>2</v>
      </c>
      <c r="GT380" s="2">
        <v>0</v>
      </c>
      <c r="GU380" s="2" t="s">
        <v>3</v>
      </c>
      <c r="GV380" s="2">
        <f t="shared" si="296"/>
        <v>0</v>
      </c>
      <c r="GW380" s="2">
        <v>1</v>
      </c>
      <c r="GX380" s="2">
        <f t="shared" si="297"/>
        <v>0</v>
      </c>
      <c r="GY380" s="2"/>
      <c r="GZ380" s="2"/>
      <c r="HA380" s="2">
        <v>0</v>
      </c>
      <c r="HB380" s="2">
        <v>0</v>
      </c>
      <c r="HC380" s="2">
        <f t="shared" si="298"/>
        <v>0</v>
      </c>
      <c r="HD380" s="2"/>
      <c r="HE380" s="2" t="s">
        <v>40</v>
      </c>
      <c r="HF380" s="2" t="s">
        <v>182</v>
      </c>
      <c r="HG380" s="2"/>
      <c r="HH380" s="2"/>
      <c r="HI380" s="2"/>
      <c r="HJ380" s="2"/>
      <c r="HK380" s="2"/>
      <c r="HL380" s="2"/>
      <c r="HM380" s="2" t="s">
        <v>104</v>
      </c>
      <c r="HN380" s="2" t="s">
        <v>3</v>
      </c>
      <c r="HO380" s="2" t="s">
        <v>3</v>
      </c>
      <c r="HP380" s="2" t="s">
        <v>3</v>
      </c>
      <c r="HQ380" s="2" t="s">
        <v>3</v>
      </c>
      <c r="HR380" s="2"/>
      <c r="HS380" s="2">
        <v>0</v>
      </c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>
        <v>0</v>
      </c>
      <c r="IL380" s="2"/>
      <c r="IM380" s="2"/>
      <c r="IN380" s="2"/>
      <c r="IO380" s="2"/>
      <c r="IP380" s="2"/>
      <c r="IQ380" s="2"/>
      <c r="IR380" s="2"/>
      <c r="IS380" s="2"/>
      <c r="IT380" s="2"/>
      <c r="IU380" s="2"/>
    </row>
    <row r="381" spans="1:255" x14ac:dyDescent="0.25">
      <c r="A381" s="3">
        <v>18</v>
      </c>
      <c r="B381" s="3">
        <v>1</v>
      </c>
      <c r="C381" s="3">
        <v>224</v>
      </c>
      <c r="E381" s="3" t="s">
        <v>307</v>
      </c>
      <c r="F381" s="3" t="s">
        <v>308</v>
      </c>
      <c r="G381" s="3" t="s">
        <v>309</v>
      </c>
      <c r="H381" s="3" t="s">
        <v>177</v>
      </c>
      <c r="I381" s="3">
        <f>I379*J381</f>
        <v>20</v>
      </c>
      <c r="J381" s="3">
        <v>1</v>
      </c>
      <c r="K381" s="3">
        <v>1</v>
      </c>
      <c r="O381" s="3">
        <f t="shared" si="276"/>
        <v>26140.720000000001</v>
      </c>
      <c r="P381" s="3">
        <f>ROUND((ROUND((AC381*I381),2)*BC381),2)</f>
        <v>26140.720000000001</v>
      </c>
      <c r="Q381" s="3">
        <f>(ROUND((ROUND(((ET381)*AV381*I381),2)*BB381),2)+ROUND((ROUND(((AE381-(EU381))*AV381*I381),2)*BS381),2))</f>
        <v>0</v>
      </c>
      <c r="R381" s="3">
        <f>(ROUND((ROUND(((EU381)*AV381*I381),2)*BS381),2)+ROUND((ROUND(((AE381-(EU381))*AV381*I381),2)*BS381),2))</f>
        <v>0</v>
      </c>
      <c r="S381" s="3">
        <f t="shared" si="277"/>
        <v>0</v>
      </c>
      <c r="T381" s="3">
        <f t="shared" si="278"/>
        <v>0</v>
      </c>
      <c r="U381" s="3">
        <f t="shared" si="279"/>
        <v>0</v>
      </c>
      <c r="V381" s="3">
        <f t="shared" si="280"/>
        <v>0</v>
      </c>
      <c r="W381" s="3">
        <f t="shared" si="281"/>
        <v>0</v>
      </c>
      <c r="X381" s="3">
        <f>(ROUND((((S381+ROUND((ROUND(((EU381)*AV381*I381),2)*BS381),2))*AT381)/100),2)+ROUND(((ROUND((ROUND(((AE381-(EU381))*AV381*I381),2)*BS381),2)*AT381)/100),2))</f>
        <v>0</v>
      </c>
      <c r="Y381" s="3">
        <f>(ROUND((((S381+ROUND((ROUND(((EU381)*AV381*I381),2)*BS381),2))*AU381)/100),2)+ROUND(((ROUND((ROUND(((AE381-(EU381))*AV381*I381),2)*BS381),2)*AU381)/100),2))</f>
        <v>0</v>
      </c>
      <c r="AA381" s="3">
        <v>57034454</v>
      </c>
      <c r="AB381" s="3">
        <f t="shared" si="282"/>
        <v>172.66</v>
      </c>
      <c r="AC381" s="3">
        <f>ROUND((ES381),6)</f>
        <v>172.66</v>
      </c>
      <c r="AD381" s="3">
        <f>ROUND((((ET381)-(EU381))+AE381),6)</f>
        <v>0</v>
      </c>
      <c r="AE381" s="3">
        <f>ROUND((EU381),6)</f>
        <v>0</v>
      </c>
      <c r="AF381" s="3">
        <f>ROUND((EV381),6)</f>
        <v>0</v>
      </c>
      <c r="AG381" s="3">
        <f t="shared" si="283"/>
        <v>0</v>
      </c>
      <c r="AH381" s="3">
        <f>(EW381)</f>
        <v>0</v>
      </c>
      <c r="AI381" s="3">
        <f>(EX381)</f>
        <v>0</v>
      </c>
      <c r="AJ381" s="3">
        <f t="shared" si="284"/>
        <v>0</v>
      </c>
      <c r="AK381" s="3">
        <v>172.66</v>
      </c>
      <c r="AL381" s="3">
        <v>172.66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1</v>
      </c>
      <c r="AW381" s="3">
        <v>1</v>
      </c>
      <c r="AZ381" s="3">
        <v>1</v>
      </c>
      <c r="BA381" s="3">
        <v>1</v>
      </c>
      <c r="BB381" s="3">
        <v>1</v>
      </c>
      <c r="BC381" s="3">
        <v>7.57</v>
      </c>
      <c r="BD381" s="3" t="s">
        <v>3</v>
      </c>
      <c r="BE381" s="3" t="s">
        <v>3</v>
      </c>
      <c r="BF381" s="3" t="s">
        <v>3</v>
      </c>
      <c r="BG381" s="3" t="s">
        <v>3</v>
      </c>
      <c r="BH381" s="3">
        <v>3</v>
      </c>
      <c r="BI381" s="3">
        <v>3</v>
      </c>
      <c r="BJ381" s="3" t="s">
        <v>3</v>
      </c>
      <c r="BM381" s="3">
        <v>746</v>
      </c>
      <c r="BN381" s="3">
        <v>0</v>
      </c>
      <c r="BO381" s="3" t="s">
        <v>3</v>
      </c>
      <c r="BP381" s="3">
        <v>0</v>
      </c>
      <c r="BQ381" s="3">
        <v>130</v>
      </c>
      <c r="BR381" s="3">
        <v>0</v>
      </c>
      <c r="BS381" s="3">
        <v>1</v>
      </c>
      <c r="BT381" s="3">
        <v>1</v>
      </c>
      <c r="BU381" s="3">
        <v>1</v>
      </c>
      <c r="BV381" s="3">
        <v>1</v>
      </c>
      <c r="BW381" s="3">
        <v>1</v>
      </c>
      <c r="BX381" s="3">
        <v>1</v>
      </c>
      <c r="BY381" s="3" t="s">
        <v>3</v>
      </c>
      <c r="BZ381" s="3">
        <v>95</v>
      </c>
      <c r="CA381" s="3">
        <v>53</v>
      </c>
      <c r="CB381" s="3" t="s">
        <v>3</v>
      </c>
      <c r="CE381" s="3">
        <v>1566</v>
      </c>
      <c r="CF381" s="3">
        <v>0</v>
      </c>
      <c r="CG381" s="3">
        <v>0</v>
      </c>
      <c r="CM381" s="3">
        <v>0</v>
      </c>
      <c r="CN381" s="3" t="s">
        <v>615</v>
      </c>
      <c r="CO381" s="3">
        <v>0</v>
      </c>
      <c r="CP381" s="3">
        <f t="shared" si="285"/>
        <v>26140.720000000001</v>
      </c>
      <c r="CQ381" s="3">
        <f>ROUND((ROUND((AC381*1),2)*BC381),2)</f>
        <v>1307.04</v>
      </c>
      <c r="CR381" s="3">
        <f>(ROUND((ROUND(((ET381)*AV381*1),2)*BB381),2)+ROUND((ROUND(((AE381-(EU381))*AV381*1),2)*BS381),2))</f>
        <v>0</v>
      </c>
      <c r="CS381" s="3">
        <f>(ROUND((ROUND(((EU381)*AV381*1),2)*BS381),2)+ROUND((ROUND(((AE381-(EU381))*AV381*1),2)*BS381),2))</f>
        <v>0</v>
      </c>
      <c r="CT381" s="3">
        <f t="shared" si="286"/>
        <v>0</v>
      </c>
      <c r="CU381" s="3">
        <f t="shared" si="287"/>
        <v>0</v>
      </c>
      <c r="CV381" s="3">
        <f t="shared" si="288"/>
        <v>0</v>
      </c>
      <c r="CW381" s="3">
        <f t="shared" si="289"/>
        <v>0</v>
      </c>
      <c r="CX381" s="3">
        <f t="shared" si="290"/>
        <v>0</v>
      </c>
      <c r="CY381" s="3">
        <f>(ROUND((((S381+ROUND((ROUND(((EU381)*AV381*1),2)*BS381),2))*AT381)/100),2)+ROUND(((ROUND((ROUND(((AE381-(EU381))*AV381*1),2)*BS381),2)*AT381)/100),2))</f>
        <v>0</v>
      </c>
      <c r="CZ381" s="3">
        <f>(ROUND((((S381+ROUND((ROUND(((EU381)*AV381*1),2)*BS381),2))*AU381)/100),2)+ROUND(((ROUND((ROUND(((AE381-(EU381))*AV381*1),2)*BS381),2)*AU381)/100),2))</f>
        <v>0</v>
      </c>
      <c r="DC381" s="3" t="s">
        <v>3</v>
      </c>
      <c r="DD381" s="3" t="s">
        <v>3</v>
      </c>
      <c r="DE381" s="3" t="s">
        <v>3</v>
      </c>
      <c r="DF381" s="3" t="s">
        <v>3</v>
      </c>
      <c r="DG381" s="3" t="s">
        <v>3</v>
      </c>
      <c r="DH381" s="3" t="s">
        <v>3</v>
      </c>
      <c r="DI381" s="3" t="s">
        <v>3</v>
      </c>
      <c r="DJ381" s="3" t="s">
        <v>3</v>
      </c>
      <c r="DK381" s="3" t="s">
        <v>3</v>
      </c>
      <c r="DL381" s="3" t="s">
        <v>3</v>
      </c>
      <c r="DM381" s="3" t="s">
        <v>3</v>
      </c>
      <c r="DN381" s="3">
        <v>0</v>
      </c>
      <c r="DO381" s="3">
        <v>0</v>
      </c>
      <c r="DP381" s="3">
        <v>1</v>
      </c>
      <c r="DQ381" s="3">
        <v>1</v>
      </c>
      <c r="DU381" s="3">
        <v>1010</v>
      </c>
      <c r="DV381" s="3" t="s">
        <v>177</v>
      </c>
      <c r="DW381" s="3" t="s">
        <v>177</v>
      </c>
      <c r="DX381" s="3">
        <v>1</v>
      </c>
      <c r="DZ381" s="3" t="s">
        <v>3</v>
      </c>
      <c r="EA381" s="3" t="s">
        <v>3</v>
      </c>
      <c r="EB381" s="3" t="s">
        <v>3</v>
      </c>
      <c r="EC381" s="3" t="s">
        <v>3</v>
      </c>
      <c r="EE381" s="3">
        <v>57043064</v>
      </c>
      <c r="EF381" s="3">
        <v>130</v>
      </c>
      <c r="EG381" s="3" t="s">
        <v>178</v>
      </c>
      <c r="EH381" s="3">
        <v>0</v>
      </c>
      <c r="EI381" s="3" t="s">
        <v>3</v>
      </c>
      <c r="EJ381" s="3">
        <v>3</v>
      </c>
      <c r="EK381" s="3">
        <v>746</v>
      </c>
      <c r="EL381" s="3" t="s">
        <v>179</v>
      </c>
      <c r="EM381" s="3" t="s">
        <v>180</v>
      </c>
      <c r="EO381" s="3" t="s">
        <v>109</v>
      </c>
      <c r="EQ381" s="3">
        <v>2097152</v>
      </c>
      <c r="ER381" s="3">
        <v>172.66</v>
      </c>
      <c r="ES381" s="3">
        <v>172.66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EZ381" s="3">
        <v>5</v>
      </c>
      <c r="FC381" s="3">
        <v>1</v>
      </c>
      <c r="FD381" s="3">
        <v>18</v>
      </c>
      <c r="FF381" s="3">
        <v>1529.73</v>
      </c>
      <c r="FQ381" s="3">
        <v>0</v>
      </c>
      <c r="FR381" s="3">
        <f>P381</f>
        <v>26140.720000000001</v>
      </c>
      <c r="FS381" s="3">
        <v>0</v>
      </c>
      <c r="FX381" s="3">
        <v>95</v>
      </c>
      <c r="FY381" s="3">
        <v>53</v>
      </c>
      <c r="GA381" s="3" t="s">
        <v>310</v>
      </c>
      <c r="GD381" s="3">
        <v>1</v>
      </c>
      <c r="GF381" s="3">
        <v>693786329</v>
      </c>
      <c r="GG381" s="3">
        <v>2</v>
      </c>
      <c r="GH381" s="3">
        <v>3</v>
      </c>
      <c r="GI381" s="3">
        <v>5</v>
      </c>
      <c r="GJ381" s="3">
        <v>0</v>
      </c>
      <c r="GK381" s="3">
        <v>0</v>
      </c>
      <c r="GL381" s="3">
        <f t="shared" si="291"/>
        <v>0</v>
      </c>
      <c r="GM381" s="3">
        <f t="shared" si="292"/>
        <v>26140.720000000001</v>
      </c>
      <c r="GN381" s="3">
        <f t="shared" si="293"/>
        <v>0</v>
      </c>
      <c r="GO381" s="3">
        <f t="shared" si="294"/>
        <v>0</v>
      </c>
      <c r="GP381" s="3">
        <f t="shared" si="295"/>
        <v>0</v>
      </c>
      <c r="GR381" s="3">
        <v>1</v>
      </c>
      <c r="GS381" s="3">
        <v>1</v>
      </c>
      <c r="GT381" s="3">
        <v>0</v>
      </c>
      <c r="GU381" s="3" t="s">
        <v>3</v>
      </c>
      <c r="GV381" s="3">
        <f t="shared" si="296"/>
        <v>0</v>
      </c>
      <c r="GW381" s="3">
        <v>1</v>
      </c>
      <c r="GX381" s="3">
        <f t="shared" si="297"/>
        <v>0</v>
      </c>
      <c r="HA381" s="3">
        <v>0</v>
      </c>
      <c r="HB381" s="3">
        <v>0</v>
      </c>
      <c r="HC381" s="3">
        <f t="shared" si="298"/>
        <v>0</v>
      </c>
      <c r="HE381" s="3" t="s">
        <v>40</v>
      </c>
      <c r="HF381" s="3" t="s">
        <v>182</v>
      </c>
      <c r="HM381" s="3" t="s">
        <v>104</v>
      </c>
      <c r="HN381" s="3" t="s">
        <v>3</v>
      </c>
      <c r="HO381" s="3" t="s">
        <v>3</v>
      </c>
      <c r="HP381" s="3" t="s">
        <v>3</v>
      </c>
      <c r="HQ381" s="3" t="s">
        <v>3</v>
      </c>
      <c r="HS381" s="3">
        <v>0</v>
      </c>
      <c r="IK381" s="3">
        <v>0</v>
      </c>
    </row>
    <row r="382" spans="1:255" x14ac:dyDescent="0.25">
      <c r="A382" s="2">
        <v>17</v>
      </c>
      <c r="B382" s="2">
        <v>1</v>
      </c>
      <c r="C382" s="2">
        <f>ROW(SmtRes!A226)</f>
        <v>226</v>
      </c>
      <c r="D382" s="2">
        <f>ROW(EtalonRes!A239)</f>
        <v>239</v>
      </c>
      <c r="E382" s="2" t="s">
        <v>311</v>
      </c>
      <c r="F382" s="2" t="s">
        <v>63</v>
      </c>
      <c r="G382" s="2" t="s">
        <v>246</v>
      </c>
      <c r="H382" s="2" t="s">
        <v>26</v>
      </c>
      <c r="I382" s="2">
        <v>84</v>
      </c>
      <c r="J382" s="2">
        <v>0</v>
      </c>
      <c r="K382" s="2">
        <v>84</v>
      </c>
      <c r="L382" s="2"/>
      <c r="M382" s="2"/>
      <c r="N382" s="2"/>
      <c r="O382" s="2">
        <f t="shared" si="276"/>
        <v>1865.91</v>
      </c>
      <c r="P382" s="2">
        <f>ROUND((ROUND((AC382*AW382*I382),2)*BC382),2)</f>
        <v>164.64</v>
      </c>
      <c r="Q382" s="2">
        <f>(ROUND((ROUND((((ET382*1.2))*AV382*I382),2)*BB382),2)+ROUND((ROUND(((AE382-((EU382*1.2)))*AV382*I382),2)*BS382),2))</f>
        <v>5.28</v>
      </c>
      <c r="R382" s="2">
        <f>(ROUND((ROUND((((EU382*1.2))*AV382*I382),2)*BS382),2)+ROUND((ROUND(((AE382-((EU382*1.2)))*AV382*I382),2)*BS382),2))</f>
        <v>1.06</v>
      </c>
      <c r="S382" s="2">
        <f t="shared" si="277"/>
        <v>1695.99</v>
      </c>
      <c r="T382" s="2">
        <f t="shared" si="278"/>
        <v>0</v>
      </c>
      <c r="U382" s="2">
        <f t="shared" si="279"/>
        <v>126.64511999999999</v>
      </c>
      <c r="V382" s="2">
        <f t="shared" si="280"/>
        <v>0</v>
      </c>
      <c r="W382" s="2">
        <f t="shared" si="281"/>
        <v>0</v>
      </c>
      <c r="X382" s="2">
        <f>(ROUND((((S382+ROUND((ROUND((((EU382*1.2))*AV382*I382),2)*BS382),2))*AT382)/100),2)+ROUND(((ROUND((ROUND(((AE382-((EU382*1.2)))*AV382*I382),2)*BS382),2)*AT382)/100),2))</f>
        <v>1527.35</v>
      </c>
      <c r="Y382" s="2">
        <f>(ROUND((((S382+ROUND((ROUND((((EU382*1.2))*AV382*I382),2)*BS382),2))*AU382)/100),2)+ROUND(((ROUND((ROUND(((AE382-((EU382*1.2)))*AV382*I382),2)*BS382),2)*AU382)/100),2))</f>
        <v>780.64</v>
      </c>
      <c r="Z382" s="2"/>
      <c r="AA382" s="2">
        <v>57034452</v>
      </c>
      <c r="AB382" s="2">
        <f t="shared" si="282"/>
        <v>21.303999999999998</v>
      </c>
      <c r="AC382" s="2">
        <f>ROUND(((ES382*1)),6)</f>
        <v>1.96</v>
      </c>
      <c r="AD382" s="2">
        <f>ROUND(((((ET382*1.2))-((EU382*1.2)))+AE382),6)</f>
        <v>0.06</v>
      </c>
      <c r="AE382" s="2">
        <f>ROUND(((EU382*1.2)),6)</f>
        <v>1.2E-2</v>
      </c>
      <c r="AF382" s="2">
        <f>ROUND(((EV382*1.2)),6)</f>
        <v>19.283999999999999</v>
      </c>
      <c r="AG382" s="2">
        <f t="shared" si="283"/>
        <v>0</v>
      </c>
      <c r="AH382" s="2">
        <f>((EW382*1.2))</f>
        <v>1.44</v>
      </c>
      <c r="AI382" s="2">
        <f>((EX382*1.2))</f>
        <v>0</v>
      </c>
      <c r="AJ382" s="2">
        <f t="shared" si="284"/>
        <v>0</v>
      </c>
      <c r="AK382" s="2">
        <v>18.079999999999998</v>
      </c>
      <c r="AL382" s="2">
        <v>1.96</v>
      </c>
      <c r="AM382" s="2">
        <v>0.05</v>
      </c>
      <c r="AN382" s="2">
        <v>0.01</v>
      </c>
      <c r="AO382" s="2">
        <v>16.07</v>
      </c>
      <c r="AP382" s="2">
        <v>0</v>
      </c>
      <c r="AQ382" s="2">
        <v>1.2</v>
      </c>
      <c r="AR382" s="2">
        <v>0</v>
      </c>
      <c r="AS382" s="2">
        <v>0</v>
      </c>
      <c r="AT382" s="2">
        <v>90</v>
      </c>
      <c r="AU382" s="2">
        <v>46</v>
      </c>
      <c r="AV382" s="2">
        <v>1.0469999999999999</v>
      </c>
      <c r="AW382" s="2">
        <v>1</v>
      </c>
      <c r="AX382" s="2"/>
      <c r="AY382" s="2"/>
      <c r="AZ382" s="2">
        <v>1</v>
      </c>
      <c r="BA382" s="2">
        <v>1</v>
      </c>
      <c r="BB382" s="2">
        <v>1</v>
      </c>
      <c r="BC382" s="2">
        <v>1</v>
      </c>
      <c r="BD382" s="2" t="s">
        <v>3</v>
      </c>
      <c r="BE382" s="2" t="s">
        <v>3</v>
      </c>
      <c r="BF382" s="2" t="s">
        <v>3</v>
      </c>
      <c r="BG382" s="2" t="s">
        <v>3</v>
      </c>
      <c r="BH382" s="2">
        <v>0</v>
      </c>
      <c r="BI382" s="2">
        <v>2</v>
      </c>
      <c r="BJ382" s="2" t="s">
        <v>65</v>
      </c>
      <c r="BK382" s="2"/>
      <c r="BL382" s="2"/>
      <c r="BM382" s="2">
        <v>68</v>
      </c>
      <c r="BN382" s="2">
        <v>0</v>
      </c>
      <c r="BO382" s="2" t="s">
        <v>63</v>
      </c>
      <c r="BP382" s="2">
        <v>1</v>
      </c>
      <c r="BQ382" s="2">
        <v>40</v>
      </c>
      <c r="BR382" s="2">
        <v>0</v>
      </c>
      <c r="BS382" s="2">
        <v>1</v>
      </c>
      <c r="BT382" s="2">
        <v>1</v>
      </c>
      <c r="BU382" s="2">
        <v>1</v>
      </c>
      <c r="BV382" s="2">
        <v>1</v>
      </c>
      <c r="BW382" s="2">
        <v>1</v>
      </c>
      <c r="BX382" s="2">
        <v>1</v>
      </c>
      <c r="BY382" s="2" t="s">
        <v>3</v>
      </c>
      <c r="BZ382" s="2">
        <v>90</v>
      </c>
      <c r="CA382" s="2">
        <v>46</v>
      </c>
      <c r="CB382" s="2" t="s">
        <v>3</v>
      </c>
      <c r="CC382" s="2"/>
      <c r="CD382" s="2"/>
      <c r="CE382" s="2">
        <v>1566</v>
      </c>
      <c r="CF382" s="2">
        <v>0</v>
      </c>
      <c r="CG382" s="2">
        <v>0</v>
      </c>
      <c r="CH382" s="2"/>
      <c r="CI382" s="2"/>
      <c r="CJ382" s="2"/>
      <c r="CK382" s="2"/>
      <c r="CL382" s="2"/>
      <c r="CM382" s="2">
        <v>0</v>
      </c>
      <c r="CN382" s="2" t="s">
        <v>614</v>
      </c>
      <c r="CO382" s="2">
        <v>0</v>
      </c>
      <c r="CP382" s="2">
        <f t="shared" si="285"/>
        <v>1865.91</v>
      </c>
      <c r="CQ382" s="2">
        <f>ROUND((ROUND((AC382*AW382*1),2)*BC382),2)</f>
        <v>1.96</v>
      </c>
      <c r="CR382" s="2">
        <f>(ROUND((ROUND((((ET382*1.2))*AV382*1),2)*BB382),2)+ROUND((ROUND(((AE382-((EU382*1.2)))*AV382*1),2)*BS382),2))</f>
        <v>0.06</v>
      </c>
      <c r="CS382" s="2">
        <f>(ROUND((ROUND((((EU382*1.2))*AV382*1),2)*BS382),2)+ROUND((ROUND(((AE382-((EU382*1.2)))*AV382*1),2)*BS382),2))</f>
        <v>0.01</v>
      </c>
      <c r="CT382" s="2">
        <f t="shared" si="286"/>
        <v>20.190000000000001</v>
      </c>
      <c r="CU382" s="2">
        <f t="shared" si="287"/>
        <v>0</v>
      </c>
      <c r="CV382" s="2">
        <f t="shared" si="288"/>
        <v>1.5076799999999999</v>
      </c>
      <c r="CW382" s="2">
        <f t="shared" si="289"/>
        <v>0</v>
      </c>
      <c r="CX382" s="2">
        <f t="shared" si="290"/>
        <v>0</v>
      </c>
      <c r="CY382" s="2">
        <f>(ROUND((((S382+ROUND((ROUND((((EU382*1.2))*AV382*1),2)*BS382),2))*AT382)/100),2)+ROUND(((ROUND((ROUND(((AE382-((EU382*1.2)))*AV382*1),2)*BS382),2)*AT382)/100),2))</f>
        <v>1526.4</v>
      </c>
      <c r="CZ382" s="2">
        <f>(ROUND((((S382+ROUND((ROUND((((EU382*1.2))*AV382*1),2)*BS382),2))*AU382)/100),2)+ROUND(((ROUND((ROUND(((AE382-((EU382*1.2)))*AV382*1),2)*BS382),2)*AU382)/100),2))</f>
        <v>780.16</v>
      </c>
      <c r="DA382" s="2"/>
      <c r="DB382" s="2">
        <v>123</v>
      </c>
      <c r="DC382" s="2" t="s">
        <v>3</v>
      </c>
      <c r="DD382" s="2" t="s">
        <v>104</v>
      </c>
      <c r="DE382" s="2" t="s">
        <v>105</v>
      </c>
      <c r="DF382" s="2" t="s">
        <v>105</v>
      </c>
      <c r="DG382" s="2" t="s">
        <v>105</v>
      </c>
      <c r="DH382" s="2" t="s">
        <v>3</v>
      </c>
      <c r="DI382" s="2" t="s">
        <v>105</v>
      </c>
      <c r="DJ382" s="2" t="s">
        <v>105</v>
      </c>
      <c r="DK382" s="2" t="s">
        <v>3</v>
      </c>
      <c r="DL382" s="2" t="s">
        <v>3</v>
      </c>
      <c r="DM382" s="2" t="s">
        <v>3</v>
      </c>
      <c r="DN382" s="2">
        <v>0</v>
      </c>
      <c r="DO382" s="2">
        <v>0</v>
      </c>
      <c r="DP382" s="2">
        <v>1</v>
      </c>
      <c r="DQ382" s="2">
        <v>1</v>
      </c>
      <c r="DR382" s="2"/>
      <c r="DS382" s="2"/>
      <c r="DT382" s="2"/>
      <c r="DU382" s="2">
        <v>1013</v>
      </c>
      <c r="DV382" s="2" t="s">
        <v>26</v>
      </c>
      <c r="DW382" s="2" t="s">
        <v>26</v>
      </c>
      <c r="DX382" s="2">
        <v>1</v>
      </c>
      <c r="DY382" s="2"/>
      <c r="DZ382" s="2" t="s">
        <v>3</v>
      </c>
      <c r="EA382" s="2" t="s">
        <v>3</v>
      </c>
      <c r="EB382" s="2" t="s">
        <v>3</v>
      </c>
      <c r="EC382" s="2" t="s">
        <v>3</v>
      </c>
      <c r="ED382" s="2"/>
      <c r="EE382" s="2">
        <v>57042958</v>
      </c>
      <c r="EF382" s="2">
        <v>40</v>
      </c>
      <c r="EG382" s="2" t="s">
        <v>30</v>
      </c>
      <c r="EH382" s="2">
        <v>0</v>
      </c>
      <c r="EI382" s="2" t="s">
        <v>3</v>
      </c>
      <c r="EJ382" s="2">
        <v>2</v>
      </c>
      <c r="EK382" s="2">
        <v>68</v>
      </c>
      <c r="EL382" s="2" t="s">
        <v>38</v>
      </c>
      <c r="EM382" s="2" t="s">
        <v>39</v>
      </c>
      <c r="EN382" s="2"/>
      <c r="EO382" s="2" t="s">
        <v>109</v>
      </c>
      <c r="EP382" s="2"/>
      <c r="EQ382" s="2">
        <v>131072</v>
      </c>
      <c r="ER382" s="2">
        <v>18.079999999999998</v>
      </c>
      <c r="ES382" s="2">
        <v>1.96</v>
      </c>
      <c r="ET382" s="2">
        <v>0.05</v>
      </c>
      <c r="EU382" s="2">
        <v>0.01</v>
      </c>
      <c r="EV382" s="2">
        <v>16.07</v>
      </c>
      <c r="EW382" s="2">
        <v>1.2</v>
      </c>
      <c r="EX382" s="2">
        <v>0</v>
      </c>
      <c r="EY382" s="2">
        <v>0</v>
      </c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>
        <v>0</v>
      </c>
      <c r="FR382" s="2">
        <v>0</v>
      </c>
      <c r="FS382" s="2">
        <v>0</v>
      </c>
      <c r="FT382" s="2"/>
      <c r="FU382" s="2"/>
      <c r="FV382" s="2"/>
      <c r="FW382" s="2"/>
      <c r="FX382" s="2">
        <v>90</v>
      </c>
      <c r="FY382" s="2">
        <v>46</v>
      </c>
      <c r="FZ382" s="2"/>
      <c r="GA382" s="2" t="s">
        <v>3</v>
      </c>
      <c r="GB382" s="2"/>
      <c r="GC382" s="2"/>
      <c r="GD382" s="2">
        <v>1</v>
      </c>
      <c r="GE382" s="2"/>
      <c r="GF382" s="2">
        <v>-1354403463</v>
      </c>
      <c r="GG382" s="2">
        <v>2</v>
      </c>
      <c r="GH382" s="2">
        <v>1</v>
      </c>
      <c r="GI382" s="2">
        <v>2</v>
      </c>
      <c r="GJ382" s="2">
        <v>0</v>
      </c>
      <c r="GK382" s="2">
        <v>0</v>
      </c>
      <c r="GL382" s="2">
        <f t="shared" si="291"/>
        <v>0</v>
      </c>
      <c r="GM382" s="2">
        <f t="shared" si="292"/>
        <v>4173.8999999999996</v>
      </c>
      <c r="GN382" s="2">
        <f t="shared" si="293"/>
        <v>0</v>
      </c>
      <c r="GO382" s="2">
        <f t="shared" si="294"/>
        <v>4173.8999999999996</v>
      </c>
      <c r="GP382" s="2">
        <f t="shared" si="295"/>
        <v>0</v>
      </c>
      <c r="GQ382" s="2"/>
      <c r="GR382" s="2">
        <v>0</v>
      </c>
      <c r="GS382" s="2">
        <v>3</v>
      </c>
      <c r="GT382" s="2">
        <v>0</v>
      </c>
      <c r="GU382" s="2" t="s">
        <v>3</v>
      </c>
      <c r="GV382" s="2">
        <f t="shared" si="296"/>
        <v>0</v>
      </c>
      <c r="GW382" s="2">
        <v>1</v>
      </c>
      <c r="GX382" s="2">
        <f t="shared" si="297"/>
        <v>0</v>
      </c>
      <c r="GY382" s="2"/>
      <c r="GZ382" s="2"/>
      <c r="HA382" s="2">
        <v>0</v>
      </c>
      <c r="HB382" s="2">
        <v>0</v>
      </c>
      <c r="HC382" s="2">
        <f t="shared" si="298"/>
        <v>0</v>
      </c>
      <c r="HD382" s="2"/>
      <c r="HE382" s="2" t="s">
        <v>3</v>
      </c>
      <c r="HF382" s="2" t="s">
        <v>3</v>
      </c>
      <c r="HG382" s="2"/>
      <c r="HH382" s="2"/>
      <c r="HI382" s="2"/>
      <c r="HJ382" s="2"/>
      <c r="HK382" s="2"/>
      <c r="HL382" s="2"/>
      <c r="HM382" s="2" t="s">
        <v>3</v>
      </c>
      <c r="HN382" s="2" t="s">
        <v>3</v>
      </c>
      <c r="HO382" s="2" t="s">
        <v>3</v>
      </c>
      <c r="HP382" s="2" t="s">
        <v>3</v>
      </c>
      <c r="HQ382" s="2" t="s">
        <v>3</v>
      </c>
      <c r="HR382" s="2"/>
      <c r="HS382" s="2">
        <v>0</v>
      </c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>
        <v>0</v>
      </c>
      <c r="IL382" s="2"/>
      <c r="IM382" s="2"/>
      <c r="IN382" s="2"/>
      <c r="IO382" s="2"/>
      <c r="IP382" s="2"/>
      <c r="IQ382" s="2"/>
      <c r="IR382" s="2"/>
      <c r="IS382" s="2"/>
      <c r="IT382" s="2"/>
      <c r="IU382" s="2"/>
    </row>
    <row r="383" spans="1:255" x14ac:dyDescent="0.25">
      <c r="A383" s="3">
        <v>17</v>
      </c>
      <c r="B383" s="3">
        <v>1</v>
      </c>
      <c r="C383" s="3">
        <f>ROW(SmtRes!A228)</f>
        <v>228</v>
      </c>
      <c r="D383" s="3">
        <f>ROW(EtalonRes!A240)</f>
        <v>240</v>
      </c>
      <c r="E383" s="3" t="s">
        <v>311</v>
      </c>
      <c r="F383" s="3" t="s">
        <v>63</v>
      </c>
      <c r="G383" s="3" t="s">
        <v>246</v>
      </c>
      <c r="H383" s="3" t="s">
        <v>26</v>
      </c>
      <c r="I383" s="3">
        <v>84</v>
      </c>
      <c r="J383" s="3">
        <v>0</v>
      </c>
      <c r="K383" s="3">
        <v>84</v>
      </c>
      <c r="O383" s="3">
        <f t="shared" si="276"/>
        <v>97294.7</v>
      </c>
      <c r="P383" s="3">
        <f>ROUND((ROUND((AC383*AW383*I383),2)*BC383),2)</f>
        <v>1620.06</v>
      </c>
      <c r="Q383" s="3">
        <f>(ROUND((ROUND((((ET383*1.2))*AV383*I383),2)*BB383),2)+ROUND((ROUND(((AE383-((EU383*1.2)))*AV383*I383),2)*BS383),2))</f>
        <v>105.6</v>
      </c>
      <c r="R383" s="3">
        <f>(ROUND((ROUND((((EU383*1.2))*AV383*I383),2)*BS383),2)+ROUND((ROUND(((AE383-((EU383*1.2)))*AV383*I383),2)*BS383),2))</f>
        <v>59.73</v>
      </c>
      <c r="S383" s="3">
        <f t="shared" si="277"/>
        <v>95569.04</v>
      </c>
      <c r="T383" s="3">
        <f t="shared" si="278"/>
        <v>0</v>
      </c>
      <c r="U383" s="3">
        <f t="shared" si="279"/>
        <v>126.64511999999999</v>
      </c>
      <c r="V383" s="3">
        <f t="shared" si="280"/>
        <v>0</v>
      </c>
      <c r="W383" s="3">
        <f t="shared" si="281"/>
        <v>0</v>
      </c>
      <c r="X383" s="3">
        <f>(ROUND((((S383+ROUND((ROUND((((EU383*1.2))*AV383*I383),2)*BS383),2))*AT383)/100),2)+ROUND(((ROUND((ROUND(((AE383-((EU383*1.2)))*AV383*I383),2)*BS383),2)*AT383)/100),2))</f>
        <v>86065.89</v>
      </c>
      <c r="Y383" s="3">
        <f>(ROUND((((S383+ROUND((ROUND((((EU383*1.2))*AV383*I383),2)*BS383),2))*AU383)/100),2)+ROUND(((ROUND((ROUND(((AE383-((EU383*1.2)))*AV383*I383),2)*BS383),2)*AU383)/100),2))</f>
        <v>43989.23</v>
      </c>
      <c r="AA383" s="3">
        <v>57034454</v>
      </c>
      <c r="AB383" s="3">
        <f t="shared" si="282"/>
        <v>21.303999999999998</v>
      </c>
      <c r="AC383" s="3">
        <f>ROUND(((ES383*1)),6)</f>
        <v>1.96</v>
      </c>
      <c r="AD383" s="3">
        <f>ROUND(((((ET383*1.2))-((EU383*1.2)))+AE383),6)</f>
        <v>0.06</v>
      </c>
      <c r="AE383" s="3">
        <f>ROUND(((EU383*1.2)),6)</f>
        <v>1.2E-2</v>
      </c>
      <c r="AF383" s="3">
        <f>ROUND(((EV383*1.2)),6)</f>
        <v>19.283999999999999</v>
      </c>
      <c r="AG383" s="3">
        <f t="shared" si="283"/>
        <v>0</v>
      </c>
      <c r="AH383" s="3">
        <f>((EW383*1.2))</f>
        <v>1.44</v>
      </c>
      <c r="AI383" s="3">
        <f>((EX383*1.2))</f>
        <v>0</v>
      </c>
      <c r="AJ383" s="3">
        <f t="shared" si="284"/>
        <v>0</v>
      </c>
      <c r="AK383" s="3">
        <v>18.079999999999998</v>
      </c>
      <c r="AL383" s="3">
        <v>1.96</v>
      </c>
      <c r="AM383" s="3">
        <v>0.05</v>
      </c>
      <c r="AN383" s="3">
        <v>0.01</v>
      </c>
      <c r="AO383" s="3">
        <v>16.07</v>
      </c>
      <c r="AP383" s="3">
        <v>0</v>
      </c>
      <c r="AQ383" s="3">
        <v>1.2</v>
      </c>
      <c r="AR383" s="3">
        <v>0</v>
      </c>
      <c r="AS383" s="3">
        <v>0</v>
      </c>
      <c r="AT383" s="3">
        <v>90</v>
      </c>
      <c r="AU383" s="3">
        <v>46</v>
      </c>
      <c r="AV383" s="3">
        <v>1.0469999999999999</v>
      </c>
      <c r="AW383" s="3">
        <v>1</v>
      </c>
      <c r="AZ383" s="3">
        <v>1</v>
      </c>
      <c r="BA383" s="3">
        <v>56.35</v>
      </c>
      <c r="BB383" s="3">
        <v>20</v>
      </c>
      <c r="BC383" s="3">
        <v>9.84</v>
      </c>
      <c r="BD383" s="3" t="s">
        <v>3</v>
      </c>
      <c r="BE383" s="3" t="s">
        <v>3</v>
      </c>
      <c r="BF383" s="3" t="s">
        <v>3</v>
      </c>
      <c r="BG383" s="3" t="s">
        <v>3</v>
      </c>
      <c r="BH383" s="3">
        <v>0</v>
      </c>
      <c r="BI383" s="3">
        <v>2</v>
      </c>
      <c r="BJ383" s="3" t="s">
        <v>65</v>
      </c>
      <c r="BM383" s="3">
        <v>68</v>
      </c>
      <c r="BN383" s="3">
        <v>0</v>
      </c>
      <c r="BO383" s="3" t="s">
        <v>63</v>
      </c>
      <c r="BP383" s="3">
        <v>1</v>
      </c>
      <c r="BQ383" s="3">
        <v>40</v>
      </c>
      <c r="BR383" s="3">
        <v>0</v>
      </c>
      <c r="BS383" s="3">
        <v>56.35</v>
      </c>
      <c r="BT383" s="3">
        <v>1</v>
      </c>
      <c r="BU383" s="3">
        <v>1</v>
      </c>
      <c r="BV383" s="3">
        <v>1</v>
      </c>
      <c r="BW383" s="3">
        <v>1</v>
      </c>
      <c r="BX383" s="3">
        <v>1</v>
      </c>
      <c r="BY383" s="3" t="s">
        <v>3</v>
      </c>
      <c r="BZ383" s="3">
        <v>90</v>
      </c>
      <c r="CA383" s="3">
        <v>46</v>
      </c>
      <c r="CB383" s="3" t="s">
        <v>3</v>
      </c>
      <c r="CE383" s="3">
        <v>1566</v>
      </c>
      <c r="CF383" s="3">
        <v>0</v>
      </c>
      <c r="CG383" s="3">
        <v>0</v>
      </c>
      <c r="CM383" s="3">
        <v>0</v>
      </c>
      <c r="CN383" s="3" t="s">
        <v>614</v>
      </c>
      <c r="CO383" s="3">
        <v>0</v>
      </c>
      <c r="CP383" s="3">
        <f t="shared" si="285"/>
        <v>97294.7</v>
      </c>
      <c r="CQ383" s="3">
        <f>ROUND((ROUND((AC383*AW383*1),2)*BC383),2)</f>
        <v>19.29</v>
      </c>
      <c r="CR383" s="3">
        <f>(ROUND((ROUND((((ET383*1.2))*AV383*1),2)*BB383),2)+ROUND((ROUND(((AE383-((EU383*1.2)))*AV383*1),2)*BS383),2))</f>
        <v>1.2</v>
      </c>
      <c r="CS383" s="3">
        <f>(ROUND((ROUND((((EU383*1.2))*AV383*1),2)*BS383),2)+ROUND((ROUND(((AE383-((EU383*1.2)))*AV383*1),2)*BS383),2))</f>
        <v>0.56000000000000005</v>
      </c>
      <c r="CT383" s="3">
        <f t="shared" si="286"/>
        <v>1137.71</v>
      </c>
      <c r="CU383" s="3">
        <f t="shared" si="287"/>
        <v>0</v>
      </c>
      <c r="CV383" s="3">
        <f t="shared" si="288"/>
        <v>1.5076799999999999</v>
      </c>
      <c r="CW383" s="3">
        <f t="shared" si="289"/>
        <v>0</v>
      </c>
      <c r="CX383" s="3">
        <f t="shared" si="290"/>
        <v>0</v>
      </c>
      <c r="CY383" s="3">
        <f>(ROUND((((S383+ROUND((ROUND((((EU383*1.2))*AV383*1),2)*BS383),2))*AT383)/100),2)+ROUND(((ROUND((ROUND(((AE383-((EU383*1.2)))*AV383*1),2)*BS383),2)*AT383)/100),2))</f>
        <v>86012.64</v>
      </c>
      <c r="CZ383" s="3">
        <f>(ROUND((((S383+ROUND((ROUND((((EU383*1.2))*AV383*1),2)*BS383),2))*AU383)/100),2)+ROUND(((ROUND((ROUND(((AE383-((EU383*1.2)))*AV383*1),2)*BS383),2)*AU383)/100),2))</f>
        <v>43962.02</v>
      </c>
      <c r="DB383" s="3">
        <v>124</v>
      </c>
      <c r="DC383" s="3" t="s">
        <v>3</v>
      </c>
      <c r="DD383" s="3" t="s">
        <v>104</v>
      </c>
      <c r="DE383" s="3" t="s">
        <v>105</v>
      </c>
      <c r="DF383" s="3" t="s">
        <v>105</v>
      </c>
      <c r="DG383" s="3" t="s">
        <v>105</v>
      </c>
      <c r="DH383" s="3" t="s">
        <v>3</v>
      </c>
      <c r="DI383" s="3" t="s">
        <v>105</v>
      </c>
      <c r="DJ383" s="3" t="s">
        <v>105</v>
      </c>
      <c r="DK383" s="3" t="s">
        <v>3</v>
      </c>
      <c r="DL383" s="3" t="s">
        <v>3</v>
      </c>
      <c r="DM383" s="3" t="s">
        <v>3</v>
      </c>
      <c r="DN383" s="3">
        <v>0</v>
      </c>
      <c r="DO383" s="3">
        <v>0</v>
      </c>
      <c r="DP383" s="3">
        <v>1</v>
      </c>
      <c r="DQ383" s="3">
        <v>1</v>
      </c>
      <c r="DU383" s="3">
        <v>1013</v>
      </c>
      <c r="DV383" s="3" t="s">
        <v>26</v>
      </c>
      <c r="DW383" s="3" t="s">
        <v>26</v>
      </c>
      <c r="DX383" s="3">
        <v>1</v>
      </c>
      <c r="DZ383" s="3" t="s">
        <v>3</v>
      </c>
      <c r="EA383" s="3" t="s">
        <v>3</v>
      </c>
      <c r="EB383" s="3" t="s">
        <v>3</v>
      </c>
      <c r="EC383" s="3" t="s">
        <v>3</v>
      </c>
      <c r="EE383" s="3">
        <v>57042958</v>
      </c>
      <c r="EF383" s="3">
        <v>40</v>
      </c>
      <c r="EG383" s="3" t="s">
        <v>30</v>
      </c>
      <c r="EH383" s="3">
        <v>0</v>
      </c>
      <c r="EI383" s="3" t="s">
        <v>3</v>
      </c>
      <c r="EJ383" s="3">
        <v>2</v>
      </c>
      <c r="EK383" s="3">
        <v>68</v>
      </c>
      <c r="EL383" s="3" t="s">
        <v>38</v>
      </c>
      <c r="EM383" s="3" t="s">
        <v>39</v>
      </c>
      <c r="EO383" s="3" t="s">
        <v>109</v>
      </c>
      <c r="EQ383" s="3">
        <v>131072</v>
      </c>
      <c r="ER383" s="3">
        <v>18.079999999999998</v>
      </c>
      <c r="ES383" s="3">
        <v>1.96</v>
      </c>
      <c r="ET383" s="3">
        <v>0.05</v>
      </c>
      <c r="EU383" s="3">
        <v>0.01</v>
      </c>
      <c r="EV383" s="3">
        <v>16.07</v>
      </c>
      <c r="EW383" s="3">
        <v>1.2</v>
      </c>
      <c r="EX383" s="3">
        <v>0</v>
      </c>
      <c r="EY383" s="3">
        <v>0</v>
      </c>
      <c r="FQ383" s="3">
        <v>0</v>
      </c>
      <c r="FR383" s="3">
        <v>0</v>
      </c>
      <c r="FS383" s="3">
        <v>0</v>
      </c>
      <c r="FX383" s="3">
        <v>90</v>
      </c>
      <c r="FY383" s="3">
        <v>46</v>
      </c>
      <c r="GA383" s="3" t="s">
        <v>3</v>
      </c>
      <c r="GD383" s="3">
        <v>1</v>
      </c>
      <c r="GF383" s="3">
        <v>-1354403463</v>
      </c>
      <c r="GG383" s="3">
        <v>2</v>
      </c>
      <c r="GH383" s="3">
        <v>1</v>
      </c>
      <c r="GI383" s="3">
        <v>2</v>
      </c>
      <c r="GJ383" s="3">
        <v>0</v>
      </c>
      <c r="GK383" s="3">
        <v>0</v>
      </c>
      <c r="GL383" s="3">
        <f t="shared" si="291"/>
        <v>0</v>
      </c>
      <c r="GM383" s="3">
        <f t="shared" si="292"/>
        <v>227349.82</v>
      </c>
      <c r="GN383" s="3">
        <f t="shared" si="293"/>
        <v>0</v>
      </c>
      <c r="GO383" s="3">
        <f t="shared" si="294"/>
        <v>227349.82</v>
      </c>
      <c r="GP383" s="3">
        <f t="shared" si="295"/>
        <v>0</v>
      </c>
      <c r="GR383" s="3">
        <v>0</v>
      </c>
      <c r="GS383" s="3">
        <v>3</v>
      </c>
      <c r="GT383" s="3">
        <v>0</v>
      </c>
      <c r="GU383" s="3" t="s">
        <v>3</v>
      </c>
      <c r="GV383" s="3">
        <f t="shared" si="296"/>
        <v>0</v>
      </c>
      <c r="GW383" s="3">
        <v>1</v>
      </c>
      <c r="GX383" s="3">
        <f t="shared" si="297"/>
        <v>0</v>
      </c>
      <c r="HA383" s="3">
        <v>0</v>
      </c>
      <c r="HB383" s="3">
        <v>0</v>
      </c>
      <c r="HC383" s="3">
        <f t="shared" si="298"/>
        <v>0</v>
      </c>
      <c r="HE383" s="3" t="s">
        <v>3</v>
      </c>
      <c r="HF383" s="3" t="s">
        <v>3</v>
      </c>
      <c r="HM383" s="3" t="s">
        <v>3</v>
      </c>
      <c r="HN383" s="3" t="s">
        <v>3</v>
      </c>
      <c r="HO383" s="3" t="s">
        <v>3</v>
      </c>
      <c r="HP383" s="3" t="s">
        <v>3</v>
      </c>
      <c r="HQ383" s="3" t="s">
        <v>3</v>
      </c>
      <c r="HS383" s="3">
        <v>0</v>
      </c>
      <c r="IK383" s="3">
        <v>0</v>
      </c>
    </row>
    <row r="384" spans="1:255" x14ac:dyDescent="0.25">
      <c r="A384" s="2">
        <v>18</v>
      </c>
      <c r="B384" s="2">
        <v>1</v>
      </c>
      <c r="C384" s="2">
        <v>226</v>
      </c>
      <c r="D384" s="2"/>
      <c r="E384" s="2" t="s">
        <v>312</v>
      </c>
      <c r="F384" s="2" t="s">
        <v>313</v>
      </c>
      <c r="G384" s="2" t="s">
        <v>314</v>
      </c>
      <c r="H384" s="2" t="s">
        <v>177</v>
      </c>
      <c r="I384" s="2">
        <f>I382*J384</f>
        <v>84</v>
      </c>
      <c r="J384" s="2">
        <v>1</v>
      </c>
      <c r="K384" s="2">
        <v>1</v>
      </c>
      <c r="L384" s="2"/>
      <c r="M384" s="2"/>
      <c r="N384" s="2"/>
      <c r="O384" s="2">
        <f t="shared" si="276"/>
        <v>6462.96</v>
      </c>
      <c r="P384" s="2">
        <f>ROUND((ROUND((AC384*I384),2)*BC384),2)</f>
        <v>6462.96</v>
      </c>
      <c r="Q384" s="2">
        <f>(ROUND((ROUND(((ET384)*AV384*I384),2)*BB384),2)+ROUND((ROUND(((AE384-(EU384))*AV384*I384),2)*BS384),2))</f>
        <v>0</v>
      </c>
      <c r="R384" s="2">
        <f>(ROUND((ROUND(((EU384)*AV384*I384),2)*BS384),2)+ROUND((ROUND(((AE384-(EU384))*AV384*I384),2)*BS384),2))</f>
        <v>0</v>
      </c>
      <c r="S384" s="2">
        <f t="shared" si="277"/>
        <v>0</v>
      </c>
      <c r="T384" s="2">
        <f t="shared" si="278"/>
        <v>0</v>
      </c>
      <c r="U384" s="2">
        <f t="shared" si="279"/>
        <v>0</v>
      </c>
      <c r="V384" s="2">
        <f t="shared" si="280"/>
        <v>0</v>
      </c>
      <c r="W384" s="2">
        <f t="shared" si="281"/>
        <v>0</v>
      </c>
      <c r="X384" s="2">
        <f>(ROUND((((S384+ROUND((ROUND(((EU384)*AV384*I384),2)*BS384),2))*AT384)/100),2)+ROUND(((ROUND((ROUND(((AE384-(EU384))*AV384*I384),2)*BS384),2)*AT384)/100),2))</f>
        <v>0</v>
      </c>
      <c r="Y384" s="2">
        <f>(ROUND((((S384+ROUND((ROUND(((EU384)*AV384*I384),2)*BS384),2))*AU384)/100),2)+ROUND(((ROUND((ROUND(((AE384-(EU384))*AV384*I384),2)*BS384),2)*AU384)/100),2))</f>
        <v>0</v>
      </c>
      <c r="Z384" s="2"/>
      <c r="AA384" s="2">
        <v>57034452</v>
      </c>
      <c r="AB384" s="2">
        <f t="shared" si="282"/>
        <v>76.94</v>
      </c>
      <c r="AC384" s="2">
        <f>ROUND((ES384),6)</f>
        <v>76.94</v>
      </c>
      <c r="AD384" s="2">
        <f>ROUND((((ET384)-(EU384))+AE384),6)</f>
        <v>0</v>
      </c>
      <c r="AE384" s="2">
        <f>ROUND((EU384),6)</f>
        <v>0</v>
      </c>
      <c r="AF384" s="2">
        <f>ROUND((EV384),6)</f>
        <v>0</v>
      </c>
      <c r="AG384" s="2">
        <f t="shared" si="283"/>
        <v>0</v>
      </c>
      <c r="AH384" s="2">
        <f>(EW384)</f>
        <v>0</v>
      </c>
      <c r="AI384" s="2">
        <f>(EX384)</f>
        <v>0</v>
      </c>
      <c r="AJ384" s="2">
        <f t="shared" si="284"/>
        <v>0</v>
      </c>
      <c r="AK384" s="2">
        <v>76.939999999999984</v>
      </c>
      <c r="AL384" s="2">
        <v>76.939999999999984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1</v>
      </c>
      <c r="AW384" s="2">
        <v>1</v>
      </c>
      <c r="AX384" s="2"/>
      <c r="AY384" s="2"/>
      <c r="AZ384" s="2">
        <v>1</v>
      </c>
      <c r="BA384" s="2">
        <v>1</v>
      </c>
      <c r="BB384" s="2">
        <v>1</v>
      </c>
      <c r="BC384" s="2">
        <v>1</v>
      </c>
      <c r="BD384" s="2" t="s">
        <v>3</v>
      </c>
      <c r="BE384" s="2" t="s">
        <v>3</v>
      </c>
      <c r="BF384" s="2" t="s">
        <v>3</v>
      </c>
      <c r="BG384" s="2" t="s">
        <v>3</v>
      </c>
      <c r="BH384" s="2">
        <v>3</v>
      </c>
      <c r="BI384" s="2">
        <v>3</v>
      </c>
      <c r="BJ384" s="2" t="s">
        <v>3</v>
      </c>
      <c r="BK384" s="2"/>
      <c r="BL384" s="2"/>
      <c r="BM384" s="2">
        <v>746</v>
      </c>
      <c r="BN384" s="2">
        <v>0</v>
      </c>
      <c r="BO384" s="2" t="s">
        <v>3</v>
      </c>
      <c r="BP384" s="2">
        <v>0</v>
      </c>
      <c r="BQ384" s="2">
        <v>130</v>
      </c>
      <c r="BR384" s="2">
        <v>0</v>
      </c>
      <c r="BS384" s="2">
        <v>1</v>
      </c>
      <c r="BT384" s="2">
        <v>1</v>
      </c>
      <c r="BU384" s="2">
        <v>1</v>
      </c>
      <c r="BV384" s="2">
        <v>1</v>
      </c>
      <c r="BW384" s="2">
        <v>1</v>
      </c>
      <c r="BX384" s="2">
        <v>1</v>
      </c>
      <c r="BY384" s="2" t="s">
        <v>3</v>
      </c>
      <c r="BZ384" s="2">
        <v>90</v>
      </c>
      <c r="CA384" s="2">
        <v>46</v>
      </c>
      <c r="CB384" s="2" t="s">
        <v>3</v>
      </c>
      <c r="CC384" s="2"/>
      <c r="CD384" s="2"/>
      <c r="CE384" s="2">
        <v>1566</v>
      </c>
      <c r="CF384" s="2">
        <v>0</v>
      </c>
      <c r="CG384" s="2">
        <v>0</v>
      </c>
      <c r="CH384" s="2"/>
      <c r="CI384" s="2"/>
      <c r="CJ384" s="2"/>
      <c r="CK384" s="2"/>
      <c r="CL384" s="2"/>
      <c r="CM384" s="2">
        <v>0</v>
      </c>
      <c r="CN384" s="2" t="s">
        <v>615</v>
      </c>
      <c r="CO384" s="2">
        <v>0</v>
      </c>
      <c r="CP384" s="2">
        <f t="shared" si="285"/>
        <v>6462.96</v>
      </c>
      <c r="CQ384" s="2">
        <f>ROUND((ROUND((AC384*1),2)*BC384),2)</f>
        <v>76.94</v>
      </c>
      <c r="CR384" s="2">
        <f>(ROUND((ROUND(((ET384)*AV384*1),2)*BB384),2)+ROUND((ROUND(((AE384-(EU384))*AV384*1),2)*BS384),2))</f>
        <v>0</v>
      </c>
      <c r="CS384" s="2">
        <f>(ROUND((ROUND(((EU384)*AV384*1),2)*BS384),2)+ROUND((ROUND(((AE384-(EU384))*AV384*1),2)*BS384),2))</f>
        <v>0</v>
      </c>
      <c r="CT384" s="2">
        <f t="shared" si="286"/>
        <v>0</v>
      </c>
      <c r="CU384" s="2">
        <f t="shared" si="287"/>
        <v>0</v>
      </c>
      <c r="CV384" s="2">
        <f t="shared" si="288"/>
        <v>0</v>
      </c>
      <c r="CW384" s="2">
        <f t="shared" si="289"/>
        <v>0</v>
      </c>
      <c r="CX384" s="2">
        <f t="shared" si="290"/>
        <v>0</v>
      </c>
      <c r="CY384" s="2">
        <f>(ROUND((((S384+ROUND((ROUND(((EU384)*AV384*1),2)*BS384),2))*AT384)/100),2)+ROUND(((ROUND((ROUND(((AE384-(EU384))*AV384*1),2)*BS384),2)*AT384)/100),2))</f>
        <v>0</v>
      </c>
      <c r="CZ384" s="2">
        <f>(ROUND((((S384+ROUND((ROUND(((EU384)*AV384*1),2)*BS384),2))*AU384)/100),2)+ROUND(((ROUND((ROUND(((AE384-(EU384))*AV384*1),2)*BS384),2)*AU384)/100),2))</f>
        <v>0</v>
      </c>
      <c r="DA384" s="2"/>
      <c r="DB384" s="2"/>
      <c r="DC384" s="2" t="s">
        <v>3</v>
      </c>
      <c r="DD384" s="2" t="s">
        <v>3</v>
      </c>
      <c r="DE384" s="2" t="s">
        <v>3</v>
      </c>
      <c r="DF384" s="2" t="s">
        <v>3</v>
      </c>
      <c r="DG384" s="2" t="s">
        <v>3</v>
      </c>
      <c r="DH384" s="2" t="s">
        <v>3</v>
      </c>
      <c r="DI384" s="2" t="s">
        <v>3</v>
      </c>
      <c r="DJ384" s="2" t="s">
        <v>3</v>
      </c>
      <c r="DK384" s="2" t="s">
        <v>3</v>
      </c>
      <c r="DL384" s="2" t="s">
        <v>3</v>
      </c>
      <c r="DM384" s="2" t="s">
        <v>3</v>
      </c>
      <c r="DN384" s="2">
        <v>0</v>
      </c>
      <c r="DO384" s="2">
        <v>0</v>
      </c>
      <c r="DP384" s="2">
        <v>1</v>
      </c>
      <c r="DQ384" s="2">
        <v>1</v>
      </c>
      <c r="DR384" s="2"/>
      <c r="DS384" s="2"/>
      <c r="DT384" s="2"/>
      <c r="DU384" s="2">
        <v>1010</v>
      </c>
      <c r="DV384" s="2" t="s">
        <v>177</v>
      </c>
      <c r="DW384" s="2" t="s">
        <v>177</v>
      </c>
      <c r="DX384" s="2">
        <v>1</v>
      </c>
      <c r="DY384" s="2"/>
      <c r="DZ384" s="2" t="s">
        <v>3</v>
      </c>
      <c r="EA384" s="2" t="s">
        <v>3</v>
      </c>
      <c r="EB384" s="2" t="s">
        <v>3</v>
      </c>
      <c r="EC384" s="2" t="s">
        <v>3</v>
      </c>
      <c r="ED384" s="2"/>
      <c r="EE384" s="2">
        <v>57043064</v>
      </c>
      <c r="EF384" s="2">
        <v>130</v>
      </c>
      <c r="EG384" s="2" t="s">
        <v>178</v>
      </c>
      <c r="EH384" s="2">
        <v>0</v>
      </c>
      <c r="EI384" s="2" t="s">
        <v>3</v>
      </c>
      <c r="EJ384" s="2">
        <v>3</v>
      </c>
      <c r="EK384" s="2">
        <v>746</v>
      </c>
      <c r="EL384" s="2" t="s">
        <v>179</v>
      </c>
      <c r="EM384" s="2" t="s">
        <v>180</v>
      </c>
      <c r="EN384" s="2"/>
      <c r="EO384" s="2" t="s">
        <v>109</v>
      </c>
      <c r="EP384" s="2"/>
      <c r="EQ384" s="2">
        <v>2097152</v>
      </c>
      <c r="ER384" s="2">
        <v>0</v>
      </c>
      <c r="ES384" s="2">
        <v>76.939999999999984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>
        <v>0</v>
      </c>
      <c r="FR384" s="2">
        <f>P384</f>
        <v>6462.96</v>
      </c>
      <c r="FS384" s="2">
        <v>0</v>
      </c>
      <c r="FT384" s="2"/>
      <c r="FU384" s="2"/>
      <c r="FV384" s="2"/>
      <c r="FW384" s="2"/>
      <c r="FX384" s="2">
        <v>90</v>
      </c>
      <c r="FY384" s="2">
        <v>46</v>
      </c>
      <c r="FZ384" s="2"/>
      <c r="GA384" s="2" t="s">
        <v>315</v>
      </c>
      <c r="GB384" s="2"/>
      <c r="GC384" s="2"/>
      <c r="GD384" s="2">
        <v>1</v>
      </c>
      <c r="GE384" s="2"/>
      <c r="GF384" s="2">
        <v>-1794173007</v>
      </c>
      <c r="GG384" s="2">
        <v>2</v>
      </c>
      <c r="GH384" s="2">
        <v>4</v>
      </c>
      <c r="GI384" s="2">
        <v>-2</v>
      </c>
      <c r="GJ384" s="2">
        <v>0</v>
      </c>
      <c r="GK384" s="2">
        <v>0</v>
      </c>
      <c r="GL384" s="2">
        <f t="shared" si="291"/>
        <v>0</v>
      </c>
      <c r="GM384" s="2">
        <f t="shared" si="292"/>
        <v>6462.96</v>
      </c>
      <c r="GN384" s="2">
        <f t="shared" si="293"/>
        <v>0</v>
      </c>
      <c r="GO384" s="2">
        <f t="shared" si="294"/>
        <v>0</v>
      </c>
      <c r="GP384" s="2">
        <f t="shared" si="295"/>
        <v>0</v>
      </c>
      <c r="GQ384" s="2"/>
      <c r="GR384" s="2">
        <v>0</v>
      </c>
      <c r="GS384" s="2">
        <v>2</v>
      </c>
      <c r="GT384" s="2">
        <v>0</v>
      </c>
      <c r="GU384" s="2" t="s">
        <v>3</v>
      </c>
      <c r="GV384" s="2">
        <f t="shared" si="296"/>
        <v>0</v>
      </c>
      <c r="GW384" s="2">
        <v>1</v>
      </c>
      <c r="GX384" s="2">
        <f t="shared" si="297"/>
        <v>0</v>
      </c>
      <c r="GY384" s="2"/>
      <c r="GZ384" s="2"/>
      <c r="HA384" s="2">
        <v>0</v>
      </c>
      <c r="HB384" s="2">
        <v>0</v>
      </c>
      <c r="HC384" s="2">
        <f t="shared" si="298"/>
        <v>0</v>
      </c>
      <c r="HD384" s="2"/>
      <c r="HE384" s="2" t="s">
        <v>40</v>
      </c>
      <c r="HF384" s="2" t="s">
        <v>182</v>
      </c>
      <c r="HG384" s="2"/>
      <c r="HH384" s="2"/>
      <c r="HI384" s="2"/>
      <c r="HJ384" s="2"/>
      <c r="HK384" s="2"/>
      <c r="HL384" s="2"/>
      <c r="HM384" s="2" t="s">
        <v>104</v>
      </c>
      <c r="HN384" s="2" t="s">
        <v>3</v>
      </c>
      <c r="HO384" s="2" t="s">
        <v>3</v>
      </c>
      <c r="HP384" s="2" t="s">
        <v>3</v>
      </c>
      <c r="HQ384" s="2" t="s">
        <v>3</v>
      </c>
      <c r="HR384" s="2"/>
      <c r="HS384" s="2">
        <v>0</v>
      </c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>
        <v>0</v>
      </c>
      <c r="IL384" s="2"/>
      <c r="IM384" s="2"/>
      <c r="IN384" s="2"/>
      <c r="IO384" s="2"/>
      <c r="IP384" s="2"/>
      <c r="IQ384" s="2"/>
      <c r="IR384" s="2"/>
      <c r="IS384" s="2"/>
      <c r="IT384" s="2"/>
      <c r="IU384" s="2"/>
    </row>
    <row r="385" spans="1:255" x14ac:dyDescent="0.25">
      <c r="A385" s="3">
        <v>18</v>
      </c>
      <c r="B385" s="3">
        <v>1</v>
      </c>
      <c r="C385" s="3">
        <v>228</v>
      </c>
      <c r="E385" s="3" t="s">
        <v>312</v>
      </c>
      <c r="F385" s="3" t="s">
        <v>313</v>
      </c>
      <c r="G385" s="3" t="s">
        <v>314</v>
      </c>
      <c r="H385" s="3" t="s">
        <v>177</v>
      </c>
      <c r="I385" s="3">
        <f>I383*J385</f>
        <v>84</v>
      </c>
      <c r="J385" s="3">
        <v>1</v>
      </c>
      <c r="K385" s="3">
        <v>1</v>
      </c>
      <c r="O385" s="3">
        <f t="shared" si="276"/>
        <v>48924.61</v>
      </c>
      <c r="P385" s="3">
        <f>ROUND((ROUND((AC385*I385),2)*BC385),2)</f>
        <v>48924.61</v>
      </c>
      <c r="Q385" s="3">
        <f>(ROUND((ROUND(((ET385)*AV385*I385),2)*BB385),2)+ROUND((ROUND(((AE385-(EU385))*AV385*I385),2)*BS385),2))</f>
        <v>0</v>
      </c>
      <c r="R385" s="3">
        <f>(ROUND((ROUND(((EU385)*AV385*I385),2)*BS385),2)+ROUND((ROUND(((AE385-(EU385))*AV385*I385),2)*BS385),2))</f>
        <v>0</v>
      </c>
      <c r="S385" s="3">
        <f t="shared" si="277"/>
        <v>0</v>
      </c>
      <c r="T385" s="3">
        <f t="shared" si="278"/>
        <v>0</v>
      </c>
      <c r="U385" s="3">
        <f t="shared" si="279"/>
        <v>0</v>
      </c>
      <c r="V385" s="3">
        <f t="shared" si="280"/>
        <v>0</v>
      </c>
      <c r="W385" s="3">
        <f t="shared" si="281"/>
        <v>0</v>
      </c>
      <c r="X385" s="3">
        <f>(ROUND((((S385+ROUND((ROUND(((EU385)*AV385*I385),2)*BS385),2))*AT385)/100),2)+ROUND(((ROUND((ROUND(((AE385-(EU385))*AV385*I385),2)*BS385),2)*AT385)/100),2))</f>
        <v>0</v>
      </c>
      <c r="Y385" s="3">
        <f>(ROUND((((S385+ROUND((ROUND(((EU385)*AV385*I385),2)*BS385),2))*AU385)/100),2)+ROUND(((ROUND((ROUND(((AE385-(EU385))*AV385*I385),2)*BS385),2)*AU385)/100),2))</f>
        <v>0</v>
      </c>
      <c r="AA385" s="3">
        <v>57034454</v>
      </c>
      <c r="AB385" s="3">
        <f t="shared" si="282"/>
        <v>76.94</v>
      </c>
      <c r="AC385" s="3">
        <f>ROUND((ES385),6)</f>
        <v>76.94</v>
      </c>
      <c r="AD385" s="3">
        <f>ROUND((((ET385)-(EU385))+AE385),6)</f>
        <v>0</v>
      </c>
      <c r="AE385" s="3">
        <f>ROUND((EU385),6)</f>
        <v>0</v>
      </c>
      <c r="AF385" s="3">
        <f>ROUND((EV385),6)</f>
        <v>0</v>
      </c>
      <c r="AG385" s="3">
        <f t="shared" si="283"/>
        <v>0</v>
      </c>
      <c r="AH385" s="3">
        <f>(EW385)</f>
        <v>0</v>
      </c>
      <c r="AI385" s="3">
        <f>(EX385)</f>
        <v>0</v>
      </c>
      <c r="AJ385" s="3">
        <f t="shared" si="284"/>
        <v>0</v>
      </c>
      <c r="AK385" s="3">
        <v>76.939999999999984</v>
      </c>
      <c r="AL385" s="3">
        <v>76.939999999999984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1</v>
      </c>
      <c r="AW385" s="3">
        <v>1</v>
      </c>
      <c r="AZ385" s="3">
        <v>1</v>
      </c>
      <c r="BA385" s="3">
        <v>1</v>
      </c>
      <c r="BB385" s="3">
        <v>1</v>
      </c>
      <c r="BC385" s="3">
        <v>7.57</v>
      </c>
      <c r="BD385" s="3" t="s">
        <v>3</v>
      </c>
      <c r="BE385" s="3" t="s">
        <v>3</v>
      </c>
      <c r="BF385" s="3" t="s">
        <v>3</v>
      </c>
      <c r="BG385" s="3" t="s">
        <v>3</v>
      </c>
      <c r="BH385" s="3">
        <v>3</v>
      </c>
      <c r="BI385" s="3">
        <v>3</v>
      </c>
      <c r="BJ385" s="3" t="s">
        <v>3</v>
      </c>
      <c r="BM385" s="3">
        <v>746</v>
      </c>
      <c r="BN385" s="3">
        <v>0</v>
      </c>
      <c r="BO385" s="3" t="s">
        <v>3</v>
      </c>
      <c r="BP385" s="3">
        <v>0</v>
      </c>
      <c r="BQ385" s="3">
        <v>130</v>
      </c>
      <c r="BR385" s="3">
        <v>0</v>
      </c>
      <c r="BS385" s="3">
        <v>1</v>
      </c>
      <c r="BT385" s="3">
        <v>1</v>
      </c>
      <c r="BU385" s="3">
        <v>1</v>
      </c>
      <c r="BV385" s="3">
        <v>1</v>
      </c>
      <c r="BW385" s="3">
        <v>1</v>
      </c>
      <c r="BX385" s="3">
        <v>1</v>
      </c>
      <c r="BY385" s="3" t="s">
        <v>3</v>
      </c>
      <c r="BZ385" s="3">
        <v>90</v>
      </c>
      <c r="CA385" s="3">
        <v>46</v>
      </c>
      <c r="CB385" s="3" t="s">
        <v>3</v>
      </c>
      <c r="CE385" s="3">
        <v>1566</v>
      </c>
      <c r="CF385" s="3">
        <v>0</v>
      </c>
      <c r="CG385" s="3">
        <v>0</v>
      </c>
      <c r="CM385" s="3">
        <v>0</v>
      </c>
      <c r="CN385" s="3" t="s">
        <v>615</v>
      </c>
      <c r="CO385" s="3">
        <v>0</v>
      </c>
      <c r="CP385" s="3">
        <f t="shared" si="285"/>
        <v>48924.61</v>
      </c>
      <c r="CQ385" s="3">
        <f>ROUND((ROUND((AC385*1),2)*BC385),2)</f>
        <v>582.44000000000005</v>
      </c>
      <c r="CR385" s="3">
        <f>(ROUND((ROUND(((ET385)*AV385*1),2)*BB385),2)+ROUND((ROUND(((AE385-(EU385))*AV385*1),2)*BS385),2))</f>
        <v>0</v>
      </c>
      <c r="CS385" s="3">
        <f>(ROUND((ROUND(((EU385)*AV385*1),2)*BS385),2)+ROUND((ROUND(((AE385-(EU385))*AV385*1),2)*BS385),2))</f>
        <v>0</v>
      </c>
      <c r="CT385" s="3">
        <f t="shared" si="286"/>
        <v>0</v>
      </c>
      <c r="CU385" s="3">
        <f t="shared" si="287"/>
        <v>0</v>
      </c>
      <c r="CV385" s="3">
        <f t="shared" si="288"/>
        <v>0</v>
      </c>
      <c r="CW385" s="3">
        <f t="shared" si="289"/>
        <v>0</v>
      </c>
      <c r="CX385" s="3">
        <f t="shared" si="290"/>
        <v>0</v>
      </c>
      <c r="CY385" s="3">
        <f>(ROUND((((S385+ROUND((ROUND(((EU385)*AV385*1),2)*BS385),2))*AT385)/100),2)+ROUND(((ROUND((ROUND(((AE385-(EU385))*AV385*1),2)*BS385),2)*AT385)/100),2))</f>
        <v>0</v>
      </c>
      <c r="CZ385" s="3">
        <f>(ROUND((((S385+ROUND((ROUND(((EU385)*AV385*1),2)*BS385),2))*AU385)/100),2)+ROUND(((ROUND((ROUND(((AE385-(EU385))*AV385*1),2)*BS385),2)*AU385)/100),2))</f>
        <v>0</v>
      </c>
      <c r="DC385" s="3" t="s">
        <v>3</v>
      </c>
      <c r="DD385" s="3" t="s">
        <v>3</v>
      </c>
      <c r="DE385" s="3" t="s">
        <v>3</v>
      </c>
      <c r="DF385" s="3" t="s">
        <v>3</v>
      </c>
      <c r="DG385" s="3" t="s">
        <v>3</v>
      </c>
      <c r="DH385" s="3" t="s">
        <v>3</v>
      </c>
      <c r="DI385" s="3" t="s">
        <v>3</v>
      </c>
      <c r="DJ385" s="3" t="s">
        <v>3</v>
      </c>
      <c r="DK385" s="3" t="s">
        <v>3</v>
      </c>
      <c r="DL385" s="3" t="s">
        <v>3</v>
      </c>
      <c r="DM385" s="3" t="s">
        <v>3</v>
      </c>
      <c r="DN385" s="3">
        <v>0</v>
      </c>
      <c r="DO385" s="3">
        <v>0</v>
      </c>
      <c r="DP385" s="3">
        <v>1</v>
      </c>
      <c r="DQ385" s="3">
        <v>1</v>
      </c>
      <c r="DU385" s="3">
        <v>1010</v>
      </c>
      <c r="DV385" s="3" t="s">
        <v>177</v>
      </c>
      <c r="DW385" s="3" t="s">
        <v>177</v>
      </c>
      <c r="DX385" s="3">
        <v>1</v>
      </c>
      <c r="DZ385" s="3" t="s">
        <v>3</v>
      </c>
      <c r="EA385" s="3" t="s">
        <v>3</v>
      </c>
      <c r="EB385" s="3" t="s">
        <v>3</v>
      </c>
      <c r="EC385" s="3" t="s">
        <v>3</v>
      </c>
      <c r="EE385" s="3">
        <v>57043064</v>
      </c>
      <c r="EF385" s="3">
        <v>130</v>
      </c>
      <c r="EG385" s="3" t="s">
        <v>178</v>
      </c>
      <c r="EH385" s="3">
        <v>0</v>
      </c>
      <c r="EI385" s="3" t="s">
        <v>3</v>
      </c>
      <c r="EJ385" s="3">
        <v>3</v>
      </c>
      <c r="EK385" s="3">
        <v>746</v>
      </c>
      <c r="EL385" s="3" t="s">
        <v>179</v>
      </c>
      <c r="EM385" s="3" t="s">
        <v>180</v>
      </c>
      <c r="EO385" s="3" t="s">
        <v>109</v>
      </c>
      <c r="EQ385" s="3">
        <v>2097152</v>
      </c>
      <c r="ER385" s="3">
        <v>76.939999999999984</v>
      </c>
      <c r="ES385" s="3">
        <v>76.939999999999984</v>
      </c>
      <c r="ET385" s="3">
        <v>0</v>
      </c>
      <c r="EU385" s="3">
        <v>0</v>
      </c>
      <c r="EV385" s="3">
        <v>0</v>
      </c>
      <c r="EW385" s="3">
        <v>0</v>
      </c>
      <c r="EX385" s="3">
        <v>0</v>
      </c>
      <c r="EZ385" s="3">
        <v>5</v>
      </c>
      <c r="FC385" s="3">
        <v>1</v>
      </c>
      <c r="FD385" s="3">
        <v>18</v>
      </c>
      <c r="FF385" s="3">
        <v>681.72</v>
      </c>
      <c r="FQ385" s="3">
        <v>0</v>
      </c>
      <c r="FR385" s="3">
        <f>P385</f>
        <v>48924.61</v>
      </c>
      <c r="FS385" s="3">
        <v>0</v>
      </c>
      <c r="FX385" s="3">
        <v>90</v>
      </c>
      <c r="FY385" s="3">
        <v>46</v>
      </c>
      <c r="GA385" s="3" t="s">
        <v>315</v>
      </c>
      <c r="GD385" s="3">
        <v>1</v>
      </c>
      <c r="GF385" s="3">
        <v>-1794173007</v>
      </c>
      <c r="GG385" s="3">
        <v>2</v>
      </c>
      <c r="GH385" s="3">
        <v>3</v>
      </c>
      <c r="GI385" s="3">
        <v>5</v>
      </c>
      <c r="GJ385" s="3">
        <v>0</v>
      </c>
      <c r="GK385" s="3">
        <v>0</v>
      </c>
      <c r="GL385" s="3">
        <f t="shared" si="291"/>
        <v>0</v>
      </c>
      <c r="GM385" s="3">
        <f t="shared" si="292"/>
        <v>48924.61</v>
      </c>
      <c r="GN385" s="3">
        <f t="shared" si="293"/>
        <v>0</v>
      </c>
      <c r="GO385" s="3">
        <f t="shared" si="294"/>
        <v>0</v>
      </c>
      <c r="GP385" s="3">
        <f t="shared" si="295"/>
        <v>0</v>
      </c>
      <c r="GR385" s="3">
        <v>1</v>
      </c>
      <c r="GS385" s="3">
        <v>1</v>
      </c>
      <c r="GT385" s="3">
        <v>0</v>
      </c>
      <c r="GU385" s="3" t="s">
        <v>3</v>
      </c>
      <c r="GV385" s="3">
        <f t="shared" si="296"/>
        <v>0</v>
      </c>
      <c r="GW385" s="3">
        <v>1</v>
      </c>
      <c r="GX385" s="3">
        <f t="shared" si="297"/>
        <v>0</v>
      </c>
      <c r="HA385" s="3">
        <v>0</v>
      </c>
      <c r="HB385" s="3">
        <v>0</v>
      </c>
      <c r="HC385" s="3">
        <f t="shared" si="298"/>
        <v>0</v>
      </c>
      <c r="HE385" s="3" t="s">
        <v>40</v>
      </c>
      <c r="HF385" s="3" t="s">
        <v>182</v>
      </c>
      <c r="HM385" s="3" t="s">
        <v>104</v>
      </c>
      <c r="HN385" s="3" t="s">
        <v>3</v>
      </c>
      <c r="HO385" s="3" t="s">
        <v>3</v>
      </c>
      <c r="HP385" s="3" t="s">
        <v>3</v>
      </c>
      <c r="HQ385" s="3" t="s">
        <v>3</v>
      </c>
      <c r="HS385" s="3">
        <v>0</v>
      </c>
      <c r="IK385" s="3">
        <v>0</v>
      </c>
    </row>
    <row r="386" spans="1:255" x14ac:dyDescent="0.25">
      <c r="A386" s="2">
        <v>17</v>
      </c>
      <c r="B386" s="2">
        <v>1</v>
      </c>
      <c r="C386" s="2">
        <f>ROW(SmtRes!A239)</f>
        <v>239</v>
      </c>
      <c r="D386" s="2">
        <f>ROW(EtalonRes!A252)</f>
        <v>252</v>
      </c>
      <c r="E386" s="2" t="s">
        <v>316</v>
      </c>
      <c r="F386" s="2" t="s">
        <v>317</v>
      </c>
      <c r="G386" s="2" t="s">
        <v>318</v>
      </c>
      <c r="H386" s="2" t="s">
        <v>26</v>
      </c>
      <c r="I386" s="2">
        <v>15</v>
      </c>
      <c r="J386" s="2">
        <v>0</v>
      </c>
      <c r="K386" s="2">
        <v>15</v>
      </c>
      <c r="L386" s="2"/>
      <c r="M386" s="2"/>
      <c r="N386" s="2"/>
      <c r="O386" s="2">
        <f t="shared" si="276"/>
        <v>2547.67</v>
      </c>
      <c r="P386" s="2">
        <f>ROUND((ROUND((AC386*AW386*I386),2)*BC386),2)</f>
        <v>1340.4</v>
      </c>
      <c r="Q386" s="2">
        <f>(ROUND((ROUND((((ET386*1.2))*AV386*I386),2)*BB386),2)+ROUND((ROUND(((AE386-((EU386*1.2)))*AV386*I386),2)*BS386),2))</f>
        <v>80.47</v>
      </c>
      <c r="R386" s="2">
        <f>(ROUND((ROUND((((EU386*1.2))*AV386*I386),2)*BS386),2)+ROUND((ROUND(((AE386-((EU386*1.2)))*AV386*I386),2)*BS386),2))</f>
        <v>7.16</v>
      </c>
      <c r="S386" s="2">
        <f t="shared" si="277"/>
        <v>1126.8</v>
      </c>
      <c r="T386" s="2">
        <f t="shared" si="278"/>
        <v>0</v>
      </c>
      <c r="U386" s="2">
        <f t="shared" si="279"/>
        <v>97.056899999999999</v>
      </c>
      <c r="V386" s="2">
        <f t="shared" si="280"/>
        <v>0</v>
      </c>
      <c r="W386" s="2">
        <f t="shared" si="281"/>
        <v>0</v>
      </c>
      <c r="X386" s="2">
        <f>(ROUND((((S386+ROUND((ROUND((((EU386*1.2))*AV386*I386),2)*BS386),2))*AT386)/100),2)+ROUND(((ROUND((ROUND(((AE386-((EU386*1.2)))*AV386*I386),2)*BS386),2)*AT386)/100),2))</f>
        <v>1020.56</v>
      </c>
      <c r="Y386" s="2">
        <f>(ROUND((((S386+ROUND((ROUND((((EU386*1.2))*AV386*I386),2)*BS386),2))*AU386)/100),2)+ROUND(((ROUND((ROUND(((AE386-((EU386*1.2)))*AV386*I386),2)*BS386),2)*AU386)/100),2))</f>
        <v>521.62</v>
      </c>
      <c r="Z386" s="2"/>
      <c r="AA386" s="2">
        <v>57034452</v>
      </c>
      <c r="AB386" s="2">
        <f t="shared" si="282"/>
        <v>166.232</v>
      </c>
      <c r="AC386" s="2">
        <f>ROUND(((ES386*1)),6)</f>
        <v>89.36</v>
      </c>
      <c r="AD386" s="2">
        <f>ROUND(((((ET386*1.2))-((EU386*1.2)))+AE386),6)</f>
        <v>5.1239999999999997</v>
      </c>
      <c r="AE386" s="2">
        <f>ROUND(((EU386*1.2)),6)</f>
        <v>0.45600000000000002</v>
      </c>
      <c r="AF386" s="2">
        <f>ROUND(((EV386*1.2)),6)</f>
        <v>71.748000000000005</v>
      </c>
      <c r="AG386" s="2">
        <f t="shared" si="283"/>
        <v>0</v>
      </c>
      <c r="AH386" s="2">
        <f>((EW386*1.2))</f>
        <v>6.1800000000000006</v>
      </c>
      <c r="AI386" s="2">
        <f>((EX386*1.2))</f>
        <v>0</v>
      </c>
      <c r="AJ386" s="2">
        <f t="shared" si="284"/>
        <v>0</v>
      </c>
      <c r="AK386" s="2">
        <v>153.41999999999999</v>
      </c>
      <c r="AL386" s="2">
        <v>89.36</v>
      </c>
      <c r="AM386" s="2">
        <v>4.2699999999999996</v>
      </c>
      <c r="AN386" s="2">
        <v>0.38</v>
      </c>
      <c r="AO386" s="2">
        <v>59.79</v>
      </c>
      <c r="AP386" s="2">
        <v>0</v>
      </c>
      <c r="AQ386" s="2">
        <v>5.15</v>
      </c>
      <c r="AR386" s="2">
        <v>0</v>
      </c>
      <c r="AS386" s="2">
        <v>0</v>
      </c>
      <c r="AT386" s="2">
        <v>90</v>
      </c>
      <c r="AU386" s="2">
        <v>46</v>
      </c>
      <c r="AV386" s="2">
        <v>1.0469999999999999</v>
      </c>
      <c r="AW386" s="2">
        <v>1</v>
      </c>
      <c r="AX386" s="2"/>
      <c r="AY386" s="2"/>
      <c r="AZ386" s="2">
        <v>1</v>
      </c>
      <c r="BA386" s="2">
        <v>1</v>
      </c>
      <c r="BB386" s="2">
        <v>1</v>
      </c>
      <c r="BC386" s="2">
        <v>1</v>
      </c>
      <c r="BD386" s="2" t="s">
        <v>3</v>
      </c>
      <c r="BE386" s="2" t="s">
        <v>3</v>
      </c>
      <c r="BF386" s="2" t="s">
        <v>3</v>
      </c>
      <c r="BG386" s="2" t="s">
        <v>3</v>
      </c>
      <c r="BH386" s="2">
        <v>0</v>
      </c>
      <c r="BI386" s="2">
        <v>2</v>
      </c>
      <c r="BJ386" s="2" t="s">
        <v>319</v>
      </c>
      <c r="BK386" s="2"/>
      <c r="BL386" s="2"/>
      <c r="BM386" s="2">
        <v>72</v>
      </c>
      <c r="BN386" s="2">
        <v>0</v>
      </c>
      <c r="BO386" s="2" t="s">
        <v>317</v>
      </c>
      <c r="BP386" s="2">
        <v>1</v>
      </c>
      <c r="BQ386" s="2">
        <v>40</v>
      </c>
      <c r="BR386" s="2">
        <v>0</v>
      </c>
      <c r="BS386" s="2">
        <v>1</v>
      </c>
      <c r="BT386" s="2">
        <v>1</v>
      </c>
      <c r="BU386" s="2">
        <v>1</v>
      </c>
      <c r="BV386" s="2">
        <v>1</v>
      </c>
      <c r="BW386" s="2">
        <v>1</v>
      </c>
      <c r="BX386" s="2">
        <v>1</v>
      </c>
      <c r="BY386" s="2" t="s">
        <v>3</v>
      </c>
      <c r="BZ386" s="2">
        <v>90</v>
      </c>
      <c r="CA386" s="2">
        <v>46</v>
      </c>
      <c r="CB386" s="2" t="s">
        <v>3</v>
      </c>
      <c r="CC386" s="2"/>
      <c r="CD386" s="2"/>
      <c r="CE386" s="2">
        <v>1566</v>
      </c>
      <c r="CF386" s="2">
        <v>0</v>
      </c>
      <c r="CG386" s="2">
        <v>0</v>
      </c>
      <c r="CH386" s="2"/>
      <c r="CI386" s="2"/>
      <c r="CJ386" s="2"/>
      <c r="CK386" s="2"/>
      <c r="CL386" s="2"/>
      <c r="CM386" s="2">
        <v>0</v>
      </c>
      <c r="CN386" s="2" t="s">
        <v>614</v>
      </c>
      <c r="CO386" s="2">
        <v>0</v>
      </c>
      <c r="CP386" s="2">
        <f t="shared" si="285"/>
        <v>2547.67</v>
      </c>
      <c r="CQ386" s="2">
        <f>ROUND((ROUND((AC386*AW386*1),2)*BC386),2)</f>
        <v>89.36</v>
      </c>
      <c r="CR386" s="2">
        <f>(ROUND((ROUND((((ET386*1.2))*AV386*1),2)*BB386),2)+ROUND((ROUND(((AE386-((EU386*1.2)))*AV386*1),2)*BS386),2))</f>
        <v>5.36</v>
      </c>
      <c r="CS386" s="2">
        <f>(ROUND((ROUND((((EU386*1.2))*AV386*1),2)*BS386),2)+ROUND((ROUND(((AE386-((EU386*1.2)))*AV386*1),2)*BS386),2))</f>
        <v>0.48</v>
      </c>
      <c r="CT386" s="2">
        <f t="shared" si="286"/>
        <v>75.12</v>
      </c>
      <c r="CU386" s="2">
        <f t="shared" si="287"/>
        <v>0</v>
      </c>
      <c r="CV386" s="2">
        <f t="shared" si="288"/>
        <v>6.4704600000000001</v>
      </c>
      <c r="CW386" s="2">
        <f t="shared" si="289"/>
        <v>0</v>
      </c>
      <c r="CX386" s="2">
        <f t="shared" si="290"/>
        <v>0</v>
      </c>
      <c r="CY386" s="2">
        <f>(ROUND((((S386+ROUND((ROUND((((EU386*1.2))*AV386*1),2)*BS386),2))*AT386)/100),2)+ROUND(((ROUND((ROUND(((AE386-((EU386*1.2)))*AV386*1),2)*BS386),2)*AT386)/100),2))</f>
        <v>1014.55</v>
      </c>
      <c r="CZ386" s="2">
        <f>(ROUND((((S386+ROUND((ROUND((((EU386*1.2))*AV386*1),2)*BS386),2))*AU386)/100),2)+ROUND(((ROUND((ROUND(((AE386-((EU386*1.2)))*AV386*1),2)*BS386),2)*AU386)/100),2))</f>
        <v>518.54999999999995</v>
      </c>
      <c r="DA386" s="2"/>
      <c r="DB386" s="2">
        <v>125</v>
      </c>
      <c r="DC386" s="2" t="s">
        <v>3</v>
      </c>
      <c r="DD386" s="2" t="s">
        <v>104</v>
      </c>
      <c r="DE386" s="2" t="s">
        <v>105</v>
      </c>
      <c r="DF386" s="2" t="s">
        <v>105</v>
      </c>
      <c r="DG386" s="2" t="s">
        <v>105</v>
      </c>
      <c r="DH386" s="2" t="s">
        <v>3</v>
      </c>
      <c r="DI386" s="2" t="s">
        <v>105</v>
      </c>
      <c r="DJ386" s="2" t="s">
        <v>105</v>
      </c>
      <c r="DK386" s="2" t="s">
        <v>3</v>
      </c>
      <c r="DL386" s="2" t="s">
        <v>3</v>
      </c>
      <c r="DM386" s="2" t="s">
        <v>3</v>
      </c>
      <c r="DN386" s="2">
        <v>0</v>
      </c>
      <c r="DO386" s="2">
        <v>0</v>
      </c>
      <c r="DP386" s="2">
        <v>1</v>
      </c>
      <c r="DQ386" s="2">
        <v>1</v>
      </c>
      <c r="DR386" s="2"/>
      <c r="DS386" s="2"/>
      <c r="DT386" s="2"/>
      <c r="DU386" s="2">
        <v>1013</v>
      </c>
      <c r="DV386" s="2" t="s">
        <v>26</v>
      </c>
      <c r="DW386" s="2" t="s">
        <v>26</v>
      </c>
      <c r="DX386" s="2">
        <v>1</v>
      </c>
      <c r="DY386" s="2"/>
      <c r="DZ386" s="2" t="s">
        <v>3</v>
      </c>
      <c r="EA386" s="2" t="s">
        <v>3</v>
      </c>
      <c r="EB386" s="2" t="s">
        <v>3</v>
      </c>
      <c r="EC386" s="2" t="s">
        <v>3</v>
      </c>
      <c r="ED386" s="2"/>
      <c r="EE386" s="2">
        <v>57042962</v>
      </c>
      <c r="EF386" s="2">
        <v>40</v>
      </c>
      <c r="EG386" s="2" t="s">
        <v>30</v>
      </c>
      <c r="EH386" s="2">
        <v>0</v>
      </c>
      <c r="EI386" s="2" t="s">
        <v>3</v>
      </c>
      <c r="EJ386" s="2">
        <v>2</v>
      </c>
      <c r="EK386" s="2">
        <v>72</v>
      </c>
      <c r="EL386" s="2" t="s">
        <v>31</v>
      </c>
      <c r="EM386" s="2" t="s">
        <v>32</v>
      </c>
      <c r="EN386" s="2"/>
      <c r="EO386" s="2" t="s">
        <v>109</v>
      </c>
      <c r="EP386" s="2"/>
      <c r="EQ386" s="2">
        <v>0</v>
      </c>
      <c r="ER386" s="2">
        <v>153.41999999999999</v>
      </c>
      <c r="ES386" s="2">
        <v>89.36</v>
      </c>
      <c r="ET386" s="2">
        <v>4.2699999999999996</v>
      </c>
      <c r="EU386" s="2">
        <v>0.38</v>
      </c>
      <c r="EV386" s="2">
        <v>59.79</v>
      </c>
      <c r="EW386" s="2">
        <v>5.15</v>
      </c>
      <c r="EX386" s="2">
        <v>0</v>
      </c>
      <c r="EY386" s="2">
        <v>0</v>
      </c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>
        <v>0</v>
      </c>
      <c r="FR386" s="2">
        <v>0</v>
      </c>
      <c r="FS386" s="2">
        <v>0</v>
      </c>
      <c r="FT386" s="2"/>
      <c r="FU386" s="2"/>
      <c r="FV386" s="2"/>
      <c r="FW386" s="2"/>
      <c r="FX386" s="2">
        <v>90</v>
      </c>
      <c r="FY386" s="2">
        <v>46</v>
      </c>
      <c r="FZ386" s="2"/>
      <c r="GA386" s="2" t="s">
        <v>3</v>
      </c>
      <c r="GB386" s="2"/>
      <c r="GC386" s="2"/>
      <c r="GD386" s="2">
        <v>1</v>
      </c>
      <c r="GE386" s="2"/>
      <c r="GF386" s="2">
        <v>69985007</v>
      </c>
      <c r="GG386" s="2">
        <v>2</v>
      </c>
      <c r="GH386" s="2">
        <v>1</v>
      </c>
      <c r="GI386" s="2">
        <v>2</v>
      </c>
      <c r="GJ386" s="2">
        <v>0</v>
      </c>
      <c r="GK386" s="2">
        <v>0</v>
      </c>
      <c r="GL386" s="2">
        <f t="shared" si="291"/>
        <v>0</v>
      </c>
      <c r="GM386" s="2">
        <f t="shared" si="292"/>
        <v>4089.85</v>
      </c>
      <c r="GN386" s="2">
        <f t="shared" si="293"/>
        <v>0</v>
      </c>
      <c r="GO386" s="2">
        <f t="shared" si="294"/>
        <v>4089.85</v>
      </c>
      <c r="GP386" s="2">
        <f t="shared" si="295"/>
        <v>0</v>
      </c>
      <c r="GQ386" s="2"/>
      <c r="GR386" s="2">
        <v>0</v>
      </c>
      <c r="GS386" s="2">
        <v>3</v>
      </c>
      <c r="GT386" s="2">
        <v>0</v>
      </c>
      <c r="GU386" s="2" t="s">
        <v>3</v>
      </c>
      <c r="GV386" s="2">
        <f t="shared" si="296"/>
        <v>0</v>
      </c>
      <c r="GW386" s="2">
        <v>1</v>
      </c>
      <c r="GX386" s="2">
        <f t="shared" si="297"/>
        <v>0</v>
      </c>
      <c r="GY386" s="2"/>
      <c r="GZ386" s="2"/>
      <c r="HA386" s="2">
        <v>0</v>
      </c>
      <c r="HB386" s="2">
        <v>0</v>
      </c>
      <c r="HC386" s="2">
        <f t="shared" si="298"/>
        <v>0</v>
      </c>
      <c r="HD386" s="2"/>
      <c r="HE386" s="2" t="s">
        <v>3</v>
      </c>
      <c r="HF386" s="2" t="s">
        <v>3</v>
      </c>
      <c r="HG386" s="2"/>
      <c r="HH386" s="2"/>
      <c r="HI386" s="2"/>
      <c r="HJ386" s="2"/>
      <c r="HK386" s="2"/>
      <c r="HL386" s="2"/>
      <c r="HM386" s="2" t="s">
        <v>3</v>
      </c>
      <c r="HN386" s="2" t="s">
        <v>3</v>
      </c>
      <c r="HO386" s="2" t="s">
        <v>3</v>
      </c>
      <c r="HP386" s="2" t="s">
        <v>3</v>
      </c>
      <c r="HQ386" s="2" t="s">
        <v>3</v>
      </c>
      <c r="HR386" s="2"/>
      <c r="HS386" s="2">
        <v>0</v>
      </c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>
        <v>0</v>
      </c>
      <c r="IL386" s="2"/>
      <c r="IM386" s="2"/>
      <c r="IN386" s="2"/>
      <c r="IO386" s="2"/>
      <c r="IP386" s="2"/>
      <c r="IQ386" s="2"/>
      <c r="IR386" s="2"/>
      <c r="IS386" s="2"/>
      <c r="IT386" s="2"/>
      <c r="IU386" s="2"/>
    </row>
    <row r="387" spans="1:255" x14ac:dyDescent="0.25">
      <c r="A387" s="3">
        <v>17</v>
      </c>
      <c r="B387" s="3">
        <v>1</v>
      </c>
      <c r="C387" s="3">
        <f>ROW(SmtRes!A250)</f>
        <v>250</v>
      </c>
      <c r="D387" s="3">
        <f>ROW(EtalonRes!A264)</f>
        <v>264</v>
      </c>
      <c r="E387" s="3" t="s">
        <v>316</v>
      </c>
      <c r="F387" s="3" t="s">
        <v>317</v>
      </c>
      <c r="G387" s="3" t="s">
        <v>318</v>
      </c>
      <c r="H387" s="3" t="s">
        <v>26</v>
      </c>
      <c r="I387" s="3">
        <v>15</v>
      </c>
      <c r="J387" s="3">
        <v>0</v>
      </c>
      <c r="K387" s="3">
        <v>15</v>
      </c>
      <c r="O387" s="3">
        <f t="shared" si="276"/>
        <v>70754.95</v>
      </c>
      <c r="P387" s="3">
        <f>ROUND((ROUND((AC387*AW387*I387),2)*BC387),2)</f>
        <v>6031.8</v>
      </c>
      <c r="Q387" s="3">
        <f>(ROUND((ROUND((((ET387*1.2))*AV387*I387),2)*BB387),2)+ROUND((ROUND(((AE387-((EU387*1.2)))*AV387*I387),2)*BS387),2))</f>
        <v>1227.97</v>
      </c>
      <c r="R387" s="3">
        <f>(ROUND((ROUND((((EU387*1.2))*AV387*I387),2)*BS387),2)+ROUND((ROUND(((AE387-((EU387*1.2)))*AV387*I387),2)*BS387),2))</f>
        <v>403.47</v>
      </c>
      <c r="S387" s="3">
        <f t="shared" si="277"/>
        <v>63495.18</v>
      </c>
      <c r="T387" s="3">
        <f t="shared" si="278"/>
        <v>0</v>
      </c>
      <c r="U387" s="3">
        <f t="shared" si="279"/>
        <v>97.056899999999999</v>
      </c>
      <c r="V387" s="3">
        <f t="shared" si="280"/>
        <v>0</v>
      </c>
      <c r="W387" s="3">
        <f t="shared" si="281"/>
        <v>0</v>
      </c>
      <c r="X387" s="3">
        <f>(ROUND((((S387+ROUND((ROUND((((EU387*1.2))*AV387*I387),2)*BS387),2))*AT387)/100),2)+ROUND(((ROUND((ROUND(((AE387-((EU387*1.2)))*AV387*I387),2)*BS387),2)*AT387)/100),2))</f>
        <v>57508.79</v>
      </c>
      <c r="Y387" s="3">
        <f>(ROUND((((S387+ROUND((ROUND((((EU387*1.2))*AV387*I387),2)*BS387),2))*AU387)/100),2)+ROUND(((ROUND((ROUND(((AE387-((EU387*1.2)))*AV387*I387),2)*BS387),2)*AU387)/100),2))</f>
        <v>29393.38</v>
      </c>
      <c r="AA387" s="3">
        <v>57034454</v>
      </c>
      <c r="AB387" s="3">
        <f t="shared" si="282"/>
        <v>166.232</v>
      </c>
      <c r="AC387" s="3">
        <f>ROUND(((ES387*1)),6)</f>
        <v>89.36</v>
      </c>
      <c r="AD387" s="3">
        <f>ROUND(((((ET387*1.2))-((EU387*1.2)))+AE387),6)</f>
        <v>5.1239999999999997</v>
      </c>
      <c r="AE387" s="3">
        <f>ROUND(((EU387*1.2)),6)</f>
        <v>0.45600000000000002</v>
      </c>
      <c r="AF387" s="3">
        <f>ROUND(((EV387*1.2)),6)</f>
        <v>71.748000000000005</v>
      </c>
      <c r="AG387" s="3">
        <f t="shared" si="283"/>
        <v>0</v>
      </c>
      <c r="AH387" s="3">
        <f>((EW387*1.2))</f>
        <v>6.1800000000000006</v>
      </c>
      <c r="AI387" s="3">
        <f>((EX387*1.2))</f>
        <v>0</v>
      </c>
      <c r="AJ387" s="3">
        <f t="shared" si="284"/>
        <v>0</v>
      </c>
      <c r="AK387" s="3">
        <v>153.41999999999999</v>
      </c>
      <c r="AL387" s="3">
        <v>89.36</v>
      </c>
      <c r="AM387" s="3">
        <v>4.2699999999999996</v>
      </c>
      <c r="AN387" s="3">
        <v>0.38</v>
      </c>
      <c r="AO387" s="3">
        <v>59.79</v>
      </c>
      <c r="AP387" s="3">
        <v>0</v>
      </c>
      <c r="AQ387" s="3">
        <v>5.15</v>
      </c>
      <c r="AR387" s="3">
        <v>0</v>
      </c>
      <c r="AS387" s="3">
        <v>0</v>
      </c>
      <c r="AT387" s="3">
        <v>90</v>
      </c>
      <c r="AU387" s="3">
        <v>46</v>
      </c>
      <c r="AV387" s="3">
        <v>1.0469999999999999</v>
      </c>
      <c r="AW387" s="3">
        <v>1</v>
      </c>
      <c r="AZ387" s="3">
        <v>1</v>
      </c>
      <c r="BA387" s="3">
        <v>56.35</v>
      </c>
      <c r="BB387" s="3">
        <v>15.26</v>
      </c>
      <c r="BC387" s="3">
        <v>4.5</v>
      </c>
      <c r="BD387" s="3" t="s">
        <v>3</v>
      </c>
      <c r="BE387" s="3" t="s">
        <v>3</v>
      </c>
      <c r="BF387" s="3" t="s">
        <v>3</v>
      </c>
      <c r="BG387" s="3" t="s">
        <v>3</v>
      </c>
      <c r="BH387" s="3">
        <v>0</v>
      </c>
      <c r="BI387" s="3">
        <v>2</v>
      </c>
      <c r="BJ387" s="3" t="s">
        <v>319</v>
      </c>
      <c r="BM387" s="3">
        <v>72</v>
      </c>
      <c r="BN387" s="3">
        <v>0</v>
      </c>
      <c r="BO387" s="3" t="s">
        <v>317</v>
      </c>
      <c r="BP387" s="3">
        <v>1</v>
      </c>
      <c r="BQ387" s="3">
        <v>40</v>
      </c>
      <c r="BR387" s="3">
        <v>0</v>
      </c>
      <c r="BS387" s="3">
        <v>56.35</v>
      </c>
      <c r="BT387" s="3">
        <v>1</v>
      </c>
      <c r="BU387" s="3">
        <v>1</v>
      </c>
      <c r="BV387" s="3">
        <v>1</v>
      </c>
      <c r="BW387" s="3">
        <v>1</v>
      </c>
      <c r="BX387" s="3">
        <v>1</v>
      </c>
      <c r="BY387" s="3" t="s">
        <v>3</v>
      </c>
      <c r="BZ387" s="3">
        <v>90</v>
      </c>
      <c r="CA387" s="3">
        <v>46</v>
      </c>
      <c r="CB387" s="3" t="s">
        <v>3</v>
      </c>
      <c r="CE387" s="3">
        <v>1566</v>
      </c>
      <c r="CF387" s="3">
        <v>0</v>
      </c>
      <c r="CG387" s="3">
        <v>0</v>
      </c>
      <c r="CM387" s="3">
        <v>0</v>
      </c>
      <c r="CN387" s="3" t="s">
        <v>614</v>
      </c>
      <c r="CO387" s="3">
        <v>0</v>
      </c>
      <c r="CP387" s="3">
        <f t="shared" si="285"/>
        <v>70754.95</v>
      </c>
      <c r="CQ387" s="3">
        <f>ROUND((ROUND((AC387*AW387*1),2)*BC387),2)</f>
        <v>402.12</v>
      </c>
      <c r="CR387" s="3">
        <f>(ROUND((ROUND((((ET387*1.2))*AV387*1),2)*BB387),2)+ROUND((ROUND(((AE387-((EU387*1.2)))*AV387*1),2)*BS387),2))</f>
        <v>81.790000000000006</v>
      </c>
      <c r="CS387" s="3">
        <f>(ROUND((ROUND((((EU387*1.2))*AV387*1),2)*BS387),2)+ROUND((ROUND(((AE387-((EU387*1.2)))*AV387*1),2)*BS387),2))</f>
        <v>27.05</v>
      </c>
      <c r="CT387" s="3">
        <f t="shared" si="286"/>
        <v>4233.01</v>
      </c>
      <c r="CU387" s="3">
        <f t="shared" si="287"/>
        <v>0</v>
      </c>
      <c r="CV387" s="3">
        <f t="shared" si="288"/>
        <v>6.4704600000000001</v>
      </c>
      <c r="CW387" s="3">
        <f t="shared" si="289"/>
        <v>0</v>
      </c>
      <c r="CX387" s="3">
        <f t="shared" si="290"/>
        <v>0</v>
      </c>
      <c r="CY387" s="3">
        <f>(ROUND((((S387+ROUND((ROUND((((EU387*1.2))*AV387*1),2)*BS387),2))*AT387)/100),2)+ROUND(((ROUND((ROUND(((AE387-((EU387*1.2)))*AV387*1),2)*BS387),2)*AT387)/100),2))</f>
        <v>57170.01</v>
      </c>
      <c r="CZ387" s="3">
        <f>(ROUND((((S387+ROUND((ROUND((((EU387*1.2))*AV387*1),2)*BS387),2))*AU387)/100),2)+ROUND(((ROUND((ROUND(((AE387-((EU387*1.2)))*AV387*1),2)*BS387),2)*AU387)/100),2))</f>
        <v>29220.23</v>
      </c>
      <c r="DB387" s="3">
        <v>126</v>
      </c>
      <c r="DC387" s="3" t="s">
        <v>3</v>
      </c>
      <c r="DD387" s="3" t="s">
        <v>104</v>
      </c>
      <c r="DE387" s="3" t="s">
        <v>105</v>
      </c>
      <c r="DF387" s="3" t="s">
        <v>105</v>
      </c>
      <c r="DG387" s="3" t="s">
        <v>105</v>
      </c>
      <c r="DH387" s="3" t="s">
        <v>3</v>
      </c>
      <c r="DI387" s="3" t="s">
        <v>105</v>
      </c>
      <c r="DJ387" s="3" t="s">
        <v>105</v>
      </c>
      <c r="DK387" s="3" t="s">
        <v>3</v>
      </c>
      <c r="DL387" s="3" t="s">
        <v>3</v>
      </c>
      <c r="DM387" s="3" t="s">
        <v>3</v>
      </c>
      <c r="DN387" s="3">
        <v>0</v>
      </c>
      <c r="DO387" s="3">
        <v>0</v>
      </c>
      <c r="DP387" s="3">
        <v>1</v>
      </c>
      <c r="DQ387" s="3">
        <v>1</v>
      </c>
      <c r="DU387" s="3">
        <v>1013</v>
      </c>
      <c r="DV387" s="3" t="s">
        <v>26</v>
      </c>
      <c r="DW387" s="3" t="s">
        <v>26</v>
      </c>
      <c r="DX387" s="3">
        <v>1</v>
      </c>
      <c r="DZ387" s="3" t="s">
        <v>3</v>
      </c>
      <c r="EA387" s="3" t="s">
        <v>3</v>
      </c>
      <c r="EB387" s="3" t="s">
        <v>3</v>
      </c>
      <c r="EC387" s="3" t="s">
        <v>3</v>
      </c>
      <c r="EE387" s="3">
        <v>57042962</v>
      </c>
      <c r="EF387" s="3">
        <v>40</v>
      </c>
      <c r="EG387" s="3" t="s">
        <v>30</v>
      </c>
      <c r="EH387" s="3">
        <v>0</v>
      </c>
      <c r="EI387" s="3" t="s">
        <v>3</v>
      </c>
      <c r="EJ387" s="3">
        <v>2</v>
      </c>
      <c r="EK387" s="3">
        <v>72</v>
      </c>
      <c r="EL387" s="3" t="s">
        <v>31</v>
      </c>
      <c r="EM387" s="3" t="s">
        <v>32</v>
      </c>
      <c r="EO387" s="3" t="s">
        <v>109</v>
      </c>
      <c r="EQ387" s="3">
        <v>0</v>
      </c>
      <c r="ER387" s="3">
        <v>153.41999999999999</v>
      </c>
      <c r="ES387" s="3">
        <v>89.36</v>
      </c>
      <c r="ET387" s="3">
        <v>4.2699999999999996</v>
      </c>
      <c r="EU387" s="3">
        <v>0.38</v>
      </c>
      <c r="EV387" s="3">
        <v>59.79</v>
      </c>
      <c r="EW387" s="3">
        <v>5.15</v>
      </c>
      <c r="EX387" s="3">
        <v>0</v>
      </c>
      <c r="EY387" s="3">
        <v>0</v>
      </c>
      <c r="FQ387" s="3">
        <v>0</v>
      </c>
      <c r="FR387" s="3">
        <v>0</v>
      </c>
      <c r="FS387" s="3">
        <v>0</v>
      </c>
      <c r="FX387" s="3">
        <v>90</v>
      </c>
      <c r="FY387" s="3">
        <v>46</v>
      </c>
      <c r="GA387" s="3" t="s">
        <v>3</v>
      </c>
      <c r="GD387" s="3">
        <v>1</v>
      </c>
      <c r="GF387" s="3">
        <v>69985007</v>
      </c>
      <c r="GG387" s="3">
        <v>2</v>
      </c>
      <c r="GH387" s="3">
        <v>1</v>
      </c>
      <c r="GI387" s="3">
        <v>2</v>
      </c>
      <c r="GJ387" s="3">
        <v>0</v>
      </c>
      <c r="GK387" s="3">
        <v>0</v>
      </c>
      <c r="GL387" s="3">
        <f t="shared" si="291"/>
        <v>0</v>
      </c>
      <c r="GM387" s="3">
        <f t="shared" si="292"/>
        <v>157657.12</v>
      </c>
      <c r="GN387" s="3">
        <f t="shared" si="293"/>
        <v>0</v>
      </c>
      <c r="GO387" s="3">
        <f t="shared" si="294"/>
        <v>157657.12</v>
      </c>
      <c r="GP387" s="3">
        <f t="shared" si="295"/>
        <v>0</v>
      </c>
      <c r="GR387" s="3">
        <v>0</v>
      </c>
      <c r="GS387" s="3">
        <v>3</v>
      </c>
      <c r="GT387" s="3">
        <v>0</v>
      </c>
      <c r="GU387" s="3" t="s">
        <v>3</v>
      </c>
      <c r="GV387" s="3">
        <f t="shared" si="296"/>
        <v>0</v>
      </c>
      <c r="GW387" s="3">
        <v>1</v>
      </c>
      <c r="GX387" s="3">
        <f t="shared" si="297"/>
        <v>0</v>
      </c>
      <c r="HA387" s="3">
        <v>0</v>
      </c>
      <c r="HB387" s="3">
        <v>0</v>
      </c>
      <c r="HC387" s="3">
        <f t="shared" si="298"/>
        <v>0</v>
      </c>
      <c r="HE387" s="3" t="s">
        <v>3</v>
      </c>
      <c r="HF387" s="3" t="s">
        <v>3</v>
      </c>
      <c r="HM387" s="3" t="s">
        <v>3</v>
      </c>
      <c r="HN387" s="3" t="s">
        <v>3</v>
      </c>
      <c r="HO387" s="3" t="s">
        <v>3</v>
      </c>
      <c r="HP387" s="3" t="s">
        <v>3</v>
      </c>
      <c r="HQ387" s="3" t="s">
        <v>3</v>
      </c>
      <c r="HS387" s="3">
        <v>0</v>
      </c>
      <c r="IK387" s="3">
        <v>0</v>
      </c>
    </row>
    <row r="388" spans="1:255" x14ac:dyDescent="0.25">
      <c r="A388" s="2">
        <v>17</v>
      </c>
      <c r="B388" s="2">
        <v>1</v>
      </c>
      <c r="C388" s="2"/>
      <c r="D388" s="2"/>
      <c r="E388" s="2" t="s">
        <v>320</v>
      </c>
      <c r="F388" s="2" t="s">
        <v>321</v>
      </c>
      <c r="G388" s="2" t="s">
        <v>322</v>
      </c>
      <c r="H388" s="2" t="s">
        <v>177</v>
      </c>
      <c r="I388" s="2">
        <v>1</v>
      </c>
      <c r="J388" s="2">
        <v>0</v>
      </c>
      <c r="K388" s="2">
        <v>1</v>
      </c>
      <c r="L388" s="2"/>
      <c r="M388" s="2"/>
      <c r="N388" s="2"/>
      <c r="O388" s="2">
        <f t="shared" si="276"/>
        <v>5689.57</v>
      </c>
      <c r="P388" s="2">
        <f t="shared" ref="P388:P397" si="301">ROUND((ROUND((AC388*I388),2)*BC388),2)</f>
        <v>5689.57</v>
      </c>
      <c r="Q388" s="2">
        <f t="shared" ref="Q388:Q397" si="302">(ROUND((ROUND(((ET388)*AV388*I388),2)*BB388),2)+ROUND((ROUND(((AE388-(EU388))*AV388*I388),2)*BS388),2))</f>
        <v>0</v>
      </c>
      <c r="R388" s="2">
        <f t="shared" ref="R388:R397" si="303">(ROUND((ROUND(((EU388)*AV388*I388),2)*BS388),2)+ROUND((ROUND(((AE388-(EU388))*AV388*I388),2)*BS388),2))</f>
        <v>0</v>
      </c>
      <c r="S388" s="2">
        <f t="shared" si="277"/>
        <v>0</v>
      </c>
      <c r="T388" s="2">
        <f t="shared" si="278"/>
        <v>0</v>
      </c>
      <c r="U388" s="2">
        <f t="shared" si="279"/>
        <v>0</v>
      </c>
      <c r="V388" s="2">
        <f t="shared" si="280"/>
        <v>0</v>
      </c>
      <c r="W388" s="2">
        <f t="shared" si="281"/>
        <v>0</v>
      </c>
      <c r="X388" s="2">
        <f t="shared" ref="X388:X397" si="304">(ROUND((((S388+ROUND((ROUND(((EU388)*AV388*I388),2)*BS388),2))*AT388)/100),2)+ROUND(((ROUND((ROUND(((AE388-(EU388))*AV388*I388),2)*BS388),2)*AT388)/100),2))</f>
        <v>0</v>
      </c>
      <c r="Y388" s="2">
        <f t="shared" ref="Y388:Y397" si="305">(ROUND((((S388+ROUND((ROUND(((EU388)*AV388*I388),2)*BS388),2))*AU388)/100),2)+ROUND(((ROUND((ROUND(((AE388-(EU388))*AV388*I388),2)*BS388),2)*AU388)/100),2))</f>
        <v>0</v>
      </c>
      <c r="Z388" s="2"/>
      <c r="AA388" s="2">
        <v>57034452</v>
      </c>
      <c r="AB388" s="2">
        <f t="shared" si="282"/>
        <v>5689.57</v>
      </c>
      <c r="AC388" s="2">
        <f t="shared" ref="AC388:AC397" si="306">ROUND((ES388),6)</f>
        <v>5689.57</v>
      </c>
      <c r="AD388" s="2">
        <f t="shared" ref="AD388:AD397" si="307">ROUND((((ET388)-(EU388))+AE388),6)</f>
        <v>0</v>
      </c>
      <c r="AE388" s="2">
        <f t="shared" ref="AE388:AE397" si="308">ROUND((EU388),6)</f>
        <v>0</v>
      </c>
      <c r="AF388" s="2">
        <f t="shared" ref="AF388:AF397" si="309">ROUND((EV388),6)</f>
        <v>0</v>
      </c>
      <c r="AG388" s="2">
        <f t="shared" si="283"/>
        <v>0</v>
      </c>
      <c r="AH388" s="2">
        <f t="shared" ref="AH388:AH397" si="310">(EW388)</f>
        <v>0</v>
      </c>
      <c r="AI388" s="2">
        <f t="shared" ref="AI388:AI397" si="311">(EX388)</f>
        <v>0</v>
      </c>
      <c r="AJ388" s="2">
        <f t="shared" si="284"/>
        <v>0</v>
      </c>
      <c r="AK388" s="2">
        <v>5689.5700000000006</v>
      </c>
      <c r="AL388" s="2">
        <v>5689.5700000000006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1</v>
      </c>
      <c r="AW388" s="2">
        <v>1</v>
      </c>
      <c r="AX388" s="2"/>
      <c r="AY388" s="2"/>
      <c r="AZ388" s="2">
        <v>1</v>
      </c>
      <c r="BA388" s="2">
        <v>1</v>
      </c>
      <c r="BB388" s="2">
        <v>1</v>
      </c>
      <c r="BC388" s="2">
        <v>1</v>
      </c>
      <c r="BD388" s="2" t="s">
        <v>3</v>
      </c>
      <c r="BE388" s="2" t="s">
        <v>3</v>
      </c>
      <c r="BF388" s="2" t="s">
        <v>3</v>
      </c>
      <c r="BG388" s="2" t="s">
        <v>3</v>
      </c>
      <c r="BH388" s="2">
        <v>3</v>
      </c>
      <c r="BI388" s="2">
        <v>3</v>
      </c>
      <c r="BJ388" s="2" t="s">
        <v>3</v>
      </c>
      <c r="BK388" s="2"/>
      <c r="BL388" s="2"/>
      <c r="BM388" s="2">
        <v>746</v>
      </c>
      <c r="BN388" s="2">
        <v>0</v>
      </c>
      <c r="BO388" s="2" t="s">
        <v>3</v>
      </c>
      <c r="BP388" s="2">
        <v>0</v>
      </c>
      <c r="BQ388" s="2">
        <v>130</v>
      </c>
      <c r="BR388" s="2">
        <v>0</v>
      </c>
      <c r="BS388" s="2">
        <v>1</v>
      </c>
      <c r="BT388" s="2">
        <v>1</v>
      </c>
      <c r="BU388" s="2">
        <v>1</v>
      </c>
      <c r="BV388" s="2">
        <v>1</v>
      </c>
      <c r="BW388" s="2">
        <v>1</v>
      </c>
      <c r="BX388" s="2">
        <v>1</v>
      </c>
      <c r="BY388" s="2" t="s">
        <v>3</v>
      </c>
      <c r="BZ388" s="2">
        <v>97</v>
      </c>
      <c r="CA388" s="2">
        <v>51</v>
      </c>
      <c r="CB388" s="2" t="s">
        <v>3</v>
      </c>
      <c r="CC388" s="2"/>
      <c r="CD388" s="2"/>
      <c r="CE388" s="2">
        <v>1566</v>
      </c>
      <c r="CF388" s="2">
        <v>0</v>
      </c>
      <c r="CG388" s="2">
        <v>0</v>
      </c>
      <c r="CH388" s="2"/>
      <c r="CI388" s="2"/>
      <c r="CJ388" s="2"/>
      <c r="CK388" s="2"/>
      <c r="CL388" s="2"/>
      <c r="CM388" s="2">
        <v>0</v>
      </c>
      <c r="CN388" s="2" t="s">
        <v>615</v>
      </c>
      <c r="CO388" s="2">
        <v>0</v>
      </c>
      <c r="CP388" s="2">
        <f t="shared" si="285"/>
        <v>5689.57</v>
      </c>
      <c r="CQ388" s="2">
        <f t="shared" ref="CQ388:CQ397" si="312">ROUND((ROUND((AC388*1),2)*BC388),2)</f>
        <v>5689.57</v>
      </c>
      <c r="CR388" s="2">
        <f t="shared" ref="CR388:CR397" si="313">(ROUND((ROUND(((ET388)*AV388*1),2)*BB388),2)+ROUND((ROUND(((AE388-(EU388))*AV388*1),2)*BS388),2))</f>
        <v>0</v>
      </c>
      <c r="CS388" s="2">
        <f t="shared" ref="CS388:CS397" si="314">(ROUND((ROUND(((EU388)*AV388*1),2)*BS388),2)+ROUND((ROUND(((AE388-(EU388))*AV388*1),2)*BS388),2))</f>
        <v>0</v>
      </c>
      <c r="CT388" s="2">
        <f t="shared" si="286"/>
        <v>0</v>
      </c>
      <c r="CU388" s="2">
        <f t="shared" si="287"/>
        <v>0</v>
      </c>
      <c r="CV388" s="2">
        <f t="shared" si="288"/>
        <v>0</v>
      </c>
      <c r="CW388" s="2">
        <f t="shared" si="289"/>
        <v>0</v>
      </c>
      <c r="CX388" s="2">
        <f t="shared" si="290"/>
        <v>0</v>
      </c>
      <c r="CY388" s="2">
        <f t="shared" ref="CY388:CY397" si="315">(ROUND((((S388+ROUND((ROUND(((EU388)*AV388*1),2)*BS388),2))*AT388)/100),2)+ROUND(((ROUND((ROUND(((AE388-(EU388))*AV388*1),2)*BS388),2)*AT388)/100),2))</f>
        <v>0</v>
      </c>
      <c r="CZ388" s="2">
        <f t="shared" ref="CZ388:CZ397" si="316">(ROUND((((S388+ROUND((ROUND(((EU388)*AV388*1),2)*BS388),2))*AU388)/100),2)+ROUND(((ROUND((ROUND(((AE388-(EU388))*AV388*1),2)*BS388),2)*AU388)/100),2))</f>
        <v>0</v>
      </c>
      <c r="DA388" s="2"/>
      <c r="DB388" s="2"/>
      <c r="DC388" s="2" t="s">
        <v>3</v>
      </c>
      <c r="DD388" s="2" t="s">
        <v>3</v>
      </c>
      <c r="DE388" s="2" t="s">
        <v>3</v>
      </c>
      <c r="DF388" s="2" t="s">
        <v>3</v>
      </c>
      <c r="DG388" s="2" t="s">
        <v>3</v>
      </c>
      <c r="DH388" s="2" t="s">
        <v>3</v>
      </c>
      <c r="DI388" s="2" t="s">
        <v>3</v>
      </c>
      <c r="DJ388" s="2" t="s">
        <v>3</v>
      </c>
      <c r="DK388" s="2" t="s">
        <v>3</v>
      </c>
      <c r="DL388" s="2" t="s">
        <v>3</v>
      </c>
      <c r="DM388" s="2" t="s">
        <v>3</v>
      </c>
      <c r="DN388" s="2">
        <v>0</v>
      </c>
      <c r="DO388" s="2">
        <v>0</v>
      </c>
      <c r="DP388" s="2">
        <v>1</v>
      </c>
      <c r="DQ388" s="2">
        <v>1</v>
      </c>
      <c r="DR388" s="2"/>
      <c r="DS388" s="2"/>
      <c r="DT388" s="2"/>
      <c r="DU388" s="2">
        <v>1010</v>
      </c>
      <c r="DV388" s="2" t="s">
        <v>177</v>
      </c>
      <c r="DW388" s="2" t="s">
        <v>177</v>
      </c>
      <c r="DX388" s="2">
        <v>1</v>
      </c>
      <c r="DY388" s="2"/>
      <c r="DZ388" s="2" t="s">
        <v>3</v>
      </c>
      <c r="EA388" s="2" t="s">
        <v>3</v>
      </c>
      <c r="EB388" s="2" t="s">
        <v>3</v>
      </c>
      <c r="EC388" s="2" t="s">
        <v>3</v>
      </c>
      <c r="ED388" s="2"/>
      <c r="EE388" s="2">
        <v>57043064</v>
      </c>
      <c r="EF388" s="2">
        <v>130</v>
      </c>
      <c r="EG388" s="2" t="s">
        <v>178</v>
      </c>
      <c r="EH388" s="2">
        <v>0</v>
      </c>
      <c r="EI388" s="2" t="s">
        <v>3</v>
      </c>
      <c r="EJ388" s="2">
        <v>3</v>
      </c>
      <c r="EK388" s="2">
        <v>746</v>
      </c>
      <c r="EL388" s="2" t="s">
        <v>179</v>
      </c>
      <c r="EM388" s="2" t="s">
        <v>180</v>
      </c>
      <c r="EN388" s="2"/>
      <c r="EO388" s="2" t="s">
        <v>109</v>
      </c>
      <c r="EP388" s="2"/>
      <c r="EQ388" s="2">
        <v>2097152</v>
      </c>
      <c r="ER388" s="2">
        <v>0</v>
      </c>
      <c r="ES388" s="2">
        <v>5689.5700000000006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>
        <v>0</v>
      </c>
      <c r="FR388" s="2">
        <f t="shared" ref="FR388:FR397" si="317">P388</f>
        <v>5689.57</v>
      </c>
      <c r="FS388" s="2">
        <v>0</v>
      </c>
      <c r="FT388" s="2"/>
      <c r="FU388" s="2"/>
      <c r="FV388" s="2"/>
      <c r="FW388" s="2"/>
      <c r="FX388" s="2">
        <v>97</v>
      </c>
      <c r="FY388" s="2">
        <v>51</v>
      </c>
      <c r="FZ388" s="2"/>
      <c r="GA388" s="2" t="s">
        <v>323</v>
      </c>
      <c r="GB388" s="2"/>
      <c r="GC388" s="2"/>
      <c r="GD388" s="2">
        <v>1</v>
      </c>
      <c r="GE388" s="2"/>
      <c r="GF388" s="2">
        <v>1078410878</v>
      </c>
      <c r="GG388" s="2">
        <v>2</v>
      </c>
      <c r="GH388" s="2">
        <v>4</v>
      </c>
      <c r="GI388" s="2">
        <v>-2</v>
      </c>
      <c r="GJ388" s="2">
        <v>0</v>
      </c>
      <c r="GK388" s="2">
        <v>0</v>
      </c>
      <c r="GL388" s="2">
        <f t="shared" si="291"/>
        <v>0</v>
      </c>
      <c r="GM388" s="2">
        <f t="shared" si="292"/>
        <v>5689.57</v>
      </c>
      <c r="GN388" s="2">
        <f t="shared" si="293"/>
        <v>0</v>
      </c>
      <c r="GO388" s="2">
        <f t="shared" si="294"/>
        <v>0</v>
      </c>
      <c r="GP388" s="2">
        <f t="shared" si="295"/>
        <v>0</v>
      </c>
      <c r="GQ388" s="2"/>
      <c r="GR388" s="2">
        <v>0</v>
      </c>
      <c r="GS388" s="2">
        <v>2</v>
      </c>
      <c r="GT388" s="2">
        <v>0</v>
      </c>
      <c r="GU388" s="2" t="s">
        <v>3</v>
      </c>
      <c r="GV388" s="2">
        <f t="shared" si="296"/>
        <v>0</v>
      </c>
      <c r="GW388" s="2">
        <v>1</v>
      </c>
      <c r="GX388" s="2">
        <f t="shared" si="297"/>
        <v>0</v>
      </c>
      <c r="GY388" s="2"/>
      <c r="GZ388" s="2"/>
      <c r="HA388" s="2">
        <v>0</v>
      </c>
      <c r="HB388" s="2">
        <v>0</v>
      </c>
      <c r="HC388" s="2">
        <f t="shared" si="298"/>
        <v>0</v>
      </c>
      <c r="HD388" s="2"/>
      <c r="HE388" s="2" t="s">
        <v>40</v>
      </c>
      <c r="HF388" s="2" t="s">
        <v>182</v>
      </c>
      <c r="HG388" s="2"/>
      <c r="HH388" s="2"/>
      <c r="HI388" s="2"/>
      <c r="HJ388" s="2"/>
      <c r="HK388" s="2"/>
      <c r="HL388" s="2"/>
      <c r="HM388" s="2" t="s">
        <v>3</v>
      </c>
      <c r="HN388" s="2" t="s">
        <v>3</v>
      </c>
      <c r="HO388" s="2" t="s">
        <v>3</v>
      </c>
      <c r="HP388" s="2" t="s">
        <v>3</v>
      </c>
      <c r="HQ388" s="2" t="s">
        <v>3</v>
      </c>
      <c r="HR388" s="2"/>
      <c r="HS388" s="2">
        <v>0</v>
      </c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>
        <v>0</v>
      </c>
      <c r="IL388" s="2"/>
      <c r="IM388" s="2"/>
      <c r="IN388" s="2"/>
      <c r="IO388" s="2"/>
      <c r="IP388" s="2"/>
      <c r="IQ388" s="2"/>
      <c r="IR388" s="2"/>
      <c r="IS388" s="2"/>
      <c r="IT388" s="2"/>
      <c r="IU388" s="2"/>
    </row>
    <row r="389" spans="1:255" x14ac:dyDescent="0.25">
      <c r="A389" s="3">
        <v>17</v>
      </c>
      <c r="B389" s="3">
        <v>1</v>
      </c>
      <c r="E389" s="3" t="s">
        <v>320</v>
      </c>
      <c r="F389" s="3" t="s">
        <v>321</v>
      </c>
      <c r="G389" s="3" t="s">
        <v>322</v>
      </c>
      <c r="H389" s="3" t="s">
        <v>177</v>
      </c>
      <c r="I389" s="3">
        <v>1</v>
      </c>
      <c r="J389" s="3">
        <v>0</v>
      </c>
      <c r="K389" s="3">
        <v>1</v>
      </c>
      <c r="O389" s="3">
        <f t="shared" si="276"/>
        <v>43070.04</v>
      </c>
      <c r="P389" s="3">
        <f t="shared" si="301"/>
        <v>43070.04</v>
      </c>
      <c r="Q389" s="3">
        <f t="shared" si="302"/>
        <v>0</v>
      </c>
      <c r="R389" s="3">
        <f t="shared" si="303"/>
        <v>0</v>
      </c>
      <c r="S389" s="3">
        <f t="shared" si="277"/>
        <v>0</v>
      </c>
      <c r="T389" s="3">
        <f t="shared" si="278"/>
        <v>0</v>
      </c>
      <c r="U389" s="3">
        <f t="shared" si="279"/>
        <v>0</v>
      </c>
      <c r="V389" s="3">
        <f t="shared" si="280"/>
        <v>0</v>
      </c>
      <c r="W389" s="3">
        <f t="shared" si="281"/>
        <v>0</v>
      </c>
      <c r="X389" s="3">
        <f t="shared" si="304"/>
        <v>0</v>
      </c>
      <c r="Y389" s="3">
        <f t="shared" si="305"/>
        <v>0</v>
      </c>
      <c r="AA389" s="3">
        <v>57034454</v>
      </c>
      <c r="AB389" s="3">
        <f t="shared" si="282"/>
        <v>5689.57</v>
      </c>
      <c r="AC389" s="3">
        <f t="shared" si="306"/>
        <v>5689.57</v>
      </c>
      <c r="AD389" s="3">
        <f t="shared" si="307"/>
        <v>0</v>
      </c>
      <c r="AE389" s="3">
        <f t="shared" si="308"/>
        <v>0</v>
      </c>
      <c r="AF389" s="3">
        <f t="shared" si="309"/>
        <v>0</v>
      </c>
      <c r="AG389" s="3">
        <f t="shared" si="283"/>
        <v>0</v>
      </c>
      <c r="AH389" s="3">
        <f t="shared" si="310"/>
        <v>0</v>
      </c>
      <c r="AI389" s="3">
        <f t="shared" si="311"/>
        <v>0</v>
      </c>
      <c r="AJ389" s="3">
        <f t="shared" si="284"/>
        <v>0</v>
      </c>
      <c r="AK389" s="3">
        <v>5689.5700000000006</v>
      </c>
      <c r="AL389" s="3">
        <v>5689.5700000000006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1</v>
      </c>
      <c r="AW389" s="3">
        <v>1</v>
      </c>
      <c r="AZ389" s="3">
        <v>1</v>
      </c>
      <c r="BA389" s="3">
        <v>1</v>
      </c>
      <c r="BB389" s="3">
        <v>1</v>
      </c>
      <c r="BC389" s="3">
        <v>7.57</v>
      </c>
      <c r="BD389" s="3" t="s">
        <v>3</v>
      </c>
      <c r="BE389" s="3" t="s">
        <v>3</v>
      </c>
      <c r="BF389" s="3" t="s">
        <v>3</v>
      </c>
      <c r="BG389" s="3" t="s">
        <v>3</v>
      </c>
      <c r="BH389" s="3">
        <v>3</v>
      </c>
      <c r="BI389" s="3">
        <v>3</v>
      </c>
      <c r="BJ389" s="3" t="s">
        <v>3</v>
      </c>
      <c r="BM389" s="3">
        <v>746</v>
      </c>
      <c r="BN389" s="3">
        <v>0</v>
      </c>
      <c r="BO389" s="3" t="s">
        <v>3</v>
      </c>
      <c r="BP389" s="3">
        <v>0</v>
      </c>
      <c r="BQ389" s="3">
        <v>130</v>
      </c>
      <c r="BR389" s="3">
        <v>0</v>
      </c>
      <c r="BS389" s="3">
        <v>1</v>
      </c>
      <c r="BT389" s="3">
        <v>1</v>
      </c>
      <c r="BU389" s="3">
        <v>1</v>
      </c>
      <c r="BV389" s="3">
        <v>1</v>
      </c>
      <c r="BW389" s="3">
        <v>1</v>
      </c>
      <c r="BX389" s="3">
        <v>1</v>
      </c>
      <c r="BY389" s="3" t="s">
        <v>3</v>
      </c>
      <c r="BZ389" s="3">
        <v>97</v>
      </c>
      <c r="CA389" s="3">
        <v>51</v>
      </c>
      <c r="CB389" s="3" t="s">
        <v>3</v>
      </c>
      <c r="CE389" s="3">
        <v>1566</v>
      </c>
      <c r="CF389" s="3">
        <v>0</v>
      </c>
      <c r="CG389" s="3">
        <v>0</v>
      </c>
      <c r="CM389" s="3">
        <v>0</v>
      </c>
      <c r="CN389" s="3" t="s">
        <v>615</v>
      </c>
      <c r="CO389" s="3">
        <v>0</v>
      </c>
      <c r="CP389" s="3">
        <f t="shared" si="285"/>
        <v>43070.04</v>
      </c>
      <c r="CQ389" s="3">
        <f t="shared" si="312"/>
        <v>43070.04</v>
      </c>
      <c r="CR389" s="3">
        <f t="shared" si="313"/>
        <v>0</v>
      </c>
      <c r="CS389" s="3">
        <f t="shared" si="314"/>
        <v>0</v>
      </c>
      <c r="CT389" s="3">
        <f t="shared" si="286"/>
        <v>0</v>
      </c>
      <c r="CU389" s="3">
        <f t="shared" si="287"/>
        <v>0</v>
      </c>
      <c r="CV389" s="3">
        <f t="shared" si="288"/>
        <v>0</v>
      </c>
      <c r="CW389" s="3">
        <f t="shared" si="289"/>
        <v>0</v>
      </c>
      <c r="CX389" s="3">
        <f t="shared" si="290"/>
        <v>0</v>
      </c>
      <c r="CY389" s="3">
        <f t="shared" si="315"/>
        <v>0</v>
      </c>
      <c r="CZ389" s="3">
        <f t="shared" si="316"/>
        <v>0</v>
      </c>
      <c r="DC389" s="3" t="s">
        <v>3</v>
      </c>
      <c r="DD389" s="3" t="s">
        <v>3</v>
      </c>
      <c r="DE389" s="3" t="s">
        <v>3</v>
      </c>
      <c r="DF389" s="3" t="s">
        <v>3</v>
      </c>
      <c r="DG389" s="3" t="s">
        <v>3</v>
      </c>
      <c r="DH389" s="3" t="s">
        <v>3</v>
      </c>
      <c r="DI389" s="3" t="s">
        <v>3</v>
      </c>
      <c r="DJ389" s="3" t="s">
        <v>3</v>
      </c>
      <c r="DK389" s="3" t="s">
        <v>3</v>
      </c>
      <c r="DL389" s="3" t="s">
        <v>3</v>
      </c>
      <c r="DM389" s="3" t="s">
        <v>3</v>
      </c>
      <c r="DN389" s="3">
        <v>0</v>
      </c>
      <c r="DO389" s="3">
        <v>0</v>
      </c>
      <c r="DP389" s="3">
        <v>1</v>
      </c>
      <c r="DQ389" s="3">
        <v>1</v>
      </c>
      <c r="DU389" s="3">
        <v>1010</v>
      </c>
      <c r="DV389" s="3" t="s">
        <v>177</v>
      </c>
      <c r="DW389" s="3" t="s">
        <v>177</v>
      </c>
      <c r="DX389" s="3">
        <v>1</v>
      </c>
      <c r="DZ389" s="3" t="s">
        <v>3</v>
      </c>
      <c r="EA389" s="3" t="s">
        <v>3</v>
      </c>
      <c r="EB389" s="3" t="s">
        <v>3</v>
      </c>
      <c r="EC389" s="3" t="s">
        <v>3</v>
      </c>
      <c r="EE389" s="3">
        <v>57043064</v>
      </c>
      <c r="EF389" s="3">
        <v>130</v>
      </c>
      <c r="EG389" s="3" t="s">
        <v>178</v>
      </c>
      <c r="EH389" s="3">
        <v>0</v>
      </c>
      <c r="EI389" s="3" t="s">
        <v>3</v>
      </c>
      <c r="EJ389" s="3">
        <v>3</v>
      </c>
      <c r="EK389" s="3">
        <v>746</v>
      </c>
      <c r="EL389" s="3" t="s">
        <v>179</v>
      </c>
      <c r="EM389" s="3" t="s">
        <v>180</v>
      </c>
      <c r="EO389" s="3" t="s">
        <v>109</v>
      </c>
      <c r="EQ389" s="3">
        <v>2097152</v>
      </c>
      <c r="ER389" s="3">
        <v>5689.5700000000006</v>
      </c>
      <c r="ES389" s="3">
        <v>5689.5700000000006</v>
      </c>
      <c r="ET389" s="3">
        <v>0</v>
      </c>
      <c r="EU389" s="3">
        <v>0</v>
      </c>
      <c r="EV389" s="3">
        <v>0</v>
      </c>
      <c r="EW389" s="3">
        <v>0</v>
      </c>
      <c r="EX389" s="3">
        <v>0</v>
      </c>
      <c r="EY389" s="3">
        <v>0</v>
      </c>
      <c r="EZ389" s="3">
        <v>5</v>
      </c>
      <c r="FC389" s="3">
        <v>1</v>
      </c>
      <c r="FD389" s="3">
        <v>18</v>
      </c>
      <c r="FF389" s="3">
        <v>50410</v>
      </c>
      <c r="FQ389" s="3">
        <v>0</v>
      </c>
      <c r="FR389" s="3">
        <f t="shared" si="317"/>
        <v>43070.04</v>
      </c>
      <c r="FS389" s="3">
        <v>0</v>
      </c>
      <c r="FX389" s="3">
        <v>97</v>
      </c>
      <c r="FY389" s="3">
        <v>51</v>
      </c>
      <c r="GA389" s="3" t="s">
        <v>323</v>
      </c>
      <c r="GD389" s="3">
        <v>1</v>
      </c>
      <c r="GF389" s="3">
        <v>1078410878</v>
      </c>
      <c r="GG389" s="3">
        <v>2</v>
      </c>
      <c r="GH389" s="3">
        <v>3</v>
      </c>
      <c r="GI389" s="3">
        <v>5</v>
      </c>
      <c r="GJ389" s="3">
        <v>0</v>
      </c>
      <c r="GK389" s="3">
        <v>0</v>
      </c>
      <c r="GL389" s="3">
        <f t="shared" si="291"/>
        <v>0</v>
      </c>
      <c r="GM389" s="3">
        <f t="shared" si="292"/>
        <v>43070.04</v>
      </c>
      <c r="GN389" s="3">
        <f t="shared" si="293"/>
        <v>0</v>
      </c>
      <c r="GO389" s="3">
        <f t="shared" si="294"/>
        <v>0</v>
      </c>
      <c r="GP389" s="3">
        <f t="shared" si="295"/>
        <v>0</v>
      </c>
      <c r="GR389" s="3">
        <v>1</v>
      </c>
      <c r="GS389" s="3">
        <v>1</v>
      </c>
      <c r="GT389" s="3">
        <v>0</v>
      </c>
      <c r="GU389" s="3" t="s">
        <v>3</v>
      </c>
      <c r="GV389" s="3">
        <f t="shared" si="296"/>
        <v>0</v>
      </c>
      <c r="GW389" s="3">
        <v>1</v>
      </c>
      <c r="GX389" s="3">
        <f t="shared" si="297"/>
        <v>0</v>
      </c>
      <c r="HA389" s="3">
        <v>0</v>
      </c>
      <c r="HB389" s="3">
        <v>0</v>
      </c>
      <c r="HC389" s="3">
        <f t="shared" si="298"/>
        <v>0</v>
      </c>
      <c r="HE389" s="3" t="s">
        <v>40</v>
      </c>
      <c r="HF389" s="3" t="s">
        <v>182</v>
      </c>
      <c r="HM389" s="3" t="s">
        <v>3</v>
      </c>
      <c r="HN389" s="3" t="s">
        <v>3</v>
      </c>
      <c r="HO389" s="3" t="s">
        <v>3</v>
      </c>
      <c r="HP389" s="3" t="s">
        <v>3</v>
      </c>
      <c r="HQ389" s="3" t="s">
        <v>3</v>
      </c>
      <c r="HS389" s="3">
        <v>0</v>
      </c>
      <c r="IK389" s="3">
        <v>0</v>
      </c>
    </row>
    <row r="390" spans="1:255" x14ac:dyDescent="0.25">
      <c r="A390" s="2">
        <v>17</v>
      </c>
      <c r="B390" s="2">
        <v>1</v>
      </c>
      <c r="C390" s="2"/>
      <c r="D390" s="2"/>
      <c r="E390" s="2" t="s">
        <v>324</v>
      </c>
      <c r="F390" s="2" t="s">
        <v>325</v>
      </c>
      <c r="G390" s="2" t="s">
        <v>326</v>
      </c>
      <c r="H390" s="2" t="s">
        <v>177</v>
      </c>
      <c r="I390" s="2">
        <v>8</v>
      </c>
      <c r="J390" s="2">
        <v>0</v>
      </c>
      <c r="K390" s="2">
        <v>8</v>
      </c>
      <c r="L390" s="2"/>
      <c r="M390" s="2"/>
      <c r="N390" s="2"/>
      <c r="O390" s="2">
        <f t="shared" si="276"/>
        <v>50265.84</v>
      </c>
      <c r="P390" s="2">
        <f t="shared" si="301"/>
        <v>50265.84</v>
      </c>
      <c r="Q390" s="2">
        <f t="shared" si="302"/>
        <v>0</v>
      </c>
      <c r="R390" s="2">
        <f t="shared" si="303"/>
        <v>0</v>
      </c>
      <c r="S390" s="2">
        <f t="shared" si="277"/>
        <v>0</v>
      </c>
      <c r="T390" s="2">
        <f t="shared" si="278"/>
        <v>0</v>
      </c>
      <c r="U390" s="2">
        <f t="shared" si="279"/>
        <v>0</v>
      </c>
      <c r="V390" s="2">
        <f t="shared" si="280"/>
        <v>0</v>
      </c>
      <c r="W390" s="2">
        <f t="shared" si="281"/>
        <v>0</v>
      </c>
      <c r="X390" s="2">
        <f t="shared" si="304"/>
        <v>0</v>
      </c>
      <c r="Y390" s="2">
        <f t="shared" si="305"/>
        <v>0</v>
      </c>
      <c r="Z390" s="2"/>
      <c r="AA390" s="2">
        <v>57034452</v>
      </c>
      <c r="AB390" s="2">
        <f t="shared" si="282"/>
        <v>6283.23</v>
      </c>
      <c r="AC390" s="2">
        <f t="shared" si="306"/>
        <v>6283.23</v>
      </c>
      <c r="AD390" s="2">
        <f t="shared" si="307"/>
        <v>0</v>
      </c>
      <c r="AE390" s="2">
        <f t="shared" si="308"/>
        <v>0</v>
      </c>
      <c r="AF390" s="2">
        <f t="shared" si="309"/>
        <v>0</v>
      </c>
      <c r="AG390" s="2">
        <f t="shared" si="283"/>
        <v>0</v>
      </c>
      <c r="AH390" s="2">
        <f t="shared" si="310"/>
        <v>0</v>
      </c>
      <c r="AI390" s="2">
        <f t="shared" si="311"/>
        <v>0</v>
      </c>
      <c r="AJ390" s="2">
        <f t="shared" si="284"/>
        <v>0</v>
      </c>
      <c r="AK390" s="2">
        <v>6283.2300000000005</v>
      </c>
      <c r="AL390" s="2">
        <v>6283.2300000000005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1</v>
      </c>
      <c r="AW390" s="2">
        <v>1</v>
      </c>
      <c r="AX390" s="2"/>
      <c r="AY390" s="2"/>
      <c r="AZ390" s="2">
        <v>1</v>
      </c>
      <c r="BA390" s="2">
        <v>1</v>
      </c>
      <c r="BB390" s="2">
        <v>1</v>
      </c>
      <c r="BC390" s="2">
        <v>1</v>
      </c>
      <c r="BD390" s="2" t="s">
        <v>3</v>
      </c>
      <c r="BE390" s="2" t="s">
        <v>3</v>
      </c>
      <c r="BF390" s="2" t="s">
        <v>3</v>
      </c>
      <c r="BG390" s="2" t="s">
        <v>3</v>
      </c>
      <c r="BH390" s="2">
        <v>3</v>
      </c>
      <c r="BI390" s="2">
        <v>3</v>
      </c>
      <c r="BJ390" s="2" t="s">
        <v>3</v>
      </c>
      <c r="BK390" s="2"/>
      <c r="BL390" s="2"/>
      <c r="BM390" s="2">
        <v>746</v>
      </c>
      <c r="BN390" s="2">
        <v>0</v>
      </c>
      <c r="BO390" s="2" t="s">
        <v>3</v>
      </c>
      <c r="BP390" s="2">
        <v>0</v>
      </c>
      <c r="BQ390" s="2">
        <v>130</v>
      </c>
      <c r="BR390" s="2">
        <v>0</v>
      </c>
      <c r="BS390" s="2">
        <v>1</v>
      </c>
      <c r="BT390" s="2">
        <v>1</v>
      </c>
      <c r="BU390" s="2">
        <v>1</v>
      </c>
      <c r="BV390" s="2">
        <v>1</v>
      </c>
      <c r="BW390" s="2">
        <v>1</v>
      </c>
      <c r="BX390" s="2">
        <v>1</v>
      </c>
      <c r="BY390" s="2" t="s">
        <v>3</v>
      </c>
      <c r="BZ390" s="2">
        <v>97</v>
      </c>
      <c r="CA390" s="2">
        <v>51</v>
      </c>
      <c r="CB390" s="2" t="s">
        <v>3</v>
      </c>
      <c r="CC390" s="2"/>
      <c r="CD390" s="2"/>
      <c r="CE390" s="2">
        <v>1566</v>
      </c>
      <c r="CF390" s="2">
        <v>0</v>
      </c>
      <c r="CG390" s="2">
        <v>0</v>
      </c>
      <c r="CH390" s="2"/>
      <c r="CI390" s="2"/>
      <c r="CJ390" s="2"/>
      <c r="CK390" s="2"/>
      <c r="CL390" s="2"/>
      <c r="CM390" s="2">
        <v>0</v>
      </c>
      <c r="CN390" s="2" t="s">
        <v>615</v>
      </c>
      <c r="CO390" s="2">
        <v>0</v>
      </c>
      <c r="CP390" s="2">
        <f t="shared" si="285"/>
        <v>50265.84</v>
      </c>
      <c r="CQ390" s="2">
        <f t="shared" si="312"/>
        <v>6283.23</v>
      </c>
      <c r="CR390" s="2">
        <f t="shared" si="313"/>
        <v>0</v>
      </c>
      <c r="CS390" s="2">
        <f t="shared" si="314"/>
        <v>0</v>
      </c>
      <c r="CT390" s="2">
        <f t="shared" si="286"/>
        <v>0</v>
      </c>
      <c r="CU390" s="2">
        <f t="shared" si="287"/>
        <v>0</v>
      </c>
      <c r="CV390" s="2">
        <f t="shared" si="288"/>
        <v>0</v>
      </c>
      <c r="CW390" s="2">
        <f t="shared" si="289"/>
        <v>0</v>
      </c>
      <c r="CX390" s="2">
        <f t="shared" si="290"/>
        <v>0</v>
      </c>
      <c r="CY390" s="2">
        <f t="shared" si="315"/>
        <v>0</v>
      </c>
      <c r="CZ390" s="2">
        <f t="shared" si="316"/>
        <v>0</v>
      </c>
      <c r="DA390" s="2"/>
      <c r="DB390" s="2"/>
      <c r="DC390" s="2" t="s">
        <v>3</v>
      </c>
      <c r="DD390" s="2" t="s">
        <v>3</v>
      </c>
      <c r="DE390" s="2" t="s">
        <v>3</v>
      </c>
      <c r="DF390" s="2" t="s">
        <v>3</v>
      </c>
      <c r="DG390" s="2" t="s">
        <v>3</v>
      </c>
      <c r="DH390" s="2" t="s">
        <v>3</v>
      </c>
      <c r="DI390" s="2" t="s">
        <v>3</v>
      </c>
      <c r="DJ390" s="2" t="s">
        <v>3</v>
      </c>
      <c r="DK390" s="2" t="s">
        <v>3</v>
      </c>
      <c r="DL390" s="2" t="s">
        <v>3</v>
      </c>
      <c r="DM390" s="2" t="s">
        <v>3</v>
      </c>
      <c r="DN390" s="2">
        <v>0</v>
      </c>
      <c r="DO390" s="2">
        <v>0</v>
      </c>
      <c r="DP390" s="2">
        <v>1</v>
      </c>
      <c r="DQ390" s="2">
        <v>1</v>
      </c>
      <c r="DR390" s="2"/>
      <c r="DS390" s="2"/>
      <c r="DT390" s="2"/>
      <c r="DU390" s="2">
        <v>1010</v>
      </c>
      <c r="DV390" s="2" t="s">
        <v>177</v>
      </c>
      <c r="DW390" s="2" t="s">
        <v>177</v>
      </c>
      <c r="DX390" s="2">
        <v>1</v>
      </c>
      <c r="DY390" s="2"/>
      <c r="DZ390" s="2" t="s">
        <v>3</v>
      </c>
      <c r="EA390" s="2" t="s">
        <v>3</v>
      </c>
      <c r="EB390" s="2" t="s">
        <v>3</v>
      </c>
      <c r="EC390" s="2" t="s">
        <v>3</v>
      </c>
      <c r="ED390" s="2"/>
      <c r="EE390" s="2">
        <v>57043064</v>
      </c>
      <c r="EF390" s="2">
        <v>130</v>
      </c>
      <c r="EG390" s="2" t="s">
        <v>178</v>
      </c>
      <c r="EH390" s="2">
        <v>0</v>
      </c>
      <c r="EI390" s="2" t="s">
        <v>3</v>
      </c>
      <c r="EJ390" s="2">
        <v>3</v>
      </c>
      <c r="EK390" s="2">
        <v>746</v>
      </c>
      <c r="EL390" s="2" t="s">
        <v>179</v>
      </c>
      <c r="EM390" s="2" t="s">
        <v>180</v>
      </c>
      <c r="EN390" s="2"/>
      <c r="EO390" s="2" t="s">
        <v>109</v>
      </c>
      <c r="EP390" s="2"/>
      <c r="EQ390" s="2">
        <v>2097152</v>
      </c>
      <c r="ER390" s="2">
        <v>0</v>
      </c>
      <c r="ES390" s="2">
        <v>6283.2300000000005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>
        <v>0</v>
      </c>
      <c r="FR390" s="2">
        <f t="shared" si="317"/>
        <v>50265.84</v>
      </c>
      <c r="FS390" s="2">
        <v>0</v>
      </c>
      <c r="FT390" s="2"/>
      <c r="FU390" s="2"/>
      <c r="FV390" s="2"/>
      <c r="FW390" s="2"/>
      <c r="FX390" s="2">
        <v>97</v>
      </c>
      <c r="FY390" s="2">
        <v>51</v>
      </c>
      <c r="FZ390" s="2"/>
      <c r="GA390" s="2" t="s">
        <v>327</v>
      </c>
      <c r="GB390" s="2"/>
      <c r="GC390" s="2"/>
      <c r="GD390" s="2">
        <v>1</v>
      </c>
      <c r="GE390" s="2"/>
      <c r="GF390" s="2">
        <v>-46798807</v>
      </c>
      <c r="GG390" s="2">
        <v>2</v>
      </c>
      <c r="GH390" s="2">
        <v>4</v>
      </c>
      <c r="GI390" s="2">
        <v>-2</v>
      </c>
      <c r="GJ390" s="2">
        <v>0</v>
      </c>
      <c r="GK390" s="2">
        <v>0</v>
      </c>
      <c r="GL390" s="2">
        <f t="shared" si="291"/>
        <v>0</v>
      </c>
      <c r="GM390" s="2">
        <f t="shared" si="292"/>
        <v>50265.84</v>
      </c>
      <c r="GN390" s="2">
        <f t="shared" si="293"/>
        <v>0</v>
      </c>
      <c r="GO390" s="2">
        <f t="shared" si="294"/>
        <v>0</v>
      </c>
      <c r="GP390" s="2">
        <f t="shared" si="295"/>
        <v>0</v>
      </c>
      <c r="GQ390" s="2"/>
      <c r="GR390" s="2">
        <v>0</v>
      </c>
      <c r="GS390" s="2">
        <v>2</v>
      </c>
      <c r="GT390" s="2">
        <v>0</v>
      </c>
      <c r="GU390" s="2" t="s">
        <v>3</v>
      </c>
      <c r="GV390" s="2">
        <f t="shared" si="296"/>
        <v>0</v>
      </c>
      <c r="GW390" s="2">
        <v>1</v>
      </c>
      <c r="GX390" s="2">
        <f t="shared" si="297"/>
        <v>0</v>
      </c>
      <c r="GY390" s="2"/>
      <c r="GZ390" s="2"/>
      <c r="HA390" s="2">
        <v>0</v>
      </c>
      <c r="HB390" s="2">
        <v>0</v>
      </c>
      <c r="HC390" s="2">
        <f t="shared" si="298"/>
        <v>0</v>
      </c>
      <c r="HD390" s="2"/>
      <c r="HE390" s="2" t="s">
        <v>40</v>
      </c>
      <c r="HF390" s="2" t="s">
        <v>182</v>
      </c>
      <c r="HG390" s="2"/>
      <c r="HH390" s="2"/>
      <c r="HI390" s="2"/>
      <c r="HJ390" s="2"/>
      <c r="HK390" s="2"/>
      <c r="HL390" s="2"/>
      <c r="HM390" s="2" t="s">
        <v>3</v>
      </c>
      <c r="HN390" s="2" t="s">
        <v>3</v>
      </c>
      <c r="HO390" s="2" t="s">
        <v>3</v>
      </c>
      <c r="HP390" s="2" t="s">
        <v>3</v>
      </c>
      <c r="HQ390" s="2" t="s">
        <v>3</v>
      </c>
      <c r="HR390" s="2"/>
      <c r="HS390" s="2">
        <v>0</v>
      </c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>
        <v>0</v>
      </c>
      <c r="IL390" s="2"/>
      <c r="IM390" s="2"/>
      <c r="IN390" s="2"/>
      <c r="IO390" s="2"/>
      <c r="IP390" s="2"/>
      <c r="IQ390" s="2"/>
      <c r="IR390" s="2"/>
      <c r="IS390" s="2"/>
      <c r="IT390" s="2"/>
      <c r="IU390" s="2"/>
    </row>
    <row r="391" spans="1:255" x14ac:dyDescent="0.25">
      <c r="A391" s="3">
        <v>17</v>
      </c>
      <c r="B391" s="3">
        <v>1</v>
      </c>
      <c r="E391" s="3" t="s">
        <v>324</v>
      </c>
      <c r="F391" s="3" t="s">
        <v>325</v>
      </c>
      <c r="G391" s="3" t="s">
        <v>326</v>
      </c>
      <c r="H391" s="3" t="s">
        <v>177</v>
      </c>
      <c r="I391" s="3">
        <v>8</v>
      </c>
      <c r="J391" s="3">
        <v>0</v>
      </c>
      <c r="K391" s="3">
        <v>8</v>
      </c>
      <c r="O391" s="3">
        <f t="shared" si="276"/>
        <v>380512.41</v>
      </c>
      <c r="P391" s="3">
        <f t="shared" si="301"/>
        <v>380512.41</v>
      </c>
      <c r="Q391" s="3">
        <f t="shared" si="302"/>
        <v>0</v>
      </c>
      <c r="R391" s="3">
        <f t="shared" si="303"/>
        <v>0</v>
      </c>
      <c r="S391" s="3">
        <f t="shared" si="277"/>
        <v>0</v>
      </c>
      <c r="T391" s="3">
        <f t="shared" si="278"/>
        <v>0</v>
      </c>
      <c r="U391" s="3">
        <f t="shared" si="279"/>
        <v>0</v>
      </c>
      <c r="V391" s="3">
        <f t="shared" si="280"/>
        <v>0</v>
      </c>
      <c r="W391" s="3">
        <f t="shared" si="281"/>
        <v>0</v>
      </c>
      <c r="X391" s="3">
        <f t="shared" si="304"/>
        <v>0</v>
      </c>
      <c r="Y391" s="3">
        <f t="shared" si="305"/>
        <v>0</v>
      </c>
      <c r="AA391" s="3">
        <v>57034454</v>
      </c>
      <c r="AB391" s="3">
        <f t="shared" si="282"/>
        <v>6283.23</v>
      </c>
      <c r="AC391" s="3">
        <f t="shared" si="306"/>
        <v>6283.23</v>
      </c>
      <c r="AD391" s="3">
        <f t="shared" si="307"/>
        <v>0</v>
      </c>
      <c r="AE391" s="3">
        <f t="shared" si="308"/>
        <v>0</v>
      </c>
      <c r="AF391" s="3">
        <f t="shared" si="309"/>
        <v>0</v>
      </c>
      <c r="AG391" s="3">
        <f t="shared" si="283"/>
        <v>0</v>
      </c>
      <c r="AH391" s="3">
        <f t="shared" si="310"/>
        <v>0</v>
      </c>
      <c r="AI391" s="3">
        <f t="shared" si="311"/>
        <v>0</v>
      </c>
      <c r="AJ391" s="3">
        <f t="shared" si="284"/>
        <v>0</v>
      </c>
      <c r="AK391" s="3">
        <v>6283.2300000000005</v>
      </c>
      <c r="AL391" s="3">
        <v>6283.2300000000005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1</v>
      </c>
      <c r="AW391" s="3">
        <v>1</v>
      </c>
      <c r="AZ391" s="3">
        <v>1</v>
      </c>
      <c r="BA391" s="3">
        <v>1</v>
      </c>
      <c r="BB391" s="3">
        <v>1</v>
      </c>
      <c r="BC391" s="3">
        <v>7.57</v>
      </c>
      <c r="BD391" s="3" t="s">
        <v>3</v>
      </c>
      <c r="BE391" s="3" t="s">
        <v>3</v>
      </c>
      <c r="BF391" s="3" t="s">
        <v>3</v>
      </c>
      <c r="BG391" s="3" t="s">
        <v>3</v>
      </c>
      <c r="BH391" s="3">
        <v>3</v>
      </c>
      <c r="BI391" s="3">
        <v>3</v>
      </c>
      <c r="BJ391" s="3" t="s">
        <v>3</v>
      </c>
      <c r="BM391" s="3">
        <v>746</v>
      </c>
      <c r="BN391" s="3">
        <v>0</v>
      </c>
      <c r="BO391" s="3" t="s">
        <v>3</v>
      </c>
      <c r="BP391" s="3">
        <v>0</v>
      </c>
      <c r="BQ391" s="3">
        <v>130</v>
      </c>
      <c r="BR391" s="3">
        <v>0</v>
      </c>
      <c r="BS391" s="3">
        <v>1</v>
      </c>
      <c r="BT391" s="3">
        <v>1</v>
      </c>
      <c r="BU391" s="3">
        <v>1</v>
      </c>
      <c r="BV391" s="3">
        <v>1</v>
      </c>
      <c r="BW391" s="3">
        <v>1</v>
      </c>
      <c r="BX391" s="3">
        <v>1</v>
      </c>
      <c r="BY391" s="3" t="s">
        <v>3</v>
      </c>
      <c r="BZ391" s="3">
        <v>97</v>
      </c>
      <c r="CA391" s="3">
        <v>51</v>
      </c>
      <c r="CB391" s="3" t="s">
        <v>3</v>
      </c>
      <c r="CE391" s="3">
        <v>1566</v>
      </c>
      <c r="CF391" s="3">
        <v>0</v>
      </c>
      <c r="CG391" s="3">
        <v>0</v>
      </c>
      <c r="CM391" s="3">
        <v>0</v>
      </c>
      <c r="CN391" s="3" t="s">
        <v>615</v>
      </c>
      <c r="CO391" s="3">
        <v>0</v>
      </c>
      <c r="CP391" s="3">
        <f t="shared" si="285"/>
        <v>380512.41</v>
      </c>
      <c r="CQ391" s="3">
        <f t="shared" si="312"/>
        <v>47564.05</v>
      </c>
      <c r="CR391" s="3">
        <f t="shared" si="313"/>
        <v>0</v>
      </c>
      <c r="CS391" s="3">
        <f t="shared" si="314"/>
        <v>0</v>
      </c>
      <c r="CT391" s="3">
        <f t="shared" si="286"/>
        <v>0</v>
      </c>
      <c r="CU391" s="3">
        <f t="shared" si="287"/>
        <v>0</v>
      </c>
      <c r="CV391" s="3">
        <f t="shared" si="288"/>
        <v>0</v>
      </c>
      <c r="CW391" s="3">
        <f t="shared" si="289"/>
        <v>0</v>
      </c>
      <c r="CX391" s="3">
        <f t="shared" si="290"/>
        <v>0</v>
      </c>
      <c r="CY391" s="3">
        <f t="shared" si="315"/>
        <v>0</v>
      </c>
      <c r="CZ391" s="3">
        <f t="shared" si="316"/>
        <v>0</v>
      </c>
      <c r="DC391" s="3" t="s">
        <v>3</v>
      </c>
      <c r="DD391" s="3" t="s">
        <v>3</v>
      </c>
      <c r="DE391" s="3" t="s">
        <v>3</v>
      </c>
      <c r="DF391" s="3" t="s">
        <v>3</v>
      </c>
      <c r="DG391" s="3" t="s">
        <v>3</v>
      </c>
      <c r="DH391" s="3" t="s">
        <v>3</v>
      </c>
      <c r="DI391" s="3" t="s">
        <v>3</v>
      </c>
      <c r="DJ391" s="3" t="s">
        <v>3</v>
      </c>
      <c r="DK391" s="3" t="s">
        <v>3</v>
      </c>
      <c r="DL391" s="3" t="s">
        <v>3</v>
      </c>
      <c r="DM391" s="3" t="s">
        <v>3</v>
      </c>
      <c r="DN391" s="3">
        <v>0</v>
      </c>
      <c r="DO391" s="3">
        <v>0</v>
      </c>
      <c r="DP391" s="3">
        <v>1</v>
      </c>
      <c r="DQ391" s="3">
        <v>1</v>
      </c>
      <c r="DU391" s="3">
        <v>1010</v>
      </c>
      <c r="DV391" s="3" t="s">
        <v>177</v>
      </c>
      <c r="DW391" s="3" t="s">
        <v>177</v>
      </c>
      <c r="DX391" s="3">
        <v>1</v>
      </c>
      <c r="DZ391" s="3" t="s">
        <v>3</v>
      </c>
      <c r="EA391" s="3" t="s">
        <v>3</v>
      </c>
      <c r="EB391" s="3" t="s">
        <v>3</v>
      </c>
      <c r="EC391" s="3" t="s">
        <v>3</v>
      </c>
      <c r="EE391" s="3">
        <v>57043064</v>
      </c>
      <c r="EF391" s="3">
        <v>130</v>
      </c>
      <c r="EG391" s="3" t="s">
        <v>178</v>
      </c>
      <c r="EH391" s="3">
        <v>0</v>
      </c>
      <c r="EI391" s="3" t="s">
        <v>3</v>
      </c>
      <c r="EJ391" s="3">
        <v>3</v>
      </c>
      <c r="EK391" s="3">
        <v>746</v>
      </c>
      <c r="EL391" s="3" t="s">
        <v>179</v>
      </c>
      <c r="EM391" s="3" t="s">
        <v>180</v>
      </c>
      <c r="EO391" s="3" t="s">
        <v>109</v>
      </c>
      <c r="EQ391" s="3">
        <v>2097152</v>
      </c>
      <c r="ER391" s="3">
        <v>6283.2300000000005</v>
      </c>
      <c r="ES391" s="3">
        <v>6283.2300000000005</v>
      </c>
      <c r="ET391" s="3">
        <v>0</v>
      </c>
      <c r="EU391" s="3">
        <v>0</v>
      </c>
      <c r="EV391" s="3">
        <v>0</v>
      </c>
      <c r="EW391" s="3">
        <v>0</v>
      </c>
      <c r="EX391" s="3">
        <v>0</v>
      </c>
      <c r="EY391" s="3">
        <v>0</v>
      </c>
      <c r="EZ391" s="3">
        <v>5</v>
      </c>
      <c r="FC391" s="3">
        <v>1</v>
      </c>
      <c r="FD391" s="3">
        <v>18</v>
      </c>
      <c r="FF391" s="3">
        <v>55670</v>
      </c>
      <c r="FQ391" s="3">
        <v>0</v>
      </c>
      <c r="FR391" s="3">
        <f t="shared" si="317"/>
        <v>380512.41</v>
      </c>
      <c r="FS391" s="3">
        <v>0</v>
      </c>
      <c r="FX391" s="3">
        <v>97</v>
      </c>
      <c r="FY391" s="3">
        <v>51</v>
      </c>
      <c r="GA391" s="3" t="s">
        <v>327</v>
      </c>
      <c r="GD391" s="3">
        <v>1</v>
      </c>
      <c r="GF391" s="3">
        <v>-46798807</v>
      </c>
      <c r="GG391" s="3">
        <v>2</v>
      </c>
      <c r="GH391" s="3">
        <v>3</v>
      </c>
      <c r="GI391" s="3">
        <v>5</v>
      </c>
      <c r="GJ391" s="3">
        <v>0</v>
      </c>
      <c r="GK391" s="3">
        <v>0</v>
      </c>
      <c r="GL391" s="3">
        <f t="shared" si="291"/>
        <v>0</v>
      </c>
      <c r="GM391" s="3">
        <f t="shared" si="292"/>
        <v>380512.41</v>
      </c>
      <c r="GN391" s="3">
        <f t="shared" si="293"/>
        <v>0</v>
      </c>
      <c r="GO391" s="3">
        <f t="shared" si="294"/>
        <v>0</v>
      </c>
      <c r="GP391" s="3">
        <f t="shared" si="295"/>
        <v>0</v>
      </c>
      <c r="GR391" s="3">
        <v>1</v>
      </c>
      <c r="GS391" s="3">
        <v>1</v>
      </c>
      <c r="GT391" s="3">
        <v>0</v>
      </c>
      <c r="GU391" s="3" t="s">
        <v>3</v>
      </c>
      <c r="GV391" s="3">
        <f t="shared" si="296"/>
        <v>0</v>
      </c>
      <c r="GW391" s="3">
        <v>1</v>
      </c>
      <c r="GX391" s="3">
        <f t="shared" si="297"/>
        <v>0</v>
      </c>
      <c r="HA391" s="3">
        <v>0</v>
      </c>
      <c r="HB391" s="3">
        <v>0</v>
      </c>
      <c r="HC391" s="3">
        <f t="shared" si="298"/>
        <v>0</v>
      </c>
      <c r="HE391" s="3" t="s">
        <v>40</v>
      </c>
      <c r="HF391" s="3" t="s">
        <v>182</v>
      </c>
      <c r="HM391" s="3" t="s">
        <v>3</v>
      </c>
      <c r="HN391" s="3" t="s">
        <v>3</v>
      </c>
      <c r="HO391" s="3" t="s">
        <v>3</v>
      </c>
      <c r="HP391" s="3" t="s">
        <v>3</v>
      </c>
      <c r="HQ391" s="3" t="s">
        <v>3</v>
      </c>
      <c r="HS391" s="3">
        <v>0</v>
      </c>
      <c r="IK391" s="3">
        <v>0</v>
      </c>
    </row>
    <row r="392" spans="1:255" x14ac:dyDescent="0.25">
      <c r="A392" s="2">
        <v>17</v>
      </c>
      <c r="B392" s="2">
        <v>1</v>
      </c>
      <c r="C392" s="2"/>
      <c r="D392" s="2"/>
      <c r="E392" s="2" t="s">
        <v>328</v>
      </c>
      <c r="F392" s="2" t="s">
        <v>329</v>
      </c>
      <c r="G392" s="2" t="s">
        <v>330</v>
      </c>
      <c r="H392" s="2" t="s">
        <v>177</v>
      </c>
      <c r="I392" s="2">
        <v>3</v>
      </c>
      <c r="J392" s="2">
        <v>0</v>
      </c>
      <c r="K392" s="2">
        <v>3</v>
      </c>
      <c r="L392" s="2"/>
      <c r="M392" s="2"/>
      <c r="N392" s="2"/>
      <c r="O392" s="2">
        <f t="shared" si="276"/>
        <v>48053.760000000002</v>
      </c>
      <c r="P392" s="2">
        <f t="shared" si="301"/>
        <v>48053.760000000002</v>
      </c>
      <c r="Q392" s="2">
        <f t="shared" si="302"/>
        <v>0</v>
      </c>
      <c r="R392" s="2">
        <f t="shared" si="303"/>
        <v>0</v>
      </c>
      <c r="S392" s="2">
        <f t="shared" si="277"/>
        <v>0</v>
      </c>
      <c r="T392" s="2">
        <f t="shared" si="278"/>
        <v>0</v>
      </c>
      <c r="U392" s="2">
        <f t="shared" si="279"/>
        <v>0</v>
      </c>
      <c r="V392" s="2">
        <f t="shared" si="280"/>
        <v>0</v>
      </c>
      <c r="W392" s="2">
        <f t="shared" si="281"/>
        <v>0</v>
      </c>
      <c r="X392" s="2">
        <f t="shared" si="304"/>
        <v>0</v>
      </c>
      <c r="Y392" s="2">
        <f t="shared" si="305"/>
        <v>0</v>
      </c>
      <c r="Z392" s="2"/>
      <c r="AA392" s="2">
        <v>57034452</v>
      </c>
      <c r="AB392" s="2">
        <f t="shared" si="282"/>
        <v>16017.92</v>
      </c>
      <c r="AC392" s="2">
        <f t="shared" si="306"/>
        <v>16017.92</v>
      </c>
      <c r="AD392" s="2">
        <f t="shared" si="307"/>
        <v>0</v>
      </c>
      <c r="AE392" s="2">
        <f t="shared" si="308"/>
        <v>0</v>
      </c>
      <c r="AF392" s="2">
        <f t="shared" si="309"/>
        <v>0</v>
      </c>
      <c r="AG392" s="2">
        <f t="shared" si="283"/>
        <v>0</v>
      </c>
      <c r="AH392" s="2">
        <f t="shared" si="310"/>
        <v>0</v>
      </c>
      <c r="AI392" s="2">
        <f t="shared" si="311"/>
        <v>0</v>
      </c>
      <c r="AJ392" s="2">
        <f t="shared" si="284"/>
        <v>0</v>
      </c>
      <c r="AK392" s="2">
        <v>16017.92</v>
      </c>
      <c r="AL392" s="2">
        <v>16017.92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1</v>
      </c>
      <c r="AW392" s="2">
        <v>1</v>
      </c>
      <c r="AX392" s="2"/>
      <c r="AY392" s="2"/>
      <c r="AZ392" s="2">
        <v>1</v>
      </c>
      <c r="BA392" s="2">
        <v>1</v>
      </c>
      <c r="BB392" s="2">
        <v>1</v>
      </c>
      <c r="BC392" s="2">
        <v>1</v>
      </c>
      <c r="BD392" s="2" t="s">
        <v>3</v>
      </c>
      <c r="BE392" s="2" t="s">
        <v>3</v>
      </c>
      <c r="BF392" s="2" t="s">
        <v>3</v>
      </c>
      <c r="BG392" s="2" t="s">
        <v>3</v>
      </c>
      <c r="BH392" s="2">
        <v>3</v>
      </c>
      <c r="BI392" s="2">
        <v>3</v>
      </c>
      <c r="BJ392" s="2" t="s">
        <v>3</v>
      </c>
      <c r="BK392" s="2"/>
      <c r="BL392" s="2"/>
      <c r="BM392" s="2">
        <v>746</v>
      </c>
      <c r="BN392" s="2">
        <v>0</v>
      </c>
      <c r="BO392" s="2" t="s">
        <v>3</v>
      </c>
      <c r="BP392" s="2">
        <v>0</v>
      </c>
      <c r="BQ392" s="2">
        <v>130</v>
      </c>
      <c r="BR392" s="2">
        <v>0</v>
      </c>
      <c r="BS392" s="2">
        <v>1</v>
      </c>
      <c r="BT392" s="2">
        <v>1</v>
      </c>
      <c r="BU392" s="2">
        <v>1</v>
      </c>
      <c r="BV392" s="2">
        <v>1</v>
      </c>
      <c r="BW392" s="2">
        <v>1</v>
      </c>
      <c r="BX392" s="2">
        <v>1</v>
      </c>
      <c r="BY392" s="2" t="s">
        <v>3</v>
      </c>
      <c r="BZ392" s="2">
        <v>97</v>
      </c>
      <c r="CA392" s="2">
        <v>51</v>
      </c>
      <c r="CB392" s="2" t="s">
        <v>3</v>
      </c>
      <c r="CC392" s="2"/>
      <c r="CD392" s="2"/>
      <c r="CE392" s="2">
        <v>1566</v>
      </c>
      <c r="CF392" s="2">
        <v>0</v>
      </c>
      <c r="CG392" s="2">
        <v>0</v>
      </c>
      <c r="CH392" s="2"/>
      <c r="CI392" s="2"/>
      <c r="CJ392" s="2"/>
      <c r="CK392" s="2"/>
      <c r="CL392" s="2"/>
      <c r="CM392" s="2">
        <v>0</v>
      </c>
      <c r="CN392" s="2" t="s">
        <v>615</v>
      </c>
      <c r="CO392" s="2">
        <v>0</v>
      </c>
      <c r="CP392" s="2">
        <f t="shared" si="285"/>
        <v>48053.760000000002</v>
      </c>
      <c r="CQ392" s="2">
        <f t="shared" si="312"/>
        <v>16017.92</v>
      </c>
      <c r="CR392" s="2">
        <f t="shared" si="313"/>
        <v>0</v>
      </c>
      <c r="CS392" s="2">
        <f t="shared" si="314"/>
        <v>0</v>
      </c>
      <c r="CT392" s="2">
        <f t="shared" si="286"/>
        <v>0</v>
      </c>
      <c r="CU392" s="2">
        <f t="shared" si="287"/>
        <v>0</v>
      </c>
      <c r="CV392" s="2">
        <f t="shared" si="288"/>
        <v>0</v>
      </c>
      <c r="CW392" s="2">
        <f t="shared" si="289"/>
        <v>0</v>
      </c>
      <c r="CX392" s="2">
        <f t="shared" si="290"/>
        <v>0</v>
      </c>
      <c r="CY392" s="2">
        <f t="shared" si="315"/>
        <v>0</v>
      </c>
      <c r="CZ392" s="2">
        <f t="shared" si="316"/>
        <v>0</v>
      </c>
      <c r="DA392" s="2"/>
      <c r="DB392" s="2"/>
      <c r="DC392" s="2" t="s">
        <v>3</v>
      </c>
      <c r="DD392" s="2" t="s">
        <v>3</v>
      </c>
      <c r="DE392" s="2" t="s">
        <v>3</v>
      </c>
      <c r="DF392" s="2" t="s">
        <v>3</v>
      </c>
      <c r="DG392" s="2" t="s">
        <v>3</v>
      </c>
      <c r="DH392" s="2" t="s">
        <v>3</v>
      </c>
      <c r="DI392" s="2" t="s">
        <v>3</v>
      </c>
      <c r="DJ392" s="2" t="s">
        <v>3</v>
      </c>
      <c r="DK392" s="2" t="s">
        <v>3</v>
      </c>
      <c r="DL392" s="2" t="s">
        <v>3</v>
      </c>
      <c r="DM392" s="2" t="s">
        <v>3</v>
      </c>
      <c r="DN392" s="2">
        <v>0</v>
      </c>
      <c r="DO392" s="2">
        <v>0</v>
      </c>
      <c r="DP392" s="2">
        <v>1</v>
      </c>
      <c r="DQ392" s="2">
        <v>1</v>
      </c>
      <c r="DR392" s="2"/>
      <c r="DS392" s="2"/>
      <c r="DT392" s="2"/>
      <c r="DU392" s="2">
        <v>1010</v>
      </c>
      <c r="DV392" s="2" t="s">
        <v>177</v>
      </c>
      <c r="DW392" s="2" t="s">
        <v>177</v>
      </c>
      <c r="DX392" s="2">
        <v>1</v>
      </c>
      <c r="DY392" s="2"/>
      <c r="DZ392" s="2" t="s">
        <v>3</v>
      </c>
      <c r="EA392" s="2" t="s">
        <v>3</v>
      </c>
      <c r="EB392" s="2" t="s">
        <v>3</v>
      </c>
      <c r="EC392" s="2" t="s">
        <v>3</v>
      </c>
      <c r="ED392" s="2"/>
      <c r="EE392" s="2">
        <v>57043064</v>
      </c>
      <c r="EF392" s="2">
        <v>130</v>
      </c>
      <c r="EG392" s="2" t="s">
        <v>178</v>
      </c>
      <c r="EH392" s="2">
        <v>0</v>
      </c>
      <c r="EI392" s="2" t="s">
        <v>3</v>
      </c>
      <c r="EJ392" s="2">
        <v>3</v>
      </c>
      <c r="EK392" s="2">
        <v>746</v>
      </c>
      <c r="EL392" s="2" t="s">
        <v>179</v>
      </c>
      <c r="EM392" s="2" t="s">
        <v>180</v>
      </c>
      <c r="EN392" s="2"/>
      <c r="EO392" s="2" t="s">
        <v>109</v>
      </c>
      <c r="EP392" s="2"/>
      <c r="EQ392" s="2">
        <v>2097152</v>
      </c>
      <c r="ER392" s="2">
        <v>0</v>
      </c>
      <c r="ES392" s="2">
        <v>16017.92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>
        <v>0</v>
      </c>
      <c r="FR392" s="2">
        <f t="shared" si="317"/>
        <v>48053.760000000002</v>
      </c>
      <c r="FS392" s="2">
        <v>0</v>
      </c>
      <c r="FT392" s="2"/>
      <c r="FU392" s="2"/>
      <c r="FV392" s="2"/>
      <c r="FW392" s="2"/>
      <c r="FX392" s="2">
        <v>97</v>
      </c>
      <c r="FY392" s="2">
        <v>51</v>
      </c>
      <c r="FZ392" s="2"/>
      <c r="GA392" s="2" t="s">
        <v>331</v>
      </c>
      <c r="GB392" s="2"/>
      <c r="GC392" s="2"/>
      <c r="GD392" s="2">
        <v>1</v>
      </c>
      <c r="GE392" s="2"/>
      <c r="GF392" s="2">
        <v>2081309861</v>
      </c>
      <c r="GG392" s="2">
        <v>2</v>
      </c>
      <c r="GH392" s="2">
        <v>4</v>
      </c>
      <c r="GI392" s="2">
        <v>-2</v>
      </c>
      <c r="GJ392" s="2">
        <v>0</v>
      </c>
      <c r="GK392" s="2">
        <v>0</v>
      </c>
      <c r="GL392" s="2">
        <f t="shared" si="291"/>
        <v>0</v>
      </c>
      <c r="GM392" s="2">
        <f t="shared" si="292"/>
        <v>48053.760000000002</v>
      </c>
      <c r="GN392" s="2">
        <f t="shared" si="293"/>
        <v>0</v>
      </c>
      <c r="GO392" s="2">
        <f t="shared" si="294"/>
        <v>0</v>
      </c>
      <c r="GP392" s="2">
        <f t="shared" si="295"/>
        <v>0</v>
      </c>
      <c r="GQ392" s="2"/>
      <c r="GR392" s="2">
        <v>0</v>
      </c>
      <c r="GS392" s="2">
        <v>2</v>
      </c>
      <c r="GT392" s="2">
        <v>0</v>
      </c>
      <c r="GU392" s="2" t="s">
        <v>3</v>
      </c>
      <c r="GV392" s="2">
        <f t="shared" si="296"/>
        <v>0</v>
      </c>
      <c r="GW392" s="2">
        <v>1</v>
      </c>
      <c r="GX392" s="2">
        <f t="shared" si="297"/>
        <v>0</v>
      </c>
      <c r="GY392" s="2"/>
      <c r="GZ392" s="2"/>
      <c r="HA392" s="2">
        <v>0</v>
      </c>
      <c r="HB392" s="2">
        <v>0</v>
      </c>
      <c r="HC392" s="2">
        <f t="shared" si="298"/>
        <v>0</v>
      </c>
      <c r="HD392" s="2"/>
      <c r="HE392" s="2" t="s">
        <v>40</v>
      </c>
      <c r="HF392" s="2" t="s">
        <v>182</v>
      </c>
      <c r="HG392" s="2"/>
      <c r="HH392" s="2"/>
      <c r="HI392" s="2"/>
      <c r="HJ392" s="2"/>
      <c r="HK392" s="2"/>
      <c r="HL392" s="2"/>
      <c r="HM392" s="2" t="s">
        <v>3</v>
      </c>
      <c r="HN392" s="2" t="s">
        <v>3</v>
      </c>
      <c r="HO392" s="2" t="s">
        <v>3</v>
      </c>
      <c r="HP392" s="2" t="s">
        <v>3</v>
      </c>
      <c r="HQ392" s="2" t="s">
        <v>3</v>
      </c>
      <c r="HR392" s="2"/>
      <c r="HS392" s="2">
        <v>0</v>
      </c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>
        <v>0</v>
      </c>
      <c r="IL392" s="2"/>
      <c r="IM392" s="2"/>
      <c r="IN392" s="2"/>
      <c r="IO392" s="2"/>
      <c r="IP392" s="2"/>
      <c r="IQ392" s="2"/>
      <c r="IR392" s="2"/>
      <c r="IS392" s="2"/>
      <c r="IT392" s="2"/>
      <c r="IU392" s="2"/>
    </row>
    <row r="393" spans="1:255" x14ac:dyDescent="0.25">
      <c r="A393" s="3">
        <v>17</v>
      </c>
      <c r="B393" s="3">
        <v>1</v>
      </c>
      <c r="E393" s="3" t="s">
        <v>328</v>
      </c>
      <c r="F393" s="3" t="s">
        <v>329</v>
      </c>
      <c r="G393" s="3" t="s">
        <v>330</v>
      </c>
      <c r="H393" s="3" t="s">
        <v>177</v>
      </c>
      <c r="I393" s="3">
        <v>3</v>
      </c>
      <c r="J393" s="3">
        <v>0</v>
      </c>
      <c r="K393" s="3">
        <v>3</v>
      </c>
      <c r="O393" s="3">
        <f t="shared" si="276"/>
        <v>363766.96</v>
      </c>
      <c r="P393" s="3">
        <f t="shared" si="301"/>
        <v>363766.96</v>
      </c>
      <c r="Q393" s="3">
        <f t="shared" si="302"/>
        <v>0</v>
      </c>
      <c r="R393" s="3">
        <f t="shared" si="303"/>
        <v>0</v>
      </c>
      <c r="S393" s="3">
        <f t="shared" si="277"/>
        <v>0</v>
      </c>
      <c r="T393" s="3">
        <f t="shared" si="278"/>
        <v>0</v>
      </c>
      <c r="U393" s="3">
        <f t="shared" si="279"/>
        <v>0</v>
      </c>
      <c r="V393" s="3">
        <f t="shared" si="280"/>
        <v>0</v>
      </c>
      <c r="W393" s="3">
        <f t="shared" si="281"/>
        <v>0</v>
      </c>
      <c r="X393" s="3">
        <f t="shared" si="304"/>
        <v>0</v>
      </c>
      <c r="Y393" s="3">
        <f t="shared" si="305"/>
        <v>0</v>
      </c>
      <c r="AA393" s="3">
        <v>57034454</v>
      </c>
      <c r="AB393" s="3">
        <f t="shared" si="282"/>
        <v>16017.92</v>
      </c>
      <c r="AC393" s="3">
        <f t="shared" si="306"/>
        <v>16017.92</v>
      </c>
      <c r="AD393" s="3">
        <f t="shared" si="307"/>
        <v>0</v>
      </c>
      <c r="AE393" s="3">
        <f t="shared" si="308"/>
        <v>0</v>
      </c>
      <c r="AF393" s="3">
        <f t="shared" si="309"/>
        <v>0</v>
      </c>
      <c r="AG393" s="3">
        <f t="shared" si="283"/>
        <v>0</v>
      </c>
      <c r="AH393" s="3">
        <f t="shared" si="310"/>
        <v>0</v>
      </c>
      <c r="AI393" s="3">
        <f t="shared" si="311"/>
        <v>0</v>
      </c>
      <c r="AJ393" s="3">
        <f t="shared" si="284"/>
        <v>0</v>
      </c>
      <c r="AK393" s="3">
        <v>16017.92</v>
      </c>
      <c r="AL393" s="3">
        <v>16017.92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1</v>
      </c>
      <c r="AW393" s="3">
        <v>1</v>
      </c>
      <c r="AZ393" s="3">
        <v>1</v>
      </c>
      <c r="BA393" s="3">
        <v>1</v>
      </c>
      <c r="BB393" s="3">
        <v>1</v>
      </c>
      <c r="BC393" s="3">
        <v>7.57</v>
      </c>
      <c r="BD393" s="3" t="s">
        <v>3</v>
      </c>
      <c r="BE393" s="3" t="s">
        <v>3</v>
      </c>
      <c r="BF393" s="3" t="s">
        <v>3</v>
      </c>
      <c r="BG393" s="3" t="s">
        <v>3</v>
      </c>
      <c r="BH393" s="3">
        <v>3</v>
      </c>
      <c r="BI393" s="3">
        <v>3</v>
      </c>
      <c r="BJ393" s="3" t="s">
        <v>3</v>
      </c>
      <c r="BM393" s="3">
        <v>746</v>
      </c>
      <c r="BN393" s="3">
        <v>0</v>
      </c>
      <c r="BO393" s="3" t="s">
        <v>3</v>
      </c>
      <c r="BP393" s="3">
        <v>0</v>
      </c>
      <c r="BQ393" s="3">
        <v>130</v>
      </c>
      <c r="BR393" s="3">
        <v>0</v>
      </c>
      <c r="BS393" s="3">
        <v>1</v>
      </c>
      <c r="BT393" s="3">
        <v>1</v>
      </c>
      <c r="BU393" s="3">
        <v>1</v>
      </c>
      <c r="BV393" s="3">
        <v>1</v>
      </c>
      <c r="BW393" s="3">
        <v>1</v>
      </c>
      <c r="BX393" s="3">
        <v>1</v>
      </c>
      <c r="BY393" s="3" t="s">
        <v>3</v>
      </c>
      <c r="BZ393" s="3">
        <v>97</v>
      </c>
      <c r="CA393" s="3">
        <v>51</v>
      </c>
      <c r="CB393" s="3" t="s">
        <v>3</v>
      </c>
      <c r="CE393" s="3">
        <v>1566</v>
      </c>
      <c r="CF393" s="3">
        <v>0</v>
      </c>
      <c r="CG393" s="3">
        <v>0</v>
      </c>
      <c r="CM393" s="3">
        <v>0</v>
      </c>
      <c r="CN393" s="3" t="s">
        <v>615</v>
      </c>
      <c r="CO393" s="3">
        <v>0</v>
      </c>
      <c r="CP393" s="3">
        <f t="shared" si="285"/>
        <v>363766.96</v>
      </c>
      <c r="CQ393" s="3">
        <f t="shared" si="312"/>
        <v>121255.65</v>
      </c>
      <c r="CR393" s="3">
        <f t="shared" si="313"/>
        <v>0</v>
      </c>
      <c r="CS393" s="3">
        <f t="shared" si="314"/>
        <v>0</v>
      </c>
      <c r="CT393" s="3">
        <f t="shared" si="286"/>
        <v>0</v>
      </c>
      <c r="CU393" s="3">
        <f t="shared" si="287"/>
        <v>0</v>
      </c>
      <c r="CV393" s="3">
        <f t="shared" si="288"/>
        <v>0</v>
      </c>
      <c r="CW393" s="3">
        <f t="shared" si="289"/>
        <v>0</v>
      </c>
      <c r="CX393" s="3">
        <f t="shared" si="290"/>
        <v>0</v>
      </c>
      <c r="CY393" s="3">
        <f t="shared" si="315"/>
        <v>0</v>
      </c>
      <c r="CZ393" s="3">
        <f t="shared" si="316"/>
        <v>0</v>
      </c>
      <c r="DC393" s="3" t="s">
        <v>3</v>
      </c>
      <c r="DD393" s="3" t="s">
        <v>3</v>
      </c>
      <c r="DE393" s="3" t="s">
        <v>3</v>
      </c>
      <c r="DF393" s="3" t="s">
        <v>3</v>
      </c>
      <c r="DG393" s="3" t="s">
        <v>3</v>
      </c>
      <c r="DH393" s="3" t="s">
        <v>3</v>
      </c>
      <c r="DI393" s="3" t="s">
        <v>3</v>
      </c>
      <c r="DJ393" s="3" t="s">
        <v>3</v>
      </c>
      <c r="DK393" s="3" t="s">
        <v>3</v>
      </c>
      <c r="DL393" s="3" t="s">
        <v>3</v>
      </c>
      <c r="DM393" s="3" t="s">
        <v>3</v>
      </c>
      <c r="DN393" s="3">
        <v>0</v>
      </c>
      <c r="DO393" s="3">
        <v>0</v>
      </c>
      <c r="DP393" s="3">
        <v>1</v>
      </c>
      <c r="DQ393" s="3">
        <v>1</v>
      </c>
      <c r="DU393" s="3">
        <v>1010</v>
      </c>
      <c r="DV393" s="3" t="s">
        <v>177</v>
      </c>
      <c r="DW393" s="3" t="s">
        <v>177</v>
      </c>
      <c r="DX393" s="3">
        <v>1</v>
      </c>
      <c r="DZ393" s="3" t="s">
        <v>3</v>
      </c>
      <c r="EA393" s="3" t="s">
        <v>3</v>
      </c>
      <c r="EB393" s="3" t="s">
        <v>3</v>
      </c>
      <c r="EC393" s="3" t="s">
        <v>3</v>
      </c>
      <c r="EE393" s="3">
        <v>57043064</v>
      </c>
      <c r="EF393" s="3">
        <v>130</v>
      </c>
      <c r="EG393" s="3" t="s">
        <v>178</v>
      </c>
      <c r="EH393" s="3">
        <v>0</v>
      </c>
      <c r="EI393" s="3" t="s">
        <v>3</v>
      </c>
      <c r="EJ393" s="3">
        <v>3</v>
      </c>
      <c r="EK393" s="3">
        <v>746</v>
      </c>
      <c r="EL393" s="3" t="s">
        <v>179</v>
      </c>
      <c r="EM393" s="3" t="s">
        <v>180</v>
      </c>
      <c r="EO393" s="3" t="s">
        <v>109</v>
      </c>
      <c r="EQ393" s="3">
        <v>2097152</v>
      </c>
      <c r="ER393" s="3">
        <v>16017.92</v>
      </c>
      <c r="ES393" s="3">
        <v>16017.92</v>
      </c>
      <c r="ET393" s="3">
        <v>0</v>
      </c>
      <c r="EU393" s="3">
        <v>0</v>
      </c>
      <c r="EV393" s="3">
        <v>0</v>
      </c>
      <c r="EW393" s="3">
        <v>0</v>
      </c>
      <c r="EX393" s="3">
        <v>0</v>
      </c>
      <c r="EY393" s="3">
        <v>0</v>
      </c>
      <c r="EZ393" s="3">
        <v>5</v>
      </c>
      <c r="FC393" s="3">
        <v>1</v>
      </c>
      <c r="FD393" s="3">
        <v>18</v>
      </c>
      <c r="FF393" s="3">
        <v>141920.1</v>
      </c>
      <c r="FQ393" s="3">
        <v>0</v>
      </c>
      <c r="FR393" s="3">
        <f t="shared" si="317"/>
        <v>363766.96</v>
      </c>
      <c r="FS393" s="3">
        <v>0</v>
      </c>
      <c r="FX393" s="3">
        <v>97</v>
      </c>
      <c r="FY393" s="3">
        <v>51</v>
      </c>
      <c r="GA393" s="3" t="s">
        <v>331</v>
      </c>
      <c r="GD393" s="3">
        <v>1</v>
      </c>
      <c r="GF393" s="3">
        <v>2081309861</v>
      </c>
      <c r="GG393" s="3">
        <v>2</v>
      </c>
      <c r="GH393" s="3">
        <v>3</v>
      </c>
      <c r="GI393" s="3">
        <v>5</v>
      </c>
      <c r="GJ393" s="3">
        <v>0</v>
      </c>
      <c r="GK393" s="3">
        <v>0</v>
      </c>
      <c r="GL393" s="3">
        <f t="shared" si="291"/>
        <v>0</v>
      </c>
      <c r="GM393" s="3">
        <f t="shared" si="292"/>
        <v>363766.96</v>
      </c>
      <c r="GN393" s="3">
        <f t="shared" si="293"/>
        <v>0</v>
      </c>
      <c r="GO393" s="3">
        <f t="shared" si="294"/>
        <v>0</v>
      </c>
      <c r="GP393" s="3">
        <f t="shared" si="295"/>
        <v>0</v>
      </c>
      <c r="GR393" s="3">
        <v>1</v>
      </c>
      <c r="GS393" s="3">
        <v>1</v>
      </c>
      <c r="GT393" s="3">
        <v>0</v>
      </c>
      <c r="GU393" s="3" t="s">
        <v>3</v>
      </c>
      <c r="GV393" s="3">
        <f t="shared" si="296"/>
        <v>0</v>
      </c>
      <c r="GW393" s="3">
        <v>1</v>
      </c>
      <c r="GX393" s="3">
        <f t="shared" si="297"/>
        <v>0</v>
      </c>
      <c r="HA393" s="3">
        <v>0</v>
      </c>
      <c r="HB393" s="3">
        <v>0</v>
      </c>
      <c r="HC393" s="3">
        <f t="shared" si="298"/>
        <v>0</v>
      </c>
      <c r="HE393" s="3" t="s">
        <v>40</v>
      </c>
      <c r="HF393" s="3" t="s">
        <v>182</v>
      </c>
      <c r="HM393" s="3" t="s">
        <v>3</v>
      </c>
      <c r="HN393" s="3" t="s">
        <v>3</v>
      </c>
      <c r="HO393" s="3" t="s">
        <v>3</v>
      </c>
      <c r="HP393" s="3" t="s">
        <v>3</v>
      </c>
      <c r="HQ393" s="3" t="s">
        <v>3</v>
      </c>
      <c r="HS393" s="3">
        <v>0</v>
      </c>
      <c r="IK393" s="3">
        <v>0</v>
      </c>
    </row>
    <row r="394" spans="1:255" x14ac:dyDescent="0.25">
      <c r="A394" s="2">
        <v>17</v>
      </c>
      <c r="B394" s="2">
        <v>1</v>
      </c>
      <c r="C394" s="2"/>
      <c r="D394" s="2"/>
      <c r="E394" s="2" t="s">
        <v>332</v>
      </c>
      <c r="F394" s="2" t="s">
        <v>333</v>
      </c>
      <c r="G394" s="2" t="s">
        <v>334</v>
      </c>
      <c r="H394" s="2" t="s">
        <v>177</v>
      </c>
      <c r="I394" s="2">
        <v>2</v>
      </c>
      <c r="J394" s="2">
        <v>0</v>
      </c>
      <c r="K394" s="2">
        <v>2</v>
      </c>
      <c r="L394" s="2"/>
      <c r="M394" s="2"/>
      <c r="N394" s="2"/>
      <c r="O394" s="2">
        <f t="shared" si="276"/>
        <v>59718.36</v>
      </c>
      <c r="P394" s="2">
        <f t="shared" si="301"/>
        <v>59718.36</v>
      </c>
      <c r="Q394" s="2">
        <f t="shared" si="302"/>
        <v>0</v>
      </c>
      <c r="R394" s="2">
        <f t="shared" si="303"/>
        <v>0</v>
      </c>
      <c r="S394" s="2">
        <f t="shared" si="277"/>
        <v>0</v>
      </c>
      <c r="T394" s="2">
        <f t="shared" si="278"/>
        <v>0</v>
      </c>
      <c r="U394" s="2">
        <f t="shared" si="279"/>
        <v>0</v>
      </c>
      <c r="V394" s="2">
        <f t="shared" si="280"/>
        <v>0</v>
      </c>
      <c r="W394" s="2">
        <f t="shared" si="281"/>
        <v>0</v>
      </c>
      <c r="X394" s="2">
        <f t="shared" si="304"/>
        <v>0</v>
      </c>
      <c r="Y394" s="2">
        <f t="shared" si="305"/>
        <v>0</v>
      </c>
      <c r="Z394" s="2"/>
      <c r="AA394" s="2">
        <v>57034452</v>
      </c>
      <c r="AB394" s="2">
        <f t="shared" si="282"/>
        <v>29859.18</v>
      </c>
      <c r="AC394" s="2">
        <f t="shared" si="306"/>
        <v>29859.18</v>
      </c>
      <c r="AD394" s="2">
        <f t="shared" si="307"/>
        <v>0</v>
      </c>
      <c r="AE394" s="2">
        <f t="shared" si="308"/>
        <v>0</v>
      </c>
      <c r="AF394" s="2">
        <f t="shared" si="309"/>
        <v>0</v>
      </c>
      <c r="AG394" s="2">
        <f t="shared" si="283"/>
        <v>0</v>
      </c>
      <c r="AH394" s="2">
        <f t="shared" si="310"/>
        <v>0</v>
      </c>
      <c r="AI394" s="2">
        <f t="shared" si="311"/>
        <v>0</v>
      </c>
      <c r="AJ394" s="2">
        <f t="shared" si="284"/>
        <v>0</v>
      </c>
      <c r="AK394" s="2">
        <v>29859.18</v>
      </c>
      <c r="AL394" s="2">
        <v>29859.18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1</v>
      </c>
      <c r="AW394" s="2">
        <v>1</v>
      </c>
      <c r="AX394" s="2"/>
      <c r="AY394" s="2"/>
      <c r="AZ394" s="2">
        <v>1</v>
      </c>
      <c r="BA394" s="2">
        <v>1</v>
      </c>
      <c r="BB394" s="2">
        <v>1</v>
      </c>
      <c r="BC394" s="2">
        <v>1</v>
      </c>
      <c r="BD394" s="2" t="s">
        <v>3</v>
      </c>
      <c r="BE394" s="2" t="s">
        <v>3</v>
      </c>
      <c r="BF394" s="2" t="s">
        <v>3</v>
      </c>
      <c r="BG394" s="2" t="s">
        <v>3</v>
      </c>
      <c r="BH394" s="2">
        <v>3</v>
      </c>
      <c r="BI394" s="2">
        <v>3</v>
      </c>
      <c r="BJ394" s="2" t="s">
        <v>3</v>
      </c>
      <c r="BK394" s="2"/>
      <c r="BL394" s="2"/>
      <c r="BM394" s="2">
        <v>746</v>
      </c>
      <c r="BN394" s="2">
        <v>0</v>
      </c>
      <c r="BO394" s="2" t="s">
        <v>3</v>
      </c>
      <c r="BP394" s="2">
        <v>0</v>
      </c>
      <c r="BQ394" s="2">
        <v>130</v>
      </c>
      <c r="BR394" s="2">
        <v>0</v>
      </c>
      <c r="BS394" s="2">
        <v>1</v>
      </c>
      <c r="BT394" s="2">
        <v>1</v>
      </c>
      <c r="BU394" s="2">
        <v>1</v>
      </c>
      <c r="BV394" s="2">
        <v>1</v>
      </c>
      <c r="BW394" s="2">
        <v>1</v>
      </c>
      <c r="BX394" s="2">
        <v>1</v>
      </c>
      <c r="BY394" s="2" t="s">
        <v>3</v>
      </c>
      <c r="BZ394" s="2">
        <v>97</v>
      </c>
      <c r="CA394" s="2">
        <v>51</v>
      </c>
      <c r="CB394" s="2" t="s">
        <v>3</v>
      </c>
      <c r="CC394" s="2"/>
      <c r="CD394" s="2"/>
      <c r="CE394" s="2">
        <v>1566</v>
      </c>
      <c r="CF394" s="2">
        <v>0</v>
      </c>
      <c r="CG394" s="2">
        <v>0</v>
      </c>
      <c r="CH394" s="2"/>
      <c r="CI394" s="2"/>
      <c r="CJ394" s="2"/>
      <c r="CK394" s="2"/>
      <c r="CL394" s="2"/>
      <c r="CM394" s="2">
        <v>0</v>
      </c>
      <c r="CN394" s="2" t="s">
        <v>615</v>
      </c>
      <c r="CO394" s="2">
        <v>0</v>
      </c>
      <c r="CP394" s="2">
        <f t="shared" si="285"/>
        <v>59718.36</v>
      </c>
      <c r="CQ394" s="2">
        <f t="shared" si="312"/>
        <v>29859.18</v>
      </c>
      <c r="CR394" s="2">
        <f t="shared" si="313"/>
        <v>0</v>
      </c>
      <c r="CS394" s="2">
        <f t="shared" si="314"/>
        <v>0</v>
      </c>
      <c r="CT394" s="2">
        <f t="shared" si="286"/>
        <v>0</v>
      </c>
      <c r="CU394" s="2">
        <f t="shared" si="287"/>
        <v>0</v>
      </c>
      <c r="CV394" s="2">
        <f t="shared" si="288"/>
        <v>0</v>
      </c>
      <c r="CW394" s="2">
        <f t="shared" si="289"/>
        <v>0</v>
      </c>
      <c r="CX394" s="2">
        <f t="shared" si="290"/>
        <v>0</v>
      </c>
      <c r="CY394" s="2">
        <f t="shared" si="315"/>
        <v>0</v>
      </c>
      <c r="CZ394" s="2">
        <f t="shared" si="316"/>
        <v>0</v>
      </c>
      <c r="DA394" s="2"/>
      <c r="DB394" s="2"/>
      <c r="DC394" s="2" t="s">
        <v>3</v>
      </c>
      <c r="DD394" s="2" t="s">
        <v>3</v>
      </c>
      <c r="DE394" s="2" t="s">
        <v>3</v>
      </c>
      <c r="DF394" s="2" t="s">
        <v>3</v>
      </c>
      <c r="DG394" s="2" t="s">
        <v>3</v>
      </c>
      <c r="DH394" s="2" t="s">
        <v>3</v>
      </c>
      <c r="DI394" s="2" t="s">
        <v>3</v>
      </c>
      <c r="DJ394" s="2" t="s">
        <v>3</v>
      </c>
      <c r="DK394" s="2" t="s">
        <v>3</v>
      </c>
      <c r="DL394" s="2" t="s">
        <v>3</v>
      </c>
      <c r="DM394" s="2" t="s">
        <v>3</v>
      </c>
      <c r="DN394" s="2">
        <v>0</v>
      </c>
      <c r="DO394" s="2">
        <v>0</v>
      </c>
      <c r="DP394" s="2">
        <v>1</v>
      </c>
      <c r="DQ394" s="2">
        <v>1</v>
      </c>
      <c r="DR394" s="2"/>
      <c r="DS394" s="2"/>
      <c r="DT394" s="2"/>
      <c r="DU394" s="2">
        <v>1010</v>
      </c>
      <c r="DV394" s="2" t="s">
        <v>177</v>
      </c>
      <c r="DW394" s="2" t="s">
        <v>177</v>
      </c>
      <c r="DX394" s="2">
        <v>1</v>
      </c>
      <c r="DY394" s="2"/>
      <c r="DZ394" s="2" t="s">
        <v>3</v>
      </c>
      <c r="EA394" s="2" t="s">
        <v>3</v>
      </c>
      <c r="EB394" s="2" t="s">
        <v>3</v>
      </c>
      <c r="EC394" s="2" t="s">
        <v>3</v>
      </c>
      <c r="ED394" s="2"/>
      <c r="EE394" s="2">
        <v>57043064</v>
      </c>
      <c r="EF394" s="2">
        <v>130</v>
      </c>
      <c r="EG394" s="2" t="s">
        <v>178</v>
      </c>
      <c r="EH394" s="2">
        <v>0</v>
      </c>
      <c r="EI394" s="2" t="s">
        <v>3</v>
      </c>
      <c r="EJ394" s="2">
        <v>3</v>
      </c>
      <c r="EK394" s="2">
        <v>746</v>
      </c>
      <c r="EL394" s="2" t="s">
        <v>179</v>
      </c>
      <c r="EM394" s="2" t="s">
        <v>180</v>
      </c>
      <c r="EN394" s="2"/>
      <c r="EO394" s="2" t="s">
        <v>109</v>
      </c>
      <c r="EP394" s="2"/>
      <c r="EQ394" s="2">
        <v>2097152</v>
      </c>
      <c r="ER394" s="2">
        <v>0</v>
      </c>
      <c r="ES394" s="2">
        <v>29859.18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>
        <v>0</v>
      </c>
      <c r="FR394" s="2">
        <f t="shared" si="317"/>
        <v>59718.36</v>
      </c>
      <c r="FS394" s="2">
        <v>0</v>
      </c>
      <c r="FT394" s="2"/>
      <c r="FU394" s="2"/>
      <c r="FV394" s="2"/>
      <c r="FW394" s="2"/>
      <c r="FX394" s="2">
        <v>97</v>
      </c>
      <c r="FY394" s="2">
        <v>51</v>
      </c>
      <c r="FZ394" s="2"/>
      <c r="GA394" s="2" t="s">
        <v>335</v>
      </c>
      <c r="GB394" s="2"/>
      <c r="GC394" s="2"/>
      <c r="GD394" s="2">
        <v>1</v>
      </c>
      <c r="GE394" s="2"/>
      <c r="GF394" s="2">
        <v>-16569072</v>
      </c>
      <c r="GG394" s="2">
        <v>2</v>
      </c>
      <c r="GH394" s="2">
        <v>4</v>
      </c>
      <c r="GI394" s="2">
        <v>-2</v>
      </c>
      <c r="GJ394" s="2">
        <v>0</v>
      </c>
      <c r="GK394" s="2">
        <v>0</v>
      </c>
      <c r="GL394" s="2">
        <f t="shared" si="291"/>
        <v>0</v>
      </c>
      <c r="GM394" s="2">
        <f t="shared" si="292"/>
        <v>59718.36</v>
      </c>
      <c r="GN394" s="2">
        <f t="shared" si="293"/>
        <v>0</v>
      </c>
      <c r="GO394" s="2">
        <f t="shared" si="294"/>
        <v>0</v>
      </c>
      <c r="GP394" s="2">
        <f t="shared" si="295"/>
        <v>0</v>
      </c>
      <c r="GQ394" s="2"/>
      <c r="GR394" s="2">
        <v>0</v>
      </c>
      <c r="GS394" s="2">
        <v>2</v>
      </c>
      <c r="GT394" s="2">
        <v>0</v>
      </c>
      <c r="GU394" s="2" t="s">
        <v>3</v>
      </c>
      <c r="GV394" s="2">
        <f t="shared" si="296"/>
        <v>0</v>
      </c>
      <c r="GW394" s="2">
        <v>1</v>
      </c>
      <c r="GX394" s="2">
        <f t="shared" si="297"/>
        <v>0</v>
      </c>
      <c r="GY394" s="2"/>
      <c r="GZ394" s="2"/>
      <c r="HA394" s="2">
        <v>0</v>
      </c>
      <c r="HB394" s="2">
        <v>0</v>
      </c>
      <c r="HC394" s="2">
        <f t="shared" si="298"/>
        <v>0</v>
      </c>
      <c r="HD394" s="2"/>
      <c r="HE394" s="2" t="s">
        <v>40</v>
      </c>
      <c r="HF394" s="2" t="s">
        <v>182</v>
      </c>
      <c r="HG394" s="2"/>
      <c r="HH394" s="2"/>
      <c r="HI394" s="2"/>
      <c r="HJ394" s="2"/>
      <c r="HK394" s="2"/>
      <c r="HL394" s="2"/>
      <c r="HM394" s="2" t="s">
        <v>3</v>
      </c>
      <c r="HN394" s="2" t="s">
        <v>3</v>
      </c>
      <c r="HO394" s="2" t="s">
        <v>3</v>
      </c>
      <c r="HP394" s="2" t="s">
        <v>3</v>
      </c>
      <c r="HQ394" s="2" t="s">
        <v>3</v>
      </c>
      <c r="HR394" s="2"/>
      <c r="HS394" s="2">
        <v>0</v>
      </c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>
        <v>0</v>
      </c>
      <c r="IL394" s="2"/>
      <c r="IM394" s="2"/>
      <c r="IN394" s="2"/>
      <c r="IO394" s="2"/>
      <c r="IP394" s="2"/>
      <c r="IQ394" s="2"/>
      <c r="IR394" s="2"/>
      <c r="IS394" s="2"/>
      <c r="IT394" s="2"/>
      <c r="IU394" s="2"/>
    </row>
    <row r="395" spans="1:255" x14ac:dyDescent="0.25">
      <c r="A395" s="3">
        <v>17</v>
      </c>
      <c r="B395" s="3">
        <v>1</v>
      </c>
      <c r="E395" s="3" t="s">
        <v>332</v>
      </c>
      <c r="F395" s="3" t="s">
        <v>333</v>
      </c>
      <c r="G395" s="3" t="s">
        <v>334</v>
      </c>
      <c r="H395" s="3" t="s">
        <v>177</v>
      </c>
      <c r="I395" s="3">
        <v>2</v>
      </c>
      <c r="J395" s="3">
        <v>0</v>
      </c>
      <c r="K395" s="3">
        <v>2</v>
      </c>
      <c r="O395" s="3">
        <f t="shared" si="276"/>
        <v>452067.99</v>
      </c>
      <c r="P395" s="3">
        <f t="shared" si="301"/>
        <v>452067.99</v>
      </c>
      <c r="Q395" s="3">
        <f t="shared" si="302"/>
        <v>0</v>
      </c>
      <c r="R395" s="3">
        <f t="shared" si="303"/>
        <v>0</v>
      </c>
      <c r="S395" s="3">
        <f t="shared" si="277"/>
        <v>0</v>
      </c>
      <c r="T395" s="3">
        <f t="shared" si="278"/>
        <v>0</v>
      </c>
      <c r="U395" s="3">
        <f t="shared" si="279"/>
        <v>0</v>
      </c>
      <c r="V395" s="3">
        <f t="shared" si="280"/>
        <v>0</v>
      </c>
      <c r="W395" s="3">
        <f t="shared" si="281"/>
        <v>0</v>
      </c>
      <c r="X395" s="3">
        <f t="shared" si="304"/>
        <v>0</v>
      </c>
      <c r="Y395" s="3">
        <f t="shared" si="305"/>
        <v>0</v>
      </c>
      <c r="AA395" s="3">
        <v>57034454</v>
      </c>
      <c r="AB395" s="3">
        <f t="shared" si="282"/>
        <v>29859.18</v>
      </c>
      <c r="AC395" s="3">
        <f t="shared" si="306"/>
        <v>29859.18</v>
      </c>
      <c r="AD395" s="3">
        <f t="shared" si="307"/>
        <v>0</v>
      </c>
      <c r="AE395" s="3">
        <f t="shared" si="308"/>
        <v>0</v>
      </c>
      <c r="AF395" s="3">
        <f t="shared" si="309"/>
        <v>0</v>
      </c>
      <c r="AG395" s="3">
        <f t="shared" si="283"/>
        <v>0</v>
      </c>
      <c r="AH395" s="3">
        <f t="shared" si="310"/>
        <v>0</v>
      </c>
      <c r="AI395" s="3">
        <f t="shared" si="311"/>
        <v>0</v>
      </c>
      <c r="AJ395" s="3">
        <f t="shared" si="284"/>
        <v>0</v>
      </c>
      <c r="AK395" s="3">
        <v>29859.18</v>
      </c>
      <c r="AL395" s="3">
        <v>29859.18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1</v>
      </c>
      <c r="AW395" s="3">
        <v>1</v>
      </c>
      <c r="AZ395" s="3">
        <v>1</v>
      </c>
      <c r="BA395" s="3">
        <v>1</v>
      </c>
      <c r="BB395" s="3">
        <v>1</v>
      </c>
      <c r="BC395" s="3">
        <v>7.57</v>
      </c>
      <c r="BD395" s="3" t="s">
        <v>3</v>
      </c>
      <c r="BE395" s="3" t="s">
        <v>3</v>
      </c>
      <c r="BF395" s="3" t="s">
        <v>3</v>
      </c>
      <c r="BG395" s="3" t="s">
        <v>3</v>
      </c>
      <c r="BH395" s="3">
        <v>3</v>
      </c>
      <c r="BI395" s="3">
        <v>3</v>
      </c>
      <c r="BJ395" s="3" t="s">
        <v>3</v>
      </c>
      <c r="BM395" s="3">
        <v>746</v>
      </c>
      <c r="BN395" s="3">
        <v>0</v>
      </c>
      <c r="BO395" s="3" t="s">
        <v>3</v>
      </c>
      <c r="BP395" s="3">
        <v>0</v>
      </c>
      <c r="BQ395" s="3">
        <v>130</v>
      </c>
      <c r="BR395" s="3">
        <v>0</v>
      </c>
      <c r="BS395" s="3">
        <v>1</v>
      </c>
      <c r="BT395" s="3">
        <v>1</v>
      </c>
      <c r="BU395" s="3">
        <v>1</v>
      </c>
      <c r="BV395" s="3">
        <v>1</v>
      </c>
      <c r="BW395" s="3">
        <v>1</v>
      </c>
      <c r="BX395" s="3">
        <v>1</v>
      </c>
      <c r="BY395" s="3" t="s">
        <v>3</v>
      </c>
      <c r="BZ395" s="3">
        <v>97</v>
      </c>
      <c r="CA395" s="3">
        <v>51</v>
      </c>
      <c r="CB395" s="3" t="s">
        <v>3</v>
      </c>
      <c r="CE395" s="3">
        <v>1566</v>
      </c>
      <c r="CF395" s="3">
        <v>0</v>
      </c>
      <c r="CG395" s="3">
        <v>0</v>
      </c>
      <c r="CM395" s="3">
        <v>0</v>
      </c>
      <c r="CN395" s="3" t="s">
        <v>615</v>
      </c>
      <c r="CO395" s="3">
        <v>0</v>
      </c>
      <c r="CP395" s="3">
        <f t="shared" si="285"/>
        <v>452067.99</v>
      </c>
      <c r="CQ395" s="3">
        <f t="shared" si="312"/>
        <v>226033.99</v>
      </c>
      <c r="CR395" s="3">
        <f t="shared" si="313"/>
        <v>0</v>
      </c>
      <c r="CS395" s="3">
        <f t="shared" si="314"/>
        <v>0</v>
      </c>
      <c r="CT395" s="3">
        <f t="shared" si="286"/>
        <v>0</v>
      </c>
      <c r="CU395" s="3">
        <f t="shared" si="287"/>
        <v>0</v>
      </c>
      <c r="CV395" s="3">
        <f t="shared" si="288"/>
        <v>0</v>
      </c>
      <c r="CW395" s="3">
        <f t="shared" si="289"/>
        <v>0</v>
      </c>
      <c r="CX395" s="3">
        <f t="shared" si="290"/>
        <v>0</v>
      </c>
      <c r="CY395" s="3">
        <f t="shared" si="315"/>
        <v>0</v>
      </c>
      <c r="CZ395" s="3">
        <f t="shared" si="316"/>
        <v>0</v>
      </c>
      <c r="DC395" s="3" t="s">
        <v>3</v>
      </c>
      <c r="DD395" s="3" t="s">
        <v>3</v>
      </c>
      <c r="DE395" s="3" t="s">
        <v>3</v>
      </c>
      <c r="DF395" s="3" t="s">
        <v>3</v>
      </c>
      <c r="DG395" s="3" t="s">
        <v>3</v>
      </c>
      <c r="DH395" s="3" t="s">
        <v>3</v>
      </c>
      <c r="DI395" s="3" t="s">
        <v>3</v>
      </c>
      <c r="DJ395" s="3" t="s">
        <v>3</v>
      </c>
      <c r="DK395" s="3" t="s">
        <v>3</v>
      </c>
      <c r="DL395" s="3" t="s">
        <v>3</v>
      </c>
      <c r="DM395" s="3" t="s">
        <v>3</v>
      </c>
      <c r="DN395" s="3">
        <v>0</v>
      </c>
      <c r="DO395" s="3">
        <v>0</v>
      </c>
      <c r="DP395" s="3">
        <v>1</v>
      </c>
      <c r="DQ395" s="3">
        <v>1</v>
      </c>
      <c r="DU395" s="3">
        <v>1010</v>
      </c>
      <c r="DV395" s="3" t="s">
        <v>177</v>
      </c>
      <c r="DW395" s="3" t="s">
        <v>177</v>
      </c>
      <c r="DX395" s="3">
        <v>1</v>
      </c>
      <c r="DZ395" s="3" t="s">
        <v>3</v>
      </c>
      <c r="EA395" s="3" t="s">
        <v>3</v>
      </c>
      <c r="EB395" s="3" t="s">
        <v>3</v>
      </c>
      <c r="EC395" s="3" t="s">
        <v>3</v>
      </c>
      <c r="EE395" s="3">
        <v>57043064</v>
      </c>
      <c r="EF395" s="3">
        <v>130</v>
      </c>
      <c r="EG395" s="3" t="s">
        <v>178</v>
      </c>
      <c r="EH395" s="3">
        <v>0</v>
      </c>
      <c r="EI395" s="3" t="s">
        <v>3</v>
      </c>
      <c r="EJ395" s="3">
        <v>3</v>
      </c>
      <c r="EK395" s="3">
        <v>746</v>
      </c>
      <c r="EL395" s="3" t="s">
        <v>179</v>
      </c>
      <c r="EM395" s="3" t="s">
        <v>180</v>
      </c>
      <c r="EO395" s="3" t="s">
        <v>109</v>
      </c>
      <c r="EQ395" s="3">
        <v>2097152</v>
      </c>
      <c r="ER395" s="3">
        <v>29859.18</v>
      </c>
      <c r="ES395" s="3">
        <v>29859.18</v>
      </c>
      <c r="ET395" s="3">
        <v>0</v>
      </c>
      <c r="EU395" s="3">
        <v>0</v>
      </c>
      <c r="EV395" s="3">
        <v>0</v>
      </c>
      <c r="EW395" s="3">
        <v>0</v>
      </c>
      <c r="EX395" s="3">
        <v>0</v>
      </c>
      <c r="EY395" s="3">
        <v>0</v>
      </c>
      <c r="EZ395" s="3">
        <v>5</v>
      </c>
      <c r="FC395" s="3">
        <v>1</v>
      </c>
      <c r="FD395" s="3">
        <v>18</v>
      </c>
      <c r="FF395" s="3">
        <v>264555</v>
      </c>
      <c r="FQ395" s="3">
        <v>0</v>
      </c>
      <c r="FR395" s="3">
        <f t="shared" si="317"/>
        <v>452067.99</v>
      </c>
      <c r="FS395" s="3">
        <v>0</v>
      </c>
      <c r="FX395" s="3">
        <v>97</v>
      </c>
      <c r="FY395" s="3">
        <v>51</v>
      </c>
      <c r="GA395" s="3" t="s">
        <v>335</v>
      </c>
      <c r="GD395" s="3">
        <v>1</v>
      </c>
      <c r="GF395" s="3">
        <v>-16569072</v>
      </c>
      <c r="GG395" s="3">
        <v>2</v>
      </c>
      <c r="GH395" s="3">
        <v>3</v>
      </c>
      <c r="GI395" s="3">
        <v>5</v>
      </c>
      <c r="GJ395" s="3">
        <v>0</v>
      </c>
      <c r="GK395" s="3">
        <v>0</v>
      </c>
      <c r="GL395" s="3">
        <f t="shared" si="291"/>
        <v>0</v>
      </c>
      <c r="GM395" s="3">
        <f t="shared" si="292"/>
        <v>452067.99</v>
      </c>
      <c r="GN395" s="3">
        <f t="shared" si="293"/>
        <v>0</v>
      </c>
      <c r="GO395" s="3">
        <f t="shared" si="294"/>
        <v>0</v>
      </c>
      <c r="GP395" s="3">
        <f t="shared" si="295"/>
        <v>0</v>
      </c>
      <c r="GR395" s="3">
        <v>1</v>
      </c>
      <c r="GS395" s="3">
        <v>1</v>
      </c>
      <c r="GT395" s="3">
        <v>0</v>
      </c>
      <c r="GU395" s="3" t="s">
        <v>3</v>
      </c>
      <c r="GV395" s="3">
        <f t="shared" si="296"/>
        <v>0</v>
      </c>
      <c r="GW395" s="3">
        <v>1</v>
      </c>
      <c r="GX395" s="3">
        <f t="shared" si="297"/>
        <v>0</v>
      </c>
      <c r="HA395" s="3">
        <v>0</v>
      </c>
      <c r="HB395" s="3">
        <v>0</v>
      </c>
      <c r="HC395" s="3">
        <f t="shared" si="298"/>
        <v>0</v>
      </c>
      <c r="HE395" s="3" t="s">
        <v>40</v>
      </c>
      <c r="HF395" s="3" t="s">
        <v>182</v>
      </c>
      <c r="HM395" s="3" t="s">
        <v>3</v>
      </c>
      <c r="HN395" s="3" t="s">
        <v>3</v>
      </c>
      <c r="HO395" s="3" t="s">
        <v>3</v>
      </c>
      <c r="HP395" s="3" t="s">
        <v>3</v>
      </c>
      <c r="HQ395" s="3" t="s">
        <v>3</v>
      </c>
      <c r="HS395" s="3">
        <v>0</v>
      </c>
      <c r="IK395" s="3">
        <v>0</v>
      </c>
    </row>
    <row r="396" spans="1:255" x14ac:dyDescent="0.25">
      <c r="A396" s="2">
        <v>17</v>
      </c>
      <c r="B396" s="2">
        <v>1</v>
      </c>
      <c r="C396" s="2"/>
      <c r="D396" s="2"/>
      <c r="E396" s="2" t="s">
        <v>336</v>
      </c>
      <c r="F396" s="2" t="s">
        <v>337</v>
      </c>
      <c r="G396" s="2" t="s">
        <v>338</v>
      </c>
      <c r="H396" s="2" t="s">
        <v>177</v>
      </c>
      <c r="I396" s="2">
        <v>1</v>
      </c>
      <c r="J396" s="2">
        <v>0</v>
      </c>
      <c r="K396" s="2">
        <v>1</v>
      </c>
      <c r="L396" s="2"/>
      <c r="M396" s="2"/>
      <c r="N396" s="2"/>
      <c r="O396" s="2">
        <f t="shared" si="276"/>
        <v>4175.93</v>
      </c>
      <c r="P396" s="2">
        <f t="shared" si="301"/>
        <v>4175.93</v>
      </c>
      <c r="Q396" s="2">
        <f t="shared" si="302"/>
        <v>0</v>
      </c>
      <c r="R396" s="2">
        <f t="shared" si="303"/>
        <v>0</v>
      </c>
      <c r="S396" s="2">
        <f t="shared" si="277"/>
        <v>0</v>
      </c>
      <c r="T396" s="2">
        <f t="shared" si="278"/>
        <v>0</v>
      </c>
      <c r="U396" s="2">
        <f t="shared" si="279"/>
        <v>0</v>
      </c>
      <c r="V396" s="2">
        <f t="shared" si="280"/>
        <v>0</v>
      </c>
      <c r="W396" s="2">
        <f t="shared" si="281"/>
        <v>0</v>
      </c>
      <c r="X396" s="2">
        <f t="shared" si="304"/>
        <v>0</v>
      </c>
      <c r="Y396" s="2">
        <f t="shared" si="305"/>
        <v>0</v>
      </c>
      <c r="Z396" s="2"/>
      <c r="AA396" s="2">
        <v>57034452</v>
      </c>
      <c r="AB396" s="2">
        <f t="shared" si="282"/>
        <v>4175.93</v>
      </c>
      <c r="AC396" s="2">
        <f t="shared" si="306"/>
        <v>4175.93</v>
      </c>
      <c r="AD396" s="2">
        <f t="shared" si="307"/>
        <v>0</v>
      </c>
      <c r="AE396" s="2">
        <f t="shared" si="308"/>
        <v>0</v>
      </c>
      <c r="AF396" s="2">
        <f t="shared" si="309"/>
        <v>0</v>
      </c>
      <c r="AG396" s="2">
        <f t="shared" si="283"/>
        <v>0</v>
      </c>
      <c r="AH396" s="2">
        <f t="shared" si="310"/>
        <v>0</v>
      </c>
      <c r="AI396" s="2">
        <f t="shared" si="311"/>
        <v>0</v>
      </c>
      <c r="AJ396" s="2">
        <f t="shared" si="284"/>
        <v>0</v>
      </c>
      <c r="AK396" s="2">
        <v>4175.93</v>
      </c>
      <c r="AL396" s="2">
        <v>4175.93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1</v>
      </c>
      <c r="AW396" s="2">
        <v>1</v>
      </c>
      <c r="AX396" s="2"/>
      <c r="AY396" s="2"/>
      <c r="AZ396" s="2">
        <v>1</v>
      </c>
      <c r="BA396" s="2">
        <v>1</v>
      </c>
      <c r="BB396" s="2">
        <v>1</v>
      </c>
      <c r="BC396" s="2">
        <v>1</v>
      </c>
      <c r="BD396" s="2" t="s">
        <v>3</v>
      </c>
      <c r="BE396" s="2" t="s">
        <v>3</v>
      </c>
      <c r="BF396" s="2" t="s">
        <v>3</v>
      </c>
      <c r="BG396" s="2" t="s">
        <v>3</v>
      </c>
      <c r="BH396" s="2">
        <v>3</v>
      </c>
      <c r="BI396" s="2">
        <v>3</v>
      </c>
      <c r="BJ396" s="2" t="s">
        <v>3</v>
      </c>
      <c r="BK396" s="2"/>
      <c r="BL396" s="2"/>
      <c r="BM396" s="2">
        <v>746</v>
      </c>
      <c r="BN396" s="2">
        <v>0</v>
      </c>
      <c r="BO396" s="2" t="s">
        <v>3</v>
      </c>
      <c r="BP396" s="2">
        <v>0</v>
      </c>
      <c r="BQ396" s="2">
        <v>130</v>
      </c>
      <c r="BR396" s="2">
        <v>0</v>
      </c>
      <c r="BS396" s="2">
        <v>1</v>
      </c>
      <c r="BT396" s="2">
        <v>1</v>
      </c>
      <c r="BU396" s="2">
        <v>1</v>
      </c>
      <c r="BV396" s="2">
        <v>1</v>
      </c>
      <c r="BW396" s="2">
        <v>1</v>
      </c>
      <c r="BX396" s="2">
        <v>1</v>
      </c>
      <c r="BY396" s="2" t="s">
        <v>3</v>
      </c>
      <c r="BZ396" s="2">
        <v>97</v>
      </c>
      <c r="CA396" s="2">
        <v>51</v>
      </c>
      <c r="CB396" s="2" t="s">
        <v>3</v>
      </c>
      <c r="CC396" s="2"/>
      <c r="CD396" s="2"/>
      <c r="CE396" s="2">
        <v>1566</v>
      </c>
      <c r="CF396" s="2">
        <v>0</v>
      </c>
      <c r="CG396" s="2">
        <v>0</v>
      </c>
      <c r="CH396" s="2"/>
      <c r="CI396" s="2"/>
      <c r="CJ396" s="2"/>
      <c r="CK396" s="2"/>
      <c r="CL396" s="2"/>
      <c r="CM396" s="2">
        <v>0</v>
      </c>
      <c r="CN396" s="2" t="s">
        <v>615</v>
      </c>
      <c r="CO396" s="2">
        <v>0</v>
      </c>
      <c r="CP396" s="2">
        <f t="shared" si="285"/>
        <v>4175.93</v>
      </c>
      <c r="CQ396" s="2">
        <f t="shared" si="312"/>
        <v>4175.93</v>
      </c>
      <c r="CR396" s="2">
        <f t="shared" si="313"/>
        <v>0</v>
      </c>
      <c r="CS396" s="2">
        <f t="shared" si="314"/>
        <v>0</v>
      </c>
      <c r="CT396" s="2">
        <f t="shared" si="286"/>
        <v>0</v>
      </c>
      <c r="CU396" s="2">
        <f t="shared" si="287"/>
        <v>0</v>
      </c>
      <c r="CV396" s="2">
        <f t="shared" si="288"/>
        <v>0</v>
      </c>
      <c r="CW396" s="2">
        <f t="shared" si="289"/>
        <v>0</v>
      </c>
      <c r="CX396" s="2">
        <f t="shared" si="290"/>
        <v>0</v>
      </c>
      <c r="CY396" s="2">
        <f t="shared" si="315"/>
        <v>0</v>
      </c>
      <c r="CZ396" s="2">
        <f t="shared" si="316"/>
        <v>0</v>
      </c>
      <c r="DA396" s="2"/>
      <c r="DB396" s="2"/>
      <c r="DC396" s="2" t="s">
        <v>3</v>
      </c>
      <c r="DD396" s="2" t="s">
        <v>3</v>
      </c>
      <c r="DE396" s="2" t="s">
        <v>3</v>
      </c>
      <c r="DF396" s="2" t="s">
        <v>3</v>
      </c>
      <c r="DG396" s="2" t="s">
        <v>3</v>
      </c>
      <c r="DH396" s="2" t="s">
        <v>3</v>
      </c>
      <c r="DI396" s="2" t="s">
        <v>3</v>
      </c>
      <c r="DJ396" s="2" t="s">
        <v>3</v>
      </c>
      <c r="DK396" s="2" t="s">
        <v>3</v>
      </c>
      <c r="DL396" s="2" t="s">
        <v>3</v>
      </c>
      <c r="DM396" s="2" t="s">
        <v>3</v>
      </c>
      <c r="DN396" s="2">
        <v>0</v>
      </c>
      <c r="DO396" s="2">
        <v>0</v>
      </c>
      <c r="DP396" s="2">
        <v>1</v>
      </c>
      <c r="DQ396" s="2">
        <v>1</v>
      </c>
      <c r="DR396" s="2"/>
      <c r="DS396" s="2"/>
      <c r="DT396" s="2"/>
      <c r="DU396" s="2">
        <v>1010</v>
      </c>
      <c r="DV396" s="2" t="s">
        <v>177</v>
      </c>
      <c r="DW396" s="2" t="s">
        <v>177</v>
      </c>
      <c r="DX396" s="2">
        <v>1</v>
      </c>
      <c r="DY396" s="2"/>
      <c r="DZ396" s="2" t="s">
        <v>3</v>
      </c>
      <c r="EA396" s="2" t="s">
        <v>3</v>
      </c>
      <c r="EB396" s="2" t="s">
        <v>3</v>
      </c>
      <c r="EC396" s="2" t="s">
        <v>3</v>
      </c>
      <c r="ED396" s="2"/>
      <c r="EE396" s="2">
        <v>57043064</v>
      </c>
      <c r="EF396" s="2">
        <v>130</v>
      </c>
      <c r="EG396" s="2" t="s">
        <v>178</v>
      </c>
      <c r="EH396" s="2">
        <v>0</v>
      </c>
      <c r="EI396" s="2" t="s">
        <v>3</v>
      </c>
      <c r="EJ396" s="2">
        <v>3</v>
      </c>
      <c r="EK396" s="2">
        <v>746</v>
      </c>
      <c r="EL396" s="2" t="s">
        <v>179</v>
      </c>
      <c r="EM396" s="2" t="s">
        <v>180</v>
      </c>
      <c r="EN396" s="2"/>
      <c r="EO396" s="2" t="s">
        <v>109</v>
      </c>
      <c r="EP396" s="2"/>
      <c r="EQ396" s="2">
        <v>2097152</v>
      </c>
      <c r="ER396" s="2">
        <v>0</v>
      </c>
      <c r="ES396" s="2">
        <v>4175.93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>
        <v>0</v>
      </c>
      <c r="FR396" s="2">
        <f t="shared" si="317"/>
        <v>4175.93</v>
      </c>
      <c r="FS396" s="2">
        <v>0</v>
      </c>
      <c r="FT396" s="2"/>
      <c r="FU396" s="2"/>
      <c r="FV396" s="2"/>
      <c r="FW396" s="2"/>
      <c r="FX396" s="2">
        <v>97</v>
      </c>
      <c r="FY396" s="2">
        <v>51</v>
      </c>
      <c r="FZ396" s="2"/>
      <c r="GA396" s="2" t="s">
        <v>339</v>
      </c>
      <c r="GB396" s="2"/>
      <c r="GC396" s="2"/>
      <c r="GD396" s="2">
        <v>1</v>
      </c>
      <c r="GE396" s="2"/>
      <c r="GF396" s="2">
        <v>-884168843</v>
      </c>
      <c r="GG396" s="2">
        <v>2</v>
      </c>
      <c r="GH396" s="2">
        <v>4</v>
      </c>
      <c r="GI396" s="2">
        <v>-2</v>
      </c>
      <c r="GJ396" s="2">
        <v>0</v>
      </c>
      <c r="GK396" s="2">
        <v>0</v>
      </c>
      <c r="GL396" s="2">
        <f t="shared" si="291"/>
        <v>0</v>
      </c>
      <c r="GM396" s="2">
        <f t="shared" si="292"/>
        <v>4175.93</v>
      </c>
      <c r="GN396" s="2">
        <f t="shared" si="293"/>
        <v>0</v>
      </c>
      <c r="GO396" s="2">
        <f t="shared" si="294"/>
        <v>0</v>
      </c>
      <c r="GP396" s="2">
        <f t="shared" si="295"/>
        <v>0</v>
      </c>
      <c r="GQ396" s="2"/>
      <c r="GR396" s="2">
        <v>0</v>
      </c>
      <c r="GS396" s="2">
        <v>2</v>
      </c>
      <c r="GT396" s="2">
        <v>0</v>
      </c>
      <c r="GU396" s="2" t="s">
        <v>3</v>
      </c>
      <c r="GV396" s="2">
        <f t="shared" si="296"/>
        <v>0</v>
      </c>
      <c r="GW396" s="2">
        <v>1</v>
      </c>
      <c r="GX396" s="2">
        <f t="shared" si="297"/>
        <v>0</v>
      </c>
      <c r="GY396" s="2"/>
      <c r="GZ396" s="2"/>
      <c r="HA396" s="2">
        <v>0</v>
      </c>
      <c r="HB396" s="2">
        <v>0</v>
      </c>
      <c r="HC396" s="2">
        <f t="shared" si="298"/>
        <v>0</v>
      </c>
      <c r="HD396" s="2"/>
      <c r="HE396" s="2" t="s">
        <v>40</v>
      </c>
      <c r="HF396" s="2" t="s">
        <v>182</v>
      </c>
      <c r="HG396" s="2"/>
      <c r="HH396" s="2"/>
      <c r="HI396" s="2"/>
      <c r="HJ396" s="2"/>
      <c r="HK396" s="2"/>
      <c r="HL396" s="2"/>
      <c r="HM396" s="2" t="s">
        <v>3</v>
      </c>
      <c r="HN396" s="2" t="s">
        <v>3</v>
      </c>
      <c r="HO396" s="2" t="s">
        <v>3</v>
      </c>
      <c r="HP396" s="2" t="s">
        <v>3</v>
      </c>
      <c r="HQ396" s="2" t="s">
        <v>3</v>
      </c>
      <c r="HR396" s="2"/>
      <c r="HS396" s="2">
        <v>0</v>
      </c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>
        <v>0</v>
      </c>
      <c r="IL396" s="2"/>
      <c r="IM396" s="2"/>
      <c r="IN396" s="2"/>
      <c r="IO396" s="2"/>
      <c r="IP396" s="2"/>
      <c r="IQ396" s="2"/>
      <c r="IR396" s="2"/>
      <c r="IS396" s="2"/>
      <c r="IT396" s="2"/>
      <c r="IU396" s="2"/>
    </row>
    <row r="397" spans="1:255" x14ac:dyDescent="0.25">
      <c r="A397" s="3">
        <v>17</v>
      </c>
      <c r="B397" s="3">
        <v>1</v>
      </c>
      <c r="E397" s="3" t="s">
        <v>336</v>
      </c>
      <c r="F397" s="3" t="s">
        <v>337</v>
      </c>
      <c r="G397" s="3" t="s">
        <v>338</v>
      </c>
      <c r="H397" s="3" t="s">
        <v>177</v>
      </c>
      <c r="I397" s="3">
        <v>1</v>
      </c>
      <c r="J397" s="3">
        <v>0</v>
      </c>
      <c r="K397" s="3">
        <v>1</v>
      </c>
      <c r="O397" s="3">
        <f t="shared" si="276"/>
        <v>31611.79</v>
      </c>
      <c r="P397" s="3">
        <f t="shared" si="301"/>
        <v>31611.79</v>
      </c>
      <c r="Q397" s="3">
        <f t="shared" si="302"/>
        <v>0</v>
      </c>
      <c r="R397" s="3">
        <f t="shared" si="303"/>
        <v>0</v>
      </c>
      <c r="S397" s="3">
        <f t="shared" si="277"/>
        <v>0</v>
      </c>
      <c r="T397" s="3">
        <f t="shared" si="278"/>
        <v>0</v>
      </c>
      <c r="U397" s="3">
        <f t="shared" si="279"/>
        <v>0</v>
      </c>
      <c r="V397" s="3">
        <f t="shared" si="280"/>
        <v>0</v>
      </c>
      <c r="W397" s="3">
        <f t="shared" si="281"/>
        <v>0</v>
      </c>
      <c r="X397" s="3">
        <f t="shared" si="304"/>
        <v>0</v>
      </c>
      <c r="Y397" s="3">
        <f t="shared" si="305"/>
        <v>0</v>
      </c>
      <c r="AA397" s="3">
        <v>57034454</v>
      </c>
      <c r="AB397" s="3">
        <f t="shared" si="282"/>
        <v>4175.93</v>
      </c>
      <c r="AC397" s="3">
        <f t="shared" si="306"/>
        <v>4175.93</v>
      </c>
      <c r="AD397" s="3">
        <f t="shared" si="307"/>
        <v>0</v>
      </c>
      <c r="AE397" s="3">
        <f t="shared" si="308"/>
        <v>0</v>
      </c>
      <c r="AF397" s="3">
        <f t="shared" si="309"/>
        <v>0</v>
      </c>
      <c r="AG397" s="3">
        <f t="shared" si="283"/>
        <v>0</v>
      </c>
      <c r="AH397" s="3">
        <f t="shared" si="310"/>
        <v>0</v>
      </c>
      <c r="AI397" s="3">
        <f t="shared" si="311"/>
        <v>0</v>
      </c>
      <c r="AJ397" s="3">
        <f t="shared" si="284"/>
        <v>0</v>
      </c>
      <c r="AK397" s="3">
        <v>4175.93</v>
      </c>
      <c r="AL397" s="3">
        <v>4175.93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1</v>
      </c>
      <c r="AW397" s="3">
        <v>1</v>
      </c>
      <c r="AZ397" s="3">
        <v>1</v>
      </c>
      <c r="BA397" s="3">
        <v>1</v>
      </c>
      <c r="BB397" s="3">
        <v>1</v>
      </c>
      <c r="BC397" s="3">
        <v>7.57</v>
      </c>
      <c r="BD397" s="3" t="s">
        <v>3</v>
      </c>
      <c r="BE397" s="3" t="s">
        <v>3</v>
      </c>
      <c r="BF397" s="3" t="s">
        <v>3</v>
      </c>
      <c r="BG397" s="3" t="s">
        <v>3</v>
      </c>
      <c r="BH397" s="3">
        <v>3</v>
      </c>
      <c r="BI397" s="3">
        <v>3</v>
      </c>
      <c r="BJ397" s="3" t="s">
        <v>3</v>
      </c>
      <c r="BM397" s="3">
        <v>746</v>
      </c>
      <c r="BN397" s="3">
        <v>0</v>
      </c>
      <c r="BO397" s="3" t="s">
        <v>3</v>
      </c>
      <c r="BP397" s="3">
        <v>0</v>
      </c>
      <c r="BQ397" s="3">
        <v>130</v>
      </c>
      <c r="BR397" s="3">
        <v>0</v>
      </c>
      <c r="BS397" s="3">
        <v>1</v>
      </c>
      <c r="BT397" s="3">
        <v>1</v>
      </c>
      <c r="BU397" s="3">
        <v>1</v>
      </c>
      <c r="BV397" s="3">
        <v>1</v>
      </c>
      <c r="BW397" s="3">
        <v>1</v>
      </c>
      <c r="BX397" s="3">
        <v>1</v>
      </c>
      <c r="BY397" s="3" t="s">
        <v>3</v>
      </c>
      <c r="BZ397" s="3">
        <v>97</v>
      </c>
      <c r="CA397" s="3">
        <v>51</v>
      </c>
      <c r="CB397" s="3" t="s">
        <v>3</v>
      </c>
      <c r="CE397" s="3">
        <v>1566</v>
      </c>
      <c r="CF397" s="3">
        <v>0</v>
      </c>
      <c r="CG397" s="3">
        <v>0</v>
      </c>
      <c r="CM397" s="3">
        <v>0</v>
      </c>
      <c r="CN397" s="3" t="s">
        <v>615</v>
      </c>
      <c r="CO397" s="3">
        <v>0</v>
      </c>
      <c r="CP397" s="3">
        <f t="shared" si="285"/>
        <v>31611.79</v>
      </c>
      <c r="CQ397" s="3">
        <f t="shared" si="312"/>
        <v>31611.79</v>
      </c>
      <c r="CR397" s="3">
        <f t="shared" si="313"/>
        <v>0</v>
      </c>
      <c r="CS397" s="3">
        <f t="shared" si="314"/>
        <v>0</v>
      </c>
      <c r="CT397" s="3">
        <f t="shared" si="286"/>
        <v>0</v>
      </c>
      <c r="CU397" s="3">
        <f t="shared" si="287"/>
        <v>0</v>
      </c>
      <c r="CV397" s="3">
        <f t="shared" si="288"/>
        <v>0</v>
      </c>
      <c r="CW397" s="3">
        <f t="shared" si="289"/>
        <v>0</v>
      </c>
      <c r="CX397" s="3">
        <f t="shared" si="290"/>
        <v>0</v>
      </c>
      <c r="CY397" s="3">
        <f t="shared" si="315"/>
        <v>0</v>
      </c>
      <c r="CZ397" s="3">
        <f t="shared" si="316"/>
        <v>0</v>
      </c>
      <c r="DC397" s="3" t="s">
        <v>3</v>
      </c>
      <c r="DD397" s="3" t="s">
        <v>3</v>
      </c>
      <c r="DE397" s="3" t="s">
        <v>3</v>
      </c>
      <c r="DF397" s="3" t="s">
        <v>3</v>
      </c>
      <c r="DG397" s="3" t="s">
        <v>3</v>
      </c>
      <c r="DH397" s="3" t="s">
        <v>3</v>
      </c>
      <c r="DI397" s="3" t="s">
        <v>3</v>
      </c>
      <c r="DJ397" s="3" t="s">
        <v>3</v>
      </c>
      <c r="DK397" s="3" t="s">
        <v>3</v>
      </c>
      <c r="DL397" s="3" t="s">
        <v>3</v>
      </c>
      <c r="DM397" s="3" t="s">
        <v>3</v>
      </c>
      <c r="DN397" s="3">
        <v>0</v>
      </c>
      <c r="DO397" s="3">
        <v>0</v>
      </c>
      <c r="DP397" s="3">
        <v>1</v>
      </c>
      <c r="DQ397" s="3">
        <v>1</v>
      </c>
      <c r="DU397" s="3">
        <v>1010</v>
      </c>
      <c r="DV397" s="3" t="s">
        <v>177</v>
      </c>
      <c r="DW397" s="3" t="s">
        <v>177</v>
      </c>
      <c r="DX397" s="3">
        <v>1</v>
      </c>
      <c r="DZ397" s="3" t="s">
        <v>3</v>
      </c>
      <c r="EA397" s="3" t="s">
        <v>3</v>
      </c>
      <c r="EB397" s="3" t="s">
        <v>3</v>
      </c>
      <c r="EC397" s="3" t="s">
        <v>3</v>
      </c>
      <c r="EE397" s="3">
        <v>57043064</v>
      </c>
      <c r="EF397" s="3">
        <v>130</v>
      </c>
      <c r="EG397" s="3" t="s">
        <v>178</v>
      </c>
      <c r="EH397" s="3">
        <v>0</v>
      </c>
      <c r="EI397" s="3" t="s">
        <v>3</v>
      </c>
      <c r="EJ397" s="3">
        <v>3</v>
      </c>
      <c r="EK397" s="3">
        <v>746</v>
      </c>
      <c r="EL397" s="3" t="s">
        <v>179</v>
      </c>
      <c r="EM397" s="3" t="s">
        <v>180</v>
      </c>
      <c r="EO397" s="3" t="s">
        <v>109</v>
      </c>
      <c r="EQ397" s="3">
        <v>2097152</v>
      </c>
      <c r="ER397" s="3">
        <v>4175.93</v>
      </c>
      <c r="ES397" s="3">
        <v>4175.93</v>
      </c>
      <c r="ET397" s="3">
        <v>0</v>
      </c>
      <c r="EU397" s="3">
        <v>0</v>
      </c>
      <c r="EV397" s="3">
        <v>0</v>
      </c>
      <c r="EW397" s="3">
        <v>0</v>
      </c>
      <c r="EX397" s="3">
        <v>0</v>
      </c>
      <c r="EY397" s="3">
        <v>0</v>
      </c>
      <c r="EZ397" s="3">
        <v>5</v>
      </c>
      <c r="FC397" s="3">
        <v>1</v>
      </c>
      <c r="FD397" s="3">
        <v>18</v>
      </c>
      <c r="FF397" s="3">
        <v>36999</v>
      </c>
      <c r="FQ397" s="3">
        <v>0</v>
      </c>
      <c r="FR397" s="3">
        <f t="shared" si="317"/>
        <v>31611.79</v>
      </c>
      <c r="FS397" s="3">
        <v>0</v>
      </c>
      <c r="FX397" s="3">
        <v>97</v>
      </c>
      <c r="FY397" s="3">
        <v>51</v>
      </c>
      <c r="GA397" s="3" t="s">
        <v>339</v>
      </c>
      <c r="GD397" s="3">
        <v>1</v>
      </c>
      <c r="GF397" s="3">
        <v>-884168843</v>
      </c>
      <c r="GG397" s="3">
        <v>2</v>
      </c>
      <c r="GH397" s="3">
        <v>3</v>
      </c>
      <c r="GI397" s="3">
        <v>5</v>
      </c>
      <c r="GJ397" s="3">
        <v>0</v>
      </c>
      <c r="GK397" s="3">
        <v>0</v>
      </c>
      <c r="GL397" s="3">
        <f t="shared" si="291"/>
        <v>0</v>
      </c>
      <c r="GM397" s="3">
        <f t="shared" si="292"/>
        <v>31611.79</v>
      </c>
      <c r="GN397" s="3">
        <f t="shared" si="293"/>
        <v>0</v>
      </c>
      <c r="GO397" s="3">
        <f t="shared" si="294"/>
        <v>0</v>
      </c>
      <c r="GP397" s="3">
        <f t="shared" si="295"/>
        <v>0</v>
      </c>
      <c r="GR397" s="3">
        <v>1</v>
      </c>
      <c r="GS397" s="3">
        <v>1</v>
      </c>
      <c r="GT397" s="3">
        <v>0</v>
      </c>
      <c r="GU397" s="3" t="s">
        <v>3</v>
      </c>
      <c r="GV397" s="3">
        <f t="shared" si="296"/>
        <v>0</v>
      </c>
      <c r="GW397" s="3">
        <v>1</v>
      </c>
      <c r="GX397" s="3">
        <f t="shared" si="297"/>
        <v>0</v>
      </c>
      <c r="HA397" s="3">
        <v>0</v>
      </c>
      <c r="HB397" s="3">
        <v>0</v>
      </c>
      <c r="HC397" s="3">
        <f t="shared" si="298"/>
        <v>0</v>
      </c>
      <c r="HE397" s="3" t="s">
        <v>40</v>
      </c>
      <c r="HF397" s="3" t="s">
        <v>182</v>
      </c>
      <c r="HM397" s="3" t="s">
        <v>3</v>
      </c>
      <c r="HN397" s="3" t="s">
        <v>3</v>
      </c>
      <c r="HO397" s="3" t="s">
        <v>3</v>
      </c>
      <c r="HP397" s="3" t="s">
        <v>3</v>
      </c>
      <c r="HQ397" s="3" t="s">
        <v>3</v>
      </c>
      <c r="HS397" s="3">
        <v>0</v>
      </c>
      <c r="IK397" s="3">
        <v>0</v>
      </c>
    </row>
    <row r="398" spans="1:255" x14ac:dyDescent="0.25">
      <c r="A398" s="2">
        <v>17</v>
      </c>
      <c r="B398" s="2">
        <v>1</v>
      </c>
      <c r="C398" s="2">
        <f>ROW(SmtRes!A262)</f>
        <v>262</v>
      </c>
      <c r="D398" s="2">
        <f>ROW(EtalonRes!A275)</f>
        <v>275</v>
      </c>
      <c r="E398" s="2" t="s">
        <v>3</v>
      </c>
      <c r="F398" s="2" t="s">
        <v>86</v>
      </c>
      <c r="G398" s="2" t="s">
        <v>340</v>
      </c>
      <c r="H398" s="2" t="s">
        <v>88</v>
      </c>
      <c r="I398" s="2">
        <f>ROUND(1+8+3+2+1,9)</f>
        <v>15</v>
      </c>
      <c r="J398" s="2">
        <v>0</v>
      </c>
      <c r="K398" s="2">
        <f>ROUND(1+8+3+2+1,9)</f>
        <v>15</v>
      </c>
      <c r="L398" s="2"/>
      <c r="M398" s="2"/>
      <c r="N398" s="2"/>
      <c r="O398" s="2">
        <f t="shared" si="276"/>
        <v>4579.55</v>
      </c>
      <c r="P398" s="2">
        <f>ROUND((ROUND((AC398*AW398*I398),2)*BC398),2)</f>
        <v>249.3</v>
      </c>
      <c r="Q398" s="2">
        <f>(ROUND((ROUND((((ET398*1.2))*AV398*I398),2)*BB398),2)+ROUND((ROUND(((AE398-((EU398*1.2)))*AV398*I398),2)*BS398),2))</f>
        <v>1143.2</v>
      </c>
      <c r="R398" s="2">
        <f>(ROUND((ROUND((((EU398*1.2))*AV398*I398),2)*BS398),2)+ROUND((ROUND(((AE398-((EU398*1.2)))*AV398*I398),2)*BS398),2))</f>
        <v>173.57</v>
      </c>
      <c r="S398" s="2">
        <f t="shared" si="277"/>
        <v>3187.05</v>
      </c>
      <c r="T398" s="2">
        <f t="shared" si="278"/>
        <v>0</v>
      </c>
      <c r="U398" s="2">
        <f t="shared" si="279"/>
        <v>252.53639999999996</v>
      </c>
      <c r="V398" s="2">
        <f t="shared" si="280"/>
        <v>0</v>
      </c>
      <c r="W398" s="2">
        <f t="shared" si="281"/>
        <v>0</v>
      </c>
      <c r="X398" s="2">
        <f>(ROUND((((S398+ROUND((ROUND((((EU398*1.2))*AV398*I398),2)*BS398),2))*AT398)/100),2)+ROUND(((ROUND((ROUND(((AE398-((EU398*1.2)))*AV398*I398),2)*BS398),2)*AT398)/100),2))</f>
        <v>3259.8</v>
      </c>
      <c r="Y398" s="2">
        <f>(ROUND((((S398+ROUND((ROUND((((EU398*1.2))*AV398*I398),2)*BS398),2))*AU398)/100),2)+ROUND(((ROUND((ROUND(((AE398-((EU398*1.2)))*AV398*I398),2)*BS398),2)*AU398)/100),2))</f>
        <v>1713.92</v>
      </c>
      <c r="Z398" s="2"/>
      <c r="AA398" s="2">
        <v>-1</v>
      </c>
      <c r="AB398" s="2">
        <f t="shared" si="282"/>
        <v>292.34399999999999</v>
      </c>
      <c r="AC398" s="2">
        <f>ROUND(((ES398*1)),6)</f>
        <v>16.62</v>
      </c>
      <c r="AD398" s="2">
        <f>ROUND(((((ET398*1.2))-((EU398*1.2)))+AE398),6)</f>
        <v>72.792000000000002</v>
      </c>
      <c r="AE398" s="2">
        <f>ROUND(((EU398*1.2)),6)</f>
        <v>11.052</v>
      </c>
      <c r="AF398" s="2">
        <f>ROUND(((EV398*1.2)),6)</f>
        <v>202.93199999999999</v>
      </c>
      <c r="AG398" s="2">
        <f t="shared" si="283"/>
        <v>0</v>
      </c>
      <c r="AH398" s="2">
        <f>((EW398*1.2))</f>
        <v>16.079999999999998</v>
      </c>
      <c r="AI398" s="2">
        <f>((EX398*1.2))</f>
        <v>0</v>
      </c>
      <c r="AJ398" s="2">
        <f t="shared" si="284"/>
        <v>0</v>
      </c>
      <c r="AK398" s="2">
        <v>246.39</v>
      </c>
      <c r="AL398" s="2">
        <v>16.62</v>
      </c>
      <c r="AM398" s="2">
        <v>60.66</v>
      </c>
      <c r="AN398" s="2">
        <v>9.2100000000000009</v>
      </c>
      <c r="AO398" s="2">
        <v>169.11</v>
      </c>
      <c r="AP398" s="2">
        <v>0</v>
      </c>
      <c r="AQ398" s="2">
        <v>13.4</v>
      </c>
      <c r="AR398" s="2">
        <v>0</v>
      </c>
      <c r="AS398" s="2">
        <v>0</v>
      </c>
      <c r="AT398" s="2">
        <v>97</v>
      </c>
      <c r="AU398" s="2">
        <v>51</v>
      </c>
      <c r="AV398" s="2">
        <v>1.0469999999999999</v>
      </c>
      <c r="AW398" s="2">
        <v>1</v>
      </c>
      <c r="AX398" s="2"/>
      <c r="AY398" s="2"/>
      <c r="AZ398" s="2">
        <v>1</v>
      </c>
      <c r="BA398" s="2">
        <v>1</v>
      </c>
      <c r="BB398" s="2">
        <v>1</v>
      </c>
      <c r="BC398" s="2">
        <v>1</v>
      </c>
      <c r="BD398" s="2" t="s">
        <v>3</v>
      </c>
      <c r="BE398" s="2" t="s">
        <v>3</v>
      </c>
      <c r="BF398" s="2" t="s">
        <v>3</v>
      </c>
      <c r="BG398" s="2" t="s">
        <v>3</v>
      </c>
      <c r="BH398" s="2">
        <v>0</v>
      </c>
      <c r="BI398" s="2">
        <v>2</v>
      </c>
      <c r="BJ398" s="2" t="s">
        <v>89</v>
      </c>
      <c r="BK398" s="2"/>
      <c r="BL398" s="2"/>
      <c r="BM398" s="2">
        <v>67</v>
      </c>
      <c r="BN398" s="2">
        <v>0</v>
      </c>
      <c r="BO398" s="2" t="s">
        <v>86</v>
      </c>
      <c r="BP398" s="2">
        <v>1</v>
      </c>
      <c r="BQ398" s="2">
        <v>40</v>
      </c>
      <c r="BR398" s="2">
        <v>0</v>
      </c>
      <c r="BS398" s="2">
        <v>1</v>
      </c>
      <c r="BT398" s="2">
        <v>1</v>
      </c>
      <c r="BU398" s="2">
        <v>1</v>
      </c>
      <c r="BV398" s="2">
        <v>1</v>
      </c>
      <c r="BW398" s="2">
        <v>1</v>
      </c>
      <c r="BX398" s="2">
        <v>1</v>
      </c>
      <c r="BY398" s="2" t="s">
        <v>3</v>
      </c>
      <c r="BZ398" s="2">
        <v>97</v>
      </c>
      <c r="CA398" s="2">
        <v>51</v>
      </c>
      <c r="CB398" s="2" t="s">
        <v>3</v>
      </c>
      <c r="CC398" s="2"/>
      <c r="CD398" s="2"/>
      <c r="CE398" s="2">
        <v>1566</v>
      </c>
      <c r="CF398" s="2">
        <v>0</v>
      </c>
      <c r="CG398" s="2">
        <v>0</v>
      </c>
      <c r="CH398" s="2"/>
      <c r="CI398" s="2"/>
      <c r="CJ398" s="2"/>
      <c r="CK398" s="2"/>
      <c r="CL398" s="2"/>
      <c r="CM398" s="2">
        <v>0</v>
      </c>
      <c r="CN398" s="2" t="s">
        <v>614</v>
      </c>
      <c r="CO398" s="2">
        <v>0</v>
      </c>
      <c r="CP398" s="2">
        <f t="shared" si="285"/>
        <v>4579.55</v>
      </c>
      <c r="CQ398" s="2">
        <f>ROUND((ROUND((AC398*AW398*1),2)*BC398),2)</f>
        <v>16.62</v>
      </c>
      <c r="CR398" s="2">
        <f>(ROUND((ROUND((((ET398*1.2))*AV398*1),2)*BB398),2)+ROUND((ROUND(((AE398-((EU398*1.2)))*AV398*1),2)*BS398),2))</f>
        <v>76.209999999999994</v>
      </c>
      <c r="CS398" s="2">
        <f>(ROUND((ROUND((((EU398*1.2))*AV398*1),2)*BS398),2)+ROUND((ROUND(((AE398-((EU398*1.2)))*AV398*1),2)*BS398),2))</f>
        <v>11.57</v>
      </c>
      <c r="CT398" s="2">
        <f t="shared" si="286"/>
        <v>212.47</v>
      </c>
      <c r="CU398" s="2">
        <f t="shared" si="287"/>
        <v>0</v>
      </c>
      <c r="CV398" s="2">
        <f t="shared" si="288"/>
        <v>16.835759999999997</v>
      </c>
      <c r="CW398" s="2">
        <f t="shared" si="289"/>
        <v>0</v>
      </c>
      <c r="CX398" s="2">
        <f t="shared" si="290"/>
        <v>0</v>
      </c>
      <c r="CY398" s="2">
        <f>(ROUND((((S398+ROUND((ROUND((((EU398*1.2))*AV398*1),2)*BS398),2))*AT398)/100),2)+ROUND(((ROUND((ROUND(((AE398-((EU398*1.2)))*AV398*1),2)*BS398),2)*AT398)/100),2))</f>
        <v>3102.66</v>
      </c>
      <c r="CZ398" s="2">
        <f>(ROUND((((S398+ROUND((ROUND((((EU398*1.2))*AV398*1),2)*BS398),2))*AU398)/100),2)+ROUND(((ROUND((ROUND(((AE398-((EU398*1.2)))*AV398*1),2)*BS398),2)*AU398)/100),2))</f>
        <v>1631.3</v>
      </c>
      <c r="DA398" s="2"/>
      <c r="DB398" s="2">
        <v>127</v>
      </c>
      <c r="DC398" s="2" t="s">
        <v>3</v>
      </c>
      <c r="DD398" s="2" t="s">
        <v>104</v>
      </c>
      <c r="DE398" s="2" t="s">
        <v>105</v>
      </c>
      <c r="DF398" s="2" t="s">
        <v>105</v>
      </c>
      <c r="DG398" s="2" t="s">
        <v>105</v>
      </c>
      <c r="DH398" s="2" t="s">
        <v>3</v>
      </c>
      <c r="DI398" s="2" t="s">
        <v>105</v>
      </c>
      <c r="DJ398" s="2" t="s">
        <v>105</v>
      </c>
      <c r="DK398" s="2" t="s">
        <v>3</v>
      </c>
      <c r="DL398" s="2" t="s">
        <v>3</v>
      </c>
      <c r="DM398" s="2" t="s">
        <v>3</v>
      </c>
      <c r="DN398" s="2">
        <v>0</v>
      </c>
      <c r="DO398" s="2">
        <v>0</v>
      </c>
      <c r="DP398" s="2">
        <v>1</v>
      </c>
      <c r="DQ398" s="2">
        <v>1</v>
      </c>
      <c r="DR398" s="2"/>
      <c r="DS398" s="2"/>
      <c r="DT398" s="2"/>
      <c r="DU398" s="2">
        <v>1013</v>
      </c>
      <c r="DV398" s="2" t="s">
        <v>88</v>
      </c>
      <c r="DW398" s="2" t="s">
        <v>88</v>
      </c>
      <c r="DX398" s="2">
        <v>1</v>
      </c>
      <c r="DY398" s="2"/>
      <c r="DZ398" s="2" t="s">
        <v>3</v>
      </c>
      <c r="EA398" s="2" t="s">
        <v>3</v>
      </c>
      <c r="EB398" s="2" t="s">
        <v>3</v>
      </c>
      <c r="EC398" s="2" t="s">
        <v>3</v>
      </c>
      <c r="ED398" s="2"/>
      <c r="EE398" s="2">
        <v>57042957</v>
      </c>
      <c r="EF398" s="2">
        <v>40</v>
      </c>
      <c r="EG398" s="2" t="s">
        <v>30</v>
      </c>
      <c r="EH398" s="2">
        <v>0</v>
      </c>
      <c r="EI398" s="2" t="s">
        <v>3</v>
      </c>
      <c r="EJ398" s="2">
        <v>2</v>
      </c>
      <c r="EK398" s="2">
        <v>67</v>
      </c>
      <c r="EL398" s="2" t="s">
        <v>80</v>
      </c>
      <c r="EM398" s="2" t="s">
        <v>81</v>
      </c>
      <c r="EN398" s="2"/>
      <c r="EO398" s="2" t="s">
        <v>109</v>
      </c>
      <c r="EP398" s="2"/>
      <c r="EQ398" s="2">
        <v>132096</v>
      </c>
      <c r="ER398" s="2">
        <v>246.39</v>
      </c>
      <c r="ES398" s="2">
        <v>16.62</v>
      </c>
      <c r="ET398" s="2">
        <v>60.66</v>
      </c>
      <c r="EU398" s="2">
        <v>9.2100000000000009</v>
      </c>
      <c r="EV398" s="2">
        <v>169.11</v>
      </c>
      <c r="EW398" s="2">
        <v>13.4</v>
      </c>
      <c r="EX398" s="2">
        <v>0</v>
      </c>
      <c r="EY398" s="2">
        <v>0</v>
      </c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>
        <v>0</v>
      </c>
      <c r="FR398" s="2">
        <v>0</v>
      </c>
      <c r="FS398" s="2">
        <v>0</v>
      </c>
      <c r="FT398" s="2"/>
      <c r="FU398" s="2"/>
      <c r="FV398" s="2"/>
      <c r="FW398" s="2"/>
      <c r="FX398" s="2">
        <v>97</v>
      </c>
      <c r="FY398" s="2">
        <v>51</v>
      </c>
      <c r="FZ398" s="2"/>
      <c r="GA398" s="2" t="s">
        <v>3</v>
      </c>
      <c r="GB398" s="2"/>
      <c r="GC398" s="2"/>
      <c r="GD398" s="2">
        <v>1</v>
      </c>
      <c r="GE398" s="2"/>
      <c r="GF398" s="2">
        <v>-276327337</v>
      </c>
      <c r="GG398" s="2">
        <v>2</v>
      </c>
      <c r="GH398" s="2">
        <v>1</v>
      </c>
      <c r="GI398" s="2">
        <v>2</v>
      </c>
      <c r="GJ398" s="2">
        <v>0</v>
      </c>
      <c r="GK398" s="2">
        <v>0</v>
      </c>
      <c r="GL398" s="2">
        <f t="shared" si="291"/>
        <v>0</v>
      </c>
      <c r="GM398" s="2">
        <f t="shared" si="292"/>
        <v>9553.27</v>
      </c>
      <c r="GN398" s="2">
        <f t="shared" si="293"/>
        <v>0</v>
      </c>
      <c r="GO398" s="2">
        <f t="shared" si="294"/>
        <v>9553.27</v>
      </c>
      <c r="GP398" s="2">
        <f t="shared" si="295"/>
        <v>0</v>
      </c>
      <c r="GQ398" s="2"/>
      <c r="GR398" s="2">
        <v>0</v>
      </c>
      <c r="GS398" s="2">
        <v>3</v>
      </c>
      <c r="GT398" s="2">
        <v>0</v>
      </c>
      <c r="GU398" s="2" t="s">
        <v>3</v>
      </c>
      <c r="GV398" s="2">
        <f t="shared" si="296"/>
        <v>0</v>
      </c>
      <c r="GW398" s="2">
        <v>1</v>
      </c>
      <c r="GX398" s="2">
        <f t="shared" si="297"/>
        <v>0</v>
      </c>
      <c r="GY398" s="2"/>
      <c r="GZ398" s="2"/>
      <c r="HA398" s="2">
        <v>0</v>
      </c>
      <c r="HB398" s="2">
        <v>0</v>
      </c>
      <c r="HC398" s="2">
        <f t="shared" si="298"/>
        <v>0</v>
      </c>
      <c r="HD398" s="2"/>
      <c r="HE398" s="2" t="s">
        <v>3</v>
      </c>
      <c r="HF398" s="2" t="s">
        <v>3</v>
      </c>
      <c r="HG398" s="2"/>
      <c r="HH398" s="2"/>
      <c r="HI398" s="2"/>
      <c r="HJ398" s="2"/>
      <c r="HK398" s="2"/>
      <c r="HL398" s="2"/>
      <c r="HM398" s="2" t="s">
        <v>3</v>
      </c>
      <c r="HN398" s="2" t="s">
        <v>3</v>
      </c>
      <c r="HO398" s="2" t="s">
        <v>3</v>
      </c>
      <c r="HP398" s="2" t="s">
        <v>3</v>
      </c>
      <c r="HQ398" s="2" t="s">
        <v>3</v>
      </c>
      <c r="HR398" s="2"/>
      <c r="HS398" s="2">
        <v>0</v>
      </c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>
        <v>0</v>
      </c>
      <c r="IL398" s="2"/>
      <c r="IM398" s="2"/>
      <c r="IN398" s="2"/>
      <c r="IO398" s="2"/>
      <c r="IP398" s="2"/>
      <c r="IQ398" s="2"/>
      <c r="IR398" s="2"/>
      <c r="IS398" s="2"/>
      <c r="IT398" s="2"/>
      <c r="IU398" s="2"/>
    </row>
    <row r="399" spans="1:255" x14ac:dyDescent="0.25">
      <c r="A399" s="3">
        <v>17</v>
      </c>
      <c r="B399" s="3">
        <v>1</v>
      </c>
      <c r="C399" s="3">
        <f>ROW(SmtRes!A274)</f>
        <v>274</v>
      </c>
      <c r="D399" s="3">
        <f>ROW(EtalonRes!A286)</f>
        <v>286</v>
      </c>
      <c r="E399" s="3" t="s">
        <v>3</v>
      </c>
      <c r="F399" s="3" t="s">
        <v>86</v>
      </c>
      <c r="G399" s="3" t="s">
        <v>340</v>
      </c>
      <c r="H399" s="3" t="s">
        <v>88</v>
      </c>
      <c r="I399" s="3">
        <f>ROUND(1+8+3+2+1,9)</f>
        <v>15</v>
      </c>
      <c r="J399" s="3">
        <v>0</v>
      </c>
      <c r="K399" s="3">
        <f>ROUND(1+8+3+2+1,9)</f>
        <v>15</v>
      </c>
      <c r="O399" s="3">
        <f t="shared" si="276"/>
        <v>201143.96</v>
      </c>
      <c r="P399" s="3">
        <f>ROUND((ROUND((AC399*AW399*I399),2)*BC399),2)</f>
        <v>2039.27</v>
      </c>
      <c r="Q399" s="3">
        <f>(ROUND((ROUND((((ET399*1.2))*AV399*I399),2)*BB399),2)+ROUND((ROUND(((AE399-((EU399*1.2)))*AV399*I399),2)*BS399),2))</f>
        <v>19514.419999999998</v>
      </c>
      <c r="R399" s="3">
        <f>(ROUND((ROUND((((EU399*1.2))*AV399*I399),2)*BS399),2)+ROUND((ROUND(((AE399-((EU399*1.2)))*AV399*I399),2)*BS399),2))</f>
        <v>9780.67</v>
      </c>
      <c r="S399" s="3">
        <f t="shared" si="277"/>
        <v>179590.27</v>
      </c>
      <c r="T399" s="3">
        <f t="shared" si="278"/>
        <v>0</v>
      </c>
      <c r="U399" s="3">
        <f t="shared" si="279"/>
        <v>252.53639999999996</v>
      </c>
      <c r="V399" s="3">
        <f t="shared" si="280"/>
        <v>0</v>
      </c>
      <c r="W399" s="3">
        <f t="shared" si="281"/>
        <v>0</v>
      </c>
      <c r="X399" s="3">
        <f>(ROUND((((S399+ROUND((ROUND((((EU399*1.2))*AV399*I399),2)*BS399),2))*AT399)/100),2)+ROUND(((ROUND((ROUND(((AE399-((EU399*1.2)))*AV399*I399),2)*BS399),2)*AT399)/100),2))</f>
        <v>183689.81</v>
      </c>
      <c r="Y399" s="3">
        <f>(ROUND((((S399+ROUND((ROUND((((EU399*1.2))*AV399*I399),2)*BS399),2))*AU399)/100),2)+ROUND(((ROUND((ROUND(((AE399-((EU399*1.2)))*AV399*I399),2)*BS399),2)*AU399)/100),2))</f>
        <v>96579.18</v>
      </c>
      <c r="AA399" s="3">
        <v>-1</v>
      </c>
      <c r="AB399" s="3">
        <f t="shared" si="282"/>
        <v>292.34399999999999</v>
      </c>
      <c r="AC399" s="3">
        <f>ROUND(((ES399*1)),6)</f>
        <v>16.62</v>
      </c>
      <c r="AD399" s="3">
        <f>ROUND(((((ET399*1.2))-((EU399*1.2)))+AE399),6)</f>
        <v>72.792000000000002</v>
      </c>
      <c r="AE399" s="3">
        <f>ROUND(((EU399*1.2)),6)</f>
        <v>11.052</v>
      </c>
      <c r="AF399" s="3">
        <f>ROUND(((EV399*1.2)),6)</f>
        <v>202.93199999999999</v>
      </c>
      <c r="AG399" s="3">
        <f t="shared" si="283"/>
        <v>0</v>
      </c>
      <c r="AH399" s="3">
        <f>((EW399*1.2))</f>
        <v>16.079999999999998</v>
      </c>
      <c r="AI399" s="3">
        <f>((EX399*1.2))</f>
        <v>0</v>
      </c>
      <c r="AJ399" s="3">
        <f t="shared" si="284"/>
        <v>0</v>
      </c>
      <c r="AK399" s="3">
        <v>246.39</v>
      </c>
      <c r="AL399" s="3">
        <v>16.62</v>
      </c>
      <c r="AM399" s="3">
        <v>60.66</v>
      </c>
      <c r="AN399" s="3">
        <v>9.2100000000000009</v>
      </c>
      <c r="AO399" s="3">
        <v>169.11</v>
      </c>
      <c r="AP399" s="3">
        <v>0</v>
      </c>
      <c r="AQ399" s="3">
        <v>13.4</v>
      </c>
      <c r="AR399" s="3">
        <v>0</v>
      </c>
      <c r="AS399" s="3">
        <v>0</v>
      </c>
      <c r="AT399" s="3">
        <v>97</v>
      </c>
      <c r="AU399" s="3">
        <v>51</v>
      </c>
      <c r="AV399" s="3">
        <v>1.0469999999999999</v>
      </c>
      <c r="AW399" s="3">
        <v>1</v>
      </c>
      <c r="AZ399" s="3">
        <v>1</v>
      </c>
      <c r="BA399" s="3">
        <v>56.35</v>
      </c>
      <c r="BB399" s="3">
        <v>17.07</v>
      </c>
      <c r="BC399" s="3">
        <v>8.18</v>
      </c>
      <c r="BD399" s="3" t="s">
        <v>3</v>
      </c>
      <c r="BE399" s="3" t="s">
        <v>3</v>
      </c>
      <c r="BF399" s="3" t="s">
        <v>3</v>
      </c>
      <c r="BG399" s="3" t="s">
        <v>3</v>
      </c>
      <c r="BH399" s="3">
        <v>0</v>
      </c>
      <c r="BI399" s="3">
        <v>2</v>
      </c>
      <c r="BJ399" s="3" t="s">
        <v>89</v>
      </c>
      <c r="BM399" s="3">
        <v>67</v>
      </c>
      <c r="BN399" s="3">
        <v>0</v>
      </c>
      <c r="BO399" s="3" t="s">
        <v>86</v>
      </c>
      <c r="BP399" s="3">
        <v>1</v>
      </c>
      <c r="BQ399" s="3">
        <v>40</v>
      </c>
      <c r="BR399" s="3">
        <v>0</v>
      </c>
      <c r="BS399" s="3">
        <v>56.35</v>
      </c>
      <c r="BT399" s="3">
        <v>1</v>
      </c>
      <c r="BU399" s="3">
        <v>1</v>
      </c>
      <c r="BV399" s="3">
        <v>1</v>
      </c>
      <c r="BW399" s="3">
        <v>1</v>
      </c>
      <c r="BX399" s="3">
        <v>1</v>
      </c>
      <c r="BY399" s="3" t="s">
        <v>3</v>
      </c>
      <c r="BZ399" s="3">
        <v>97</v>
      </c>
      <c r="CA399" s="3">
        <v>51</v>
      </c>
      <c r="CB399" s="3" t="s">
        <v>3</v>
      </c>
      <c r="CE399" s="3">
        <v>1566</v>
      </c>
      <c r="CF399" s="3">
        <v>0</v>
      </c>
      <c r="CG399" s="3">
        <v>0</v>
      </c>
      <c r="CM399" s="3">
        <v>0</v>
      </c>
      <c r="CN399" s="3" t="s">
        <v>614</v>
      </c>
      <c r="CO399" s="3">
        <v>0</v>
      </c>
      <c r="CP399" s="3">
        <f t="shared" si="285"/>
        <v>201143.96</v>
      </c>
      <c r="CQ399" s="3">
        <f>ROUND((ROUND((AC399*AW399*1),2)*BC399),2)</f>
        <v>135.94999999999999</v>
      </c>
      <c r="CR399" s="3">
        <f>(ROUND((ROUND((((ET399*1.2))*AV399*1),2)*BB399),2)+ROUND((ROUND(((AE399-((EU399*1.2)))*AV399*1),2)*BS399),2))</f>
        <v>1300.9000000000001</v>
      </c>
      <c r="CS399" s="3">
        <f>(ROUND((ROUND((((EU399*1.2))*AV399*1),2)*BS399),2)+ROUND((ROUND(((AE399-((EU399*1.2)))*AV399*1),2)*BS399),2))</f>
        <v>651.97</v>
      </c>
      <c r="CT399" s="3">
        <f t="shared" si="286"/>
        <v>11972.68</v>
      </c>
      <c r="CU399" s="3">
        <f t="shared" si="287"/>
        <v>0</v>
      </c>
      <c r="CV399" s="3">
        <f t="shared" si="288"/>
        <v>16.835759999999997</v>
      </c>
      <c r="CW399" s="3">
        <f t="shared" si="289"/>
        <v>0</v>
      </c>
      <c r="CX399" s="3">
        <f t="shared" si="290"/>
        <v>0</v>
      </c>
      <c r="CY399" s="3">
        <f>(ROUND((((S399+ROUND((ROUND((((EU399*1.2))*AV399*1),2)*BS399),2))*AT399)/100),2)+ROUND(((ROUND((ROUND(((AE399-((EU399*1.2)))*AV399*1),2)*BS399),2)*AT399)/100),2))</f>
        <v>174834.97</v>
      </c>
      <c r="CZ399" s="3">
        <f>(ROUND((((S399+ROUND((ROUND((((EU399*1.2))*AV399*1),2)*BS399),2))*AU399)/100),2)+ROUND(((ROUND((ROUND(((AE399-((EU399*1.2)))*AV399*1),2)*BS399),2)*AU399)/100),2))</f>
        <v>91923.54</v>
      </c>
      <c r="DB399" s="3">
        <v>128</v>
      </c>
      <c r="DC399" s="3" t="s">
        <v>3</v>
      </c>
      <c r="DD399" s="3" t="s">
        <v>104</v>
      </c>
      <c r="DE399" s="3" t="s">
        <v>105</v>
      </c>
      <c r="DF399" s="3" t="s">
        <v>105</v>
      </c>
      <c r="DG399" s="3" t="s">
        <v>105</v>
      </c>
      <c r="DH399" s="3" t="s">
        <v>3</v>
      </c>
      <c r="DI399" s="3" t="s">
        <v>105</v>
      </c>
      <c r="DJ399" s="3" t="s">
        <v>105</v>
      </c>
      <c r="DK399" s="3" t="s">
        <v>3</v>
      </c>
      <c r="DL399" s="3" t="s">
        <v>3</v>
      </c>
      <c r="DM399" s="3" t="s">
        <v>3</v>
      </c>
      <c r="DN399" s="3">
        <v>0</v>
      </c>
      <c r="DO399" s="3">
        <v>0</v>
      </c>
      <c r="DP399" s="3">
        <v>1</v>
      </c>
      <c r="DQ399" s="3">
        <v>1</v>
      </c>
      <c r="DU399" s="3">
        <v>1013</v>
      </c>
      <c r="DV399" s="3" t="s">
        <v>88</v>
      </c>
      <c r="DW399" s="3" t="s">
        <v>88</v>
      </c>
      <c r="DX399" s="3">
        <v>1</v>
      </c>
      <c r="DZ399" s="3" t="s">
        <v>3</v>
      </c>
      <c r="EA399" s="3" t="s">
        <v>3</v>
      </c>
      <c r="EB399" s="3" t="s">
        <v>3</v>
      </c>
      <c r="EC399" s="3" t="s">
        <v>3</v>
      </c>
      <c r="EE399" s="3">
        <v>57042957</v>
      </c>
      <c r="EF399" s="3">
        <v>40</v>
      </c>
      <c r="EG399" s="3" t="s">
        <v>30</v>
      </c>
      <c r="EH399" s="3">
        <v>0</v>
      </c>
      <c r="EI399" s="3" t="s">
        <v>3</v>
      </c>
      <c r="EJ399" s="3">
        <v>2</v>
      </c>
      <c r="EK399" s="3">
        <v>67</v>
      </c>
      <c r="EL399" s="3" t="s">
        <v>80</v>
      </c>
      <c r="EM399" s="3" t="s">
        <v>81</v>
      </c>
      <c r="EO399" s="3" t="s">
        <v>109</v>
      </c>
      <c r="EQ399" s="3">
        <v>132096</v>
      </c>
      <c r="ER399" s="3">
        <v>246.39</v>
      </c>
      <c r="ES399" s="3">
        <v>16.62</v>
      </c>
      <c r="ET399" s="3">
        <v>60.66</v>
      </c>
      <c r="EU399" s="3">
        <v>9.2100000000000009</v>
      </c>
      <c r="EV399" s="3">
        <v>169.11</v>
      </c>
      <c r="EW399" s="3">
        <v>13.4</v>
      </c>
      <c r="EX399" s="3">
        <v>0</v>
      </c>
      <c r="EY399" s="3">
        <v>0</v>
      </c>
      <c r="FQ399" s="3">
        <v>0</v>
      </c>
      <c r="FR399" s="3">
        <v>0</v>
      </c>
      <c r="FS399" s="3">
        <v>0</v>
      </c>
      <c r="FX399" s="3">
        <v>97</v>
      </c>
      <c r="FY399" s="3">
        <v>51</v>
      </c>
      <c r="GA399" s="3" t="s">
        <v>3</v>
      </c>
      <c r="GD399" s="3">
        <v>1</v>
      </c>
      <c r="GF399" s="3">
        <v>-276327337</v>
      </c>
      <c r="GG399" s="3">
        <v>2</v>
      </c>
      <c r="GH399" s="3">
        <v>1</v>
      </c>
      <c r="GI399" s="3">
        <v>2</v>
      </c>
      <c r="GJ399" s="3">
        <v>0</v>
      </c>
      <c r="GK399" s="3">
        <v>0</v>
      </c>
      <c r="GL399" s="3">
        <f t="shared" si="291"/>
        <v>0</v>
      </c>
      <c r="GM399" s="3">
        <f t="shared" si="292"/>
        <v>481412.95</v>
      </c>
      <c r="GN399" s="3">
        <f t="shared" si="293"/>
        <v>0</v>
      </c>
      <c r="GO399" s="3">
        <f t="shared" si="294"/>
        <v>481412.95</v>
      </c>
      <c r="GP399" s="3">
        <f t="shared" si="295"/>
        <v>0</v>
      </c>
      <c r="GR399" s="3">
        <v>0</v>
      </c>
      <c r="GS399" s="3">
        <v>3</v>
      </c>
      <c r="GT399" s="3">
        <v>0</v>
      </c>
      <c r="GU399" s="3" t="s">
        <v>3</v>
      </c>
      <c r="GV399" s="3">
        <f t="shared" si="296"/>
        <v>0</v>
      </c>
      <c r="GW399" s="3">
        <v>1</v>
      </c>
      <c r="GX399" s="3">
        <f t="shared" si="297"/>
        <v>0</v>
      </c>
      <c r="HA399" s="3">
        <v>0</v>
      </c>
      <c r="HB399" s="3">
        <v>0</v>
      </c>
      <c r="HC399" s="3">
        <f t="shared" si="298"/>
        <v>0</v>
      </c>
      <c r="HE399" s="3" t="s">
        <v>3</v>
      </c>
      <c r="HF399" s="3" t="s">
        <v>3</v>
      </c>
      <c r="HM399" s="3" t="s">
        <v>3</v>
      </c>
      <c r="HN399" s="3" t="s">
        <v>3</v>
      </c>
      <c r="HO399" s="3" t="s">
        <v>3</v>
      </c>
      <c r="HP399" s="3" t="s">
        <v>3</v>
      </c>
      <c r="HQ399" s="3" t="s">
        <v>3</v>
      </c>
      <c r="HS399" s="3">
        <v>0</v>
      </c>
      <c r="IK399" s="3">
        <v>0</v>
      </c>
    </row>
    <row r="400" spans="1:255" x14ac:dyDescent="0.25">
      <c r="A400" s="2">
        <v>18</v>
      </c>
      <c r="B400" s="2">
        <v>1</v>
      </c>
      <c r="C400" s="2">
        <v>258</v>
      </c>
      <c r="D400" s="2"/>
      <c r="E400" s="2" t="s">
        <v>3</v>
      </c>
      <c r="F400" s="2" t="s">
        <v>321</v>
      </c>
      <c r="G400" s="2" t="s">
        <v>322</v>
      </c>
      <c r="H400" s="2" t="s">
        <v>177</v>
      </c>
      <c r="I400" s="2">
        <f>I398*J400</f>
        <v>1</v>
      </c>
      <c r="J400" s="2">
        <v>6.6666666666666666E-2</v>
      </c>
      <c r="K400" s="2">
        <v>6.6666669999999997E-2</v>
      </c>
      <c r="L400" s="2"/>
      <c r="M400" s="2"/>
      <c r="N400" s="2"/>
      <c r="O400" s="2">
        <f t="shared" ref="O400:O421" si="318">ROUND(CP400,2)</f>
        <v>5689.57</v>
      </c>
      <c r="P400" s="2">
        <f t="shared" ref="P400:P409" si="319">ROUND((ROUND((AC400*I400),2)*BC400),2)</f>
        <v>5689.57</v>
      </c>
      <c r="Q400" s="2">
        <f t="shared" ref="Q400:Q409" si="320">(ROUND((ROUND(((ET400)*AV400*I400),2)*BB400),2)+ROUND((ROUND(((AE400-(EU400))*AV400*I400),2)*BS400),2))</f>
        <v>0</v>
      </c>
      <c r="R400" s="2">
        <f t="shared" ref="R400:R409" si="321">(ROUND((ROUND(((EU400)*AV400*I400),2)*BS400),2)+ROUND((ROUND(((AE400-(EU400))*AV400*I400),2)*BS400),2))</f>
        <v>0</v>
      </c>
      <c r="S400" s="2">
        <f t="shared" ref="S400:S421" si="322">ROUND((ROUND((AF400*AV400*I400),2)*BA400),2)</f>
        <v>0</v>
      </c>
      <c r="T400" s="2">
        <f t="shared" ref="T400:T421" si="323">ROUND(CU400*I400,2)</f>
        <v>0</v>
      </c>
      <c r="U400" s="2">
        <f t="shared" ref="U400:U421" si="324">CV400*I400</f>
        <v>0</v>
      </c>
      <c r="V400" s="2">
        <f t="shared" ref="V400:V421" si="325">CW400*I400</f>
        <v>0</v>
      </c>
      <c r="W400" s="2">
        <f t="shared" ref="W400:W421" si="326">ROUND(CX400*I400,2)</f>
        <v>0</v>
      </c>
      <c r="X400" s="2">
        <f t="shared" ref="X400:X409" si="327">(ROUND((((S400+ROUND((ROUND(((EU400)*AV400*I400),2)*BS400),2))*AT400)/100),2)+ROUND(((ROUND((ROUND(((AE400-(EU400))*AV400*I400),2)*BS400),2)*AT400)/100),2))</f>
        <v>0</v>
      </c>
      <c r="Y400" s="2">
        <f t="shared" ref="Y400:Y409" si="328">(ROUND((((S400+ROUND((ROUND(((EU400)*AV400*I400),2)*BS400),2))*AU400)/100),2)+ROUND(((ROUND((ROUND(((AE400-(EU400))*AV400*I400),2)*BS400),2)*AU400)/100),2))</f>
        <v>0</v>
      </c>
      <c r="Z400" s="2"/>
      <c r="AA400" s="2">
        <v>-1</v>
      </c>
      <c r="AB400" s="2">
        <f t="shared" ref="AB400:AB421" si="329">ROUND((AC400+AD400+AF400),6)</f>
        <v>5689.57</v>
      </c>
      <c r="AC400" s="2">
        <f t="shared" ref="AC400:AC409" si="330">ROUND((ES400),6)</f>
        <v>5689.57</v>
      </c>
      <c r="AD400" s="2">
        <f t="shared" ref="AD400:AD409" si="331">ROUND((((ET400)-(EU400))+AE400),6)</f>
        <v>0</v>
      </c>
      <c r="AE400" s="2">
        <f t="shared" ref="AE400:AE409" si="332">ROUND((EU400),6)</f>
        <v>0</v>
      </c>
      <c r="AF400" s="2">
        <f t="shared" ref="AF400:AF409" si="333">ROUND((EV400),6)</f>
        <v>0</v>
      </c>
      <c r="AG400" s="2">
        <f t="shared" ref="AG400:AG421" si="334">ROUND((AP400),6)</f>
        <v>0</v>
      </c>
      <c r="AH400" s="2">
        <f t="shared" ref="AH400:AH409" si="335">(EW400)</f>
        <v>0</v>
      </c>
      <c r="AI400" s="2">
        <f t="shared" ref="AI400:AI409" si="336">(EX400)</f>
        <v>0</v>
      </c>
      <c r="AJ400" s="2">
        <f t="shared" ref="AJ400:AJ421" si="337">(AS400)</f>
        <v>0</v>
      </c>
      <c r="AK400" s="2">
        <v>5689.5700000000006</v>
      </c>
      <c r="AL400" s="2">
        <v>5689.5700000000006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1</v>
      </c>
      <c r="AW400" s="2">
        <v>1</v>
      </c>
      <c r="AX400" s="2"/>
      <c r="AY400" s="2"/>
      <c r="AZ400" s="2">
        <v>1</v>
      </c>
      <c r="BA400" s="2">
        <v>1</v>
      </c>
      <c r="BB400" s="2">
        <v>1</v>
      </c>
      <c r="BC400" s="2">
        <v>1</v>
      </c>
      <c r="BD400" s="2" t="s">
        <v>3</v>
      </c>
      <c r="BE400" s="2" t="s">
        <v>3</v>
      </c>
      <c r="BF400" s="2" t="s">
        <v>3</v>
      </c>
      <c r="BG400" s="2" t="s">
        <v>3</v>
      </c>
      <c r="BH400" s="2">
        <v>3</v>
      </c>
      <c r="BI400" s="2">
        <v>3</v>
      </c>
      <c r="BJ400" s="2" t="s">
        <v>3</v>
      </c>
      <c r="BK400" s="2"/>
      <c r="BL400" s="2"/>
      <c r="BM400" s="2">
        <v>746</v>
      </c>
      <c r="BN400" s="2">
        <v>0</v>
      </c>
      <c r="BO400" s="2" t="s">
        <v>3</v>
      </c>
      <c r="BP400" s="2">
        <v>0</v>
      </c>
      <c r="BQ400" s="2">
        <v>130</v>
      </c>
      <c r="BR400" s="2">
        <v>0</v>
      </c>
      <c r="BS400" s="2">
        <v>1</v>
      </c>
      <c r="BT400" s="2">
        <v>1</v>
      </c>
      <c r="BU400" s="2">
        <v>1</v>
      </c>
      <c r="BV400" s="2">
        <v>1</v>
      </c>
      <c r="BW400" s="2">
        <v>1</v>
      </c>
      <c r="BX400" s="2">
        <v>1</v>
      </c>
      <c r="BY400" s="2" t="s">
        <v>3</v>
      </c>
      <c r="BZ400" s="2">
        <v>97</v>
      </c>
      <c r="CA400" s="2">
        <v>51</v>
      </c>
      <c r="CB400" s="2" t="s">
        <v>3</v>
      </c>
      <c r="CC400" s="2"/>
      <c r="CD400" s="2"/>
      <c r="CE400" s="2">
        <v>1566</v>
      </c>
      <c r="CF400" s="2">
        <v>0</v>
      </c>
      <c r="CG400" s="2">
        <v>0</v>
      </c>
      <c r="CH400" s="2"/>
      <c r="CI400" s="2"/>
      <c r="CJ400" s="2"/>
      <c r="CK400" s="2"/>
      <c r="CL400" s="2"/>
      <c r="CM400" s="2">
        <v>0</v>
      </c>
      <c r="CN400" s="2" t="s">
        <v>615</v>
      </c>
      <c r="CO400" s="2">
        <v>0</v>
      </c>
      <c r="CP400" s="2">
        <f t="shared" ref="CP400:CP421" si="338">(P400+Q400+S400)</f>
        <v>5689.57</v>
      </c>
      <c r="CQ400" s="2">
        <f t="shared" ref="CQ400:CQ409" si="339">ROUND((ROUND((AC400*1),2)*BC400),2)</f>
        <v>5689.57</v>
      </c>
      <c r="CR400" s="2">
        <f t="shared" ref="CR400:CR409" si="340">(ROUND((ROUND(((ET400)*AV400*1),2)*BB400),2)+ROUND((ROUND(((AE400-(EU400))*AV400*1),2)*BS400),2))</f>
        <v>0</v>
      </c>
      <c r="CS400" s="2">
        <f t="shared" ref="CS400:CS409" si="341">(ROUND((ROUND(((EU400)*AV400*1),2)*BS400),2)+ROUND((ROUND(((AE400-(EU400))*AV400*1),2)*BS400),2))</f>
        <v>0</v>
      </c>
      <c r="CT400" s="2">
        <f t="shared" ref="CT400:CT421" si="342">ROUND((ROUND((AF400*AV400*1),2)*BA400),2)</f>
        <v>0</v>
      </c>
      <c r="CU400" s="2">
        <f t="shared" ref="CU400:CU421" si="343">AG400</f>
        <v>0</v>
      </c>
      <c r="CV400" s="2">
        <f t="shared" ref="CV400:CV421" si="344">(AH400*AV400)</f>
        <v>0</v>
      </c>
      <c r="CW400" s="2">
        <f t="shared" ref="CW400:CW421" si="345">AI400</f>
        <v>0</v>
      </c>
      <c r="CX400" s="2">
        <f t="shared" ref="CX400:CX421" si="346">AJ400</f>
        <v>0</v>
      </c>
      <c r="CY400" s="2">
        <f t="shared" ref="CY400:CY409" si="347">(ROUND((((S400+ROUND((ROUND(((EU400)*AV400*1),2)*BS400),2))*AT400)/100),2)+ROUND(((ROUND((ROUND(((AE400-(EU400))*AV400*1),2)*BS400),2)*AT400)/100),2))</f>
        <v>0</v>
      </c>
      <c r="CZ400" s="2">
        <f t="shared" ref="CZ400:CZ409" si="348">(ROUND((((S400+ROUND((ROUND(((EU400)*AV400*1),2)*BS400),2))*AU400)/100),2)+ROUND(((ROUND((ROUND(((AE400-(EU400))*AV400*1),2)*BS400),2)*AU400)/100),2))</f>
        <v>0</v>
      </c>
      <c r="DA400" s="2"/>
      <c r="DB400" s="2"/>
      <c r="DC400" s="2" t="s">
        <v>3</v>
      </c>
      <c r="DD400" s="2" t="s">
        <v>3</v>
      </c>
      <c r="DE400" s="2" t="s">
        <v>3</v>
      </c>
      <c r="DF400" s="2" t="s">
        <v>3</v>
      </c>
      <c r="DG400" s="2" t="s">
        <v>3</v>
      </c>
      <c r="DH400" s="2" t="s">
        <v>3</v>
      </c>
      <c r="DI400" s="2" t="s">
        <v>3</v>
      </c>
      <c r="DJ400" s="2" t="s">
        <v>3</v>
      </c>
      <c r="DK400" s="2" t="s">
        <v>3</v>
      </c>
      <c r="DL400" s="2" t="s">
        <v>3</v>
      </c>
      <c r="DM400" s="2" t="s">
        <v>3</v>
      </c>
      <c r="DN400" s="2">
        <v>0</v>
      </c>
      <c r="DO400" s="2">
        <v>0</v>
      </c>
      <c r="DP400" s="2">
        <v>1</v>
      </c>
      <c r="DQ400" s="2">
        <v>1</v>
      </c>
      <c r="DR400" s="2"/>
      <c r="DS400" s="2"/>
      <c r="DT400" s="2"/>
      <c r="DU400" s="2">
        <v>1010</v>
      </c>
      <c r="DV400" s="2" t="s">
        <v>177</v>
      </c>
      <c r="DW400" s="2" t="s">
        <v>177</v>
      </c>
      <c r="DX400" s="2">
        <v>1</v>
      </c>
      <c r="DY400" s="2"/>
      <c r="DZ400" s="2" t="s">
        <v>3</v>
      </c>
      <c r="EA400" s="2" t="s">
        <v>3</v>
      </c>
      <c r="EB400" s="2" t="s">
        <v>3</v>
      </c>
      <c r="EC400" s="2" t="s">
        <v>3</v>
      </c>
      <c r="ED400" s="2"/>
      <c r="EE400" s="2">
        <v>57043064</v>
      </c>
      <c r="EF400" s="2">
        <v>130</v>
      </c>
      <c r="EG400" s="2" t="s">
        <v>178</v>
      </c>
      <c r="EH400" s="2">
        <v>0</v>
      </c>
      <c r="EI400" s="2" t="s">
        <v>3</v>
      </c>
      <c r="EJ400" s="2">
        <v>3</v>
      </c>
      <c r="EK400" s="2">
        <v>746</v>
      </c>
      <c r="EL400" s="2" t="s">
        <v>179</v>
      </c>
      <c r="EM400" s="2" t="s">
        <v>180</v>
      </c>
      <c r="EN400" s="2"/>
      <c r="EO400" s="2" t="s">
        <v>109</v>
      </c>
      <c r="EP400" s="2"/>
      <c r="EQ400" s="2">
        <v>2098176</v>
      </c>
      <c r="ER400" s="2">
        <v>0</v>
      </c>
      <c r="ES400" s="2">
        <v>5689.5700000000006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>
        <v>0</v>
      </c>
      <c r="FR400" s="2">
        <f t="shared" ref="FR400:FR409" si="349">P400</f>
        <v>5689.57</v>
      </c>
      <c r="FS400" s="2">
        <v>0</v>
      </c>
      <c r="FT400" s="2"/>
      <c r="FU400" s="2"/>
      <c r="FV400" s="2"/>
      <c r="FW400" s="2"/>
      <c r="FX400" s="2">
        <v>97</v>
      </c>
      <c r="FY400" s="2">
        <v>51</v>
      </c>
      <c r="FZ400" s="2"/>
      <c r="GA400" s="2" t="s">
        <v>323</v>
      </c>
      <c r="GB400" s="2"/>
      <c r="GC400" s="2"/>
      <c r="GD400" s="2">
        <v>1</v>
      </c>
      <c r="GE400" s="2"/>
      <c r="GF400" s="2">
        <v>1078410878</v>
      </c>
      <c r="GG400" s="2">
        <v>2</v>
      </c>
      <c r="GH400" s="2">
        <v>4</v>
      </c>
      <c r="GI400" s="2">
        <v>-2</v>
      </c>
      <c r="GJ400" s="2">
        <v>0</v>
      </c>
      <c r="GK400" s="2">
        <v>0</v>
      </c>
      <c r="GL400" s="2">
        <f t="shared" ref="GL400:GL421" si="350">ROUND(IF(AND(BH400=3,BI400=3,FS400&lt;&gt;0),P400,0),2)</f>
        <v>0</v>
      </c>
      <c r="GM400" s="2">
        <f t="shared" ref="GM400:GM421" si="351">ROUND(O400+X400+Y400,2)+GX400</f>
        <v>5689.57</v>
      </c>
      <c r="GN400" s="2">
        <f t="shared" ref="GN400:GN421" si="352">IF(OR(BI400=0,BI400=1),GM400-GX400,0)</f>
        <v>0</v>
      </c>
      <c r="GO400" s="2">
        <f t="shared" ref="GO400:GO421" si="353">IF(BI400=2,GM400-GX400,0)</f>
        <v>0</v>
      </c>
      <c r="GP400" s="2">
        <f t="shared" ref="GP400:GP421" si="354">IF(BI400=4,GM400-GX400,0)</f>
        <v>0</v>
      </c>
      <c r="GQ400" s="2"/>
      <c r="GR400" s="2">
        <v>0</v>
      </c>
      <c r="GS400" s="2">
        <v>2</v>
      </c>
      <c r="GT400" s="2">
        <v>0</v>
      </c>
      <c r="GU400" s="2" t="s">
        <v>3</v>
      </c>
      <c r="GV400" s="2">
        <f t="shared" ref="GV400:GV421" si="355">ROUND((GT400),6)</f>
        <v>0</v>
      </c>
      <c r="GW400" s="2">
        <v>1</v>
      </c>
      <c r="GX400" s="2">
        <f t="shared" ref="GX400:GX421" si="356">ROUND(HC400*I400,2)</f>
        <v>0</v>
      </c>
      <c r="GY400" s="2"/>
      <c r="GZ400" s="2"/>
      <c r="HA400" s="2">
        <v>0</v>
      </c>
      <c r="HB400" s="2">
        <v>0</v>
      </c>
      <c r="HC400" s="2">
        <f t="shared" ref="HC400:HC421" si="357">GV400*GW400</f>
        <v>0</v>
      </c>
      <c r="HD400" s="2"/>
      <c r="HE400" s="2" t="s">
        <v>40</v>
      </c>
      <c r="HF400" s="2" t="s">
        <v>182</v>
      </c>
      <c r="HG400" s="2"/>
      <c r="HH400" s="2"/>
      <c r="HI400" s="2"/>
      <c r="HJ400" s="2"/>
      <c r="HK400" s="2"/>
      <c r="HL400" s="2"/>
      <c r="HM400" s="2" t="s">
        <v>104</v>
      </c>
      <c r="HN400" s="2" t="s">
        <v>3</v>
      </c>
      <c r="HO400" s="2" t="s">
        <v>3</v>
      </c>
      <c r="HP400" s="2" t="s">
        <v>3</v>
      </c>
      <c r="HQ400" s="2" t="s">
        <v>3</v>
      </c>
      <c r="HR400" s="2"/>
      <c r="HS400" s="2">
        <v>0</v>
      </c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>
        <v>0</v>
      </c>
      <c r="IL400" s="2"/>
      <c r="IM400" s="2"/>
      <c r="IN400" s="2"/>
      <c r="IO400" s="2"/>
      <c r="IP400" s="2"/>
      <c r="IQ400" s="2"/>
      <c r="IR400" s="2"/>
      <c r="IS400" s="2"/>
      <c r="IT400" s="2"/>
      <c r="IU400" s="2"/>
    </row>
    <row r="401" spans="1:255" x14ac:dyDescent="0.25">
      <c r="A401" s="3">
        <v>18</v>
      </c>
      <c r="B401" s="3">
        <v>1</v>
      </c>
      <c r="C401" s="3">
        <v>270</v>
      </c>
      <c r="E401" s="3" t="s">
        <v>3</v>
      </c>
      <c r="F401" s="3" t="s">
        <v>321</v>
      </c>
      <c r="G401" s="3" t="s">
        <v>322</v>
      </c>
      <c r="H401" s="3" t="s">
        <v>177</v>
      </c>
      <c r="I401" s="3">
        <f>I399*J401</f>
        <v>1</v>
      </c>
      <c r="J401" s="3">
        <v>6.6666666666666666E-2</v>
      </c>
      <c r="K401" s="3">
        <v>6.6666669999999997E-2</v>
      </c>
      <c r="O401" s="3">
        <f t="shared" si="318"/>
        <v>43070.04</v>
      </c>
      <c r="P401" s="3">
        <f t="shared" si="319"/>
        <v>43070.04</v>
      </c>
      <c r="Q401" s="3">
        <f t="shared" si="320"/>
        <v>0</v>
      </c>
      <c r="R401" s="3">
        <f t="shared" si="321"/>
        <v>0</v>
      </c>
      <c r="S401" s="3">
        <f t="shared" si="322"/>
        <v>0</v>
      </c>
      <c r="T401" s="3">
        <f t="shared" si="323"/>
        <v>0</v>
      </c>
      <c r="U401" s="3">
        <f t="shared" si="324"/>
        <v>0</v>
      </c>
      <c r="V401" s="3">
        <f t="shared" si="325"/>
        <v>0</v>
      </c>
      <c r="W401" s="3">
        <f t="shared" si="326"/>
        <v>0</v>
      </c>
      <c r="X401" s="3">
        <f t="shared" si="327"/>
        <v>0</v>
      </c>
      <c r="Y401" s="3">
        <f t="shared" si="328"/>
        <v>0</v>
      </c>
      <c r="AA401" s="3">
        <v>-1</v>
      </c>
      <c r="AB401" s="3">
        <f t="shared" si="329"/>
        <v>5689.57</v>
      </c>
      <c r="AC401" s="3">
        <f t="shared" si="330"/>
        <v>5689.57</v>
      </c>
      <c r="AD401" s="3">
        <f t="shared" si="331"/>
        <v>0</v>
      </c>
      <c r="AE401" s="3">
        <f t="shared" si="332"/>
        <v>0</v>
      </c>
      <c r="AF401" s="3">
        <f t="shared" si="333"/>
        <v>0</v>
      </c>
      <c r="AG401" s="3">
        <f t="shared" si="334"/>
        <v>0</v>
      </c>
      <c r="AH401" s="3">
        <f t="shared" si="335"/>
        <v>0</v>
      </c>
      <c r="AI401" s="3">
        <f t="shared" si="336"/>
        <v>0</v>
      </c>
      <c r="AJ401" s="3">
        <f t="shared" si="337"/>
        <v>0</v>
      </c>
      <c r="AK401" s="3">
        <v>5689.5700000000006</v>
      </c>
      <c r="AL401" s="3">
        <v>5689.5700000000006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1</v>
      </c>
      <c r="AW401" s="3">
        <v>1</v>
      </c>
      <c r="AZ401" s="3">
        <v>1</v>
      </c>
      <c r="BA401" s="3">
        <v>1</v>
      </c>
      <c r="BB401" s="3">
        <v>1</v>
      </c>
      <c r="BC401" s="3">
        <v>7.57</v>
      </c>
      <c r="BD401" s="3" t="s">
        <v>3</v>
      </c>
      <c r="BE401" s="3" t="s">
        <v>3</v>
      </c>
      <c r="BF401" s="3" t="s">
        <v>3</v>
      </c>
      <c r="BG401" s="3" t="s">
        <v>3</v>
      </c>
      <c r="BH401" s="3">
        <v>3</v>
      </c>
      <c r="BI401" s="3">
        <v>3</v>
      </c>
      <c r="BJ401" s="3" t="s">
        <v>3</v>
      </c>
      <c r="BM401" s="3">
        <v>746</v>
      </c>
      <c r="BN401" s="3">
        <v>0</v>
      </c>
      <c r="BO401" s="3" t="s">
        <v>3</v>
      </c>
      <c r="BP401" s="3">
        <v>0</v>
      </c>
      <c r="BQ401" s="3">
        <v>130</v>
      </c>
      <c r="BR401" s="3">
        <v>0</v>
      </c>
      <c r="BS401" s="3">
        <v>1</v>
      </c>
      <c r="BT401" s="3">
        <v>1</v>
      </c>
      <c r="BU401" s="3">
        <v>1</v>
      </c>
      <c r="BV401" s="3">
        <v>1</v>
      </c>
      <c r="BW401" s="3">
        <v>1</v>
      </c>
      <c r="BX401" s="3">
        <v>1</v>
      </c>
      <c r="BY401" s="3" t="s">
        <v>3</v>
      </c>
      <c r="BZ401" s="3">
        <v>97</v>
      </c>
      <c r="CA401" s="3">
        <v>51</v>
      </c>
      <c r="CB401" s="3" t="s">
        <v>3</v>
      </c>
      <c r="CE401" s="3">
        <v>1566</v>
      </c>
      <c r="CF401" s="3">
        <v>0</v>
      </c>
      <c r="CG401" s="3">
        <v>0</v>
      </c>
      <c r="CM401" s="3">
        <v>0</v>
      </c>
      <c r="CN401" s="3" t="s">
        <v>615</v>
      </c>
      <c r="CO401" s="3">
        <v>0</v>
      </c>
      <c r="CP401" s="3">
        <f t="shared" si="338"/>
        <v>43070.04</v>
      </c>
      <c r="CQ401" s="3">
        <f t="shared" si="339"/>
        <v>43070.04</v>
      </c>
      <c r="CR401" s="3">
        <f t="shared" si="340"/>
        <v>0</v>
      </c>
      <c r="CS401" s="3">
        <f t="shared" si="341"/>
        <v>0</v>
      </c>
      <c r="CT401" s="3">
        <f t="shared" si="342"/>
        <v>0</v>
      </c>
      <c r="CU401" s="3">
        <f t="shared" si="343"/>
        <v>0</v>
      </c>
      <c r="CV401" s="3">
        <f t="shared" si="344"/>
        <v>0</v>
      </c>
      <c r="CW401" s="3">
        <f t="shared" si="345"/>
        <v>0</v>
      </c>
      <c r="CX401" s="3">
        <f t="shared" si="346"/>
        <v>0</v>
      </c>
      <c r="CY401" s="3">
        <f t="shared" si="347"/>
        <v>0</v>
      </c>
      <c r="CZ401" s="3">
        <f t="shared" si="348"/>
        <v>0</v>
      </c>
      <c r="DC401" s="3" t="s">
        <v>3</v>
      </c>
      <c r="DD401" s="3" t="s">
        <v>3</v>
      </c>
      <c r="DE401" s="3" t="s">
        <v>3</v>
      </c>
      <c r="DF401" s="3" t="s">
        <v>3</v>
      </c>
      <c r="DG401" s="3" t="s">
        <v>3</v>
      </c>
      <c r="DH401" s="3" t="s">
        <v>3</v>
      </c>
      <c r="DI401" s="3" t="s">
        <v>3</v>
      </c>
      <c r="DJ401" s="3" t="s">
        <v>3</v>
      </c>
      <c r="DK401" s="3" t="s">
        <v>3</v>
      </c>
      <c r="DL401" s="3" t="s">
        <v>3</v>
      </c>
      <c r="DM401" s="3" t="s">
        <v>3</v>
      </c>
      <c r="DN401" s="3">
        <v>0</v>
      </c>
      <c r="DO401" s="3">
        <v>0</v>
      </c>
      <c r="DP401" s="3">
        <v>1</v>
      </c>
      <c r="DQ401" s="3">
        <v>1</v>
      </c>
      <c r="DU401" s="3">
        <v>1010</v>
      </c>
      <c r="DV401" s="3" t="s">
        <v>177</v>
      </c>
      <c r="DW401" s="3" t="s">
        <v>177</v>
      </c>
      <c r="DX401" s="3">
        <v>1</v>
      </c>
      <c r="DZ401" s="3" t="s">
        <v>3</v>
      </c>
      <c r="EA401" s="3" t="s">
        <v>3</v>
      </c>
      <c r="EB401" s="3" t="s">
        <v>3</v>
      </c>
      <c r="EC401" s="3" t="s">
        <v>3</v>
      </c>
      <c r="EE401" s="3">
        <v>57043064</v>
      </c>
      <c r="EF401" s="3">
        <v>130</v>
      </c>
      <c r="EG401" s="3" t="s">
        <v>178</v>
      </c>
      <c r="EH401" s="3">
        <v>0</v>
      </c>
      <c r="EI401" s="3" t="s">
        <v>3</v>
      </c>
      <c r="EJ401" s="3">
        <v>3</v>
      </c>
      <c r="EK401" s="3">
        <v>746</v>
      </c>
      <c r="EL401" s="3" t="s">
        <v>179</v>
      </c>
      <c r="EM401" s="3" t="s">
        <v>180</v>
      </c>
      <c r="EO401" s="3" t="s">
        <v>109</v>
      </c>
      <c r="EQ401" s="3">
        <v>2098176</v>
      </c>
      <c r="ER401" s="3">
        <v>5689.5700000000006</v>
      </c>
      <c r="ES401" s="3">
        <v>5689.5700000000006</v>
      </c>
      <c r="ET401" s="3">
        <v>0</v>
      </c>
      <c r="EU401" s="3">
        <v>0</v>
      </c>
      <c r="EV401" s="3">
        <v>0</v>
      </c>
      <c r="EW401" s="3">
        <v>0</v>
      </c>
      <c r="EX401" s="3">
        <v>0</v>
      </c>
      <c r="EZ401" s="3">
        <v>5</v>
      </c>
      <c r="FC401" s="3">
        <v>1</v>
      </c>
      <c r="FD401" s="3">
        <v>18</v>
      </c>
      <c r="FF401" s="3">
        <v>50410</v>
      </c>
      <c r="FQ401" s="3">
        <v>0</v>
      </c>
      <c r="FR401" s="3">
        <f t="shared" si="349"/>
        <v>43070.04</v>
      </c>
      <c r="FS401" s="3">
        <v>0</v>
      </c>
      <c r="FX401" s="3">
        <v>97</v>
      </c>
      <c r="FY401" s="3">
        <v>51</v>
      </c>
      <c r="GA401" s="3" t="s">
        <v>323</v>
      </c>
      <c r="GD401" s="3">
        <v>1</v>
      </c>
      <c r="GF401" s="3">
        <v>1078410878</v>
      </c>
      <c r="GG401" s="3">
        <v>2</v>
      </c>
      <c r="GH401" s="3">
        <v>3</v>
      </c>
      <c r="GI401" s="3">
        <v>5</v>
      </c>
      <c r="GJ401" s="3">
        <v>0</v>
      </c>
      <c r="GK401" s="3">
        <v>0</v>
      </c>
      <c r="GL401" s="3">
        <f t="shared" si="350"/>
        <v>0</v>
      </c>
      <c r="GM401" s="3">
        <f t="shared" si="351"/>
        <v>43070.04</v>
      </c>
      <c r="GN401" s="3">
        <f t="shared" si="352"/>
        <v>0</v>
      </c>
      <c r="GO401" s="3">
        <f t="shared" si="353"/>
        <v>0</v>
      </c>
      <c r="GP401" s="3">
        <f t="shared" si="354"/>
        <v>0</v>
      </c>
      <c r="GR401" s="3">
        <v>1</v>
      </c>
      <c r="GS401" s="3">
        <v>1</v>
      </c>
      <c r="GT401" s="3">
        <v>0</v>
      </c>
      <c r="GU401" s="3" t="s">
        <v>3</v>
      </c>
      <c r="GV401" s="3">
        <f t="shared" si="355"/>
        <v>0</v>
      </c>
      <c r="GW401" s="3">
        <v>1</v>
      </c>
      <c r="GX401" s="3">
        <f t="shared" si="356"/>
        <v>0</v>
      </c>
      <c r="HA401" s="3">
        <v>0</v>
      </c>
      <c r="HB401" s="3">
        <v>0</v>
      </c>
      <c r="HC401" s="3">
        <f t="shared" si="357"/>
        <v>0</v>
      </c>
      <c r="HE401" s="3" t="s">
        <v>40</v>
      </c>
      <c r="HF401" s="3" t="s">
        <v>182</v>
      </c>
      <c r="HM401" s="3" t="s">
        <v>104</v>
      </c>
      <c r="HN401" s="3" t="s">
        <v>3</v>
      </c>
      <c r="HO401" s="3" t="s">
        <v>3</v>
      </c>
      <c r="HP401" s="3" t="s">
        <v>3</v>
      </c>
      <c r="HQ401" s="3" t="s">
        <v>3</v>
      </c>
      <c r="HS401" s="3">
        <v>0</v>
      </c>
      <c r="IK401" s="3">
        <v>0</v>
      </c>
    </row>
    <row r="402" spans="1:255" x14ac:dyDescent="0.25">
      <c r="A402" s="2">
        <v>18</v>
      </c>
      <c r="B402" s="2">
        <v>1</v>
      </c>
      <c r="C402" s="2">
        <v>259</v>
      </c>
      <c r="D402" s="2"/>
      <c r="E402" s="2" t="s">
        <v>3</v>
      </c>
      <c r="F402" s="2" t="s">
        <v>325</v>
      </c>
      <c r="G402" s="2" t="s">
        <v>326</v>
      </c>
      <c r="H402" s="2" t="s">
        <v>177</v>
      </c>
      <c r="I402" s="2">
        <f>I398*J402</f>
        <v>8</v>
      </c>
      <c r="J402" s="2">
        <v>0.53333333333333333</v>
      </c>
      <c r="K402" s="2">
        <v>0.53333330000000001</v>
      </c>
      <c r="L402" s="2"/>
      <c r="M402" s="2"/>
      <c r="N402" s="2"/>
      <c r="O402" s="2">
        <f t="shared" si="318"/>
        <v>50265.84</v>
      </c>
      <c r="P402" s="2">
        <f t="shared" si="319"/>
        <v>50265.84</v>
      </c>
      <c r="Q402" s="2">
        <f t="shared" si="320"/>
        <v>0</v>
      </c>
      <c r="R402" s="2">
        <f t="shared" si="321"/>
        <v>0</v>
      </c>
      <c r="S402" s="2">
        <f t="shared" si="322"/>
        <v>0</v>
      </c>
      <c r="T402" s="2">
        <f t="shared" si="323"/>
        <v>0</v>
      </c>
      <c r="U402" s="2">
        <f t="shared" si="324"/>
        <v>0</v>
      </c>
      <c r="V402" s="2">
        <f t="shared" si="325"/>
        <v>0</v>
      </c>
      <c r="W402" s="2">
        <f t="shared" si="326"/>
        <v>0</v>
      </c>
      <c r="X402" s="2">
        <f t="shared" si="327"/>
        <v>0</v>
      </c>
      <c r="Y402" s="2">
        <f t="shared" si="328"/>
        <v>0</v>
      </c>
      <c r="Z402" s="2"/>
      <c r="AA402" s="2">
        <v>-1</v>
      </c>
      <c r="AB402" s="2">
        <f t="shared" si="329"/>
        <v>6283.23</v>
      </c>
      <c r="AC402" s="2">
        <f t="shared" si="330"/>
        <v>6283.23</v>
      </c>
      <c r="AD402" s="2">
        <f t="shared" si="331"/>
        <v>0</v>
      </c>
      <c r="AE402" s="2">
        <f t="shared" si="332"/>
        <v>0</v>
      </c>
      <c r="AF402" s="2">
        <f t="shared" si="333"/>
        <v>0</v>
      </c>
      <c r="AG402" s="2">
        <f t="shared" si="334"/>
        <v>0</v>
      </c>
      <c r="AH402" s="2">
        <f t="shared" si="335"/>
        <v>0</v>
      </c>
      <c r="AI402" s="2">
        <f t="shared" si="336"/>
        <v>0</v>
      </c>
      <c r="AJ402" s="2">
        <f t="shared" si="337"/>
        <v>0</v>
      </c>
      <c r="AK402" s="2">
        <v>6283.2300000000005</v>
      </c>
      <c r="AL402" s="2">
        <v>6283.2300000000005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1</v>
      </c>
      <c r="AW402" s="2">
        <v>1</v>
      </c>
      <c r="AX402" s="2"/>
      <c r="AY402" s="2"/>
      <c r="AZ402" s="2">
        <v>1</v>
      </c>
      <c r="BA402" s="2">
        <v>1</v>
      </c>
      <c r="BB402" s="2">
        <v>1</v>
      </c>
      <c r="BC402" s="2">
        <v>1</v>
      </c>
      <c r="BD402" s="2" t="s">
        <v>3</v>
      </c>
      <c r="BE402" s="2" t="s">
        <v>3</v>
      </c>
      <c r="BF402" s="2" t="s">
        <v>3</v>
      </c>
      <c r="BG402" s="2" t="s">
        <v>3</v>
      </c>
      <c r="BH402" s="2">
        <v>3</v>
      </c>
      <c r="BI402" s="2">
        <v>3</v>
      </c>
      <c r="BJ402" s="2" t="s">
        <v>3</v>
      </c>
      <c r="BK402" s="2"/>
      <c r="BL402" s="2"/>
      <c r="BM402" s="2">
        <v>746</v>
      </c>
      <c r="BN402" s="2">
        <v>0</v>
      </c>
      <c r="BO402" s="2" t="s">
        <v>3</v>
      </c>
      <c r="BP402" s="2">
        <v>0</v>
      </c>
      <c r="BQ402" s="2">
        <v>130</v>
      </c>
      <c r="BR402" s="2">
        <v>0</v>
      </c>
      <c r="BS402" s="2">
        <v>1</v>
      </c>
      <c r="BT402" s="2">
        <v>1</v>
      </c>
      <c r="BU402" s="2">
        <v>1</v>
      </c>
      <c r="BV402" s="2">
        <v>1</v>
      </c>
      <c r="BW402" s="2">
        <v>1</v>
      </c>
      <c r="BX402" s="2">
        <v>1</v>
      </c>
      <c r="BY402" s="2" t="s">
        <v>3</v>
      </c>
      <c r="BZ402" s="2">
        <v>97</v>
      </c>
      <c r="CA402" s="2">
        <v>51</v>
      </c>
      <c r="CB402" s="2" t="s">
        <v>3</v>
      </c>
      <c r="CC402" s="2"/>
      <c r="CD402" s="2"/>
      <c r="CE402" s="2">
        <v>1566</v>
      </c>
      <c r="CF402" s="2">
        <v>0</v>
      </c>
      <c r="CG402" s="2">
        <v>0</v>
      </c>
      <c r="CH402" s="2"/>
      <c r="CI402" s="2"/>
      <c r="CJ402" s="2"/>
      <c r="CK402" s="2"/>
      <c r="CL402" s="2"/>
      <c r="CM402" s="2">
        <v>0</v>
      </c>
      <c r="CN402" s="2" t="s">
        <v>615</v>
      </c>
      <c r="CO402" s="2">
        <v>0</v>
      </c>
      <c r="CP402" s="2">
        <f t="shared" si="338"/>
        <v>50265.84</v>
      </c>
      <c r="CQ402" s="2">
        <f t="shared" si="339"/>
        <v>6283.23</v>
      </c>
      <c r="CR402" s="2">
        <f t="shared" si="340"/>
        <v>0</v>
      </c>
      <c r="CS402" s="2">
        <f t="shared" si="341"/>
        <v>0</v>
      </c>
      <c r="CT402" s="2">
        <f t="shared" si="342"/>
        <v>0</v>
      </c>
      <c r="CU402" s="2">
        <f t="shared" si="343"/>
        <v>0</v>
      </c>
      <c r="CV402" s="2">
        <f t="shared" si="344"/>
        <v>0</v>
      </c>
      <c r="CW402" s="2">
        <f t="shared" si="345"/>
        <v>0</v>
      </c>
      <c r="CX402" s="2">
        <f t="shared" si="346"/>
        <v>0</v>
      </c>
      <c r="CY402" s="2">
        <f t="shared" si="347"/>
        <v>0</v>
      </c>
      <c r="CZ402" s="2">
        <f t="shared" si="348"/>
        <v>0</v>
      </c>
      <c r="DA402" s="2"/>
      <c r="DB402" s="2"/>
      <c r="DC402" s="2" t="s">
        <v>3</v>
      </c>
      <c r="DD402" s="2" t="s">
        <v>3</v>
      </c>
      <c r="DE402" s="2" t="s">
        <v>3</v>
      </c>
      <c r="DF402" s="2" t="s">
        <v>3</v>
      </c>
      <c r="DG402" s="2" t="s">
        <v>3</v>
      </c>
      <c r="DH402" s="2" t="s">
        <v>3</v>
      </c>
      <c r="DI402" s="2" t="s">
        <v>3</v>
      </c>
      <c r="DJ402" s="2" t="s">
        <v>3</v>
      </c>
      <c r="DK402" s="2" t="s">
        <v>3</v>
      </c>
      <c r="DL402" s="2" t="s">
        <v>3</v>
      </c>
      <c r="DM402" s="2" t="s">
        <v>3</v>
      </c>
      <c r="DN402" s="2">
        <v>0</v>
      </c>
      <c r="DO402" s="2">
        <v>0</v>
      </c>
      <c r="DP402" s="2">
        <v>1</v>
      </c>
      <c r="DQ402" s="2">
        <v>1</v>
      </c>
      <c r="DR402" s="2"/>
      <c r="DS402" s="2"/>
      <c r="DT402" s="2"/>
      <c r="DU402" s="2">
        <v>1010</v>
      </c>
      <c r="DV402" s="2" t="s">
        <v>177</v>
      </c>
      <c r="DW402" s="2" t="s">
        <v>177</v>
      </c>
      <c r="DX402" s="2">
        <v>1</v>
      </c>
      <c r="DY402" s="2"/>
      <c r="DZ402" s="2" t="s">
        <v>3</v>
      </c>
      <c r="EA402" s="2" t="s">
        <v>3</v>
      </c>
      <c r="EB402" s="2" t="s">
        <v>3</v>
      </c>
      <c r="EC402" s="2" t="s">
        <v>3</v>
      </c>
      <c r="ED402" s="2"/>
      <c r="EE402" s="2">
        <v>57043064</v>
      </c>
      <c r="EF402" s="2">
        <v>130</v>
      </c>
      <c r="EG402" s="2" t="s">
        <v>178</v>
      </c>
      <c r="EH402" s="2">
        <v>0</v>
      </c>
      <c r="EI402" s="2" t="s">
        <v>3</v>
      </c>
      <c r="EJ402" s="2">
        <v>3</v>
      </c>
      <c r="EK402" s="2">
        <v>746</v>
      </c>
      <c r="EL402" s="2" t="s">
        <v>179</v>
      </c>
      <c r="EM402" s="2" t="s">
        <v>180</v>
      </c>
      <c r="EN402" s="2"/>
      <c r="EO402" s="2" t="s">
        <v>109</v>
      </c>
      <c r="EP402" s="2"/>
      <c r="EQ402" s="2">
        <v>2098176</v>
      </c>
      <c r="ER402" s="2">
        <v>0</v>
      </c>
      <c r="ES402" s="2">
        <v>6283.2300000000005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>
        <v>0</v>
      </c>
      <c r="FR402" s="2">
        <f t="shared" si="349"/>
        <v>50265.84</v>
      </c>
      <c r="FS402" s="2">
        <v>0</v>
      </c>
      <c r="FT402" s="2"/>
      <c r="FU402" s="2"/>
      <c r="FV402" s="2"/>
      <c r="FW402" s="2"/>
      <c r="FX402" s="2">
        <v>97</v>
      </c>
      <c r="FY402" s="2">
        <v>51</v>
      </c>
      <c r="FZ402" s="2"/>
      <c r="GA402" s="2" t="s">
        <v>327</v>
      </c>
      <c r="GB402" s="2"/>
      <c r="GC402" s="2"/>
      <c r="GD402" s="2">
        <v>1</v>
      </c>
      <c r="GE402" s="2"/>
      <c r="GF402" s="2">
        <v>-46798807</v>
      </c>
      <c r="GG402" s="2">
        <v>2</v>
      </c>
      <c r="GH402" s="2">
        <v>4</v>
      </c>
      <c r="GI402" s="2">
        <v>-2</v>
      </c>
      <c r="GJ402" s="2">
        <v>0</v>
      </c>
      <c r="GK402" s="2">
        <v>0</v>
      </c>
      <c r="GL402" s="2">
        <f t="shared" si="350"/>
        <v>0</v>
      </c>
      <c r="GM402" s="2">
        <f t="shared" si="351"/>
        <v>50265.84</v>
      </c>
      <c r="GN402" s="2">
        <f t="shared" si="352"/>
        <v>0</v>
      </c>
      <c r="GO402" s="2">
        <f t="shared" si="353"/>
        <v>0</v>
      </c>
      <c r="GP402" s="2">
        <f t="shared" si="354"/>
        <v>0</v>
      </c>
      <c r="GQ402" s="2"/>
      <c r="GR402" s="2">
        <v>0</v>
      </c>
      <c r="GS402" s="2">
        <v>2</v>
      </c>
      <c r="GT402" s="2">
        <v>0</v>
      </c>
      <c r="GU402" s="2" t="s">
        <v>3</v>
      </c>
      <c r="GV402" s="2">
        <f t="shared" si="355"/>
        <v>0</v>
      </c>
      <c r="GW402" s="2">
        <v>1</v>
      </c>
      <c r="GX402" s="2">
        <f t="shared" si="356"/>
        <v>0</v>
      </c>
      <c r="GY402" s="2"/>
      <c r="GZ402" s="2"/>
      <c r="HA402" s="2">
        <v>0</v>
      </c>
      <c r="HB402" s="2">
        <v>0</v>
      </c>
      <c r="HC402" s="2">
        <f t="shared" si="357"/>
        <v>0</v>
      </c>
      <c r="HD402" s="2"/>
      <c r="HE402" s="2" t="s">
        <v>40</v>
      </c>
      <c r="HF402" s="2" t="s">
        <v>182</v>
      </c>
      <c r="HG402" s="2"/>
      <c r="HH402" s="2"/>
      <c r="HI402" s="2"/>
      <c r="HJ402" s="2"/>
      <c r="HK402" s="2"/>
      <c r="HL402" s="2"/>
      <c r="HM402" s="2" t="s">
        <v>104</v>
      </c>
      <c r="HN402" s="2" t="s">
        <v>3</v>
      </c>
      <c r="HO402" s="2" t="s">
        <v>3</v>
      </c>
      <c r="HP402" s="2" t="s">
        <v>3</v>
      </c>
      <c r="HQ402" s="2" t="s">
        <v>3</v>
      </c>
      <c r="HR402" s="2"/>
      <c r="HS402" s="2">
        <v>0</v>
      </c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>
        <v>0</v>
      </c>
      <c r="IL402" s="2"/>
      <c r="IM402" s="2"/>
      <c r="IN402" s="2"/>
      <c r="IO402" s="2"/>
      <c r="IP402" s="2"/>
      <c r="IQ402" s="2"/>
      <c r="IR402" s="2"/>
      <c r="IS402" s="2"/>
      <c r="IT402" s="2"/>
      <c r="IU402" s="2"/>
    </row>
    <row r="403" spans="1:255" x14ac:dyDescent="0.25">
      <c r="A403" s="3">
        <v>18</v>
      </c>
      <c r="B403" s="3">
        <v>1</v>
      </c>
      <c r="C403" s="3">
        <v>271</v>
      </c>
      <c r="E403" s="3" t="s">
        <v>3</v>
      </c>
      <c r="F403" s="3" t="s">
        <v>325</v>
      </c>
      <c r="G403" s="3" t="s">
        <v>326</v>
      </c>
      <c r="H403" s="3" t="s">
        <v>177</v>
      </c>
      <c r="I403" s="3">
        <f>I399*J403</f>
        <v>8</v>
      </c>
      <c r="J403" s="3">
        <v>0.53333333333333333</v>
      </c>
      <c r="K403" s="3">
        <v>0.53333330000000001</v>
      </c>
      <c r="O403" s="3">
        <f t="shared" si="318"/>
        <v>380512.41</v>
      </c>
      <c r="P403" s="3">
        <f t="shared" si="319"/>
        <v>380512.41</v>
      </c>
      <c r="Q403" s="3">
        <f t="shared" si="320"/>
        <v>0</v>
      </c>
      <c r="R403" s="3">
        <f t="shared" si="321"/>
        <v>0</v>
      </c>
      <c r="S403" s="3">
        <f t="shared" si="322"/>
        <v>0</v>
      </c>
      <c r="T403" s="3">
        <f t="shared" si="323"/>
        <v>0</v>
      </c>
      <c r="U403" s="3">
        <f t="shared" si="324"/>
        <v>0</v>
      </c>
      <c r="V403" s="3">
        <f t="shared" si="325"/>
        <v>0</v>
      </c>
      <c r="W403" s="3">
        <f t="shared" si="326"/>
        <v>0</v>
      </c>
      <c r="X403" s="3">
        <f t="shared" si="327"/>
        <v>0</v>
      </c>
      <c r="Y403" s="3">
        <f t="shared" si="328"/>
        <v>0</v>
      </c>
      <c r="AA403" s="3">
        <v>-1</v>
      </c>
      <c r="AB403" s="3">
        <f t="shared" si="329"/>
        <v>6283.23</v>
      </c>
      <c r="AC403" s="3">
        <f t="shared" si="330"/>
        <v>6283.23</v>
      </c>
      <c r="AD403" s="3">
        <f t="shared" si="331"/>
        <v>0</v>
      </c>
      <c r="AE403" s="3">
        <f t="shared" si="332"/>
        <v>0</v>
      </c>
      <c r="AF403" s="3">
        <f t="shared" si="333"/>
        <v>0</v>
      </c>
      <c r="AG403" s="3">
        <f t="shared" si="334"/>
        <v>0</v>
      </c>
      <c r="AH403" s="3">
        <f t="shared" si="335"/>
        <v>0</v>
      </c>
      <c r="AI403" s="3">
        <f t="shared" si="336"/>
        <v>0</v>
      </c>
      <c r="AJ403" s="3">
        <f t="shared" si="337"/>
        <v>0</v>
      </c>
      <c r="AK403" s="3">
        <v>6283.2300000000005</v>
      </c>
      <c r="AL403" s="3">
        <v>6283.2300000000005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1</v>
      </c>
      <c r="AW403" s="3">
        <v>1</v>
      </c>
      <c r="AZ403" s="3">
        <v>1</v>
      </c>
      <c r="BA403" s="3">
        <v>1</v>
      </c>
      <c r="BB403" s="3">
        <v>1</v>
      </c>
      <c r="BC403" s="3">
        <v>7.57</v>
      </c>
      <c r="BD403" s="3" t="s">
        <v>3</v>
      </c>
      <c r="BE403" s="3" t="s">
        <v>3</v>
      </c>
      <c r="BF403" s="3" t="s">
        <v>3</v>
      </c>
      <c r="BG403" s="3" t="s">
        <v>3</v>
      </c>
      <c r="BH403" s="3">
        <v>3</v>
      </c>
      <c r="BI403" s="3">
        <v>3</v>
      </c>
      <c r="BJ403" s="3" t="s">
        <v>3</v>
      </c>
      <c r="BM403" s="3">
        <v>746</v>
      </c>
      <c r="BN403" s="3">
        <v>0</v>
      </c>
      <c r="BO403" s="3" t="s">
        <v>3</v>
      </c>
      <c r="BP403" s="3">
        <v>0</v>
      </c>
      <c r="BQ403" s="3">
        <v>130</v>
      </c>
      <c r="BR403" s="3">
        <v>0</v>
      </c>
      <c r="BS403" s="3">
        <v>1</v>
      </c>
      <c r="BT403" s="3">
        <v>1</v>
      </c>
      <c r="BU403" s="3">
        <v>1</v>
      </c>
      <c r="BV403" s="3">
        <v>1</v>
      </c>
      <c r="BW403" s="3">
        <v>1</v>
      </c>
      <c r="BX403" s="3">
        <v>1</v>
      </c>
      <c r="BY403" s="3" t="s">
        <v>3</v>
      </c>
      <c r="BZ403" s="3">
        <v>97</v>
      </c>
      <c r="CA403" s="3">
        <v>51</v>
      </c>
      <c r="CB403" s="3" t="s">
        <v>3</v>
      </c>
      <c r="CE403" s="3">
        <v>1566</v>
      </c>
      <c r="CF403" s="3">
        <v>0</v>
      </c>
      <c r="CG403" s="3">
        <v>0</v>
      </c>
      <c r="CM403" s="3">
        <v>0</v>
      </c>
      <c r="CN403" s="3" t="s">
        <v>615</v>
      </c>
      <c r="CO403" s="3">
        <v>0</v>
      </c>
      <c r="CP403" s="3">
        <f t="shared" si="338"/>
        <v>380512.41</v>
      </c>
      <c r="CQ403" s="3">
        <f t="shared" si="339"/>
        <v>47564.05</v>
      </c>
      <c r="CR403" s="3">
        <f t="shared" si="340"/>
        <v>0</v>
      </c>
      <c r="CS403" s="3">
        <f t="shared" si="341"/>
        <v>0</v>
      </c>
      <c r="CT403" s="3">
        <f t="shared" si="342"/>
        <v>0</v>
      </c>
      <c r="CU403" s="3">
        <f t="shared" si="343"/>
        <v>0</v>
      </c>
      <c r="CV403" s="3">
        <f t="shared" si="344"/>
        <v>0</v>
      </c>
      <c r="CW403" s="3">
        <f t="shared" si="345"/>
        <v>0</v>
      </c>
      <c r="CX403" s="3">
        <f t="shared" si="346"/>
        <v>0</v>
      </c>
      <c r="CY403" s="3">
        <f t="shared" si="347"/>
        <v>0</v>
      </c>
      <c r="CZ403" s="3">
        <f t="shared" si="348"/>
        <v>0</v>
      </c>
      <c r="DC403" s="3" t="s">
        <v>3</v>
      </c>
      <c r="DD403" s="3" t="s">
        <v>3</v>
      </c>
      <c r="DE403" s="3" t="s">
        <v>3</v>
      </c>
      <c r="DF403" s="3" t="s">
        <v>3</v>
      </c>
      <c r="DG403" s="3" t="s">
        <v>3</v>
      </c>
      <c r="DH403" s="3" t="s">
        <v>3</v>
      </c>
      <c r="DI403" s="3" t="s">
        <v>3</v>
      </c>
      <c r="DJ403" s="3" t="s">
        <v>3</v>
      </c>
      <c r="DK403" s="3" t="s">
        <v>3</v>
      </c>
      <c r="DL403" s="3" t="s">
        <v>3</v>
      </c>
      <c r="DM403" s="3" t="s">
        <v>3</v>
      </c>
      <c r="DN403" s="3">
        <v>0</v>
      </c>
      <c r="DO403" s="3">
        <v>0</v>
      </c>
      <c r="DP403" s="3">
        <v>1</v>
      </c>
      <c r="DQ403" s="3">
        <v>1</v>
      </c>
      <c r="DU403" s="3">
        <v>1010</v>
      </c>
      <c r="DV403" s="3" t="s">
        <v>177</v>
      </c>
      <c r="DW403" s="3" t="s">
        <v>177</v>
      </c>
      <c r="DX403" s="3">
        <v>1</v>
      </c>
      <c r="DZ403" s="3" t="s">
        <v>3</v>
      </c>
      <c r="EA403" s="3" t="s">
        <v>3</v>
      </c>
      <c r="EB403" s="3" t="s">
        <v>3</v>
      </c>
      <c r="EC403" s="3" t="s">
        <v>3</v>
      </c>
      <c r="EE403" s="3">
        <v>57043064</v>
      </c>
      <c r="EF403" s="3">
        <v>130</v>
      </c>
      <c r="EG403" s="3" t="s">
        <v>178</v>
      </c>
      <c r="EH403" s="3">
        <v>0</v>
      </c>
      <c r="EI403" s="3" t="s">
        <v>3</v>
      </c>
      <c r="EJ403" s="3">
        <v>3</v>
      </c>
      <c r="EK403" s="3">
        <v>746</v>
      </c>
      <c r="EL403" s="3" t="s">
        <v>179</v>
      </c>
      <c r="EM403" s="3" t="s">
        <v>180</v>
      </c>
      <c r="EO403" s="3" t="s">
        <v>109</v>
      </c>
      <c r="EQ403" s="3">
        <v>2098176</v>
      </c>
      <c r="ER403" s="3">
        <v>6283.2300000000005</v>
      </c>
      <c r="ES403" s="3">
        <v>6283.2300000000005</v>
      </c>
      <c r="ET403" s="3">
        <v>0</v>
      </c>
      <c r="EU403" s="3">
        <v>0</v>
      </c>
      <c r="EV403" s="3">
        <v>0</v>
      </c>
      <c r="EW403" s="3">
        <v>0</v>
      </c>
      <c r="EX403" s="3">
        <v>0</v>
      </c>
      <c r="EZ403" s="3">
        <v>5</v>
      </c>
      <c r="FC403" s="3">
        <v>1</v>
      </c>
      <c r="FD403" s="3">
        <v>18</v>
      </c>
      <c r="FF403" s="3">
        <v>55670</v>
      </c>
      <c r="FQ403" s="3">
        <v>0</v>
      </c>
      <c r="FR403" s="3">
        <f t="shared" si="349"/>
        <v>380512.41</v>
      </c>
      <c r="FS403" s="3">
        <v>0</v>
      </c>
      <c r="FX403" s="3">
        <v>97</v>
      </c>
      <c r="FY403" s="3">
        <v>51</v>
      </c>
      <c r="GA403" s="3" t="s">
        <v>327</v>
      </c>
      <c r="GD403" s="3">
        <v>1</v>
      </c>
      <c r="GF403" s="3">
        <v>-46798807</v>
      </c>
      <c r="GG403" s="3">
        <v>2</v>
      </c>
      <c r="GH403" s="3">
        <v>3</v>
      </c>
      <c r="GI403" s="3">
        <v>5</v>
      </c>
      <c r="GJ403" s="3">
        <v>0</v>
      </c>
      <c r="GK403" s="3">
        <v>0</v>
      </c>
      <c r="GL403" s="3">
        <f t="shared" si="350"/>
        <v>0</v>
      </c>
      <c r="GM403" s="3">
        <f t="shared" si="351"/>
        <v>380512.41</v>
      </c>
      <c r="GN403" s="3">
        <f t="shared" si="352"/>
        <v>0</v>
      </c>
      <c r="GO403" s="3">
        <f t="shared" si="353"/>
        <v>0</v>
      </c>
      <c r="GP403" s="3">
        <f t="shared" si="354"/>
        <v>0</v>
      </c>
      <c r="GR403" s="3">
        <v>1</v>
      </c>
      <c r="GS403" s="3">
        <v>1</v>
      </c>
      <c r="GT403" s="3">
        <v>0</v>
      </c>
      <c r="GU403" s="3" t="s">
        <v>3</v>
      </c>
      <c r="GV403" s="3">
        <f t="shared" si="355"/>
        <v>0</v>
      </c>
      <c r="GW403" s="3">
        <v>1</v>
      </c>
      <c r="GX403" s="3">
        <f t="shared" si="356"/>
        <v>0</v>
      </c>
      <c r="HA403" s="3">
        <v>0</v>
      </c>
      <c r="HB403" s="3">
        <v>0</v>
      </c>
      <c r="HC403" s="3">
        <f t="shared" si="357"/>
        <v>0</v>
      </c>
      <c r="HE403" s="3" t="s">
        <v>40</v>
      </c>
      <c r="HF403" s="3" t="s">
        <v>182</v>
      </c>
      <c r="HM403" s="3" t="s">
        <v>104</v>
      </c>
      <c r="HN403" s="3" t="s">
        <v>3</v>
      </c>
      <c r="HO403" s="3" t="s">
        <v>3</v>
      </c>
      <c r="HP403" s="3" t="s">
        <v>3</v>
      </c>
      <c r="HQ403" s="3" t="s">
        <v>3</v>
      </c>
      <c r="HS403" s="3">
        <v>0</v>
      </c>
      <c r="IK403" s="3">
        <v>0</v>
      </c>
    </row>
    <row r="404" spans="1:255" x14ac:dyDescent="0.25">
      <c r="A404" s="2">
        <v>18</v>
      </c>
      <c r="B404" s="2">
        <v>1</v>
      </c>
      <c r="C404" s="2">
        <v>260</v>
      </c>
      <c r="D404" s="2"/>
      <c r="E404" s="2" t="s">
        <v>3</v>
      </c>
      <c r="F404" s="2" t="s">
        <v>329</v>
      </c>
      <c r="G404" s="2" t="s">
        <v>330</v>
      </c>
      <c r="H404" s="2" t="s">
        <v>177</v>
      </c>
      <c r="I404" s="2">
        <f>I398*J404</f>
        <v>3</v>
      </c>
      <c r="J404" s="2">
        <v>0.2</v>
      </c>
      <c r="K404" s="2">
        <v>0.2</v>
      </c>
      <c r="L404" s="2"/>
      <c r="M404" s="2"/>
      <c r="N404" s="2"/>
      <c r="O404" s="2">
        <f t="shared" si="318"/>
        <v>48053.760000000002</v>
      </c>
      <c r="P404" s="2">
        <f t="shared" si="319"/>
        <v>48053.760000000002</v>
      </c>
      <c r="Q404" s="2">
        <f t="shared" si="320"/>
        <v>0</v>
      </c>
      <c r="R404" s="2">
        <f t="shared" si="321"/>
        <v>0</v>
      </c>
      <c r="S404" s="2">
        <f t="shared" si="322"/>
        <v>0</v>
      </c>
      <c r="T404" s="2">
        <f t="shared" si="323"/>
        <v>0</v>
      </c>
      <c r="U404" s="2">
        <f t="shared" si="324"/>
        <v>0</v>
      </c>
      <c r="V404" s="2">
        <f t="shared" si="325"/>
        <v>0</v>
      </c>
      <c r="W404" s="2">
        <f t="shared" si="326"/>
        <v>0</v>
      </c>
      <c r="X404" s="2">
        <f t="shared" si="327"/>
        <v>0</v>
      </c>
      <c r="Y404" s="2">
        <f t="shared" si="328"/>
        <v>0</v>
      </c>
      <c r="Z404" s="2"/>
      <c r="AA404" s="2">
        <v>-1</v>
      </c>
      <c r="AB404" s="2">
        <f t="shared" si="329"/>
        <v>16017.92</v>
      </c>
      <c r="AC404" s="2">
        <f t="shared" si="330"/>
        <v>16017.92</v>
      </c>
      <c r="AD404" s="2">
        <f t="shared" si="331"/>
        <v>0</v>
      </c>
      <c r="AE404" s="2">
        <f t="shared" si="332"/>
        <v>0</v>
      </c>
      <c r="AF404" s="2">
        <f t="shared" si="333"/>
        <v>0</v>
      </c>
      <c r="AG404" s="2">
        <f t="shared" si="334"/>
        <v>0</v>
      </c>
      <c r="AH404" s="2">
        <f t="shared" si="335"/>
        <v>0</v>
      </c>
      <c r="AI404" s="2">
        <f t="shared" si="336"/>
        <v>0</v>
      </c>
      <c r="AJ404" s="2">
        <f t="shared" si="337"/>
        <v>0</v>
      </c>
      <c r="AK404" s="2">
        <v>16017.92</v>
      </c>
      <c r="AL404" s="2">
        <v>16017.92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1</v>
      </c>
      <c r="AW404" s="2">
        <v>1</v>
      </c>
      <c r="AX404" s="2"/>
      <c r="AY404" s="2"/>
      <c r="AZ404" s="2">
        <v>1</v>
      </c>
      <c r="BA404" s="2">
        <v>1</v>
      </c>
      <c r="BB404" s="2">
        <v>1</v>
      </c>
      <c r="BC404" s="2">
        <v>1</v>
      </c>
      <c r="BD404" s="2" t="s">
        <v>3</v>
      </c>
      <c r="BE404" s="2" t="s">
        <v>3</v>
      </c>
      <c r="BF404" s="2" t="s">
        <v>3</v>
      </c>
      <c r="BG404" s="2" t="s">
        <v>3</v>
      </c>
      <c r="BH404" s="2">
        <v>3</v>
      </c>
      <c r="BI404" s="2">
        <v>3</v>
      </c>
      <c r="BJ404" s="2" t="s">
        <v>3</v>
      </c>
      <c r="BK404" s="2"/>
      <c r="BL404" s="2"/>
      <c r="BM404" s="2">
        <v>746</v>
      </c>
      <c r="BN404" s="2">
        <v>0</v>
      </c>
      <c r="BO404" s="2" t="s">
        <v>3</v>
      </c>
      <c r="BP404" s="2">
        <v>0</v>
      </c>
      <c r="BQ404" s="2">
        <v>130</v>
      </c>
      <c r="BR404" s="2">
        <v>0</v>
      </c>
      <c r="BS404" s="2">
        <v>1</v>
      </c>
      <c r="BT404" s="2">
        <v>1</v>
      </c>
      <c r="BU404" s="2">
        <v>1</v>
      </c>
      <c r="BV404" s="2">
        <v>1</v>
      </c>
      <c r="BW404" s="2">
        <v>1</v>
      </c>
      <c r="BX404" s="2">
        <v>1</v>
      </c>
      <c r="BY404" s="2" t="s">
        <v>3</v>
      </c>
      <c r="BZ404" s="2">
        <v>97</v>
      </c>
      <c r="CA404" s="2">
        <v>51</v>
      </c>
      <c r="CB404" s="2" t="s">
        <v>3</v>
      </c>
      <c r="CC404" s="2"/>
      <c r="CD404" s="2"/>
      <c r="CE404" s="2">
        <v>1566</v>
      </c>
      <c r="CF404" s="2">
        <v>0</v>
      </c>
      <c r="CG404" s="2">
        <v>0</v>
      </c>
      <c r="CH404" s="2"/>
      <c r="CI404" s="2"/>
      <c r="CJ404" s="2"/>
      <c r="CK404" s="2"/>
      <c r="CL404" s="2"/>
      <c r="CM404" s="2">
        <v>0</v>
      </c>
      <c r="CN404" s="2" t="s">
        <v>615</v>
      </c>
      <c r="CO404" s="2">
        <v>0</v>
      </c>
      <c r="CP404" s="2">
        <f t="shared" si="338"/>
        <v>48053.760000000002</v>
      </c>
      <c r="CQ404" s="2">
        <f t="shared" si="339"/>
        <v>16017.92</v>
      </c>
      <c r="CR404" s="2">
        <f t="shared" si="340"/>
        <v>0</v>
      </c>
      <c r="CS404" s="2">
        <f t="shared" si="341"/>
        <v>0</v>
      </c>
      <c r="CT404" s="2">
        <f t="shared" si="342"/>
        <v>0</v>
      </c>
      <c r="CU404" s="2">
        <f t="shared" si="343"/>
        <v>0</v>
      </c>
      <c r="CV404" s="2">
        <f t="shared" si="344"/>
        <v>0</v>
      </c>
      <c r="CW404" s="2">
        <f t="shared" si="345"/>
        <v>0</v>
      </c>
      <c r="CX404" s="2">
        <f t="shared" si="346"/>
        <v>0</v>
      </c>
      <c r="CY404" s="2">
        <f t="shared" si="347"/>
        <v>0</v>
      </c>
      <c r="CZ404" s="2">
        <f t="shared" si="348"/>
        <v>0</v>
      </c>
      <c r="DA404" s="2"/>
      <c r="DB404" s="2"/>
      <c r="DC404" s="2" t="s">
        <v>3</v>
      </c>
      <c r="DD404" s="2" t="s">
        <v>3</v>
      </c>
      <c r="DE404" s="2" t="s">
        <v>3</v>
      </c>
      <c r="DF404" s="2" t="s">
        <v>3</v>
      </c>
      <c r="DG404" s="2" t="s">
        <v>3</v>
      </c>
      <c r="DH404" s="2" t="s">
        <v>3</v>
      </c>
      <c r="DI404" s="2" t="s">
        <v>3</v>
      </c>
      <c r="DJ404" s="2" t="s">
        <v>3</v>
      </c>
      <c r="DK404" s="2" t="s">
        <v>3</v>
      </c>
      <c r="DL404" s="2" t="s">
        <v>3</v>
      </c>
      <c r="DM404" s="2" t="s">
        <v>3</v>
      </c>
      <c r="DN404" s="2">
        <v>0</v>
      </c>
      <c r="DO404" s="2">
        <v>0</v>
      </c>
      <c r="DP404" s="2">
        <v>1</v>
      </c>
      <c r="DQ404" s="2">
        <v>1</v>
      </c>
      <c r="DR404" s="2"/>
      <c r="DS404" s="2"/>
      <c r="DT404" s="2"/>
      <c r="DU404" s="2">
        <v>1010</v>
      </c>
      <c r="DV404" s="2" t="s">
        <v>177</v>
      </c>
      <c r="DW404" s="2" t="s">
        <v>177</v>
      </c>
      <c r="DX404" s="2">
        <v>1</v>
      </c>
      <c r="DY404" s="2"/>
      <c r="DZ404" s="2" t="s">
        <v>3</v>
      </c>
      <c r="EA404" s="2" t="s">
        <v>3</v>
      </c>
      <c r="EB404" s="2" t="s">
        <v>3</v>
      </c>
      <c r="EC404" s="2" t="s">
        <v>3</v>
      </c>
      <c r="ED404" s="2"/>
      <c r="EE404" s="2">
        <v>57043064</v>
      </c>
      <c r="EF404" s="2">
        <v>130</v>
      </c>
      <c r="EG404" s="2" t="s">
        <v>178</v>
      </c>
      <c r="EH404" s="2">
        <v>0</v>
      </c>
      <c r="EI404" s="2" t="s">
        <v>3</v>
      </c>
      <c r="EJ404" s="2">
        <v>3</v>
      </c>
      <c r="EK404" s="2">
        <v>746</v>
      </c>
      <c r="EL404" s="2" t="s">
        <v>179</v>
      </c>
      <c r="EM404" s="2" t="s">
        <v>180</v>
      </c>
      <c r="EN404" s="2"/>
      <c r="EO404" s="2" t="s">
        <v>109</v>
      </c>
      <c r="EP404" s="2"/>
      <c r="EQ404" s="2">
        <v>2098176</v>
      </c>
      <c r="ER404" s="2">
        <v>0</v>
      </c>
      <c r="ES404" s="2">
        <v>16017.92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>
        <v>0</v>
      </c>
      <c r="FR404" s="2">
        <f t="shared" si="349"/>
        <v>48053.760000000002</v>
      </c>
      <c r="FS404" s="2">
        <v>0</v>
      </c>
      <c r="FT404" s="2"/>
      <c r="FU404" s="2"/>
      <c r="FV404" s="2"/>
      <c r="FW404" s="2"/>
      <c r="FX404" s="2">
        <v>97</v>
      </c>
      <c r="FY404" s="2">
        <v>51</v>
      </c>
      <c r="FZ404" s="2"/>
      <c r="GA404" s="2" t="s">
        <v>331</v>
      </c>
      <c r="GB404" s="2"/>
      <c r="GC404" s="2"/>
      <c r="GD404" s="2">
        <v>1</v>
      </c>
      <c r="GE404" s="2"/>
      <c r="GF404" s="2">
        <v>2081309861</v>
      </c>
      <c r="GG404" s="2">
        <v>2</v>
      </c>
      <c r="GH404" s="2">
        <v>4</v>
      </c>
      <c r="GI404" s="2">
        <v>-2</v>
      </c>
      <c r="GJ404" s="2">
        <v>0</v>
      </c>
      <c r="GK404" s="2">
        <v>0</v>
      </c>
      <c r="GL404" s="2">
        <f t="shared" si="350"/>
        <v>0</v>
      </c>
      <c r="GM404" s="2">
        <f t="shared" si="351"/>
        <v>48053.760000000002</v>
      </c>
      <c r="GN404" s="2">
        <f t="shared" si="352"/>
        <v>0</v>
      </c>
      <c r="GO404" s="2">
        <f t="shared" si="353"/>
        <v>0</v>
      </c>
      <c r="GP404" s="2">
        <f t="shared" si="354"/>
        <v>0</v>
      </c>
      <c r="GQ404" s="2"/>
      <c r="GR404" s="2">
        <v>0</v>
      </c>
      <c r="GS404" s="2">
        <v>2</v>
      </c>
      <c r="GT404" s="2">
        <v>0</v>
      </c>
      <c r="GU404" s="2" t="s">
        <v>3</v>
      </c>
      <c r="GV404" s="2">
        <f t="shared" si="355"/>
        <v>0</v>
      </c>
      <c r="GW404" s="2">
        <v>1</v>
      </c>
      <c r="GX404" s="2">
        <f t="shared" si="356"/>
        <v>0</v>
      </c>
      <c r="GY404" s="2"/>
      <c r="GZ404" s="2"/>
      <c r="HA404" s="2">
        <v>0</v>
      </c>
      <c r="HB404" s="2">
        <v>0</v>
      </c>
      <c r="HC404" s="2">
        <f t="shared" si="357"/>
        <v>0</v>
      </c>
      <c r="HD404" s="2"/>
      <c r="HE404" s="2" t="s">
        <v>40</v>
      </c>
      <c r="HF404" s="2" t="s">
        <v>182</v>
      </c>
      <c r="HG404" s="2"/>
      <c r="HH404" s="2"/>
      <c r="HI404" s="2"/>
      <c r="HJ404" s="2"/>
      <c r="HK404" s="2"/>
      <c r="HL404" s="2"/>
      <c r="HM404" s="2" t="s">
        <v>104</v>
      </c>
      <c r="HN404" s="2" t="s">
        <v>3</v>
      </c>
      <c r="HO404" s="2" t="s">
        <v>3</v>
      </c>
      <c r="HP404" s="2" t="s">
        <v>3</v>
      </c>
      <c r="HQ404" s="2" t="s">
        <v>3</v>
      </c>
      <c r="HR404" s="2"/>
      <c r="HS404" s="2">
        <v>0</v>
      </c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>
        <v>0</v>
      </c>
      <c r="IL404" s="2"/>
      <c r="IM404" s="2"/>
      <c r="IN404" s="2"/>
      <c r="IO404" s="2"/>
      <c r="IP404" s="2"/>
      <c r="IQ404" s="2"/>
      <c r="IR404" s="2"/>
      <c r="IS404" s="2"/>
      <c r="IT404" s="2"/>
      <c r="IU404" s="2"/>
    </row>
    <row r="405" spans="1:255" x14ac:dyDescent="0.25">
      <c r="A405" s="3">
        <v>18</v>
      </c>
      <c r="B405" s="3">
        <v>1</v>
      </c>
      <c r="C405" s="3">
        <v>272</v>
      </c>
      <c r="E405" s="3" t="s">
        <v>3</v>
      </c>
      <c r="F405" s="3" t="s">
        <v>329</v>
      </c>
      <c r="G405" s="3" t="s">
        <v>330</v>
      </c>
      <c r="H405" s="3" t="s">
        <v>177</v>
      </c>
      <c r="I405" s="3">
        <f>I399*J405</f>
        <v>3</v>
      </c>
      <c r="J405" s="3">
        <v>0.2</v>
      </c>
      <c r="K405" s="3">
        <v>0.2</v>
      </c>
      <c r="O405" s="3">
        <f t="shared" si="318"/>
        <v>363766.96</v>
      </c>
      <c r="P405" s="3">
        <f t="shared" si="319"/>
        <v>363766.96</v>
      </c>
      <c r="Q405" s="3">
        <f t="shared" si="320"/>
        <v>0</v>
      </c>
      <c r="R405" s="3">
        <f t="shared" si="321"/>
        <v>0</v>
      </c>
      <c r="S405" s="3">
        <f t="shared" si="322"/>
        <v>0</v>
      </c>
      <c r="T405" s="3">
        <f t="shared" si="323"/>
        <v>0</v>
      </c>
      <c r="U405" s="3">
        <f t="shared" si="324"/>
        <v>0</v>
      </c>
      <c r="V405" s="3">
        <f t="shared" si="325"/>
        <v>0</v>
      </c>
      <c r="W405" s="3">
        <f t="shared" si="326"/>
        <v>0</v>
      </c>
      <c r="X405" s="3">
        <f t="shared" si="327"/>
        <v>0</v>
      </c>
      <c r="Y405" s="3">
        <f t="shared" si="328"/>
        <v>0</v>
      </c>
      <c r="AA405" s="3">
        <v>-1</v>
      </c>
      <c r="AB405" s="3">
        <f t="shared" si="329"/>
        <v>16017.92</v>
      </c>
      <c r="AC405" s="3">
        <f t="shared" si="330"/>
        <v>16017.92</v>
      </c>
      <c r="AD405" s="3">
        <f t="shared" si="331"/>
        <v>0</v>
      </c>
      <c r="AE405" s="3">
        <f t="shared" si="332"/>
        <v>0</v>
      </c>
      <c r="AF405" s="3">
        <f t="shared" si="333"/>
        <v>0</v>
      </c>
      <c r="AG405" s="3">
        <f t="shared" si="334"/>
        <v>0</v>
      </c>
      <c r="AH405" s="3">
        <f t="shared" si="335"/>
        <v>0</v>
      </c>
      <c r="AI405" s="3">
        <f t="shared" si="336"/>
        <v>0</v>
      </c>
      <c r="AJ405" s="3">
        <f t="shared" si="337"/>
        <v>0</v>
      </c>
      <c r="AK405" s="3">
        <v>16017.92</v>
      </c>
      <c r="AL405" s="3">
        <v>16017.92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1</v>
      </c>
      <c r="AW405" s="3">
        <v>1</v>
      </c>
      <c r="AZ405" s="3">
        <v>1</v>
      </c>
      <c r="BA405" s="3">
        <v>1</v>
      </c>
      <c r="BB405" s="3">
        <v>1</v>
      </c>
      <c r="BC405" s="3">
        <v>7.57</v>
      </c>
      <c r="BD405" s="3" t="s">
        <v>3</v>
      </c>
      <c r="BE405" s="3" t="s">
        <v>3</v>
      </c>
      <c r="BF405" s="3" t="s">
        <v>3</v>
      </c>
      <c r="BG405" s="3" t="s">
        <v>3</v>
      </c>
      <c r="BH405" s="3">
        <v>3</v>
      </c>
      <c r="BI405" s="3">
        <v>3</v>
      </c>
      <c r="BJ405" s="3" t="s">
        <v>3</v>
      </c>
      <c r="BM405" s="3">
        <v>746</v>
      </c>
      <c r="BN405" s="3">
        <v>0</v>
      </c>
      <c r="BO405" s="3" t="s">
        <v>3</v>
      </c>
      <c r="BP405" s="3">
        <v>0</v>
      </c>
      <c r="BQ405" s="3">
        <v>130</v>
      </c>
      <c r="BR405" s="3">
        <v>0</v>
      </c>
      <c r="BS405" s="3">
        <v>1</v>
      </c>
      <c r="BT405" s="3">
        <v>1</v>
      </c>
      <c r="BU405" s="3">
        <v>1</v>
      </c>
      <c r="BV405" s="3">
        <v>1</v>
      </c>
      <c r="BW405" s="3">
        <v>1</v>
      </c>
      <c r="BX405" s="3">
        <v>1</v>
      </c>
      <c r="BY405" s="3" t="s">
        <v>3</v>
      </c>
      <c r="BZ405" s="3">
        <v>97</v>
      </c>
      <c r="CA405" s="3">
        <v>51</v>
      </c>
      <c r="CB405" s="3" t="s">
        <v>3</v>
      </c>
      <c r="CE405" s="3">
        <v>1566</v>
      </c>
      <c r="CF405" s="3">
        <v>0</v>
      </c>
      <c r="CG405" s="3">
        <v>0</v>
      </c>
      <c r="CM405" s="3">
        <v>0</v>
      </c>
      <c r="CN405" s="3" t="s">
        <v>615</v>
      </c>
      <c r="CO405" s="3">
        <v>0</v>
      </c>
      <c r="CP405" s="3">
        <f t="shared" si="338"/>
        <v>363766.96</v>
      </c>
      <c r="CQ405" s="3">
        <f t="shared" si="339"/>
        <v>121255.65</v>
      </c>
      <c r="CR405" s="3">
        <f t="shared" si="340"/>
        <v>0</v>
      </c>
      <c r="CS405" s="3">
        <f t="shared" si="341"/>
        <v>0</v>
      </c>
      <c r="CT405" s="3">
        <f t="shared" si="342"/>
        <v>0</v>
      </c>
      <c r="CU405" s="3">
        <f t="shared" si="343"/>
        <v>0</v>
      </c>
      <c r="CV405" s="3">
        <f t="shared" si="344"/>
        <v>0</v>
      </c>
      <c r="CW405" s="3">
        <f t="shared" si="345"/>
        <v>0</v>
      </c>
      <c r="CX405" s="3">
        <f t="shared" si="346"/>
        <v>0</v>
      </c>
      <c r="CY405" s="3">
        <f t="shared" si="347"/>
        <v>0</v>
      </c>
      <c r="CZ405" s="3">
        <f t="shared" si="348"/>
        <v>0</v>
      </c>
      <c r="DC405" s="3" t="s">
        <v>3</v>
      </c>
      <c r="DD405" s="3" t="s">
        <v>3</v>
      </c>
      <c r="DE405" s="3" t="s">
        <v>3</v>
      </c>
      <c r="DF405" s="3" t="s">
        <v>3</v>
      </c>
      <c r="DG405" s="3" t="s">
        <v>3</v>
      </c>
      <c r="DH405" s="3" t="s">
        <v>3</v>
      </c>
      <c r="DI405" s="3" t="s">
        <v>3</v>
      </c>
      <c r="DJ405" s="3" t="s">
        <v>3</v>
      </c>
      <c r="DK405" s="3" t="s">
        <v>3</v>
      </c>
      <c r="DL405" s="3" t="s">
        <v>3</v>
      </c>
      <c r="DM405" s="3" t="s">
        <v>3</v>
      </c>
      <c r="DN405" s="3">
        <v>0</v>
      </c>
      <c r="DO405" s="3">
        <v>0</v>
      </c>
      <c r="DP405" s="3">
        <v>1</v>
      </c>
      <c r="DQ405" s="3">
        <v>1</v>
      </c>
      <c r="DU405" s="3">
        <v>1010</v>
      </c>
      <c r="DV405" s="3" t="s">
        <v>177</v>
      </c>
      <c r="DW405" s="3" t="s">
        <v>177</v>
      </c>
      <c r="DX405" s="3">
        <v>1</v>
      </c>
      <c r="DZ405" s="3" t="s">
        <v>3</v>
      </c>
      <c r="EA405" s="3" t="s">
        <v>3</v>
      </c>
      <c r="EB405" s="3" t="s">
        <v>3</v>
      </c>
      <c r="EC405" s="3" t="s">
        <v>3</v>
      </c>
      <c r="EE405" s="3">
        <v>57043064</v>
      </c>
      <c r="EF405" s="3">
        <v>130</v>
      </c>
      <c r="EG405" s="3" t="s">
        <v>178</v>
      </c>
      <c r="EH405" s="3">
        <v>0</v>
      </c>
      <c r="EI405" s="3" t="s">
        <v>3</v>
      </c>
      <c r="EJ405" s="3">
        <v>3</v>
      </c>
      <c r="EK405" s="3">
        <v>746</v>
      </c>
      <c r="EL405" s="3" t="s">
        <v>179</v>
      </c>
      <c r="EM405" s="3" t="s">
        <v>180</v>
      </c>
      <c r="EO405" s="3" t="s">
        <v>109</v>
      </c>
      <c r="EQ405" s="3">
        <v>2098176</v>
      </c>
      <c r="ER405" s="3">
        <v>16017.92</v>
      </c>
      <c r="ES405" s="3">
        <v>16017.92</v>
      </c>
      <c r="ET405" s="3">
        <v>0</v>
      </c>
      <c r="EU405" s="3">
        <v>0</v>
      </c>
      <c r="EV405" s="3">
        <v>0</v>
      </c>
      <c r="EW405" s="3">
        <v>0</v>
      </c>
      <c r="EX405" s="3">
        <v>0</v>
      </c>
      <c r="EZ405" s="3">
        <v>5</v>
      </c>
      <c r="FC405" s="3">
        <v>1</v>
      </c>
      <c r="FD405" s="3">
        <v>18</v>
      </c>
      <c r="FF405" s="3">
        <v>141920.1</v>
      </c>
      <c r="FQ405" s="3">
        <v>0</v>
      </c>
      <c r="FR405" s="3">
        <f t="shared" si="349"/>
        <v>363766.96</v>
      </c>
      <c r="FS405" s="3">
        <v>0</v>
      </c>
      <c r="FX405" s="3">
        <v>97</v>
      </c>
      <c r="FY405" s="3">
        <v>51</v>
      </c>
      <c r="GA405" s="3" t="s">
        <v>331</v>
      </c>
      <c r="GD405" s="3">
        <v>1</v>
      </c>
      <c r="GF405" s="3">
        <v>2081309861</v>
      </c>
      <c r="GG405" s="3">
        <v>2</v>
      </c>
      <c r="GH405" s="3">
        <v>3</v>
      </c>
      <c r="GI405" s="3">
        <v>5</v>
      </c>
      <c r="GJ405" s="3">
        <v>0</v>
      </c>
      <c r="GK405" s="3">
        <v>0</v>
      </c>
      <c r="GL405" s="3">
        <f t="shared" si="350"/>
        <v>0</v>
      </c>
      <c r="GM405" s="3">
        <f t="shared" si="351"/>
        <v>363766.96</v>
      </c>
      <c r="GN405" s="3">
        <f t="shared" si="352"/>
        <v>0</v>
      </c>
      <c r="GO405" s="3">
        <f t="shared" si="353"/>
        <v>0</v>
      </c>
      <c r="GP405" s="3">
        <f t="shared" si="354"/>
        <v>0</v>
      </c>
      <c r="GR405" s="3">
        <v>1</v>
      </c>
      <c r="GS405" s="3">
        <v>1</v>
      </c>
      <c r="GT405" s="3">
        <v>0</v>
      </c>
      <c r="GU405" s="3" t="s">
        <v>3</v>
      </c>
      <c r="GV405" s="3">
        <f t="shared" si="355"/>
        <v>0</v>
      </c>
      <c r="GW405" s="3">
        <v>1</v>
      </c>
      <c r="GX405" s="3">
        <f t="shared" si="356"/>
        <v>0</v>
      </c>
      <c r="HA405" s="3">
        <v>0</v>
      </c>
      <c r="HB405" s="3">
        <v>0</v>
      </c>
      <c r="HC405" s="3">
        <f t="shared" si="357"/>
        <v>0</v>
      </c>
      <c r="HE405" s="3" t="s">
        <v>40</v>
      </c>
      <c r="HF405" s="3" t="s">
        <v>182</v>
      </c>
      <c r="HM405" s="3" t="s">
        <v>104</v>
      </c>
      <c r="HN405" s="3" t="s">
        <v>3</v>
      </c>
      <c r="HO405" s="3" t="s">
        <v>3</v>
      </c>
      <c r="HP405" s="3" t="s">
        <v>3</v>
      </c>
      <c r="HQ405" s="3" t="s">
        <v>3</v>
      </c>
      <c r="HS405" s="3">
        <v>0</v>
      </c>
      <c r="IK405" s="3">
        <v>0</v>
      </c>
    </row>
    <row r="406" spans="1:255" x14ac:dyDescent="0.25">
      <c r="A406" s="2">
        <v>18</v>
      </c>
      <c r="B406" s="2">
        <v>1</v>
      </c>
      <c r="C406" s="2">
        <v>261</v>
      </c>
      <c r="D406" s="2"/>
      <c r="E406" s="2" t="s">
        <v>3</v>
      </c>
      <c r="F406" s="2" t="s">
        <v>333</v>
      </c>
      <c r="G406" s="2" t="s">
        <v>334</v>
      </c>
      <c r="H406" s="2" t="s">
        <v>177</v>
      </c>
      <c r="I406" s="2">
        <f>I398*J406</f>
        <v>2</v>
      </c>
      <c r="J406" s="2">
        <v>0.13333333333333333</v>
      </c>
      <c r="K406" s="2">
        <v>0.13333329999999999</v>
      </c>
      <c r="L406" s="2"/>
      <c r="M406" s="2"/>
      <c r="N406" s="2"/>
      <c r="O406" s="2">
        <f t="shared" si="318"/>
        <v>59718.36</v>
      </c>
      <c r="P406" s="2">
        <f t="shared" si="319"/>
        <v>59718.36</v>
      </c>
      <c r="Q406" s="2">
        <f t="shared" si="320"/>
        <v>0</v>
      </c>
      <c r="R406" s="2">
        <f t="shared" si="321"/>
        <v>0</v>
      </c>
      <c r="S406" s="2">
        <f t="shared" si="322"/>
        <v>0</v>
      </c>
      <c r="T406" s="2">
        <f t="shared" si="323"/>
        <v>0</v>
      </c>
      <c r="U406" s="2">
        <f t="shared" si="324"/>
        <v>0</v>
      </c>
      <c r="V406" s="2">
        <f t="shared" si="325"/>
        <v>0</v>
      </c>
      <c r="W406" s="2">
        <f t="shared" si="326"/>
        <v>0</v>
      </c>
      <c r="X406" s="2">
        <f t="shared" si="327"/>
        <v>0</v>
      </c>
      <c r="Y406" s="2">
        <f t="shared" si="328"/>
        <v>0</v>
      </c>
      <c r="Z406" s="2"/>
      <c r="AA406" s="2">
        <v>-1</v>
      </c>
      <c r="AB406" s="2">
        <f t="shared" si="329"/>
        <v>29859.18</v>
      </c>
      <c r="AC406" s="2">
        <f t="shared" si="330"/>
        <v>29859.18</v>
      </c>
      <c r="AD406" s="2">
        <f t="shared" si="331"/>
        <v>0</v>
      </c>
      <c r="AE406" s="2">
        <f t="shared" si="332"/>
        <v>0</v>
      </c>
      <c r="AF406" s="2">
        <f t="shared" si="333"/>
        <v>0</v>
      </c>
      <c r="AG406" s="2">
        <f t="shared" si="334"/>
        <v>0</v>
      </c>
      <c r="AH406" s="2">
        <f t="shared" si="335"/>
        <v>0</v>
      </c>
      <c r="AI406" s="2">
        <f t="shared" si="336"/>
        <v>0</v>
      </c>
      <c r="AJ406" s="2">
        <f t="shared" si="337"/>
        <v>0</v>
      </c>
      <c r="AK406" s="2">
        <v>29859.18</v>
      </c>
      <c r="AL406" s="2">
        <v>29859.18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1</v>
      </c>
      <c r="AW406" s="2">
        <v>1</v>
      </c>
      <c r="AX406" s="2"/>
      <c r="AY406" s="2"/>
      <c r="AZ406" s="2">
        <v>1</v>
      </c>
      <c r="BA406" s="2">
        <v>1</v>
      </c>
      <c r="BB406" s="2">
        <v>1</v>
      </c>
      <c r="BC406" s="2">
        <v>1</v>
      </c>
      <c r="BD406" s="2" t="s">
        <v>3</v>
      </c>
      <c r="BE406" s="2" t="s">
        <v>3</v>
      </c>
      <c r="BF406" s="2" t="s">
        <v>3</v>
      </c>
      <c r="BG406" s="2" t="s">
        <v>3</v>
      </c>
      <c r="BH406" s="2">
        <v>3</v>
      </c>
      <c r="BI406" s="2">
        <v>3</v>
      </c>
      <c r="BJ406" s="2" t="s">
        <v>3</v>
      </c>
      <c r="BK406" s="2"/>
      <c r="BL406" s="2"/>
      <c r="BM406" s="2">
        <v>746</v>
      </c>
      <c r="BN406" s="2">
        <v>0</v>
      </c>
      <c r="BO406" s="2" t="s">
        <v>3</v>
      </c>
      <c r="BP406" s="2">
        <v>0</v>
      </c>
      <c r="BQ406" s="2">
        <v>130</v>
      </c>
      <c r="BR406" s="2">
        <v>0</v>
      </c>
      <c r="BS406" s="2">
        <v>1</v>
      </c>
      <c r="BT406" s="2">
        <v>1</v>
      </c>
      <c r="BU406" s="2">
        <v>1</v>
      </c>
      <c r="BV406" s="2">
        <v>1</v>
      </c>
      <c r="BW406" s="2">
        <v>1</v>
      </c>
      <c r="BX406" s="2">
        <v>1</v>
      </c>
      <c r="BY406" s="2" t="s">
        <v>3</v>
      </c>
      <c r="BZ406" s="2">
        <v>97</v>
      </c>
      <c r="CA406" s="2">
        <v>51</v>
      </c>
      <c r="CB406" s="2" t="s">
        <v>3</v>
      </c>
      <c r="CC406" s="2"/>
      <c r="CD406" s="2"/>
      <c r="CE406" s="2">
        <v>1566</v>
      </c>
      <c r="CF406" s="2">
        <v>0</v>
      </c>
      <c r="CG406" s="2">
        <v>0</v>
      </c>
      <c r="CH406" s="2"/>
      <c r="CI406" s="2"/>
      <c r="CJ406" s="2"/>
      <c r="CK406" s="2"/>
      <c r="CL406" s="2"/>
      <c r="CM406" s="2">
        <v>0</v>
      </c>
      <c r="CN406" s="2" t="s">
        <v>615</v>
      </c>
      <c r="CO406" s="2">
        <v>0</v>
      </c>
      <c r="CP406" s="2">
        <f t="shared" si="338"/>
        <v>59718.36</v>
      </c>
      <c r="CQ406" s="2">
        <f t="shared" si="339"/>
        <v>29859.18</v>
      </c>
      <c r="CR406" s="2">
        <f t="shared" si="340"/>
        <v>0</v>
      </c>
      <c r="CS406" s="2">
        <f t="shared" si="341"/>
        <v>0</v>
      </c>
      <c r="CT406" s="2">
        <f t="shared" si="342"/>
        <v>0</v>
      </c>
      <c r="CU406" s="2">
        <f t="shared" si="343"/>
        <v>0</v>
      </c>
      <c r="CV406" s="2">
        <f t="shared" si="344"/>
        <v>0</v>
      </c>
      <c r="CW406" s="2">
        <f t="shared" si="345"/>
        <v>0</v>
      </c>
      <c r="CX406" s="2">
        <f t="shared" si="346"/>
        <v>0</v>
      </c>
      <c r="CY406" s="2">
        <f t="shared" si="347"/>
        <v>0</v>
      </c>
      <c r="CZ406" s="2">
        <f t="shared" si="348"/>
        <v>0</v>
      </c>
      <c r="DA406" s="2"/>
      <c r="DB406" s="2"/>
      <c r="DC406" s="2" t="s">
        <v>3</v>
      </c>
      <c r="DD406" s="2" t="s">
        <v>3</v>
      </c>
      <c r="DE406" s="2" t="s">
        <v>3</v>
      </c>
      <c r="DF406" s="2" t="s">
        <v>3</v>
      </c>
      <c r="DG406" s="2" t="s">
        <v>3</v>
      </c>
      <c r="DH406" s="2" t="s">
        <v>3</v>
      </c>
      <c r="DI406" s="2" t="s">
        <v>3</v>
      </c>
      <c r="DJ406" s="2" t="s">
        <v>3</v>
      </c>
      <c r="DK406" s="2" t="s">
        <v>3</v>
      </c>
      <c r="DL406" s="2" t="s">
        <v>3</v>
      </c>
      <c r="DM406" s="2" t="s">
        <v>3</v>
      </c>
      <c r="DN406" s="2">
        <v>0</v>
      </c>
      <c r="DO406" s="2">
        <v>0</v>
      </c>
      <c r="DP406" s="2">
        <v>1</v>
      </c>
      <c r="DQ406" s="2">
        <v>1</v>
      </c>
      <c r="DR406" s="2"/>
      <c r="DS406" s="2"/>
      <c r="DT406" s="2"/>
      <c r="DU406" s="2">
        <v>1010</v>
      </c>
      <c r="DV406" s="2" t="s">
        <v>177</v>
      </c>
      <c r="DW406" s="2" t="s">
        <v>177</v>
      </c>
      <c r="DX406" s="2">
        <v>1</v>
      </c>
      <c r="DY406" s="2"/>
      <c r="DZ406" s="2" t="s">
        <v>3</v>
      </c>
      <c r="EA406" s="2" t="s">
        <v>3</v>
      </c>
      <c r="EB406" s="2" t="s">
        <v>3</v>
      </c>
      <c r="EC406" s="2" t="s">
        <v>3</v>
      </c>
      <c r="ED406" s="2"/>
      <c r="EE406" s="2">
        <v>57043064</v>
      </c>
      <c r="EF406" s="2">
        <v>130</v>
      </c>
      <c r="EG406" s="2" t="s">
        <v>178</v>
      </c>
      <c r="EH406" s="2">
        <v>0</v>
      </c>
      <c r="EI406" s="2" t="s">
        <v>3</v>
      </c>
      <c r="EJ406" s="2">
        <v>3</v>
      </c>
      <c r="EK406" s="2">
        <v>746</v>
      </c>
      <c r="EL406" s="2" t="s">
        <v>179</v>
      </c>
      <c r="EM406" s="2" t="s">
        <v>180</v>
      </c>
      <c r="EN406" s="2"/>
      <c r="EO406" s="2" t="s">
        <v>109</v>
      </c>
      <c r="EP406" s="2"/>
      <c r="EQ406" s="2">
        <v>2098176</v>
      </c>
      <c r="ER406" s="2">
        <v>0</v>
      </c>
      <c r="ES406" s="2">
        <v>29859.18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>
        <v>0</v>
      </c>
      <c r="FR406" s="2">
        <f t="shared" si="349"/>
        <v>59718.36</v>
      </c>
      <c r="FS406" s="2">
        <v>0</v>
      </c>
      <c r="FT406" s="2"/>
      <c r="FU406" s="2"/>
      <c r="FV406" s="2"/>
      <c r="FW406" s="2"/>
      <c r="FX406" s="2">
        <v>97</v>
      </c>
      <c r="FY406" s="2">
        <v>51</v>
      </c>
      <c r="FZ406" s="2"/>
      <c r="GA406" s="2" t="s">
        <v>335</v>
      </c>
      <c r="GB406" s="2"/>
      <c r="GC406" s="2"/>
      <c r="GD406" s="2">
        <v>1</v>
      </c>
      <c r="GE406" s="2"/>
      <c r="GF406" s="2">
        <v>-16569072</v>
      </c>
      <c r="GG406" s="2">
        <v>2</v>
      </c>
      <c r="GH406" s="2">
        <v>4</v>
      </c>
      <c r="GI406" s="2">
        <v>-2</v>
      </c>
      <c r="GJ406" s="2">
        <v>0</v>
      </c>
      <c r="GK406" s="2">
        <v>0</v>
      </c>
      <c r="GL406" s="2">
        <f t="shared" si="350"/>
        <v>0</v>
      </c>
      <c r="GM406" s="2">
        <f t="shared" si="351"/>
        <v>59718.36</v>
      </c>
      <c r="GN406" s="2">
        <f t="shared" si="352"/>
        <v>0</v>
      </c>
      <c r="GO406" s="2">
        <f t="shared" si="353"/>
        <v>0</v>
      </c>
      <c r="GP406" s="2">
        <f t="shared" si="354"/>
        <v>0</v>
      </c>
      <c r="GQ406" s="2"/>
      <c r="GR406" s="2">
        <v>0</v>
      </c>
      <c r="GS406" s="2">
        <v>2</v>
      </c>
      <c r="GT406" s="2">
        <v>0</v>
      </c>
      <c r="GU406" s="2" t="s">
        <v>3</v>
      </c>
      <c r="GV406" s="2">
        <f t="shared" si="355"/>
        <v>0</v>
      </c>
      <c r="GW406" s="2">
        <v>1</v>
      </c>
      <c r="GX406" s="2">
        <f t="shared" si="356"/>
        <v>0</v>
      </c>
      <c r="GY406" s="2"/>
      <c r="GZ406" s="2"/>
      <c r="HA406" s="2">
        <v>0</v>
      </c>
      <c r="HB406" s="2">
        <v>0</v>
      </c>
      <c r="HC406" s="2">
        <f t="shared" si="357"/>
        <v>0</v>
      </c>
      <c r="HD406" s="2"/>
      <c r="HE406" s="2" t="s">
        <v>40</v>
      </c>
      <c r="HF406" s="2" t="s">
        <v>182</v>
      </c>
      <c r="HG406" s="2"/>
      <c r="HH406" s="2"/>
      <c r="HI406" s="2"/>
      <c r="HJ406" s="2"/>
      <c r="HK406" s="2"/>
      <c r="HL406" s="2"/>
      <c r="HM406" s="2" t="s">
        <v>104</v>
      </c>
      <c r="HN406" s="2" t="s">
        <v>3</v>
      </c>
      <c r="HO406" s="2" t="s">
        <v>3</v>
      </c>
      <c r="HP406" s="2" t="s">
        <v>3</v>
      </c>
      <c r="HQ406" s="2" t="s">
        <v>3</v>
      </c>
      <c r="HR406" s="2"/>
      <c r="HS406" s="2">
        <v>0</v>
      </c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>
        <v>0</v>
      </c>
      <c r="IL406" s="2"/>
      <c r="IM406" s="2"/>
      <c r="IN406" s="2"/>
      <c r="IO406" s="2"/>
      <c r="IP406" s="2"/>
      <c r="IQ406" s="2"/>
      <c r="IR406" s="2"/>
      <c r="IS406" s="2"/>
      <c r="IT406" s="2"/>
      <c r="IU406" s="2"/>
    </row>
    <row r="407" spans="1:255" x14ac:dyDescent="0.25">
      <c r="A407" s="3">
        <v>18</v>
      </c>
      <c r="B407" s="3">
        <v>1</v>
      </c>
      <c r="C407" s="3">
        <v>273</v>
      </c>
      <c r="E407" s="3" t="s">
        <v>3</v>
      </c>
      <c r="F407" s="3" t="s">
        <v>333</v>
      </c>
      <c r="G407" s="3" t="s">
        <v>334</v>
      </c>
      <c r="H407" s="3" t="s">
        <v>177</v>
      </c>
      <c r="I407" s="3">
        <f>I399*J407</f>
        <v>2</v>
      </c>
      <c r="J407" s="3">
        <v>0.13333333333333333</v>
      </c>
      <c r="K407" s="3">
        <v>0.13333329999999999</v>
      </c>
      <c r="O407" s="3">
        <f t="shared" si="318"/>
        <v>452067.99</v>
      </c>
      <c r="P407" s="3">
        <f t="shared" si="319"/>
        <v>452067.99</v>
      </c>
      <c r="Q407" s="3">
        <f t="shared" si="320"/>
        <v>0</v>
      </c>
      <c r="R407" s="3">
        <f t="shared" si="321"/>
        <v>0</v>
      </c>
      <c r="S407" s="3">
        <f t="shared" si="322"/>
        <v>0</v>
      </c>
      <c r="T407" s="3">
        <f t="shared" si="323"/>
        <v>0</v>
      </c>
      <c r="U407" s="3">
        <f t="shared" si="324"/>
        <v>0</v>
      </c>
      <c r="V407" s="3">
        <f t="shared" si="325"/>
        <v>0</v>
      </c>
      <c r="W407" s="3">
        <f t="shared" si="326"/>
        <v>0</v>
      </c>
      <c r="X407" s="3">
        <f t="shared" si="327"/>
        <v>0</v>
      </c>
      <c r="Y407" s="3">
        <f t="shared" si="328"/>
        <v>0</v>
      </c>
      <c r="AA407" s="3">
        <v>-1</v>
      </c>
      <c r="AB407" s="3">
        <f t="shared" si="329"/>
        <v>29859.18</v>
      </c>
      <c r="AC407" s="3">
        <f t="shared" si="330"/>
        <v>29859.18</v>
      </c>
      <c r="AD407" s="3">
        <f t="shared" si="331"/>
        <v>0</v>
      </c>
      <c r="AE407" s="3">
        <f t="shared" si="332"/>
        <v>0</v>
      </c>
      <c r="AF407" s="3">
        <f t="shared" si="333"/>
        <v>0</v>
      </c>
      <c r="AG407" s="3">
        <f t="shared" si="334"/>
        <v>0</v>
      </c>
      <c r="AH407" s="3">
        <f t="shared" si="335"/>
        <v>0</v>
      </c>
      <c r="AI407" s="3">
        <f t="shared" si="336"/>
        <v>0</v>
      </c>
      <c r="AJ407" s="3">
        <f t="shared" si="337"/>
        <v>0</v>
      </c>
      <c r="AK407" s="3">
        <v>29859.18</v>
      </c>
      <c r="AL407" s="3">
        <v>29859.18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1</v>
      </c>
      <c r="AW407" s="3">
        <v>1</v>
      </c>
      <c r="AZ407" s="3">
        <v>1</v>
      </c>
      <c r="BA407" s="3">
        <v>1</v>
      </c>
      <c r="BB407" s="3">
        <v>1</v>
      </c>
      <c r="BC407" s="3">
        <v>7.57</v>
      </c>
      <c r="BD407" s="3" t="s">
        <v>3</v>
      </c>
      <c r="BE407" s="3" t="s">
        <v>3</v>
      </c>
      <c r="BF407" s="3" t="s">
        <v>3</v>
      </c>
      <c r="BG407" s="3" t="s">
        <v>3</v>
      </c>
      <c r="BH407" s="3">
        <v>3</v>
      </c>
      <c r="BI407" s="3">
        <v>3</v>
      </c>
      <c r="BJ407" s="3" t="s">
        <v>3</v>
      </c>
      <c r="BM407" s="3">
        <v>746</v>
      </c>
      <c r="BN407" s="3">
        <v>0</v>
      </c>
      <c r="BO407" s="3" t="s">
        <v>3</v>
      </c>
      <c r="BP407" s="3">
        <v>0</v>
      </c>
      <c r="BQ407" s="3">
        <v>130</v>
      </c>
      <c r="BR407" s="3">
        <v>0</v>
      </c>
      <c r="BS407" s="3">
        <v>1</v>
      </c>
      <c r="BT407" s="3">
        <v>1</v>
      </c>
      <c r="BU407" s="3">
        <v>1</v>
      </c>
      <c r="BV407" s="3">
        <v>1</v>
      </c>
      <c r="BW407" s="3">
        <v>1</v>
      </c>
      <c r="BX407" s="3">
        <v>1</v>
      </c>
      <c r="BY407" s="3" t="s">
        <v>3</v>
      </c>
      <c r="BZ407" s="3">
        <v>97</v>
      </c>
      <c r="CA407" s="3">
        <v>51</v>
      </c>
      <c r="CB407" s="3" t="s">
        <v>3</v>
      </c>
      <c r="CE407" s="3">
        <v>1566</v>
      </c>
      <c r="CF407" s="3">
        <v>0</v>
      </c>
      <c r="CG407" s="3">
        <v>0</v>
      </c>
      <c r="CM407" s="3">
        <v>0</v>
      </c>
      <c r="CN407" s="3" t="s">
        <v>615</v>
      </c>
      <c r="CO407" s="3">
        <v>0</v>
      </c>
      <c r="CP407" s="3">
        <f t="shared" si="338"/>
        <v>452067.99</v>
      </c>
      <c r="CQ407" s="3">
        <f t="shared" si="339"/>
        <v>226033.99</v>
      </c>
      <c r="CR407" s="3">
        <f t="shared" si="340"/>
        <v>0</v>
      </c>
      <c r="CS407" s="3">
        <f t="shared" si="341"/>
        <v>0</v>
      </c>
      <c r="CT407" s="3">
        <f t="shared" si="342"/>
        <v>0</v>
      </c>
      <c r="CU407" s="3">
        <f t="shared" si="343"/>
        <v>0</v>
      </c>
      <c r="CV407" s="3">
        <f t="shared" si="344"/>
        <v>0</v>
      </c>
      <c r="CW407" s="3">
        <f t="shared" si="345"/>
        <v>0</v>
      </c>
      <c r="CX407" s="3">
        <f t="shared" si="346"/>
        <v>0</v>
      </c>
      <c r="CY407" s="3">
        <f t="shared" si="347"/>
        <v>0</v>
      </c>
      <c r="CZ407" s="3">
        <f t="shared" si="348"/>
        <v>0</v>
      </c>
      <c r="DC407" s="3" t="s">
        <v>3</v>
      </c>
      <c r="DD407" s="3" t="s">
        <v>3</v>
      </c>
      <c r="DE407" s="3" t="s">
        <v>3</v>
      </c>
      <c r="DF407" s="3" t="s">
        <v>3</v>
      </c>
      <c r="DG407" s="3" t="s">
        <v>3</v>
      </c>
      <c r="DH407" s="3" t="s">
        <v>3</v>
      </c>
      <c r="DI407" s="3" t="s">
        <v>3</v>
      </c>
      <c r="DJ407" s="3" t="s">
        <v>3</v>
      </c>
      <c r="DK407" s="3" t="s">
        <v>3</v>
      </c>
      <c r="DL407" s="3" t="s">
        <v>3</v>
      </c>
      <c r="DM407" s="3" t="s">
        <v>3</v>
      </c>
      <c r="DN407" s="3">
        <v>0</v>
      </c>
      <c r="DO407" s="3">
        <v>0</v>
      </c>
      <c r="DP407" s="3">
        <v>1</v>
      </c>
      <c r="DQ407" s="3">
        <v>1</v>
      </c>
      <c r="DU407" s="3">
        <v>1010</v>
      </c>
      <c r="DV407" s="3" t="s">
        <v>177</v>
      </c>
      <c r="DW407" s="3" t="s">
        <v>177</v>
      </c>
      <c r="DX407" s="3">
        <v>1</v>
      </c>
      <c r="DZ407" s="3" t="s">
        <v>3</v>
      </c>
      <c r="EA407" s="3" t="s">
        <v>3</v>
      </c>
      <c r="EB407" s="3" t="s">
        <v>3</v>
      </c>
      <c r="EC407" s="3" t="s">
        <v>3</v>
      </c>
      <c r="EE407" s="3">
        <v>57043064</v>
      </c>
      <c r="EF407" s="3">
        <v>130</v>
      </c>
      <c r="EG407" s="3" t="s">
        <v>178</v>
      </c>
      <c r="EH407" s="3">
        <v>0</v>
      </c>
      <c r="EI407" s="3" t="s">
        <v>3</v>
      </c>
      <c r="EJ407" s="3">
        <v>3</v>
      </c>
      <c r="EK407" s="3">
        <v>746</v>
      </c>
      <c r="EL407" s="3" t="s">
        <v>179</v>
      </c>
      <c r="EM407" s="3" t="s">
        <v>180</v>
      </c>
      <c r="EO407" s="3" t="s">
        <v>109</v>
      </c>
      <c r="EQ407" s="3">
        <v>2098176</v>
      </c>
      <c r="ER407" s="3">
        <v>29859.18</v>
      </c>
      <c r="ES407" s="3">
        <v>29859.18</v>
      </c>
      <c r="ET407" s="3">
        <v>0</v>
      </c>
      <c r="EU407" s="3">
        <v>0</v>
      </c>
      <c r="EV407" s="3">
        <v>0</v>
      </c>
      <c r="EW407" s="3">
        <v>0</v>
      </c>
      <c r="EX407" s="3">
        <v>0</v>
      </c>
      <c r="EZ407" s="3">
        <v>5</v>
      </c>
      <c r="FC407" s="3">
        <v>1</v>
      </c>
      <c r="FD407" s="3">
        <v>18</v>
      </c>
      <c r="FF407" s="3">
        <v>264555</v>
      </c>
      <c r="FQ407" s="3">
        <v>0</v>
      </c>
      <c r="FR407" s="3">
        <f t="shared" si="349"/>
        <v>452067.99</v>
      </c>
      <c r="FS407" s="3">
        <v>0</v>
      </c>
      <c r="FX407" s="3">
        <v>97</v>
      </c>
      <c r="FY407" s="3">
        <v>51</v>
      </c>
      <c r="GA407" s="3" t="s">
        <v>335</v>
      </c>
      <c r="GD407" s="3">
        <v>1</v>
      </c>
      <c r="GF407" s="3">
        <v>-16569072</v>
      </c>
      <c r="GG407" s="3">
        <v>2</v>
      </c>
      <c r="GH407" s="3">
        <v>3</v>
      </c>
      <c r="GI407" s="3">
        <v>5</v>
      </c>
      <c r="GJ407" s="3">
        <v>0</v>
      </c>
      <c r="GK407" s="3">
        <v>0</v>
      </c>
      <c r="GL407" s="3">
        <f t="shared" si="350"/>
        <v>0</v>
      </c>
      <c r="GM407" s="3">
        <f t="shared" si="351"/>
        <v>452067.99</v>
      </c>
      <c r="GN407" s="3">
        <f t="shared" si="352"/>
        <v>0</v>
      </c>
      <c r="GO407" s="3">
        <f t="shared" si="353"/>
        <v>0</v>
      </c>
      <c r="GP407" s="3">
        <f t="shared" si="354"/>
        <v>0</v>
      </c>
      <c r="GR407" s="3">
        <v>1</v>
      </c>
      <c r="GS407" s="3">
        <v>1</v>
      </c>
      <c r="GT407" s="3">
        <v>0</v>
      </c>
      <c r="GU407" s="3" t="s">
        <v>3</v>
      </c>
      <c r="GV407" s="3">
        <f t="shared" si="355"/>
        <v>0</v>
      </c>
      <c r="GW407" s="3">
        <v>1</v>
      </c>
      <c r="GX407" s="3">
        <f t="shared" si="356"/>
        <v>0</v>
      </c>
      <c r="HA407" s="3">
        <v>0</v>
      </c>
      <c r="HB407" s="3">
        <v>0</v>
      </c>
      <c r="HC407" s="3">
        <f t="shared" si="357"/>
        <v>0</v>
      </c>
      <c r="HE407" s="3" t="s">
        <v>40</v>
      </c>
      <c r="HF407" s="3" t="s">
        <v>182</v>
      </c>
      <c r="HM407" s="3" t="s">
        <v>104</v>
      </c>
      <c r="HN407" s="3" t="s">
        <v>3</v>
      </c>
      <c r="HO407" s="3" t="s">
        <v>3</v>
      </c>
      <c r="HP407" s="3" t="s">
        <v>3</v>
      </c>
      <c r="HQ407" s="3" t="s">
        <v>3</v>
      </c>
      <c r="HS407" s="3">
        <v>0</v>
      </c>
      <c r="IK407" s="3">
        <v>0</v>
      </c>
    </row>
    <row r="408" spans="1:255" x14ac:dyDescent="0.25">
      <c r="A408" s="2">
        <v>18</v>
      </c>
      <c r="B408" s="2">
        <v>1</v>
      </c>
      <c r="C408" s="2">
        <v>262</v>
      </c>
      <c r="D408" s="2"/>
      <c r="E408" s="2" t="s">
        <v>3</v>
      </c>
      <c r="F408" s="2" t="s">
        <v>337</v>
      </c>
      <c r="G408" s="2" t="s">
        <v>338</v>
      </c>
      <c r="H408" s="2" t="s">
        <v>177</v>
      </c>
      <c r="I408" s="2">
        <f>I398*J408</f>
        <v>1</v>
      </c>
      <c r="J408" s="2">
        <v>6.6666666666666666E-2</v>
      </c>
      <c r="K408" s="2">
        <v>6.6666669999999997E-2</v>
      </c>
      <c r="L408" s="2"/>
      <c r="M408" s="2"/>
      <c r="N408" s="2"/>
      <c r="O408" s="2">
        <f t="shared" si="318"/>
        <v>4175.93</v>
      </c>
      <c r="P408" s="2">
        <f t="shared" si="319"/>
        <v>4175.93</v>
      </c>
      <c r="Q408" s="2">
        <f t="shared" si="320"/>
        <v>0</v>
      </c>
      <c r="R408" s="2">
        <f t="shared" si="321"/>
        <v>0</v>
      </c>
      <c r="S408" s="2">
        <f t="shared" si="322"/>
        <v>0</v>
      </c>
      <c r="T408" s="2">
        <f t="shared" si="323"/>
        <v>0</v>
      </c>
      <c r="U408" s="2">
        <f t="shared" si="324"/>
        <v>0</v>
      </c>
      <c r="V408" s="2">
        <f t="shared" si="325"/>
        <v>0</v>
      </c>
      <c r="W408" s="2">
        <f t="shared" si="326"/>
        <v>0</v>
      </c>
      <c r="X408" s="2">
        <f t="shared" si="327"/>
        <v>0</v>
      </c>
      <c r="Y408" s="2">
        <f t="shared" si="328"/>
        <v>0</v>
      </c>
      <c r="Z408" s="2"/>
      <c r="AA408" s="2">
        <v>-1</v>
      </c>
      <c r="AB408" s="2">
        <f t="shared" si="329"/>
        <v>4175.93</v>
      </c>
      <c r="AC408" s="2">
        <f t="shared" si="330"/>
        <v>4175.93</v>
      </c>
      <c r="AD408" s="2">
        <f t="shared" si="331"/>
        <v>0</v>
      </c>
      <c r="AE408" s="2">
        <f t="shared" si="332"/>
        <v>0</v>
      </c>
      <c r="AF408" s="2">
        <f t="shared" si="333"/>
        <v>0</v>
      </c>
      <c r="AG408" s="2">
        <f t="shared" si="334"/>
        <v>0</v>
      </c>
      <c r="AH408" s="2">
        <f t="shared" si="335"/>
        <v>0</v>
      </c>
      <c r="AI408" s="2">
        <f t="shared" si="336"/>
        <v>0</v>
      </c>
      <c r="AJ408" s="2">
        <f t="shared" si="337"/>
        <v>0</v>
      </c>
      <c r="AK408" s="2">
        <v>4175.93</v>
      </c>
      <c r="AL408" s="2">
        <v>4175.93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1</v>
      </c>
      <c r="AW408" s="2">
        <v>1</v>
      </c>
      <c r="AX408" s="2"/>
      <c r="AY408" s="2"/>
      <c r="AZ408" s="2">
        <v>1</v>
      </c>
      <c r="BA408" s="2">
        <v>1</v>
      </c>
      <c r="BB408" s="2">
        <v>1</v>
      </c>
      <c r="BC408" s="2">
        <v>1</v>
      </c>
      <c r="BD408" s="2" t="s">
        <v>3</v>
      </c>
      <c r="BE408" s="2" t="s">
        <v>3</v>
      </c>
      <c r="BF408" s="2" t="s">
        <v>3</v>
      </c>
      <c r="BG408" s="2" t="s">
        <v>3</v>
      </c>
      <c r="BH408" s="2">
        <v>3</v>
      </c>
      <c r="BI408" s="2">
        <v>3</v>
      </c>
      <c r="BJ408" s="2" t="s">
        <v>3</v>
      </c>
      <c r="BK408" s="2"/>
      <c r="BL408" s="2"/>
      <c r="BM408" s="2">
        <v>746</v>
      </c>
      <c r="BN408" s="2">
        <v>0</v>
      </c>
      <c r="BO408" s="2" t="s">
        <v>3</v>
      </c>
      <c r="BP408" s="2">
        <v>0</v>
      </c>
      <c r="BQ408" s="2">
        <v>130</v>
      </c>
      <c r="BR408" s="2">
        <v>0</v>
      </c>
      <c r="BS408" s="2">
        <v>1</v>
      </c>
      <c r="BT408" s="2">
        <v>1</v>
      </c>
      <c r="BU408" s="2">
        <v>1</v>
      </c>
      <c r="BV408" s="2">
        <v>1</v>
      </c>
      <c r="BW408" s="2">
        <v>1</v>
      </c>
      <c r="BX408" s="2">
        <v>1</v>
      </c>
      <c r="BY408" s="2" t="s">
        <v>3</v>
      </c>
      <c r="BZ408" s="2">
        <v>97</v>
      </c>
      <c r="CA408" s="2">
        <v>51</v>
      </c>
      <c r="CB408" s="2" t="s">
        <v>3</v>
      </c>
      <c r="CC408" s="2"/>
      <c r="CD408" s="2"/>
      <c r="CE408" s="2">
        <v>1566</v>
      </c>
      <c r="CF408" s="2">
        <v>0</v>
      </c>
      <c r="CG408" s="2">
        <v>0</v>
      </c>
      <c r="CH408" s="2"/>
      <c r="CI408" s="2"/>
      <c r="CJ408" s="2"/>
      <c r="CK408" s="2"/>
      <c r="CL408" s="2"/>
      <c r="CM408" s="2">
        <v>0</v>
      </c>
      <c r="CN408" s="2" t="s">
        <v>615</v>
      </c>
      <c r="CO408" s="2">
        <v>0</v>
      </c>
      <c r="CP408" s="2">
        <f t="shared" si="338"/>
        <v>4175.93</v>
      </c>
      <c r="CQ408" s="2">
        <f t="shared" si="339"/>
        <v>4175.93</v>
      </c>
      <c r="CR408" s="2">
        <f t="shared" si="340"/>
        <v>0</v>
      </c>
      <c r="CS408" s="2">
        <f t="shared" si="341"/>
        <v>0</v>
      </c>
      <c r="CT408" s="2">
        <f t="shared" si="342"/>
        <v>0</v>
      </c>
      <c r="CU408" s="2">
        <f t="shared" si="343"/>
        <v>0</v>
      </c>
      <c r="CV408" s="2">
        <f t="shared" si="344"/>
        <v>0</v>
      </c>
      <c r="CW408" s="2">
        <f t="shared" si="345"/>
        <v>0</v>
      </c>
      <c r="CX408" s="2">
        <f t="shared" si="346"/>
        <v>0</v>
      </c>
      <c r="CY408" s="2">
        <f t="shared" si="347"/>
        <v>0</v>
      </c>
      <c r="CZ408" s="2">
        <f t="shared" si="348"/>
        <v>0</v>
      </c>
      <c r="DA408" s="2"/>
      <c r="DB408" s="2"/>
      <c r="DC408" s="2" t="s">
        <v>3</v>
      </c>
      <c r="DD408" s="2" t="s">
        <v>3</v>
      </c>
      <c r="DE408" s="2" t="s">
        <v>3</v>
      </c>
      <c r="DF408" s="2" t="s">
        <v>3</v>
      </c>
      <c r="DG408" s="2" t="s">
        <v>3</v>
      </c>
      <c r="DH408" s="2" t="s">
        <v>3</v>
      </c>
      <c r="DI408" s="2" t="s">
        <v>3</v>
      </c>
      <c r="DJ408" s="2" t="s">
        <v>3</v>
      </c>
      <c r="DK408" s="2" t="s">
        <v>3</v>
      </c>
      <c r="DL408" s="2" t="s">
        <v>3</v>
      </c>
      <c r="DM408" s="2" t="s">
        <v>3</v>
      </c>
      <c r="DN408" s="2">
        <v>0</v>
      </c>
      <c r="DO408" s="2">
        <v>0</v>
      </c>
      <c r="DP408" s="2">
        <v>1</v>
      </c>
      <c r="DQ408" s="2">
        <v>1</v>
      </c>
      <c r="DR408" s="2"/>
      <c r="DS408" s="2"/>
      <c r="DT408" s="2"/>
      <c r="DU408" s="2">
        <v>1010</v>
      </c>
      <c r="DV408" s="2" t="s">
        <v>177</v>
      </c>
      <c r="DW408" s="2" t="s">
        <v>177</v>
      </c>
      <c r="DX408" s="2">
        <v>1</v>
      </c>
      <c r="DY408" s="2"/>
      <c r="DZ408" s="2" t="s">
        <v>3</v>
      </c>
      <c r="EA408" s="2" t="s">
        <v>3</v>
      </c>
      <c r="EB408" s="2" t="s">
        <v>3</v>
      </c>
      <c r="EC408" s="2" t="s">
        <v>3</v>
      </c>
      <c r="ED408" s="2"/>
      <c r="EE408" s="2">
        <v>57043064</v>
      </c>
      <c r="EF408" s="2">
        <v>130</v>
      </c>
      <c r="EG408" s="2" t="s">
        <v>178</v>
      </c>
      <c r="EH408" s="2">
        <v>0</v>
      </c>
      <c r="EI408" s="2" t="s">
        <v>3</v>
      </c>
      <c r="EJ408" s="2">
        <v>3</v>
      </c>
      <c r="EK408" s="2">
        <v>746</v>
      </c>
      <c r="EL408" s="2" t="s">
        <v>179</v>
      </c>
      <c r="EM408" s="2" t="s">
        <v>180</v>
      </c>
      <c r="EN408" s="2"/>
      <c r="EO408" s="2" t="s">
        <v>109</v>
      </c>
      <c r="EP408" s="2"/>
      <c r="EQ408" s="2">
        <v>2098176</v>
      </c>
      <c r="ER408" s="2">
        <v>0</v>
      </c>
      <c r="ES408" s="2">
        <v>4175.93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>
        <v>0</v>
      </c>
      <c r="FR408" s="2">
        <f t="shared" si="349"/>
        <v>4175.93</v>
      </c>
      <c r="FS408" s="2">
        <v>0</v>
      </c>
      <c r="FT408" s="2"/>
      <c r="FU408" s="2"/>
      <c r="FV408" s="2"/>
      <c r="FW408" s="2"/>
      <c r="FX408" s="2">
        <v>97</v>
      </c>
      <c r="FY408" s="2">
        <v>51</v>
      </c>
      <c r="FZ408" s="2"/>
      <c r="GA408" s="2" t="s">
        <v>339</v>
      </c>
      <c r="GB408" s="2"/>
      <c r="GC408" s="2"/>
      <c r="GD408" s="2">
        <v>1</v>
      </c>
      <c r="GE408" s="2"/>
      <c r="GF408" s="2">
        <v>-884168843</v>
      </c>
      <c r="GG408" s="2">
        <v>2</v>
      </c>
      <c r="GH408" s="2">
        <v>4</v>
      </c>
      <c r="GI408" s="2">
        <v>-2</v>
      </c>
      <c r="GJ408" s="2">
        <v>0</v>
      </c>
      <c r="GK408" s="2">
        <v>0</v>
      </c>
      <c r="GL408" s="2">
        <f t="shared" si="350"/>
        <v>0</v>
      </c>
      <c r="GM408" s="2">
        <f t="shared" si="351"/>
        <v>4175.93</v>
      </c>
      <c r="GN408" s="2">
        <f t="shared" si="352"/>
        <v>0</v>
      </c>
      <c r="GO408" s="2">
        <f t="shared" si="353"/>
        <v>0</v>
      </c>
      <c r="GP408" s="2">
        <f t="shared" si="354"/>
        <v>0</v>
      </c>
      <c r="GQ408" s="2"/>
      <c r="GR408" s="2">
        <v>0</v>
      </c>
      <c r="GS408" s="2">
        <v>2</v>
      </c>
      <c r="GT408" s="2">
        <v>0</v>
      </c>
      <c r="GU408" s="2" t="s">
        <v>3</v>
      </c>
      <c r="GV408" s="2">
        <f t="shared" si="355"/>
        <v>0</v>
      </c>
      <c r="GW408" s="2">
        <v>1</v>
      </c>
      <c r="GX408" s="2">
        <f t="shared" si="356"/>
        <v>0</v>
      </c>
      <c r="GY408" s="2"/>
      <c r="GZ408" s="2"/>
      <c r="HA408" s="2">
        <v>0</v>
      </c>
      <c r="HB408" s="2">
        <v>0</v>
      </c>
      <c r="HC408" s="2">
        <f t="shared" si="357"/>
        <v>0</v>
      </c>
      <c r="HD408" s="2"/>
      <c r="HE408" s="2" t="s">
        <v>40</v>
      </c>
      <c r="HF408" s="2" t="s">
        <v>182</v>
      </c>
      <c r="HG408" s="2"/>
      <c r="HH408" s="2"/>
      <c r="HI408" s="2"/>
      <c r="HJ408" s="2"/>
      <c r="HK408" s="2"/>
      <c r="HL408" s="2"/>
      <c r="HM408" s="2" t="s">
        <v>104</v>
      </c>
      <c r="HN408" s="2" t="s">
        <v>3</v>
      </c>
      <c r="HO408" s="2" t="s">
        <v>3</v>
      </c>
      <c r="HP408" s="2" t="s">
        <v>3</v>
      </c>
      <c r="HQ408" s="2" t="s">
        <v>3</v>
      </c>
      <c r="HR408" s="2"/>
      <c r="HS408" s="2">
        <v>0</v>
      </c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>
        <v>0</v>
      </c>
      <c r="IL408" s="2"/>
      <c r="IM408" s="2"/>
      <c r="IN408" s="2"/>
      <c r="IO408" s="2"/>
      <c r="IP408" s="2"/>
      <c r="IQ408" s="2"/>
      <c r="IR408" s="2"/>
      <c r="IS408" s="2"/>
      <c r="IT408" s="2"/>
      <c r="IU408" s="2"/>
    </row>
    <row r="409" spans="1:255" x14ac:dyDescent="0.25">
      <c r="A409" s="3">
        <v>18</v>
      </c>
      <c r="B409" s="3">
        <v>1</v>
      </c>
      <c r="C409" s="3">
        <v>274</v>
      </c>
      <c r="E409" s="3" t="s">
        <v>3</v>
      </c>
      <c r="F409" s="3" t="s">
        <v>337</v>
      </c>
      <c r="G409" s="3" t="s">
        <v>338</v>
      </c>
      <c r="H409" s="3" t="s">
        <v>177</v>
      </c>
      <c r="I409" s="3">
        <f>I399*J409</f>
        <v>1</v>
      </c>
      <c r="J409" s="3">
        <v>6.6666666666666666E-2</v>
      </c>
      <c r="K409" s="3">
        <v>6.6666669999999997E-2</v>
      </c>
      <c r="O409" s="3">
        <f t="shared" si="318"/>
        <v>31611.79</v>
      </c>
      <c r="P409" s="3">
        <f t="shared" si="319"/>
        <v>31611.79</v>
      </c>
      <c r="Q409" s="3">
        <f t="shared" si="320"/>
        <v>0</v>
      </c>
      <c r="R409" s="3">
        <f t="shared" si="321"/>
        <v>0</v>
      </c>
      <c r="S409" s="3">
        <f t="shared" si="322"/>
        <v>0</v>
      </c>
      <c r="T409" s="3">
        <f t="shared" si="323"/>
        <v>0</v>
      </c>
      <c r="U409" s="3">
        <f t="shared" si="324"/>
        <v>0</v>
      </c>
      <c r="V409" s="3">
        <f t="shared" si="325"/>
        <v>0</v>
      </c>
      <c r="W409" s="3">
        <f t="shared" si="326"/>
        <v>0</v>
      </c>
      <c r="X409" s="3">
        <f t="shared" si="327"/>
        <v>0</v>
      </c>
      <c r="Y409" s="3">
        <f t="shared" si="328"/>
        <v>0</v>
      </c>
      <c r="AA409" s="3">
        <v>-1</v>
      </c>
      <c r="AB409" s="3">
        <f t="shared" si="329"/>
        <v>4175.93</v>
      </c>
      <c r="AC409" s="3">
        <f t="shared" si="330"/>
        <v>4175.93</v>
      </c>
      <c r="AD409" s="3">
        <f t="shared" si="331"/>
        <v>0</v>
      </c>
      <c r="AE409" s="3">
        <f t="shared" si="332"/>
        <v>0</v>
      </c>
      <c r="AF409" s="3">
        <f t="shared" si="333"/>
        <v>0</v>
      </c>
      <c r="AG409" s="3">
        <f t="shared" si="334"/>
        <v>0</v>
      </c>
      <c r="AH409" s="3">
        <f t="shared" si="335"/>
        <v>0</v>
      </c>
      <c r="AI409" s="3">
        <f t="shared" si="336"/>
        <v>0</v>
      </c>
      <c r="AJ409" s="3">
        <f t="shared" si="337"/>
        <v>0</v>
      </c>
      <c r="AK409" s="3">
        <v>4175.93</v>
      </c>
      <c r="AL409" s="3">
        <v>4175.93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1</v>
      </c>
      <c r="AW409" s="3">
        <v>1</v>
      </c>
      <c r="AZ409" s="3">
        <v>1</v>
      </c>
      <c r="BA409" s="3">
        <v>1</v>
      </c>
      <c r="BB409" s="3">
        <v>1</v>
      </c>
      <c r="BC409" s="3">
        <v>7.57</v>
      </c>
      <c r="BD409" s="3" t="s">
        <v>3</v>
      </c>
      <c r="BE409" s="3" t="s">
        <v>3</v>
      </c>
      <c r="BF409" s="3" t="s">
        <v>3</v>
      </c>
      <c r="BG409" s="3" t="s">
        <v>3</v>
      </c>
      <c r="BH409" s="3">
        <v>3</v>
      </c>
      <c r="BI409" s="3">
        <v>3</v>
      </c>
      <c r="BJ409" s="3" t="s">
        <v>3</v>
      </c>
      <c r="BM409" s="3">
        <v>746</v>
      </c>
      <c r="BN409" s="3">
        <v>0</v>
      </c>
      <c r="BO409" s="3" t="s">
        <v>3</v>
      </c>
      <c r="BP409" s="3">
        <v>0</v>
      </c>
      <c r="BQ409" s="3">
        <v>130</v>
      </c>
      <c r="BR409" s="3">
        <v>0</v>
      </c>
      <c r="BS409" s="3">
        <v>1</v>
      </c>
      <c r="BT409" s="3">
        <v>1</v>
      </c>
      <c r="BU409" s="3">
        <v>1</v>
      </c>
      <c r="BV409" s="3">
        <v>1</v>
      </c>
      <c r="BW409" s="3">
        <v>1</v>
      </c>
      <c r="BX409" s="3">
        <v>1</v>
      </c>
      <c r="BY409" s="3" t="s">
        <v>3</v>
      </c>
      <c r="BZ409" s="3">
        <v>97</v>
      </c>
      <c r="CA409" s="3">
        <v>51</v>
      </c>
      <c r="CB409" s="3" t="s">
        <v>3</v>
      </c>
      <c r="CE409" s="3">
        <v>1566</v>
      </c>
      <c r="CF409" s="3">
        <v>0</v>
      </c>
      <c r="CG409" s="3">
        <v>0</v>
      </c>
      <c r="CM409" s="3">
        <v>0</v>
      </c>
      <c r="CN409" s="3" t="s">
        <v>615</v>
      </c>
      <c r="CO409" s="3">
        <v>0</v>
      </c>
      <c r="CP409" s="3">
        <f t="shared" si="338"/>
        <v>31611.79</v>
      </c>
      <c r="CQ409" s="3">
        <f t="shared" si="339"/>
        <v>31611.79</v>
      </c>
      <c r="CR409" s="3">
        <f t="shared" si="340"/>
        <v>0</v>
      </c>
      <c r="CS409" s="3">
        <f t="shared" si="341"/>
        <v>0</v>
      </c>
      <c r="CT409" s="3">
        <f t="shared" si="342"/>
        <v>0</v>
      </c>
      <c r="CU409" s="3">
        <f t="shared" si="343"/>
        <v>0</v>
      </c>
      <c r="CV409" s="3">
        <f t="shared" si="344"/>
        <v>0</v>
      </c>
      <c r="CW409" s="3">
        <f t="shared" si="345"/>
        <v>0</v>
      </c>
      <c r="CX409" s="3">
        <f t="shared" si="346"/>
        <v>0</v>
      </c>
      <c r="CY409" s="3">
        <f t="shared" si="347"/>
        <v>0</v>
      </c>
      <c r="CZ409" s="3">
        <f t="shared" si="348"/>
        <v>0</v>
      </c>
      <c r="DC409" s="3" t="s">
        <v>3</v>
      </c>
      <c r="DD409" s="3" t="s">
        <v>3</v>
      </c>
      <c r="DE409" s="3" t="s">
        <v>3</v>
      </c>
      <c r="DF409" s="3" t="s">
        <v>3</v>
      </c>
      <c r="DG409" s="3" t="s">
        <v>3</v>
      </c>
      <c r="DH409" s="3" t="s">
        <v>3</v>
      </c>
      <c r="DI409" s="3" t="s">
        <v>3</v>
      </c>
      <c r="DJ409" s="3" t="s">
        <v>3</v>
      </c>
      <c r="DK409" s="3" t="s">
        <v>3</v>
      </c>
      <c r="DL409" s="3" t="s">
        <v>3</v>
      </c>
      <c r="DM409" s="3" t="s">
        <v>3</v>
      </c>
      <c r="DN409" s="3">
        <v>0</v>
      </c>
      <c r="DO409" s="3">
        <v>0</v>
      </c>
      <c r="DP409" s="3">
        <v>1</v>
      </c>
      <c r="DQ409" s="3">
        <v>1</v>
      </c>
      <c r="DU409" s="3">
        <v>1010</v>
      </c>
      <c r="DV409" s="3" t="s">
        <v>177</v>
      </c>
      <c r="DW409" s="3" t="s">
        <v>177</v>
      </c>
      <c r="DX409" s="3">
        <v>1</v>
      </c>
      <c r="DZ409" s="3" t="s">
        <v>3</v>
      </c>
      <c r="EA409" s="3" t="s">
        <v>3</v>
      </c>
      <c r="EB409" s="3" t="s">
        <v>3</v>
      </c>
      <c r="EC409" s="3" t="s">
        <v>3</v>
      </c>
      <c r="EE409" s="3">
        <v>57043064</v>
      </c>
      <c r="EF409" s="3">
        <v>130</v>
      </c>
      <c r="EG409" s="3" t="s">
        <v>178</v>
      </c>
      <c r="EH409" s="3">
        <v>0</v>
      </c>
      <c r="EI409" s="3" t="s">
        <v>3</v>
      </c>
      <c r="EJ409" s="3">
        <v>3</v>
      </c>
      <c r="EK409" s="3">
        <v>746</v>
      </c>
      <c r="EL409" s="3" t="s">
        <v>179</v>
      </c>
      <c r="EM409" s="3" t="s">
        <v>180</v>
      </c>
      <c r="EO409" s="3" t="s">
        <v>109</v>
      </c>
      <c r="EQ409" s="3">
        <v>2098176</v>
      </c>
      <c r="ER409" s="3">
        <v>4175.93</v>
      </c>
      <c r="ES409" s="3">
        <v>4175.93</v>
      </c>
      <c r="ET409" s="3">
        <v>0</v>
      </c>
      <c r="EU409" s="3">
        <v>0</v>
      </c>
      <c r="EV409" s="3">
        <v>0</v>
      </c>
      <c r="EW409" s="3">
        <v>0</v>
      </c>
      <c r="EX409" s="3">
        <v>0</v>
      </c>
      <c r="EZ409" s="3">
        <v>5</v>
      </c>
      <c r="FC409" s="3">
        <v>1</v>
      </c>
      <c r="FD409" s="3">
        <v>18</v>
      </c>
      <c r="FF409" s="3">
        <v>36999</v>
      </c>
      <c r="FQ409" s="3">
        <v>0</v>
      </c>
      <c r="FR409" s="3">
        <f t="shared" si="349"/>
        <v>31611.79</v>
      </c>
      <c r="FS409" s="3">
        <v>0</v>
      </c>
      <c r="FX409" s="3">
        <v>97</v>
      </c>
      <c r="FY409" s="3">
        <v>51</v>
      </c>
      <c r="GA409" s="3" t="s">
        <v>339</v>
      </c>
      <c r="GD409" s="3">
        <v>1</v>
      </c>
      <c r="GF409" s="3">
        <v>-884168843</v>
      </c>
      <c r="GG409" s="3">
        <v>2</v>
      </c>
      <c r="GH409" s="3">
        <v>3</v>
      </c>
      <c r="GI409" s="3">
        <v>5</v>
      </c>
      <c r="GJ409" s="3">
        <v>0</v>
      </c>
      <c r="GK409" s="3">
        <v>0</v>
      </c>
      <c r="GL409" s="3">
        <f t="shared" si="350"/>
        <v>0</v>
      </c>
      <c r="GM409" s="3">
        <f t="shared" si="351"/>
        <v>31611.79</v>
      </c>
      <c r="GN409" s="3">
        <f t="shared" si="352"/>
        <v>0</v>
      </c>
      <c r="GO409" s="3">
        <f t="shared" si="353"/>
        <v>0</v>
      </c>
      <c r="GP409" s="3">
        <f t="shared" si="354"/>
        <v>0</v>
      </c>
      <c r="GR409" s="3">
        <v>1</v>
      </c>
      <c r="GS409" s="3">
        <v>1</v>
      </c>
      <c r="GT409" s="3">
        <v>0</v>
      </c>
      <c r="GU409" s="3" t="s">
        <v>3</v>
      </c>
      <c r="GV409" s="3">
        <f t="shared" si="355"/>
        <v>0</v>
      </c>
      <c r="GW409" s="3">
        <v>1</v>
      </c>
      <c r="GX409" s="3">
        <f t="shared" si="356"/>
        <v>0</v>
      </c>
      <c r="HA409" s="3">
        <v>0</v>
      </c>
      <c r="HB409" s="3">
        <v>0</v>
      </c>
      <c r="HC409" s="3">
        <f t="shared" si="357"/>
        <v>0</v>
      </c>
      <c r="HE409" s="3" t="s">
        <v>40</v>
      </c>
      <c r="HF409" s="3" t="s">
        <v>182</v>
      </c>
      <c r="HM409" s="3" t="s">
        <v>104</v>
      </c>
      <c r="HN409" s="3" t="s">
        <v>3</v>
      </c>
      <c r="HO409" s="3" t="s">
        <v>3</v>
      </c>
      <c r="HP409" s="3" t="s">
        <v>3</v>
      </c>
      <c r="HQ409" s="3" t="s">
        <v>3</v>
      </c>
      <c r="HS409" s="3">
        <v>0</v>
      </c>
      <c r="IK409" s="3">
        <v>0</v>
      </c>
    </row>
    <row r="410" spans="1:255" x14ac:dyDescent="0.25">
      <c r="A410" s="2">
        <v>17</v>
      </c>
      <c r="B410" s="2">
        <v>1</v>
      </c>
      <c r="C410" s="2">
        <f>ROW(SmtRes!A277)</f>
        <v>277</v>
      </c>
      <c r="D410" s="2">
        <f>ROW(EtalonRes!A287)</f>
        <v>287</v>
      </c>
      <c r="E410" s="2" t="s">
        <v>341</v>
      </c>
      <c r="F410" s="2" t="s">
        <v>91</v>
      </c>
      <c r="G410" s="2" t="s">
        <v>342</v>
      </c>
      <c r="H410" s="2" t="s">
        <v>26</v>
      </c>
      <c r="I410" s="2">
        <f>ROUND(24+1,9)</f>
        <v>25</v>
      </c>
      <c r="J410" s="2">
        <v>0</v>
      </c>
      <c r="K410" s="2">
        <f>ROUND(24+1,9)</f>
        <v>25</v>
      </c>
      <c r="L410" s="2"/>
      <c r="M410" s="2"/>
      <c r="N410" s="2"/>
      <c r="O410" s="2">
        <f t="shared" si="318"/>
        <v>1117.3399999999999</v>
      </c>
      <c r="P410" s="2">
        <f t="shared" ref="P410:P417" si="358">ROUND((ROUND((AC410*AW410*I410),2)*BC410),2)</f>
        <v>92.75</v>
      </c>
      <c r="Q410" s="2">
        <f>(ROUND((ROUND((((ET410*1.2))*AV410*I410),2)*BB410),2)+ROUND((ROUND(((AE410-((EU410*1.2)))*AV410*I410),2)*BS410),2))</f>
        <v>1.57</v>
      </c>
      <c r="R410" s="2">
        <f>(ROUND((ROUND((((EU410*1.2))*AV410*I410),2)*BS410),2)+ROUND((ROUND(((AE410-((EU410*1.2)))*AV410*I410),2)*BS410),2))</f>
        <v>0.31</v>
      </c>
      <c r="S410" s="2">
        <f t="shared" si="322"/>
        <v>1023.02</v>
      </c>
      <c r="T410" s="2">
        <f t="shared" si="323"/>
        <v>0</v>
      </c>
      <c r="U410" s="2">
        <f t="shared" si="324"/>
        <v>75.384</v>
      </c>
      <c r="V410" s="2">
        <f t="shared" si="325"/>
        <v>0</v>
      </c>
      <c r="W410" s="2">
        <f t="shared" si="326"/>
        <v>0</v>
      </c>
      <c r="X410" s="2">
        <f>(ROUND((((S410+ROUND((ROUND((((EU410*1.2))*AV410*I410),2)*BS410),2))*AT410)/100),2)+ROUND(((ROUND((ROUND(((AE410-((EU410*1.2)))*AV410*I410),2)*BS410),2)*AT410)/100),2))</f>
        <v>921</v>
      </c>
      <c r="Y410" s="2">
        <f>(ROUND((((S410+ROUND((ROUND((((EU410*1.2))*AV410*I410),2)*BS410),2))*AU410)/100),2)+ROUND(((ROUND((ROUND(((AE410-((EU410*1.2)))*AV410*I410),2)*BS410),2)*AU410)/100),2))</f>
        <v>470.73</v>
      </c>
      <c r="Z410" s="2"/>
      <c r="AA410" s="2">
        <v>57034452</v>
      </c>
      <c r="AB410" s="2">
        <f t="shared" si="329"/>
        <v>42.853999999999999</v>
      </c>
      <c r="AC410" s="2">
        <f>ROUND(((ES410*1)),6)</f>
        <v>3.71</v>
      </c>
      <c r="AD410" s="2">
        <f>ROUND(((((ET410*1.2))-((EU410*1.2)))+AE410),6)</f>
        <v>0.06</v>
      </c>
      <c r="AE410" s="2">
        <f>ROUND(((EU410*1.2)),6)</f>
        <v>1.2E-2</v>
      </c>
      <c r="AF410" s="2">
        <f>ROUND(((EV410*1.2)),6)</f>
        <v>39.084000000000003</v>
      </c>
      <c r="AG410" s="2">
        <f t="shared" si="334"/>
        <v>0</v>
      </c>
      <c r="AH410" s="2">
        <f>((EW410*1.2))</f>
        <v>2.88</v>
      </c>
      <c r="AI410" s="2">
        <f>((EX410*1.2))</f>
        <v>0</v>
      </c>
      <c r="AJ410" s="2">
        <f t="shared" si="337"/>
        <v>0</v>
      </c>
      <c r="AK410" s="2">
        <v>36.33</v>
      </c>
      <c r="AL410" s="2">
        <v>3.71</v>
      </c>
      <c r="AM410" s="2">
        <v>0.05</v>
      </c>
      <c r="AN410" s="2">
        <v>0.01</v>
      </c>
      <c r="AO410" s="2">
        <v>32.57</v>
      </c>
      <c r="AP410" s="2">
        <v>0</v>
      </c>
      <c r="AQ410" s="2">
        <v>2.4</v>
      </c>
      <c r="AR410" s="2">
        <v>0</v>
      </c>
      <c r="AS410" s="2">
        <v>0</v>
      </c>
      <c r="AT410" s="2">
        <v>90</v>
      </c>
      <c r="AU410" s="2">
        <v>46</v>
      </c>
      <c r="AV410" s="2">
        <v>1.0469999999999999</v>
      </c>
      <c r="AW410" s="2">
        <v>1</v>
      </c>
      <c r="AX410" s="2"/>
      <c r="AY410" s="2"/>
      <c r="AZ410" s="2">
        <v>1</v>
      </c>
      <c r="BA410" s="2">
        <v>1</v>
      </c>
      <c r="BB410" s="2">
        <v>1</v>
      </c>
      <c r="BC410" s="2">
        <v>1</v>
      </c>
      <c r="BD410" s="2" t="s">
        <v>3</v>
      </c>
      <c r="BE410" s="2" t="s">
        <v>3</v>
      </c>
      <c r="BF410" s="2" t="s">
        <v>3</v>
      </c>
      <c r="BG410" s="2" t="s">
        <v>3</v>
      </c>
      <c r="BH410" s="2">
        <v>0</v>
      </c>
      <c r="BI410" s="2">
        <v>2</v>
      </c>
      <c r="BJ410" s="2" t="s">
        <v>93</v>
      </c>
      <c r="BK410" s="2"/>
      <c r="BL410" s="2"/>
      <c r="BM410" s="2">
        <v>68</v>
      </c>
      <c r="BN410" s="2">
        <v>0</v>
      </c>
      <c r="BO410" s="2" t="s">
        <v>91</v>
      </c>
      <c r="BP410" s="2">
        <v>1</v>
      </c>
      <c r="BQ410" s="2">
        <v>40</v>
      </c>
      <c r="BR410" s="2">
        <v>0</v>
      </c>
      <c r="BS410" s="2">
        <v>1</v>
      </c>
      <c r="BT410" s="2">
        <v>1</v>
      </c>
      <c r="BU410" s="2">
        <v>1</v>
      </c>
      <c r="BV410" s="2">
        <v>1</v>
      </c>
      <c r="BW410" s="2">
        <v>1</v>
      </c>
      <c r="BX410" s="2">
        <v>1</v>
      </c>
      <c r="BY410" s="2" t="s">
        <v>3</v>
      </c>
      <c r="BZ410" s="2">
        <v>90</v>
      </c>
      <c r="CA410" s="2">
        <v>46</v>
      </c>
      <c r="CB410" s="2" t="s">
        <v>3</v>
      </c>
      <c r="CC410" s="2"/>
      <c r="CD410" s="2"/>
      <c r="CE410" s="2">
        <v>1566</v>
      </c>
      <c r="CF410" s="2">
        <v>0</v>
      </c>
      <c r="CG410" s="2">
        <v>0</v>
      </c>
      <c r="CH410" s="2"/>
      <c r="CI410" s="2"/>
      <c r="CJ410" s="2"/>
      <c r="CK410" s="2"/>
      <c r="CL410" s="2"/>
      <c r="CM410" s="2">
        <v>0</v>
      </c>
      <c r="CN410" s="2" t="s">
        <v>614</v>
      </c>
      <c r="CO410" s="2">
        <v>0</v>
      </c>
      <c r="CP410" s="2">
        <f t="shared" si="338"/>
        <v>1117.3399999999999</v>
      </c>
      <c r="CQ410" s="2">
        <f t="shared" ref="CQ410:CQ417" si="359">ROUND((ROUND((AC410*AW410*1),2)*BC410),2)</f>
        <v>3.71</v>
      </c>
      <c r="CR410" s="2">
        <f>(ROUND((ROUND((((ET410*1.2))*AV410*1),2)*BB410),2)+ROUND((ROUND(((AE410-((EU410*1.2)))*AV410*1),2)*BS410),2))</f>
        <v>0.06</v>
      </c>
      <c r="CS410" s="2">
        <f>(ROUND((ROUND((((EU410*1.2))*AV410*1),2)*BS410),2)+ROUND((ROUND(((AE410-((EU410*1.2)))*AV410*1),2)*BS410),2))</f>
        <v>0.01</v>
      </c>
      <c r="CT410" s="2">
        <f t="shared" si="342"/>
        <v>40.92</v>
      </c>
      <c r="CU410" s="2">
        <f t="shared" si="343"/>
        <v>0</v>
      </c>
      <c r="CV410" s="2">
        <f t="shared" si="344"/>
        <v>3.0153599999999998</v>
      </c>
      <c r="CW410" s="2">
        <f t="shared" si="345"/>
        <v>0</v>
      </c>
      <c r="CX410" s="2">
        <f t="shared" si="346"/>
        <v>0</v>
      </c>
      <c r="CY410" s="2">
        <f>(ROUND((((S410+ROUND((ROUND((((EU410*1.2))*AV410*1),2)*BS410),2))*AT410)/100),2)+ROUND(((ROUND((ROUND(((AE410-((EU410*1.2)))*AV410*1),2)*BS410),2)*AT410)/100),2))</f>
        <v>920.73</v>
      </c>
      <c r="CZ410" s="2">
        <f>(ROUND((((S410+ROUND((ROUND((((EU410*1.2))*AV410*1),2)*BS410),2))*AU410)/100),2)+ROUND(((ROUND((ROUND(((AE410-((EU410*1.2)))*AV410*1),2)*BS410),2)*AU410)/100),2))</f>
        <v>470.59</v>
      </c>
      <c r="DA410" s="2"/>
      <c r="DB410" s="2">
        <v>129</v>
      </c>
      <c r="DC410" s="2" t="s">
        <v>3</v>
      </c>
      <c r="DD410" s="2" t="s">
        <v>104</v>
      </c>
      <c r="DE410" s="2" t="s">
        <v>105</v>
      </c>
      <c r="DF410" s="2" t="s">
        <v>105</v>
      </c>
      <c r="DG410" s="2" t="s">
        <v>105</v>
      </c>
      <c r="DH410" s="2" t="s">
        <v>3</v>
      </c>
      <c r="DI410" s="2" t="s">
        <v>105</v>
      </c>
      <c r="DJ410" s="2" t="s">
        <v>105</v>
      </c>
      <c r="DK410" s="2" t="s">
        <v>3</v>
      </c>
      <c r="DL410" s="2" t="s">
        <v>3</v>
      </c>
      <c r="DM410" s="2" t="s">
        <v>3</v>
      </c>
      <c r="DN410" s="2">
        <v>0</v>
      </c>
      <c r="DO410" s="2">
        <v>0</v>
      </c>
      <c r="DP410" s="2">
        <v>1</v>
      </c>
      <c r="DQ410" s="2">
        <v>1</v>
      </c>
      <c r="DR410" s="2"/>
      <c r="DS410" s="2"/>
      <c r="DT410" s="2"/>
      <c r="DU410" s="2">
        <v>1013</v>
      </c>
      <c r="DV410" s="2" t="s">
        <v>26</v>
      </c>
      <c r="DW410" s="2" t="s">
        <v>26</v>
      </c>
      <c r="DX410" s="2">
        <v>1</v>
      </c>
      <c r="DY410" s="2"/>
      <c r="DZ410" s="2" t="s">
        <v>3</v>
      </c>
      <c r="EA410" s="2" t="s">
        <v>3</v>
      </c>
      <c r="EB410" s="2" t="s">
        <v>3</v>
      </c>
      <c r="EC410" s="2" t="s">
        <v>3</v>
      </c>
      <c r="ED410" s="2"/>
      <c r="EE410" s="2">
        <v>57042958</v>
      </c>
      <c r="EF410" s="2">
        <v>40</v>
      </c>
      <c r="EG410" s="2" t="s">
        <v>30</v>
      </c>
      <c r="EH410" s="2">
        <v>0</v>
      </c>
      <c r="EI410" s="2" t="s">
        <v>3</v>
      </c>
      <c r="EJ410" s="2">
        <v>2</v>
      </c>
      <c r="EK410" s="2">
        <v>68</v>
      </c>
      <c r="EL410" s="2" t="s">
        <v>38</v>
      </c>
      <c r="EM410" s="2" t="s">
        <v>39</v>
      </c>
      <c r="EN410" s="2"/>
      <c r="EO410" s="2" t="s">
        <v>109</v>
      </c>
      <c r="EP410" s="2"/>
      <c r="EQ410" s="2">
        <v>131072</v>
      </c>
      <c r="ER410" s="2">
        <v>36.33</v>
      </c>
      <c r="ES410" s="2">
        <v>3.71</v>
      </c>
      <c r="ET410" s="2">
        <v>0.05</v>
      </c>
      <c r="EU410" s="2">
        <v>0.01</v>
      </c>
      <c r="EV410" s="2">
        <v>32.57</v>
      </c>
      <c r="EW410" s="2">
        <v>2.4</v>
      </c>
      <c r="EX410" s="2">
        <v>0</v>
      </c>
      <c r="EY410" s="2">
        <v>0</v>
      </c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>
        <v>0</v>
      </c>
      <c r="FR410" s="2">
        <v>0</v>
      </c>
      <c r="FS410" s="2">
        <v>0</v>
      </c>
      <c r="FT410" s="2"/>
      <c r="FU410" s="2"/>
      <c r="FV410" s="2"/>
      <c r="FW410" s="2"/>
      <c r="FX410" s="2">
        <v>90</v>
      </c>
      <c r="FY410" s="2">
        <v>46</v>
      </c>
      <c r="FZ410" s="2"/>
      <c r="GA410" s="2" t="s">
        <v>3</v>
      </c>
      <c r="GB410" s="2"/>
      <c r="GC410" s="2"/>
      <c r="GD410" s="2">
        <v>1</v>
      </c>
      <c r="GE410" s="2"/>
      <c r="GF410" s="2">
        <v>-836136775</v>
      </c>
      <c r="GG410" s="2">
        <v>2</v>
      </c>
      <c r="GH410" s="2">
        <v>1</v>
      </c>
      <c r="GI410" s="2">
        <v>2</v>
      </c>
      <c r="GJ410" s="2">
        <v>0</v>
      </c>
      <c r="GK410" s="2">
        <v>0</v>
      </c>
      <c r="GL410" s="2">
        <f t="shared" si="350"/>
        <v>0</v>
      </c>
      <c r="GM410" s="2">
        <f t="shared" si="351"/>
        <v>2509.0700000000002</v>
      </c>
      <c r="GN410" s="2">
        <f t="shared" si="352"/>
        <v>0</v>
      </c>
      <c r="GO410" s="2">
        <f t="shared" si="353"/>
        <v>2509.0700000000002</v>
      </c>
      <c r="GP410" s="2">
        <f t="shared" si="354"/>
        <v>0</v>
      </c>
      <c r="GQ410" s="2"/>
      <c r="GR410" s="2">
        <v>0</v>
      </c>
      <c r="GS410" s="2">
        <v>3</v>
      </c>
      <c r="GT410" s="2">
        <v>0</v>
      </c>
      <c r="GU410" s="2" t="s">
        <v>3</v>
      </c>
      <c r="GV410" s="2">
        <f t="shared" si="355"/>
        <v>0</v>
      </c>
      <c r="GW410" s="2">
        <v>1</v>
      </c>
      <c r="GX410" s="2">
        <f t="shared" si="356"/>
        <v>0</v>
      </c>
      <c r="GY410" s="2"/>
      <c r="GZ410" s="2"/>
      <c r="HA410" s="2">
        <v>0</v>
      </c>
      <c r="HB410" s="2">
        <v>0</v>
      </c>
      <c r="HC410" s="2">
        <f t="shared" si="357"/>
        <v>0</v>
      </c>
      <c r="HD410" s="2"/>
      <c r="HE410" s="2" t="s">
        <v>3</v>
      </c>
      <c r="HF410" s="2" t="s">
        <v>3</v>
      </c>
      <c r="HG410" s="2"/>
      <c r="HH410" s="2"/>
      <c r="HI410" s="2"/>
      <c r="HJ410" s="2"/>
      <c r="HK410" s="2"/>
      <c r="HL410" s="2"/>
      <c r="HM410" s="2" t="s">
        <v>3</v>
      </c>
      <c r="HN410" s="2" t="s">
        <v>3</v>
      </c>
      <c r="HO410" s="2" t="s">
        <v>3</v>
      </c>
      <c r="HP410" s="2" t="s">
        <v>3</v>
      </c>
      <c r="HQ410" s="2" t="s">
        <v>3</v>
      </c>
      <c r="HR410" s="2"/>
      <c r="HS410" s="2">
        <v>0</v>
      </c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>
        <v>0</v>
      </c>
      <c r="IL410" s="2"/>
      <c r="IM410" s="2"/>
      <c r="IN410" s="2"/>
      <c r="IO410" s="2"/>
      <c r="IP410" s="2"/>
      <c r="IQ410" s="2"/>
      <c r="IR410" s="2"/>
      <c r="IS410" s="2"/>
      <c r="IT410" s="2"/>
      <c r="IU410" s="2"/>
    </row>
    <row r="411" spans="1:255" x14ac:dyDescent="0.25">
      <c r="A411" s="3">
        <v>17</v>
      </c>
      <c r="B411" s="3">
        <v>1</v>
      </c>
      <c r="C411" s="3">
        <f>ROW(SmtRes!A280)</f>
        <v>280</v>
      </c>
      <c r="D411" s="3">
        <f>ROW(EtalonRes!A288)</f>
        <v>288</v>
      </c>
      <c r="E411" s="3" t="s">
        <v>341</v>
      </c>
      <c r="F411" s="3" t="s">
        <v>91</v>
      </c>
      <c r="G411" s="3" t="s">
        <v>342</v>
      </c>
      <c r="H411" s="3" t="s">
        <v>26</v>
      </c>
      <c r="I411" s="3">
        <f>ROUND(24+1,9)</f>
        <v>25</v>
      </c>
      <c r="J411" s="3">
        <v>0</v>
      </c>
      <c r="K411" s="3">
        <f>ROUND(24+1,9)</f>
        <v>25</v>
      </c>
      <c r="O411" s="3">
        <f t="shared" si="318"/>
        <v>58591.24</v>
      </c>
      <c r="P411" s="3">
        <f t="shared" si="358"/>
        <v>912.66</v>
      </c>
      <c r="Q411" s="3">
        <f>(ROUND((ROUND((((ET411*1.2))*AV411*I411),2)*BB411),2)+ROUND((ROUND(((AE411-((EU411*1.2)))*AV411*I411),2)*BS411),2))</f>
        <v>31.4</v>
      </c>
      <c r="R411" s="3">
        <f>(ROUND((ROUND((((EU411*1.2))*AV411*I411),2)*BS411),2)+ROUND((ROUND(((AE411-((EU411*1.2)))*AV411*I411),2)*BS411),2))</f>
        <v>17.47</v>
      </c>
      <c r="S411" s="3">
        <f t="shared" si="322"/>
        <v>57647.18</v>
      </c>
      <c r="T411" s="3">
        <f t="shared" si="323"/>
        <v>0</v>
      </c>
      <c r="U411" s="3">
        <f t="shared" si="324"/>
        <v>75.384</v>
      </c>
      <c r="V411" s="3">
        <f t="shared" si="325"/>
        <v>0</v>
      </c>
      <c r="W411" s="3">
        <f t="shared" si="326"/>
        <v>0</v>
      </c>
      <c r="X411" s="3">
        <f>(ROUND((((S411+ROUND((ROUND((((EU411*1.2))*AV411*I411),2)*BS411),2))*AT411)/100),2)+ROUND(((ROUND((ROUND(((AE411-((EU411*1.2)))*AV411*I411),2)*BS411),2)*AT411)/100),2))</f>
        <v>51898.19</v>
      </c>
      <c r="Y411" s="3">
        <f>(ROUND((((S411+ROUND((ROUND((((EU411*1.2))*AV411*I411),2)*BS411),2))*AU411)/100),2)+ROUND(((ROUND((ROUND(((AE411-((EU411*1.2)))*AV411*I411),2)*BS411),2)*AU411)/100),2))</f>
        <v>26525.74</v>
      </c>
      <c r="AA411" s="3">
        <v>57034454</v>
      </c>
      <c r="AB411" s="3">
        <f t="shared" si="329"/>
        <v>42.853999999999999</v>
      </c>
      <c r="AC411" s="3">
        <f>ROUND(((ES411*1)),6)</f>
        <v>3.71</v>
      </c>
      <c r="AD411" s="3">
        <f>ROUND(((((ET411*1.2))-((EU411*1.2)))+AE411),6)</f>
        <v>0.06</v>
      </c>
      <c r="AE411" s="3">
        <f>ROUND(((EU411*1.2)),6)</f>
        <v>1.2E-2</v>
      </c>
      <c r="AF411" s="3">
        <f>ROUND(((EV411*1.2)),6)</f>
        <v>39.084000000000003</v>
      </c>
      <c r="AG411" s="3">
        <f t="shared" si="334"/>
        <v>0</v>
      </c>
      <c r="AH411" s="3">
        <f>((EW411*1.2))</f>
        <v>2.88</v>
      </c>
      <c r="AI411" s="3">
        <f>((EX411*1.2))</f>
        <v>0</v>
      </c>
      <c r="AJ411" s="3">
        <f t="shared" si="337"/>
        <v>0</v>
      </c>
      <c r="AK411" s="3">
        <v>36.33</v>
      </c>
      <c r="AL411" s="3">
        <v>3.71</v>
      </c>
      <c r="AM411" s="3">
        <v>0.05</v>
      </c>
      <c r="AN411" s="3">
        <v>0.01</v>
      </c>
      <c r="AO411" s="3">
        <v>32.57</v>
      </c>
      <c r="AP411" s="3">
        <v>0</v>
      </c>
      <c r="AQ411" s="3">
        <v>2.4</v>
      </c>
      <c r="AR411" s="3">
        <v>0</v>
      </c>
      <c r="AS411" s="3">
        <v>0</v>
      </c>
      <c r="AT411" s="3">
        <v>90</v>
      </c>
      <c r="AU411" s="3">
        <v>46</v>
      </c>
      <c r="AV411" s="3">
        <v>1.0469999999999999</v>
      </c>
      <c r="AW411" s="3">
        <v>1</v>
      </c>
      <c r="AZ411" s="3">
        <v>1</v>
      </c>
      <c r="BA411" s="3">
        <v>56.35</v>
      </c>
      <c r="BB411" s="3">
        <v>20</v>
      </c>
      <c r="BC411" s="3">
        <v>9.84</v>
      </c>
      <c r="BD411" s="3" t="s">
        <v>3</v>
      </c>
      <c r="BE411" s="3" t="s">
        <v>3</v>
      </c>
      <c r="BF411" s="3" t="s">
        <v>3</v>
      </c>
      <c r="BG411" s="3" t="s">
        <v>3</v>
      </c>
      <c r="BH411" s="3">
        <v>0</v>
      </c>
      <c r="BI411" s="3">
        <v>2</v>
      </c>
      <c r="BJ411" s="3" t="s">
        <v>93</v>
      </c>
      <c r="BM411" s="3">
        <v>68</v>
      </c>
      <c r="BN411" s="3">
        <v>0</v>
      </c>
      <c r="BO411" s="3" t="s">
        <v>91</v>
      </c>
      <c r="BP411" s="3">
        <v>1</v>
      </c>
      <c r="BQ411" s="3">
        <v>40</v>
      </c>
      <c r="BR411" s="3">
        <v>0</v>
      </c>
      <c r="BS411" s="3">
        <v>56.35</v>
      </c>
      <c r="BT411" s="3">
        <v>1</v>
      </c>
      <c r="BU411" s="3">
        <v>1</v>
      </c>
      <c r="BV411" s="3">
        <v>1</v>
      </c>
      <c r="BW411" s="3">
        <v>1</v>
      </c>
      <c r="BX411" s="3">
        <v>1</v>
      </c>
      <c r="BY411" s="3" t="s">
        <v>3</v>
      </c>
      <c r="BZ411" s="3">
        <v>90</v>
      </c>
      <c r="CA411" s="3">
        <v>46</v>
      </c>
      <c r="CB411" s="3" t="s">
        <v>3</v>
      </c>
      <c r="CE411" s="3">
        <v>1566</v>
      </c>
      <c r="CF411" s="3">
        <v>0</v>
      </c>
      <c r="CG411" s="3">
        <v>0</v>
      </c>
      <c r="CM411" s="3">
        <v>0</v>
      </c>
      <c r="CN411" s="3" t="s">
        <v>614</v>
      </c>
      <c r="CO411" s="3">
        <v>0</v>
      </c>
      <c r="CP411" s="3">
        <f t="shared" si="338"/>
        <v>58591.24</v>
      </c>
      <c r="CQ411" s="3">
        <f t="shared" si="359"/>
        <v>36.51</v>
      </c>
      <c r="CR411" s="3">
        <f>(ROUND((ROUND((((ET411*1.2))*AV411*1),2)*BB411),2)+ROUND((ROUND(((AE411-((EU411*1.2)))*AV411*1),2)*BS411),2))</f>
        <v>1.2</v>
      </c>
      <c r="CS411" s="3">
        <f>(ROUND((ROUND((((EU411*1.2))*AV411*1),2)*BS411),2)+ROUND((ROUND(((AE411-((EU411*1.2)))*AV411*1),2)*BS411),2))</f>
        <v>0.56000000000000005</v>
      </c>
      <c r="CT411" s="3">
        <f t="shared" si="342"/>
        <v>2305.84</v>
      </c>
      <c r="CU411" s="3">
        <f t="shared" si="343"/>
        <v>0</v>
      </c>
      <c r="CV411" s="3">
        <f t="shared" si="344"/>
        <v>3.0153599999999998</v>
      </c>
      <c r="CW411" s="3">
        <f t="shared" si="345"/>
        <v>0</v>
      </c>
      <c r="CX411" s="3">
        <f t="shared" si="346"/>
        <v>0</v>
      </c>
      <c r="CY411" s="3">
        <f>(ROUND((((S411+ROUND((ROUND((((EU411*1.2))*AV411*1),2)*BS411),2))*AT411)/100),2)+ROUND(((ROUND((ROUND(((AE411-((EU411*1.2)))*AV411*1),2)*BS411),2)*AT411)/100),2))</f>
        <v>51882.97</v>
      </c>
      <c r="CZ411" s="3">
        <f>(ROUND((((S411+ROUND((ROUND((((EU411*1.2))*AV411*1),2)*BS411),2))*AU411)/100),2)+ROUND(((ROUND((ROUND(((AE411-((EU411*1.2)))*AV411*1),2)*BS411),2)*AU411)/100),2))</f>
        <v>26517.96</v>
      </c>
      <c r="DB411" s="3">
        <v>130</v>
      </c>
      <c r="DC411" s="3" t="s">
        <v>3</v>
      </c>
      <c r="DD411" s="3" t="s">
        <v>104</v>
      </c>
      <c r="DE411" s="3" t="s">
        <v>105</v>
      </c>
      <c r="DF411" s="3" t="s">
        <v>105</v>
      </c>
      <c r="DG411" s="3" t="s">
        <v>105</v>
      </c>
      <c r="DH411" s="3" t="s">
        <v>3</v>
      </c>
      <c r="DI411" s="3" t="s">
        <v>105</v>
      </c>
      <c r="DJ411" s="3" t="s">
        <v>105</v>
      </c>
      <c r="DK411" s="3" t="s">
        <v>3</v>
      </c>
      <c r="DL411" s="3" t="s">
        <v>3</v>
      </c>
      <c r="DM411" s="3" t="s">
        <v>3</v>
      </c>
      <c r="DN411" s="3">
        <v>0</v>
      </c>
      <c r="DO411" s="3">
        <v>0</v>
      </c>
      <c r="DP411" s="3">
        <v>1</v>
      </c>
      <c r="DQ411" s="3">
        <v>1</v>
      </c>
      <c r="DU411" s="3">
        <v>1013</v>
      </c>
      <c r="DV411" s="3" t="s">
        <v>26</v>
      </c>
      <c r="DW411" s="3" t="s">
        <v>26</v>
      </c>
      <c r="DX411" s="3">
        <v>1</v>
      </c>
      <c r="DZ411" s="3" t="s">
        <v>3</v>
      </c>
      <c r="EA411" s="3" t="s">
        <v>3</v>
      </c>
      <c r="EB411" s="3" t="s">
        <v>3</v>
      </c>
      <c r="EC411" s="3" t="s">
        <v>3</v>
      </c>
      <c r="EE411" s="3">
        <v>57042958</v>
      </c>
      <c r="EF411" s="3">
        <v>40</v>
      </c>
      <c r="EG411" s="3" t="s">
        <v>30</v>
      </c>
      <c r="EH411" s="3">
        <v>0</v>
      </c>
      <c r="EI411" s="3" t="s">
        <v>3</v>
      </c>
      <c r="EJ411" s="3">
        <v>2</v>
      </c>
      <c r="EK411" s="3">
        <v>68</v>
      </c>
      <c r="EL411" s="3" t="s">
        <v>38</v>
      </c>
      <c r="EM411" s="3" t="s">
        <v>39</v>
      </c>
      <c r="EO411" s="3" t="s">
        <v>109</v>
      </c>
      <c r="EQ411" s="3">
        <v>131072</v>
      </c>
      <c r="ER411" s="3">
        <v>36.33</v>
      </c>
      <c r="ES411" s="3">
        <v>3.71</v>
      </c>
      <c r="ET411" s="3">
        <v>0.05</v>
      </c>
      <c r="EU411" s="3">
        <v>0.01</v>
      </c>
      <c r="EV411" s="3">
        <v>32.57</v>
      </c>
      <c r="EW411" s="3">
        <v>2.4</v>
      </c>
      <c r="EX411" s="3">
        <v>0</v>
      </c>
      <c r="EY411" s="3">
        <v>0</v>
      </c>
      <c r="FQ411" s="3">
        <v>0</v>
      </c>
      <c r="FR411" s="3">
        <v>0</v>
      </c>
      <c r="FS411" s="3">
        <v>0</v>
      </c>
      <c r="FX411" s="3">
        <v>90</v>
      </c>
      <c r="FY411" s="3">
        <v>46</v>
      </c>
      <c r="GA411" s="3" t="s">
        <v>3</v>
      </c>
      <c r="GD411" s="3">
        <v>1</v>
      </c>
      <c r="GF411" s="3">
        <v>-836136775</v>
      </c>
      <c r="GG411" s="3">
        <v>2</v>
      </c>
      <c r="GH411" s="3">
        <v>1</v>
      </c>
      <c r="GI411" s="3">
        <v>2</v>
      </c>
      <c r="GJ411" s="3">
        <v>0</v>
      </c>
      <c r="GK411" s="3">
        <v>0</v>
      </c>
      <c r="GL411" s="3">
        <f t="shared" si="350"/>
        <v>0</v>
      </c>
      <c r="GM411" s="3">
        <f t="shared" si="351"/>
        <v>137015.17000000001</v>
      </c>
      <c r="GN411" s="3">
        <f t="shared" si="352"/>
        <v>0</v>
      </c>
      <c r="GO411" s="3">
        <f t="shared" si="353"/>
        <v>137015.17000000001</v>
      </c>
      <c r="GP411" s="3">
        <f t="shared" si="354"/>
        <v>0</v>
      </c>
      <c r="GR411" s="3">
        <v>0</v>
      </c>
      <c r="GS411" s="3">
        <v>3</v>
      </c>
      <c r="GT411" s="3">
        <v>0</v>
      </c>
      <c r="GU411" s="3" t="s">
        <v>3</v>
      </c>
      <c r="GV411" s="3">
        <f t="shared" si="355"/>
        <v>0</v>
      </c>
      <c r="GW411" s="3">
        <v>1</v>
      </c>
      <c r="GX411" s="3">
        <f t="shared" si="356"/>
        <v>0</v>
      </c>
      <c r="HA411" s="3">
        <v>0</v>
      </c>
      <c r="HB411" s="3">
        <v>0</v>
      </c>
      <c r="HC411" s="3">
        <f t="shared" si="357"/>
        <v>0</v>
      </c>
      <c r="HE411" s="3" t="s">
        <v>3</v>
      </c>
      <c r="HF411" s="3" t="s">
        <v>3</v>
      </c>
      <c r="HM411" s="3" t="s">
        <v>3</v>
      </c>
      <c r="HN411" s="3" t="s">
        <v>3</v>
      </c>
      <c r="HO411" s="3" t="s">
        <v>3</v>
      </c>
      <c r="HP411" s="3" t="s">
        <v>3</v>
      </c>
      <c r="HQ411" s="3" t="s">
        <v>3</v>
      </c>
      <c r="HS411" s="3">
        <v>0</v>
      </c>
      <c r="IK411" s="3">
        <v>0</v>
      </c>
    </row>
    <row r="412" spans="1:255" x14ac:dyDescent="0.25">
      <c r="A412" s="2">
        <v>18</v>
      </c>
      <c r="B412" s="2">
        <v>1</v>
      </c>
      <c r="C412" s="2">
        <v>276</v>
      </c>
      <c r="D412" s="2"/>
      <c r="E412" s="2" t="s">
        <v>343</v>
      </c>
      <c r="F412" s="2" t="s">
        <v>344</v>
      </c>
      <c r="G412" s="2" t="s">
        <v>345</v>
      </c>
      <c r="H412" s="2" t="s">
        <v>177</v>
      </c>
      <c r="I412" s="2">
        <f>I410*J412</f>
        <v>24</v>
      </c>
      <c r="J412" s="2">
        <v>0.96</v>
      </c>
      <c r="K412" s="2">
        <v>0.96</v>
      </c>
      <c r="L412" s="2"/>
      <c r="M412" s="2"/>
      <c r="N412" s="2"/>
      <c r="O412" s="2">
        <f t="shared" si="318"/>
        <v>3431.76</v>
      </c>
      <c r="P412" s="2">
        <f t="shared" si="358"/>
        <v>3431.76</v>
      </c>
      <c r="Q412" s="2">
        <f>(ROUND((ROUND(((ET412)*AV412*I412),2)*BB412),2)+ROUND((ROUND(((AE412-(EU412))*AV412*I412),2)*BS412),2))</f>
        <v>0</v>
      </c>
      <c r="R412" s="2">
        <f>(ROUND((ROUND(((EU412)*AV412*I412),2)*BS412),2)+ROUND((ROUND(((AE412-(EU412))*AV412*I412),2)*BS412),2))</f>
        <v>0</v>
      </c>
      <c r="S412" s="2">
        <f t="shared" si="322"/>
        <v>0</v>
      </c>
      <c r="T412" s="2">
        <f t="shared" si="323"/>
        <v>0</v>
      </c>
      <c r="U412" s="2">
        <f t="shared" si="324"/>
        <v>0</v>
      </c>
      <c r="V412" s="2">
        <f t="shared" si="325"/>
        <v>0</v>
      </c>
      <c r="W412" s="2">
        <f t="shared" si="326"/>
        <v>0</v>
      </c>
      <c r="X412" s="2">
        <f>(ROUND((((S412+ROUND((ROUND(((EU412)*AV412*I412),2)*BS412),2))*AT412)/100),2)+ROUND(((ROUND((ROUND(((AE412-(EU412))*AV412*I412),2)*BS412),2)*AT412)/100),2))</f>
        <v>0</v>
      </c>
      <c r="Y412" s="2">
        <f>(ROUND((((S412+ROUND((ROUND(((EU412)*AV412*I412),2)*BS412),2))*AU412)/100),2)+ROUND(((ROUND((ROUND(((AE412-(EU412))*AV412*I412),2)*BS412),2)*AU412)/100),2))</f>
        <v>0</v>
      </c>
      <c r="Z412" s="2"/>
      <c r="AA412" s="2">
        <v>57034452</v>
      </c>
      <c r="AB412" s="2">
        <f t="shared" si="329"/>
        <v>142.99</v>
      </c>
      <c r="AC412" s="2">
        <f>ROUND((ES412),6)</f>
        <v>142.99</v>
      </c>
      <c r="AD412" s="2">
        <f>ROUND((((ET412)-(EU412))+AE412),6)</f>
        <v>0</v>
      </c>
      <c r="AE412" s="2">
        <f t="shared" ref="AE412:AF415" si="360">ROUND((EU412),6)</f>
        <v>0</v>
      </c>
      <c r="AF412" s="2">
        <f t="shared" si="360"/>
        <v>0</v>
      </c>
      <c r="AG412" s="2">
        <f t="shared" si="334"/>
        <v>0</v>
      </c>
      <c r="AH412" s="2">
        <f t="shared" ref="AH412:AI415" si="361">(EW412)</f>
        <v>0</v>
      </c>
      <c r="AI412" s="2">
        <f t="shared" si="361"/>
        <v>0</v>
      </c>
      <c r="AJ412" s="2">
        <f t="shared" si="337"/>
        <v>0</v>
      </c>
      <c r="AK412" s="2">
        <v>142.99</v>
      </c>
      <c r="AL412" s="2">
        <v>142.99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90</v>
      </c>
      <c r="AU412" s="2">
        <v>46</v>
      </c>
      <c r="AV412" s="2">
        <v>1</v>
      </c>
      <c r="AW412" s="2">
        <v>1</v>
      </c>
      <c r="AX412" s="2"/>
      <c r="AY412" s="2"/>
      <c r="AZ412" s="2">
        <v>1</v>
      </c>
      <c r="BA412" s="2">
        <v>1</v>
      </c>
      <c r="BB412" s="2">
        <v>1</v>
      </c>
      <c r="BC412" s="2">
        <v>1</v>
      </c>
      <c r="BD412" s="2" t="s">
        <v>3</v>
      </c>
      <c r="BE412" s="2" t="s">
        <v>3</v>
      </c>
      <c r="BF412" s="2" t="s">
        <v>3</v>
      </c>
      <c r="BG412" s="2" t="s">
        <v>3</v>
      </c>
      <c r="BH412" s="2">
        <v>3</v>
      </c>
      <c r="BI412" s="2">
        <v>2</v>
      </c>
      <c r="BJ412" s="2" t="s">
        <v>3</v>
      </c>
      <c r="BK412" s="2"/>
      <c r="BL412" s="2"/>
      <c r="BM412" s="2">
        <v>68</v>
      </c>
      <c r="BN412" s="2">
        <v>0</v>
      </c>
      <c r="BO412" s="2" t="s">
        <v>3</v>
      </c>
      <c r="BP412" s="2">
        <v>0</v>
      </c>
      <c r="BQ412" s="2">
        <v>40</v>
      </c>
      <c r="BR412" s="2">
        <v>0</v>
      </c>
      <c r="BS412" s="2">
        <v>1</v>
      </c>
      <c r="BT412" s="2">
        <v>1</v>
      </c>
      <c r="BU412" s="2">
        <v>1</v>
      </c>
      <c r="BV412" s="2">
        <v>1</v>
      </c>
      <c r="BW412" s="2">
        <v>1</v>
      </c>
      <c r="BX412" s="2">
        <v>1</v>
      </c>
      <c r="BY412" s="2" t="s">
        <v>3</v>
      </c>
      <c r="BZ412" s="2">
        <v>90</v>
      </c>
      <c r="CA412" s="2">
        <v>46</v>
      </c>
      <c r="CB412" s="2" t="s">
        <v>3</v>
      </c>
      <c r="CC412" s="2"/>
      <c r="CD412" s="2"/>
      <c r="CE412" s="2">
        <v>1566</v>
      </c>
      <c r="CF412" s="2">
        <v>0</v>
      </c>
      <c r="CG412" s="2">
        <v>0</v>
      </c>
      <c r="CH412" s="2"/>
      <c r="CI412" s="2"/>
      <c r="CJ412" s="2"/>
      <c r="CK412" s="2"/>
      <c r="CL412" s="2"/>
      <c r="CM412" s="2">
        <v>0</v>
      </c>
      <c r="CN412" s="2" t="s">
        <v>615</v>
      </c>
      <c r="CO412" s="2">
        <v>0</v>
      </c>
      <c r="CP412" s="2">
        <f t="shared" si="338"/>
        <v>3431.76</v>
      </c>
      <c r="CQ412" s="2">
        <f t="shared" si="359"/>
        <v>142.99</v>
      </c>
      <c r="CR412" s="2">
        <f>(ROUND((ROUND(((ET412)*AV412*1),2)*BB412),2)+ROUND((ROUND(((AE412-(EU412))*AV412*1),2)*BS412),2))</f>
        <v>0</v>
      </c>
      <c r="CS412" s="2">
        <f>(ROUND((ROUND(((EU412)*AV412*1),2)*BS412),2)+ROUND((ROUND(((AE412-(EU412))*AV412*1),2)*BS412),2))</f>
        <v>0</v>
      </c>
      <c r="CT412" s="2">
        <f t="shared" si="342"/>
        <v>0</v>
      </c>
      <c r="CU412" s="2">
        <f t="shared" si="343"/>
        <v>0</v>
      </c>
      <c r="CV412" s="2">
        <f t="shared" si="344"/>
        <v>0</v>
      </c>
      <c r="CW412" s="2">
        <f t="shared" si="345"/>
        <v>0</v>
      </c>
      <c r="CX412" s="2">
        <f t="shared" si="346"/>
        <v>0</v>
      </c>
      <c r="CY412" s="2">
        <f>(ROUND((((S412+ROUND((ROUND(((EU412)*AV412*1),2)*BS412),2))*AT412)/100),2)+ROUND(((ROUND((ROUND(((AE412-(EU412))*AV412*1),2)*BS412),2)*AT412)/100),2))</f>
        <v>0</v>
      </c>
      <c r="CZ412" s="2">
        <f>(ROUND((((S412+ROUND((ROUND(((EU412)*AV412*1),2)*BS412),2))*AU412)/100),2)+ROUND(((ROUND((ROUND(((AE412-(EU412))*AV412*1),2)*BS412),2)*AU412)/100),2))</f>
        <v>0</v>
      </c>
      <c r="DA412" s="2"/>
      <c r="DB412" s="2"/>
      <c r="DC412" s="2" t="s">
        <v>3</v>
      </c>
      <c r="DD412" s="2" t="s">
        <v>3</v>
      </c>
      <c r="DE412" s="2" t="s">
        <v>3</v>
      </c>
      <c r="DF412" s="2" t="s">
        <v>3</v>
      </c>
      <c r="DG412" s="2" t="s">
        <v>3</v>
      </c>
      <c r="DH412" s="2" t="s">
        <v>3</v>
      </c>
      <c r="DI412" s="2" t="s">
        <v>3</v>
      </c>
      <c r="DJ412" s="2" t="s">
        <v>3</v>
      </c>
      <c r="DK412" s="2" t="s">
        <v>3</v>
      </c>
      <c r="DL412" s="2" t="s">
        <v>3</v>
      </c>
      <c r="DM412" s="2" t="s">
        <v>3</v>
      </c>
      <c r="DN412" s="2">
        <v>0</v>
      </c>
      <c r="DO412" s="2">
        <v>0</v>
      </c>
      <c r="DP412" s="2">
        <v>1</v>
      </c>
      <c r="DQ412" s="2">
        <v>1</v>
      </c>
      <c r="DR412" s="2"/>
      <c r="DS412" s="2"/>
      <c r="DT412" s="2"/>
      <c r="DU412" s="2">
        <v>1010</v>
      </c>
      <c r="DV412" s="2" t="s">
        <v>177</v>
      </c>
      <c r="DW412" s="2" t="s">
        <v>177</v>
      </c>
      <c r="DX412" s="2">
        <v>1</v>
      </c>
      <c r="DY412" s="2"/>
      <c r="DZ412" s="2" t="s">
        <v>3</v>
      </c>
      <c r="EA412" s="2" t="s">
        <v>3</v>
      </c>
      <c r="EB412" s="2" t="s">
        <v>3</v>
      </c>
      <c r="EC412" s="2" t="s">
        <v>3</v>
      </c>
      <c r="ED412" s="2"/>
      <c r="EE412" s="2">
        <v>57042958</v>
      </c>
      <c r="EF412" s="2">
        <v>40</v>
      </c>
      <c r="EG412" s="2" t="s">
        <v>30</v>
      </c>
      <c r="EH412" s="2">
        <v>0</v>
      </c>
      <c r="EI412" s="2" t="s">
        <v>3</v>
      </c>
      <c r="EJ412" s="2">
        <v>2</v>
      </c>
      <c r="EK412" s="2">
        <v>68</v>
      </c>
      <c r="EL412" s="2" t="s">
        <v>38</v>
      </c>
      <c r="EM412" s="2" t="s">
        <v>39</v>
      </c>
      <c r="EN412" s="2"/>
      <c r="EO412" s="2" t="s">
        <v>109</v>
      </c>
      <c r="EP412" s="2"/>
      <c r="EQ412" s="2">
        <v>2097152</v>
      </c>
      <c r="ER412" s="2">
        <v>0</v>
      </c>
      <c r="ES412" s="2">
        <v>142.99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>
        <v>0</v>
      </c>
      <c r="FR412" s="2">
        <v>0</v>
      </c>
      <c r="FS412" s="2">
        <v>0</v>
      </c>
      <c r="FT412" s="2"/>
      <c r="FU412" s="2"/>
      <c r="FV412" s="2"/>
      <c r="FW412" s="2"/>
      <c r="FX412" s="2">
        <v>90</v>
      </c>
      <c r="FY412" s="2">
        <v>46</v>
      </c>
      <c r="FZ412" s="2"/>
      <c r="GA412" s="2" t="s">
        <v>346</v>
      </c>
      <c r="GB412" s="2"/>
      <c r="GC412" s="2"/>
      <c r="GD412" s="2">
        <v>1</v>
      </c>
      <c r="GE412" s="2"/>
      <c r="GF412" s="2">
        <v>1099107314</v>
      </c>
      <c r="GG412" s="2">
        <v>2</v>
      </c>
      <c r="GH412" s="2">
        <v>4</v>
      </c>
      <c r="GI412" s="2">
        <v>-2</v>
      </c>
      <c r="GJ412" s="2">
        <v>0</v>
      </c>
      <c r="GK412" s="2">
        <v>0</v>
      </c>
      <c r="GL412" s="2">
        <f t="shared" si="350"/>
        <v>0</v>
      </c>
      <c r="GM412" s="2">
        <f t="shared" si="351"/>
        <v>3431.76</v>
      </c>
      <c r="GN412" s="2">
        <f t="shared" si="352"/>
        <v>0</v>
      </c>
      <c r="GO412" s="2">
        <f t="shared" si="353"/>
        <v>3431.76</v>
      </c>
      <c r="GP412" s="2">
        <f t="shared" si="354"/>
        <v>0</v>
      </c>
      <c r="GQ412" s="2"/>
      <c r="GR412" s="2">
        <v>0</v>
      </c>
      <c r="GS412" s="2">
        <v>2</v>
      </c>
      <c r="GT412" s="2">
        <v>0</v>
      </c>
      <c r="GU412" s="2" t="s">
        <v>3</v>
      </c>
      <c r="GV412" s="2">
        <f t="shared" si="355"/>
        <v>0</v>
      </c>
      <c r="GW412" s="2">
        <v>1</v>
      </c>
      <c r="GX412" s="2">
        <f t="shared" si="356"/>
        <v>0</v>
      </c>
      <c r="GY412" s="2"/>
      <c r="GZ412" s="2"/>
      <c r="HA412" s="2">
        <v>0</v>
      </c>
      <c r="HB412" s="2">
        <v>0</v>
      </c>
      <c r="HC412" s="2">
        <f t="shared" si="357"/>
        <v>0</v>
      </c>
      <c r="HD412" s="2"/>
      <c r="HE412" s="2" t="s">
        <v>347</v>
      </c>
      <c r="HF412" s="2" t="s">
        <v>34</v>
      </c>
      <c r="HG412" s="2"/>
      <c r="HH412" s="2"/>
      <c r="HI412" s="2"/>
      <c r="HJ412" s="2"/>
      <c r="HK412" s="2"/>
      <c r="HL412" s="2"/>
      <c r="HM412" s="2" t="s">
        <v>104</v>
      </c>
      <c r="HN412" s="2" t="s">
        <v>3</v>
      </c>
      <c r="HO412" s="2" t="s">
        <v>3</v>
      </c>
      <c r="HP412" s="2" t="s">
        <v>3</v>
      </c>
      <c r="HQ412" s="2" t="s">
        <v>3</v>
      </c>
      <c r="HR412" s="2"/>
      <c r="HS412" s="2">
        <v>0</v>
      </c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>
        <v>0</v>
      </c>
      <c r="IL412" s="2"/>
      <c r="IM412" s="2"/>
      <c r="IN412" s="2"/>
      <c r="IO412" s="2"/>
      <c r="IP412" s="2"/>
      <c r="IQ412" s="2"/>
      <c r="IR412" s="2"/>
      <c r="IS412" s="2"/>
      <c r="IT412" s="2"/>
      <c r="IU412" s="2"/>
    </row>
    <row r="413" spans="1:255" x14ac:dyDescent="0.25">
      <c r="A413" s="3">
        <v>18</v>
      </c>
      <c r="B413" s="3">
        <v>1</v>
      </c>
      <c r="C413" s="3">
        <v>279</v>
      </c>
      <c r="E413" s="3" t="s">
        <v>343</v>
      </c>
      <c r="F413" s="3" t="s">
        <v>344</v>
      </c>
      <c r="G413" s="3" t="s">
        <v>345</v>
      </c>
      <c r="H413" s="3" t="s">
        <v>177</v>
      </c>
      <c r="I413" s="3">
        <f>I411*J413</f>
        <v>24</v>
      </c>
      <c r="J413" s="3">
        <v>0.96</v>
      </c>
      <c r="K413" s="3">
        <v>0.96</v>
      </c>
      <c r="O413" s="3">
        <f t="shared" si="318"/>
        <v>33768.519999999997</v>
      </c>
      <c r="P413" s="3">
        <f t="shared" si="358"/>
        <v>33768.519999999997</v>
      </c>
      <c r="Q413" s="3">
        <f>(ROUND((ROUND(((ET413)*AV413*I413),2)*BB413),2)+ROUND((ROUND(((AE413-(EU413))*AV413*I413),2)*BS413),2))</f>
        <v>0</v>
      </c>
      <c r="R413" s="3">
        <f>(ROUND((ROUND(((EU413)*AV413*I413),2)*BS413),2)+ROUND((ROUND(((AE413-(EU413))*AV413*I413),2)*BS413),2))</f>
        <v>0</v>
      </c>
      <c r="S413" s="3">
        <f t="shared" si="322"/>
        <v>0</v>
      </c>
      <c r="T413" s="3">
        <f t="shared" si="323"/>
        <v>0</v>
      </c>
      <c r="U413" s="3">
        <f t="shared" si="324"/>
        <v>0</v>
      </c>
      <c r="V413" s="3">
        <f t="shared" si="325"/>
        <v>0</v>
      </c>
      <c r="W413" s="3">
        <f t="shared" si="326"/>
        <v>0</v>
      </c>
      <c r="X413" s="3">
        <f>(ROUND((((S413+ROUND((ROUND(((EU413)*AV413*I413),2)*BS413),2))*AT413)/100),2)+ROUND(((ROUND((ROUND(((AE413-(EU413))*AV413*I413),2)*BS413),2)*AT413)/100),2))</f>
        <v>0</v>
      </c>
      <c r="Y413" s="3">
        <f>(ROUND((((S413+ROUND((ROUND(((EU413)*AV413*I413),2)*BS413),2))*AU413)/100),2)+ROUND(((ROUND((ROUND(((AE413-(EU413))*AV413*I413),2)*BS413),2)*AU413)/100),2))</f>
        <v>0</v>
      </c>
      <c r="AA413" s="3">
        <v>57034454</v>
      </c>
      <c r="AB413" s="3">
        <f t="shared" si="329"/>
        <v>142.99</v>
      </c>
      <c r="AC413" s="3">
        <f>ROUND((ES413),6)</f>
        <v>142.99</v>
      </c>
      <c r="AD413" s="3">
        <f>ROUND((((ET413)-(EU413))+AE413),6)</f>
        <v>0</v>
      </c>
      <c r="AE413" s="3">
        <f t="shared" si="360"/>
        <v>0</v>
      </c>
      <c r="AF413" s="3">
        <f t="shared" si="360"/>
        <v>0</v>
      </c>
      <c r="AG413" s="3">
        <f t="shared" si="334"/>
        <v>0</v>
      </c>
      <c r="AH413" s="3">
        <f t="shared" si="361"/>
        <v>0</v>
      </c>
      <c r="AI413" s="3">
        <f t="shared" si="361"/>
        <v>0</v>
      </c>
      <c r="AJ413" s="3">
        <f t="shared" si="337"/>
        <v>0</v>
      </c>
      <c r="AK413" s="3">
        <v>142.99</v>
      </c>
      <c r="AL413" s="3">
        <v>142.99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90</v>
      </c>
      <c r="AU413" s="3">
        <v>46</v>
      </c>
      <c r="AV413" s="3">
        <v>1</v>
      </c>
      <c r="AW413" s="3">
        <v>1</v>
      </c>
      <c r="AZ413" s="3">
        <v>1</v>
      </c>
      <c r="BA413" s="3">
        <v>1</v>
      </c>
      <c r="BB413" s="3">
        <v>1</v>
      </c>
      <c r="BC413" s="3">
        <v>9.84</v>
      </c>
      <c r="BD413" s="3" t="s">
        <v>3</v>
      </c>
      <c r="BE413" s="3" t="s">
        <v>3</v>
      </c>
      <c r="BF413" s="3" t="s">
        <v>3</v>
      </c>
      <c r="BG413" s="3" t="s">
        <v>3</v>
      </c>
      <c r="BH413" s="3">
        <v>3</v>
      </c>
      <c r="BI413" s="3">
        <v>2</v>
      </c>
      <c r="BJ413" s="3" t="s">
        <v>3</v>
      </c>
      <c r="BM413" s="3">
        <v>68</v>
      </c>
      <c r="BN413" s="3">
        <v>0</v>
      </c>
      <c r="BO413" s="3" t="s">
        <v>3</v>
      </c>
      <c r="BP413" s="3">
        <v>0</v>
      </c>
      <c r="BQ413" s="3">
        <v>40</v>
      </c>
      <c r="BR413" s="3">
        <v>0</v>
      </c>
      <c r="BS413" s="3">
        <v>1</v>
      </c>
      <c r="BT413" s="3">
        <v>1</v>
      </c>
      <c r="BU413" s="3">
        <v>1</v>
      </c>
      <c r="BV413" s="3">
        <v>1</v>
      </c>
      <c r="BW413" s="3">
        <v>1</v>
      </c>
      <c r="BX413" s="3">
        <v>1</v>
      </c>
      <c r="BY413" s="3" t="s">
        <v>3</v>
      </c>
      <c r="BZ413" s="3">
        <v>90</v>
      </c>
      <c r="CA413" s="3">
        <v>46</v>
      </c>
      <c r="CB413" s="3" t="s">
        <v>3</v>
      </c>
      <c r="CE413" s="3">
        <v>1566</v>
      </c>
      <c r="CF413" s="3">
        <v>0</v>
      </c>
      <c r="CG413" s="3">
        <v>0</v>
      </c>
      <c r="CM413" s="3">
        <v>0</v>
      </c>
      <c r="CN413" s="3" t="s">
        <v>615</v>
      </c>
      <c r="CO413" s="3">
        <v>0</v>
      </c>
      <c r="CP413" s="3">
        <f t="shared" si="338"/>
        <v>33768.519999999997</v>
      </c>
      <c r="CQ413" s="3">
        <f t="shared" si="359"/>
        <v>1407.02</v>
      </c>
      <c r="CR413" s="3">
        <f>(ROUND((ROUND(((ET413)*AV413*1),2)*BB413),2)+ROUND((ROUND(((AE413-(EU413))*AV413*1),2)*BS413),2))</f>
        <v>0</v>
      </c>
      <c r="CS413" s="3">
        <f>(ROUND((ROUND(((EU413)*AV413*1),2)*BS413),2)+ROUND((ROUND(((AE413-(EU413))*AV413*1),2)*BS413),2))</f>
        <v>0</v>
      </c>
      <c r="CT413" s="3">
        <f t="shared" si="342"/>
        <v>0</v>
      </c>
      <c r="CU413" s="3">
        <f t="shared" si="343"/>
        <v>0</v>
      </c>
      <c r="CV413" s="3">
        <f t="shared" si="344"/>
        <v>0</v>
      </c>
      <c r="CW413" s="3">
        <f t="shared" si="345"/>
        <v>0</v>
      </c>
      <c r="CX413" s="3">
        <f t="shared" si="346"/>
        <v>0</v>
      </c>
      <c r="CY413" s="3">
        <f>(ROUND((((S413+ROUND((ROUND(((EU413)*AV413*1),2)*BS413),2))*AT413)/100),2)+ROUND(((ROUND((ROUND(((AE413-(EU413))*AV413*1),2)*BS413),2)*AT413)/100),2))</f>
        <v>0</v>
      </c>
      <c r="CZ413" s="3">
        <f>(ROUND((((S413+ROUND((ROUND(((EU413)*AV413*1),2)*BS413),2))*AU413)/100),2)+ROUND(((ROUND((ROUND(((AE413-(EU413))*AV413*1),2)*BS413),2)*AU413)/100),2))</f>
        <v>0</v>
      </c>
      <c r="DC413" s="3" t="s">
        <v>3</v>
      </c>
      <c r="DD413" s="3" t="s">
        <v>3</v>
      </c>
      <c r="DE413" s="3" t="s">
        <v>3</v>
      </c>
      <c r="DF413" s="3" t="s">
        <v>3</v>
      </c>
      <c r="DG413" s="3" t="s">
        <v>3</v>
      </c>
      <c r="DH413" s="3" t="s">
        <v>3</v>
      </c>
      <c r="DI413" s="3" t="s">
        <v>3</v>
      </c>
      <c r="DJ413" s="3" t="s">
        <v>3</v>
      </c>
      <c r="DK413" s="3" t="s">
        <v>3</v>
      </c>
      <c r="DL413" s="3" t="s">
        <v>3</v>
      </c>
      <c r="DM413" s="3" t="s">
        <v>3</v>
      </c>
      <c r="DN413" s="3">
        <v>0</v>
      </c>
      <c r="DO413" s="3">
        <v>0</v>
      </c>
      <c r="DP413" s="3">
        <v>1</v>
      </c>
      <c r="DQ413" s="3">
        <v>1</v>
      </c>
      <c r="DU413" s="3">
        <v>1010</v>
      </c>
      <c r="DV413" s="3" t="s">
        <v>177</v>
      </c>
      <c r="DW413" s="3" t="s">
        <v>177</v>
      </c>
      <c r="DX413" s="3">
        <v>1</v>
      </c>
      <c r="DZ413" s="3" t="s">
        <v>3</v>
      </c>
      <c r="EA413" s="3" t="s">
        <v>3</v>
      </c>
      <c r="EB413" s="3" t="s">
        <v>3</v>
      </c>
      <c r="EC413" s="3" t="s">
        <v>3</v>
      </c>
      <c r="EE413" s="3">
        <v>57042958</v>
      </c>
      <c r="EF413" s="3">
        <v>40</v>
      </c>
      <c r="EG413" s="3" t="s">
        <v>30</v>
      </c>
      <c r="EH413" s="3">
        <v>0</v>
      </c>
      <c r="EI413" s="3" t="s">
        <v>3</v>
      </c>
      <c r="EJ413" s="3">
        <v>2</v>
      </c>
      <c r="EK413" s="3">
        <v>68</v>
      </c>
      <c r="EL413" s="3" t="s">
        <v>38</v>
      </c>
      <c r="EM413" s="3" t="s">
        <v>39</v>
      </c>
      <c r="EO413" s="3" t="s">
        <v>109</v>
      </c>
      <c r="EQ413" s="3">
        <v>2097152</v>
      </c>
      <c r="ER413" s="3">
        <v>142.99</v>
      </c>
      <c r="ES413" s="3">
        <v>142.99</v>
      </c>
      <c r="ET413" s="3">
        <v>0</v>
      </c>
      <c r="EU413" s="3">
        <v>0</v>
      </c>
      <c r="EV413" s="3">
        <v>0</v>
      </c>
      <c r="EW413" s="3">
        <v>0</v>
      </c>
      <c r="EX413" s="3">
        <v>0</v>
      </c>
      <c r="EZ413" s="3">
        <v>5</v>
      </c>
      <c r="FC413" s="3">
        <v>1</v>
      </c>
      <c r="FD413" s="3">
        <v>18</v>
      </c>
      <c r="FF413" s="3">
        <v>1683</v>
      </c>
      <c r="FQ413" s="3">
        <v>0</v>
      </c>
      <c r="FR413" s="3">
        <v>0</v>
      </c>
      <c r="FS413" s="3">
        <v>0</v>
      </c>
      <c r="FX413" s="3">
        <v>90</v>
      </c>
      <c r="FY413" s="3">
        <v>46</v>
      </c>
      <c r="GA413" s="3" t="s">
        <v>346</v>
      </c>
      <c r="GD413" s="3">
        <v>1</v>
      </c>
      <c r="GF413" s="3">
        <v>1099107314</v>
      </c>
      <c r="GG413" s="3">
        <v>2</v>
      </c>
      <c r="GH413" s="3">
        <v>3</v>
      </c>
      <c r="GI413" s="3">
        <v>5</v>
      </c>
      <c r="GJ413" s="3">
        <v>0</v>
      </c>
      <c r="GK413" s="3">
        <v>0</v>
      </c>
      <c r="GL413" s="3">
        <f t="shared" si="350"/>
        <v>0</v>
      </c>
      <c r="GM413" s="3">
        <f t="shared" si="351"/>
        <v>33768.519999999997</v>
      </c>
      <c r="GN413" s="3">
        <f t="shared" si="352"/>
        <v>0</v>
      </c>
      <c r="GO413" s="3">
        <f t="shared" si="353"/>
        <v>33768.519999999997</v>
      </c>
      <c r="GP413" s="3">
        <f t="shared" si="354"/>
        <v>0</v>
      </c>
      <c r="GR413" s="3">
        <v>1</v>
      </c>
      <c r="GS413" s="3">
        <v>1</v>
      </c>
      <c r="GT413" s="3">
        <v>0</v>
      </c>
      <c r="GU413" s="3" t="s">
        <v>3</v>
      </c>
      <c r="GV413" s="3">
        <f t="shared" si="355"/>
        <v>0</v>
      </c>
      <c r="GW413" s="3">
        <v>1</v>
      </c>
      <c r="GX413" s="3">
        <f t="shared" si="356"/>
        <v>0</v>
      </c>
      <c r="HA413" s="3">
        <v>0</v>
      </c>
      <c r="HB413" s="3">
        <v>0</v>
      </c>
      <c r="HC413" s="3">
        <f t="shared" si="357"/>
        <v>0</v>
      </c>
      <c r="HE413" s="3" t="s">
        <v>347</v>
      </c>
      <c r="HF413" s="3" t="s">
        <v>34</v>
      </c>
      <c r="HM413" s="3" t="s">
        <v>104</v>
      </c>
      <c r="HN413" s="3" t="s">
        <v>3</v>
      </c>
      <c r="HO413" s="3" t="s">
        <v>3</v>
      </c>
      <c r="HP413" s="3" t="s">
        <v>3</v>
      </c>
      <c r="HQ413" s="3" t="s">
        <v>3</v>
      </c>
      <c r="HS413" s="3">
        <v>0</v>
      </c>
      <c r="IK413" s="3">
        <v>0</v>
      </c>
    </row>
    <row r="414" spans="1:255" x14ac:dyDescent="0.25">
      <c r="A414" s="2">
        <v>18</v>
      </c>
      <c r="B414" s="2">
        <v>1</v>
      </c>
      <c r="C414" s="2">
        <v>277</v>
      </c>
      <c r="D414" s="2"/>
      <c r="E414" s="2" t="s">
        <v>348</v>
      </c>
      <c r="F414" s="2" t="s">
        <v>349</v>
      </c>
      <c r="G414" s="2" t="s">
        <v>350</v>
      </c>
      <c r="H414" s="2" t="s">
        <v>177</v>
      </c>
      <c r="I414" s="2">
        <f>I410*J414</f>
        <v>1</v>
      </c>
      <c r="J414" s="2">
        <v>0.04</v>
      </c>
      <c r="K414" s="2">
        <v>0.04</v>
      </c>
      <c r="L414" s="2"/>
      <c r="M414" s="2"/>
      <c r="N414" s="2"/>
      <c r="O414" s="2">
        <f t="shared" si="318"/>
        <v>80.040000000000006</v>
      </c>
      <c r="P414" s="2">
        <f t="shared" si="358"/>
        <v>80.040000000000006</v>
      </c>
      <c r="Q414" s="2">
        <f>(ROUND((ROUND(((ET414)*AV414*I414),2)*BB414),2)+ROUND((ROUND(((AE414-(EU414))*AV414*I414),2)*BS414),2))</f>
        <v>0</v>
      </c>
      <c r="R414" s="2">
        <f>(ROUND((ROUND(((EU414)*AV414*I414),2)*BS414),2)+ROUND((ROUND(((AE414-(EU414))*AV414*I414),2)*BS414),2))</f>
        <v>0</v>
      </c>
      <c r="S414" s="2">
        <f t="shared" si="322"/>
        <v>0</v>
      </c>
      <c r="T414" s="2">
        <f t="shared" si="323"/>
        <v>0</v>
      </c>
      <c r="U414" s="2">
        <f t="shared" si="324"/>
        <v>0</v>
      </c>
      <c r="V414" s="2">
        <f t="shared" si="325"/>
        <v>0</v>
      </c>
      <c r="W414" s="2">
        <f t="shared" si="326"/>
        <v>0</v>
      </c>
      <c r="X414" s="2">
        <f>(ROUND((((S414+ROUND((ROUND(((EU414)*AV414*I414),2)*BS414),2))*AT414)/100),2)+ROUND(((ROUND((ROUND(((AE414-(EU414))*AV414*I414),2)*BS414),2)*AT414)/100),2))</f>
        <v>0</v>
      </c>
      <c r="Y414" s="2">
        <f>(ROUND((((S414+ROUND((ROUND(((EU414)*AV414*I414),2)*BS414),2))*AU414)/100),2)+ROUND(((ROUND((ROUND(((AE414-(EU414))*AV414*I414),2)*BS414),2)*AU414)/100),2))</f>
        <v>0</v>
      </c>
      <c r="Z414" s="2"/>
      <c r="AA414" s="2">
        <v>57034452</v>
      </c>
      <c r="AB414" s="2">
        <f t="shared" si="329"/>
        <v>80.040000000000006</v>
      </c>
      <c r="AC414" s="2">
        <f>ROUND((ES414),6)</f>
        <v>80.040000000000006</v>
      </c>
      <c r="AD414" s="2">
        <f>ROUND((((ET414)-(EU414))+AE414),6)</f>
        <v>0</v>
      </c>
      <c r="AE414" s="2">
        <f t="shared" si="360"/>
        <v>0</v>
      </c>
      <c r="AF414" s="2">
        <f t="shared" si="360"/>
        <v>0</v>
      </c>
      <c r="AG414" s="2">
        <f t="shared" si="334"/>
        <v>0</v>
      </c>
      <c r="AH414" s="2">
        <f t="shared" si="361"/>
        <v>0</v>
      </c>
      <c r="AI414" s="2">
        <f t="shared" si="361"/>
        <v>0</v>
      </c>
      <c r="AJ414" s="2">
        <f t="shared" si="337"/>
        <v>0</v>
      </c>
      <c r="AK414" s="2">
        <v>80.039999999999992</v>
      </c>
      <c r="AL414" s="2">
        <v>80.039999999999992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90</v>
      </c>
      <c r="AU414" s="2">
        <v>46</v>
      </c>
      <c r="AV414" s="2">
        <v>1</v>
      </c>
      <c r="AW414" s="2">
        <v>1</v>
      </c>
      <c r="AX414" s="2"/>
      <c r="AY414" s="2"/>
      <c r="AZ414" s="2">
        <v>1</v>
      </c>
      <c r="BA414" s="2">
        <v>1</v>
      </c>
      <c r="BB414" s="2">
        <v>1</v>
      </c>
      <c r="BC414" s="2">
        <v>1</v>
      </c>
      <c r="BD414" s="2" t="s">
        <v>3</v>
      </c>
      <c r="BE414" s="2" t="s">
        <v>3</v>
      </c>
      <c r="BF414" s="2" t="s">
        <v>3</v>
      </c>
      <c r="BG414" s="2" t="s">
        <v>3</v>
      </c>
      <c r="BH414" s="2">
        <v>3</v>
      </c>
      <c r="BI414" s="2">
        <v>2</v>
      </c>
      <c r="BJ414" s="2" t="s">
        <v>3</v>
      </c>
      <c r="BK414" s="2"/>
      <c r="BL414" s="2"/>
      <c r="BM414" s="2">
        <v>68</v>
      </c>
      <c r="BN414" s="2">
        <v>0</v>
      </c>
      <c r="BO414" s="2" t="s">
        <v>3</v>
      </c>
      <c r="BP414" s="2">
        <v>0</v>
      </c>
      <c r="BQ414" s="2">
        <v>40</v>
      </c>
      <c r="BR414" s="2">
        <v>0</v>
      </c>
      <c r="BS414" s="2">
        <v>1</v>
      </c>
      <c r="BT414" s="2">
        <v>1</v>
      </c>
      <c r="BU414" s="2">
        <v>1</v>
      </c>
      <c r="BV414" s="2">
        <v>1</v>
      </c>
      <c r="BW414" s="2">
        <v>1</v>
      </c>
      <c r="BX414" s="2">
        <v>1</v>
      </c>
      <c r="BY414" s="2" t="s">
        <v>3</v>
      </c>
      <c r="BZ414" s="2">
        <v>90</v>
      </c>
      <c r="CA414" s="2">
        <v>46</v>
      </c>
      <c r="CB414" s="2" t="s">
        <v>3</v>
      </c>
      <c r="CC414" s="2"/>
      <c r="CD414" s="2"/>
      <c r="CE414" s="2">
        <v>1566</v>
      </c>
      <c r="CF414" s="2">
        <v>0</v>
      </c>
      <c r="CG414" s="2">
        <v>0</v>
      </c>
      <c r="CH414" s="2"/>
      <c r="CI414" s="2"/>
      <c r="CJ414" s="2"/>
      <c r="CK414" s="2"/>
      <c r="CL414" s="2"/>
      <c r="CM414" s="2">
        <v>0</v>
      </c>
      <c r="CN414" s="2" t="s">
        <v>615</v>
      </c>
      <c r="CO414" s="2">
        <v>0</v>
      </c>
      <c r="CP414" s="2">
        <f t="shared" si="338"/>
        <v>80.040000000000006</v>
      </c>
      <c r="CQ414" s="2">
        <f t="shared" si="359"/>
        <v>80.040000000000006</v>
      </c>
      <c r="CR414" s="2">
        <f>(ROUND((ROUND(((ET414)*AV414*1),2)*BB414),2)+ROUND((ROUND(((AE414-(EU414))*AV414*1),2)*BS414),2))</f>
        <v>0</v>
      </c>
      <c r="CS414" s="2">
        <f>(ROUND((ROUND(((EU414)*AV414*1),2)*BS414),2)+ROUND((ROUND(((AE414-(EU414))*AV414*1),2)*BS414),2))</f>
        <v>0</v>
      </c>
      <c r="CT414" s="2">
        <f t="shared" si="342"/>
        <v>0</v>
      </c>
      <c r="CU414" s="2">
        <f t="shared" si="343"/>
        <v>0</v>
      </c>
      <c r="CV414" s="2">
        <f t="shared" si="344"/>
        <v>0</v>
      </c>
      <c r="CW414" s="2">
        <f t="shared" si="345"/>
        <v>0</v>
      </c>
      <c r="CX414" s="2">
        <f t="shared" si="346"/>
        <v>0</v>
      </c>
      <c r="CY414" s="2">
        <f>(ROUND((((S414+ROUND((ROUND(((EU414)*AV414*1),2)*BS414),2))*AT414)/100),2)+ROUND(((ROUND((ROUND(((AE414-(EU414))*AV414*1),2)*BS414),2)*AT414)/100),2))</f>
        <v>0</v>
      </c>
      <c r="CZ414" s="2">
        <f>(ROUND((((S414+ROUND((ROUND(((EU414)*AV414*1),2)*BS414),2))*AU414)/100),2)+ROUND(((ROUND((ROUND(((AE414-(EU414))*AV414*1),2)*BS414),2)*AU414)/100),2))</f>
        <v>0</v>
      </c>
      <c r="DA414" s="2"/>
      <c r="DB414" s="2"/>
      <c r="DC414" s="2" t="s">
        <v>3</v>
      </c>
      <c r="DD414" s="2" t="s">
        <v>3</v>
      </c>
      <c r="DE414" s="2" t="s">
        <v>3</v>
      </c>
      <c r="DF414" s="2" t="s">
        <v>3</v>
      </c>
      <c r="DG414" s="2" t="s">
        <v>3</v>
      </c>
      <c r="DH414" s="2" t="s">
        <v>3</v>
      </c>
      <c r="DI414" s="2" t="s">
        <v>3</v>
      </c>
      <c r="DJ414" s="2" t="s">
        <v>3</v>
      </c>
      <c r="DK414" s="2" t="s">
        <v>3</v>
      </c>
      <c r="DL414" s="2" t="s">
        <v>3</v>
      </c>
      <c r="DM414" s="2" t="s">
        <v>3</v>
      </c>
      <c r="DN414" s="2">
        <v>0</v>
      </c>
      <c r="DO414" s="2">
        <v>0</v>
      </c>
      <c r="DP414" s="2">
        <v>1</v>
      </c>
      <c r="DQ414" s="2">
        <v>1</v>
      </c>
      <c r="DR414" s="2"/>
      <c r="DS414" s="2"/>
      <c r="DT414" s="2"/>
      <c r="DU414" s="2">
        <v>1010</v>
      </c>
      <c r="DV414" s="2" t="s">
        <v>177</v>
      </c>
      <c r="DW414" s="2" t="s">
        <v>177</v>
      </c>
      <c r="DX414" s="2">
        <v>1</v>
      </c>
      <c r="DY414" s="2"/>
      <c r="DZ414" s="2" t="s">
        <v>3</v>
      </c>
      <c r="EA414" s="2" t="s">
        <v>3</v>
      </c>
      <c r="EB414" s="2" t="s">
        <v>3</v>
      </c>
      <c r="EC414" s="2" t="s">
        <v>3</v>
      </c>
      <c r="ED414" s="2"/>
      <c r="EE414" s="2">
        <v>57042958</v>
      </c>
      <c r="EF414" s="2">
        <v>40</v>
      </c>
      <c r="EG414" s="2" t="s">
        <v>30</v>
      </c>
      <c r="EH414" s="2">
        <v>0</v>
      </c>
      <c r="EI414" s="2" t="s">
        <v>3</v>
      </c>
      <c r="EJ414" s="2">
        <v>2</v>
      </c>
      <c r="EK414" s="2">
        <v>68</v>
      </c>
      <c r="EL414" s="2" t="s">
        <v>38</v>
      </c>
      <c r="EM414" s="2" t="s">
        <v>39</v>
      </c>
      <c r="EN414" s="2"/>
      <c r="EO414" s="2" t="s">
        <v>109</v>
      </c>
      <c r="EP414" s="2"/>
      <c r="EQ414" s="2">
        <v>2097152</v>
      </c>
      <c r="ER414" s="2">
        <v>0</v>
      </c>
      <c r="ES414" s="2">
        <v>80.039999999999992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>
        <v>0</v>
      </c>
      <c r="FR414" s="2">
        <v>0</v>
      </c>
      <c r="FS414" s="2">
        <v>0</v>
      </c>
      <c r="FT414" s="2"/>
      <c r="FU414" s="2"/>
      <c r="FV414" s="2"/>
      <c r="FW414" s="2"/>
      <c r="FX414" s="2">
        <v>90</v>
      </c>
      <c r="FY414" s="2">
        <v>46</v>
      </c>
      <c r="FZ414" s="2"/>
      <c r="GA414" s="2" t="s">
        <v>351</v>
      </c>
      <c r="GB414" s="2"/>
      <c r="GC414" s="2"/>
      <c r="GD414" s="2">
        <v>1</v>
      </c>
      <c r="GE414" s="2"/>
      <c r="GF414" s="2">
        <v>-352152709</v>
      </c>
      <c r="GG414" s="2">
        <v>2</v>
      </c>
      <c r="GH414" s="2">
        <v>4</v>
      </c>
      <c r="GI414" s="2">
        <v>-2</v>
      </c>
      <c r="GJ414" s="2">
        <v>0</v>
      </c>
      <c r="GK414" s="2">
        <v>0</v>
      </c>
      <c r="GL414" s="2">
        <f t="shared" si="350"/>
        <v>0</v>
      </c>
      <c r="GM414" s="2">
        <f t="shared" si="351"/>
        <v>80.040000000000006</v>
      </c>
      <c r="GN414" s="2">
        <f t="shared" si="352"/>
        <v>0</v>
      </c>
      <c r="GO414" s="2">
        <f t="shared" si="353"/>
        <v>80.040000000000006</v>
      </c>
      <c r="GP414" s="2">
        <f t="shared" si="354"/>
        <v>0</v>
      </c>
      <c r="GQ414" s="2"/>
      <c r="GR414" s="2">
        <v>0</v>
      </c>
      <c r="GS414" s="2">
        <v>2</v>
      </c>
      <c r="GT414" s="2">
        <v>0</v>
      </c>
      <c r="GU414" s="2" t="s">
        <v>3</v>
      </c>
      <c r="GV414" s="2">
        <f t="shared" si="355"/>
        <v>0</v>
      </c>
      <c r="GW414" s="2">
        <v>1</v>
      </c>
      <c r="GX414" s="2">
        <f t="shared" si="356"/>
        <v>0</v>
      </c>
      <c r="GY414" s="2"/>
      <c r="GZ414" s="2"/>
      <c r="HA414" s="2">
        <v>0</v>
      </c>
      <c r="HB414" s="2">
        <v>0</v>
      </c>
      <c r="HC414" s="2">
        <f t="shared" si="357"/>
        <v>0</v>
      </c>
      <c r="HD414" s="2"/>
      <c r="HE414" s="2" t="s">
        <v>347</v>
      </c>
      <c r="HF414" s="2" t="s">
        <v>34</v>
      </c>
      <c r="HG414" s="2"/>
      <c r="HH414" s="2"/>
      <c r="HI414" s="2"/>
      <c r="HJ414" s="2"/>
      <c r="HK414" s="2"/>
      <c r="HL414" s="2"/>
      <c r="HM414" s="2" t="s">
        <v>104</v>
      </c>
      <c r="HN414" s="2" t="s">
        <v>3</v>
      </c>
      <c r="HO414" s="2" t="s">
        <v>3</v>
      </c>
      <c r="HP414" s="2" t="s">
        <v>3</v>
      </c>
      <c r="HQ414" s="2" t="s">
        <v>3</v>
      </c>
      <c r="HR414" s="2"/>
      <c r="HS414" s="2">
        <v>0</v>
      </c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>
        <v>0</v>
      </c>
      <c r="IL414" s="2"/>
      <c r="IM414" s="2"/>
      <c r="IN414" s="2"/>
      <c r="IO414" s="2"/>
      <c r="IP414" s="2"/>
      <c r="IQ414" s="2"/>
      <c r="IR414" s="2"/>
      <c r="IS414" s="2"/>
      <c r="IT414" s="2"/>
      <c r="IU414" s="2"/>
    </row>
    <row r="415" spans="1:255" x14ac:dyDescent="0.25">
      <c r="A415" s="3">
        <v>18</v>
      </c>
      <c r="B415" s="3">
        <v>1</v>
      </c>
      <c r="C415" s="3">
        <v>280</v>
      </c>
      <c r="E415" s="3" t="s">
        <v>348</v>
      </c>
      <c r="F415" s="3" t="s">
        <v>349</v>
      </c>
      <c r="G415" s="3" t="s">
        <v>350</v>
      </c>
      <c r="H415" s="3" t="s">
        <v>177</v>
      </c>
      <c r="I415" s="3">
        <f>I411*J415</f>
        <v>1</v>
      </c>
      <c r="J415" s="3">
        <v>0.04</v>
      </c>
      <c r="K415" s="3">
        <v>0.04</v>
      </c>
      <c r="O415" s="3">
        <f t="shared" si="318"/>
        <v>787.59</v>
      </c>
      <c r="P415" s="3">
        <f t="shared" si="358"/>
        <v>787.59</v>
      </c>
      <c r="Q415" s="3">
        <f>(ROUND((ROUND(((ET415)*AV415*I415),2)*BB415),2)+ROUND((ROUND(((AE415-(EU415))*AV415*I415),2)*BS415),2))</f>
        <v>0</v>
      </c>
      <c r="R415" s="3">
        <f>(ROUND((ROUND(((EU415)*AV415*I415),2)*BS415),2)+ROUND((ROUND(((AE415-(EU415))*AV415*I415),2)*BS415),2))</f>
        <v>0</v>
      </c>
      <c r="S415" s="3">
        <f t="shared" si="322"/>
        <v>0</v>
      </c>
      <c r="T415" s="3">
        <f t="shared" si="323"/>
        <v>0</v>
      </c>
      <c r="U415" s="3">
        <f t="shared" si="324"/>
        <v>0</v>
      </c>
      <c r="V415" s="3">
        <f t="shared" si="325"/>
        <v>0</v>
      </c>
      <c r="W415" s="3">
        <f t="shared" si="326"/>
        <v>0</v>
      </c>
      <c r="X415" s="3">
        <f>(ROUND((((S415+ROUND((ROUND(((EU415)*AV415*I415),2)*BS415),2))*AT415)/100),2)+ROUND(((ROUND((ROUND(((AE415-(EU415))*AV415*I415),2)*BS415),2)*AT415)/100),2))</f>
        <v>0</v>
      </c>
      <c r="Y415" s="3">
        <f>(ROUND((((S415+ROUND((ROUND(((EU415)*AV415*I415),2)*BS415),2))*AU415)/100),2)+ROUND(((ROUND((ROUND(((AE415-(EU415))*AV415*I415),2)*BS415),2)*AU415)/100),2))</f>
        <v>0</v>
      </c>
      <c r="AA415" s="3">
        <v>57034454</v>
      </c>
      <c r="AB415" s="3">
        <f t="shared" si="329"/>
        <v>80.040000000000006</v>
      </c>
      <c r="AC415" s="3">
        <f>ROUND((ES415),6)</f>
        <v>80.040000000000006</v>
      </c>
      <c r="AD415" s="3">
        <f>ROUND((((ET415)-(EU415))+AE415),6)</f>
        <v>0</v>
      </c>
      <c r="AE415" s="3">
        <f t="shared" si="360"/>
        <v>0</v>
      </c>
      <c r="AF415" s="3">
        <f t="shared" si="360"/>
        <v>0</v>
      </c>
      <c r="AG415" s="3">
        <f t="shared" si="334"/>
        <v>0</v>
      </c>
      <c r="AH415" s="3">
        <f t="shared" si="361"/>
        <v>0</v>
      </c>
      <c r="AI415" s="3">
        <f t="shared" si="361"/>
        <v>0</v>
      </c>
      <c r="AJ415" s="3">
        <f t="shared" si="337"/>
        <v>0</v>
      </c>
      <c r="AK415" s="3">
        <v>80.039999999999992</v>
      </c>
      <c r="AL415" s="3">
        <v>80.039999999999992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90</v>
      </c>
      <c r="AU415" s="3">
        <v>46</v>
      </c>
      <c r="AV415" s="3">
        <v>1</v>
      </c>
      <c r="AW415" s="3">
        <v>1</v>
      </c>
      <c r="AZ415" s="3">
        <v>1</v>
      </c>
      <c r="BA415" s="3">
        <v>1</v>
      </c>
      <c r="BB415" s="3">
        <v>1</v>
      </c>
      <c r="BC415" s="3">
        <v>9.84</v>
      </c>
      <c r="BD415" s="3" t="s">
        <v>3</v>
      </c>
      <c r="BE415" s="3" t="s">
        <v>3</v>
      </c>
      <c r="BF415" s="3" t="s">
        <v>3</v>
      </c>
      <c r="BG415" s="3" t="s">
        <v>3</v>
      </c>
      <c r="BH415" s="3">
        <v>3</v>
      </c>
      <c r="BI415" s="3">
        <v>2</v>
      </c>
      <c r="BJ415" s="3" t="s">
        <v>3</v>
      </c>
      <c r="BM415" s="3">
        <v>68</v>
      </c>
      <c r="BN415" s="3">
        <v>0</v>
      </c>
      <c r="BO415" s="3" t="s">
        <v>3</v>
      </c>
      <c r="BP415" s="3">
        <v>0</v>
      </c>
      <c r="BQ415" s="3">
        <v>40</v>
      </c>
      <c r="BR415" s="3">
        <v>0</v>
      </c>
      <c r="BS415" s="3">
        <v>1</v>
      </c>
      <c r="BT415" s="3">
        <v>1</v>
      </c>
      <c r="BU415" s="3">
        <v>1</v>
      </c>
      <c r="BV415" s="3">
        <v>1</v>
      </c>
      <c r="BW415" s="3">
        <v>1</v>
      </c>
      <c r="BX415" s="3">
        <v>1</v>
      </c>
      <c r="BY415" s="3" t="s">
        <v>3</v>
      </c>
      <c r="BZ415" s="3">
        <v>90</v>
      </c>
      <c r="CA415" s="3">
        <v>46</v>
      </c>
      <c r="CB415" s="3" t="s">
        <v>3</v>
      </c>
      <c r="CE415" s="3">
        <v>1566</v>
      </c>
      <c r="CF415" s="3">
        <v>0</v>
      </c>
      <c r="CG415" s="3">
        <v>0</v>
      </c>
      <c r="CM415" s="3">
        <v>0</v>
      </c>
      <c r="CN415" s="3" t="s">
        <v>615</v>
      </c>
      <c r="CO415" s="3">
        <v>0</v>
      </c>
      <c r="CP415" s="3">
        <f t="shared" si="338"/>
        <v>787.59</v>
      </c>
      <c r="CQ415" s="3">
        <f t="shared" si="359"/>
        <v>787.59</v>
      </c>
      <c r="CR415" s="3">
        <f>(ROUND((ROUND(((ET415)*AV415*1),2)*BB415),2)+ROUND((ROUND(((AE415-(EU415))*AV415*1),2)*BS415),2))</f>
        <v>0</v>
      </c>
      <c r="CS415" s="3">
        <f>(ROUND((ROUND(((EU415)*AV415*1),2)*BS415),2)+ROUND((ROUND(((AE415-(EU415))*AV415*1),2)*BS415),2))</f>
        <v>0</v>
      </c>
      <c r="CT415" s="3">
        <f t="shared" si="342"/>
        <v>0</v>
      </c>
      <c r="CU415" s="3">
        <f t="shared" si="343"/>
        <v>0</v>
      </c>
      <c r="CV415" s="3">
        <f t="shared" si="344"/>
        <v>0</v>
      </c>
      <c r="CW415" s="3">
        <f t="shared" si="345"/>
        <v>0</v>
      </c>
      <c r="CX415" s="3">
        <f t="shared" si="346"/>
        <v>0</v>
      </c>
      <c r="CY415" s="3">
        <f>(ROUND((((S415+ROUND((ROUND(((EU415)*AV415*1),2)*BS415),2))*AT415)/100),2)+ROUND(((ROUND((ROUND(((AE415-(EU415))*AV415*1),2)*BS415),2)*AT415)/100),2))</f>
        <v>0</v>
      </c>
      <c r="CZ415" s="3">
        <f>(ROUND((((S415+ROUND((ROUND(((EU415)*AV415*1),2)*BS415),2))*AU415)/100),2)+ROUND(((ROUND((ROUND(((AE415-(EU415))*AV415*1),2)*BS415),2)*AU415)/100),2))</f>
        <v>0</v>
      </c>
      <c r="DC415" s="3" t="s">
        <v>3</v>
      </c>
      <c r="DD415" s="3" t="s">
        <v>3</v>
      </c>
      <c r="DE415" s="3" t="s">
        <v>3</v>
      </c>
      <c r="DF415" s="3" t="s">
        <v>3</v>
      </c>
      <c r="DG415" s="3" t="s">
        <v>3</v>
      </c>
      <c r="DH415" s="3" t="s">
        <v>3</v>
      </c>
      <c r="DI415" s="3" t="s">
        <v>3</v>
      </c>
      <c r="DJ415" s="3" t="s">
        <v>3</v>
      </c>
      <c r="DK415" s="3" t="s">
        <v>3</v>
      </c>
      <c r="DL415" s="3" t="s">
        <v>3</v>
      </c>
      <c r="DM415" s="3" t="s">
        <v>3</v>
      </c>
      <c r="DN415" s="3">
        <v>0</v>
      </c>
      <c r="DO415" s="3">
        <v>0</v>
      </c>
      <c r="DP415" s="3">
        <v>1</v>
      </c>
      <c r="DQ415" s="3">
        <v>1</v>
      </c>
      <c r="DU415" s="3">
        <v>1010</v>
      </c>
      <c r="DV415" s="3" t="s">
        <v>177</v>
      </c>
      <c r="DW415" s="3" t="s">
        <v>177</v>
      </c>
      <c r="DX415" s="3">
        <v>1</v>
      </c>
      <c r="DZ415" s="3" t="s">
        <v>3</v>
      </c>
      <c r="EA415" s="3" t="s">
        <v>3</v>
      </c>
      <c r="EB415" s="3" t="s">
        <v>3</v>
      </c>
      <c r="EC415" s="3" t="s">
        <v>3</v>
      </c>
      <c r="EE415" s="3">
        <v>57042958</v>
      </c>
      <c r="EF415" s="3">
        <v>40</v>
      </c>
      <c r="EG415" s="3" t="s">
        <v>30</v>
      </c>
      <c r="EH415" s="3">
        <v>0</v>
      </c>
      <c r="EI415" s="3" t="s">
        <v>3</v>
      </c>
      <c r="EJ415" s="3">
        <v>2</v>
      </c>
      <c r="EK415" s="3">
        <v>68</v>
      </c>
      <c r="EL415" s="3" t="s">
        <v>38</v>
      </c>
      <c r="EM415" s="3" t="s">
        <v>39</v>
      </c>
      <c r="EO415" s="3" t="s">
        <v>109</v>
      </c>
      <c r="EQ415" s="3">
        <v>2097152</v>
      </c>
      <c r="ER415" s="3">
        <v>80.039999999999992</v>
      </c>
      <c r="ES415" s="3">
        <v>80.039999999999992</v>
      </c>
      <c r="ET415" s="3">
        <v>0</v>
      </c>
      <c r="EU415" s="3">
        <v>0</v>
      </c>
      <c r="EV415" s="3">
        <v>0</v>
      </c>
      <c r="EW415" s="3">
        <v>0</v>
      </c>
      <c r="EX415" s="3">
        <v>0</v>
      </c>
      <c r="EZ415" s="3">
        <v>5</v>
      </c>
      <c r="FC415" s="3">
        <v>1</v>
      </c>
      <c r="FD415" s="3">
        <v>18</v>
      </c>
      <c r="FF415" s="3">
        <v>942</v>
      </c>
      <c r="FQ415" s="3">
        <v>0</v>
      </c>
      <c r="FR415" s="3">
        <v>0</v>
      </c>
      <c r="FS415" s="3">
        <v>0</v>
      </c>
      <c r="FX415" s="3">
        <v>90</v>
      </c>
      <c r="FY415" s="3">
        <v>46</v>
      </c>
      <c r="GA415" s="3" t="s">
        <v>351</v>
      </c>
      <c r="GD415" s="3">
        <v>1</v>
      </c>
      <c r="GF415" s="3">
        <v>-352152709</v>
      </c>
      <c r="GG415" s="3">
        <v>2</v>
      </c>
      <c r="GH415" s="3">
        <v>3</v>
      </c>
      <c r="GI415" s="3">
        <v>5</v>
      </c>
      <c r="GJ415" s="3">
        <v>0</v>
      </c>
      <c r="GK415" s="3">
        <v>0</v>
      </c>
      <c r="GL415" s="3">
        <f t="shared" si="350"/>
        <v>0</v>
      </c>
      <c r="GM415" s="3">
        <f t="shared" si="351"/>
        <v>787.59</v>
      </c>
      <c r="GN415" s="3">
        <f t="shared" si="352"/>
        <v>0</v>
      </c>
      <c r="GO415" s="3">
        <f t="shared" si="353"/>
        <v>787.59</v>
      </c>
      <c r="GP415" s="3">
        <f t="shared" si="354"/>
        <v>0</v>
      </c>
      <c r="GR415" s="3">
        <v>1</v>
      </c>
      <c r="GS415" s="3">
        <v>1</v>
      </c>
      <c r="GT415" s="3">
        <v>0</v>
      </c>
      <c r="GU415" s="3" t="s">
        <v>3</v>
      </c>
      <c r="GV415" s="3">
        <f t="shared" si="355"/>
        <v>0</v>
      </c>
      <c r="GW415" s="3">
        <v>1</v>
      </c>
      <c r="GX415" s="3">
        <f t="shared" si="356"/>
        <v>0</v>
      </c>
      <c r="HA415" s="3">
        <v>0</v>
      </c>
      <c r="HB415" s="3">
        <v>0</v>
      </c>
      <c r="HC415" s="3">
        <f t="shared" si="357"/>
        <v>0</v>
      </c>
      <c r="HE415" s="3" t="s">
        <v>347</v>
      </c>
      <c r="HF415" s="3" t="s">
        <v>34</v>
      </c>
      <c r="HM415" s="3" t="s">
        <v>104</v>
      </c>
      <c r="HN415" s="3" t="s">
        <v>3</v>
      </c>
      <c r="HO415" s="3" t="s">
        <v>3</v>
      </c>
      <c r="HP415" s="3" t="s">
        <v>3</v>
      </c>
      <c r="HQ415" s="3" t="s">
        <v>3</v>
      </c>
      <c r="HS415" s="3">
        <v>0</v>
      </c>
      <c r="IK415" s="3">
        <v>0</v>
      </c>
    </row>
    <row r="416" spans="1:255" x14ac:dyDescent="0.25">
      <c r="A416" s="2">
        <v>17</v>
      </c>
      <c r="B416" s="2">
        <v>1</v>
      </c>
      <c r="C416" s="2">
        <f>ROW(SmtRes!A283)</f>
        <v>283</v>
      </c>
      <c r="D416" s="2">
        <f>ROW(EtalonRes!A289)</f>
        <v>289</v>
      </c>
      <c r="E416" s="2" t="s">
        <v>352</v>
      </c>
      <c r="F416" s="2" t="s">
        <v>63</v>
      </c>
      <c r="G416" s="2" t="s">
        <v>246</v>
      </c>
      <c r="H416" s="2" t="s">
        <v>26</v>
      </c>
      <c r="I416" s="2">
        <f>ROUND(7+20,9)</f>
        <v>27</v>
      </c>
      <c r="J416" s="2">
        <v>0</v>
      </c>
      <c r="K416" s="2">
        <f>ROUND(7+20,9)</f>
        <v>27</v>
      </c>
      <c r="L416" s="2"/>
      <c r="M416" s="2"/>
      <c r="N416" s="2"/>
      <c r="O416" s="2">
        <f t="shared" si="318"/>
        <v>599.76</v>
      </c>
      <c r="P416" s="2">
        <f t="shared" si="358"/>
        <v>52.92</v>
      </c>
      <c r="Q416" s="2">
        <f>(ROUND((ROUND((((ET416*1.2))*AV416*I416),2)*BB416),2)+ROUND((ROUND(((AE416-((EU416*1.2)))*AV416*I416),2)*BS416),2))</f>
        <v>1.7</v>
      </c>
      <c r="R416" s="2">
        <f>(ROUND((ROUND((((EU416*1.2))*AV416*I416),2)*BS416),2)+ROUND((ROUND(((AE416-((EU416*1.2)))*AV416*I416),2)*BS416),2))</f>
        <v>0.34</v>
      </c>
      <c r="S416" s="2">
        <f t="shared" si="322"/>
        <v>545.14</v>
      </c>
      <c r="T416" s="2">
        <f t="shared" si="323"/>
        <v>0</v>
      </c>
      <c r="U416" s="2">
        <f t="shared" si="324"/>
        <v>40.707359999999994</v>
      </c>
      <c r="V416" s="2">
        <f t="shared" si="325"/>
        <v>0</v>
      </c>
      <c r="W416" s="2">
        <f t="shared" si="326"/>
        <v>0</v>
      </c>
      <c r="X416" s="2">
        <f>(ROUND((((S416+ROUND((ROUND((((EU416*1.2))*AV416*I416),2)*BS416),2))*AT416)/100),2)+ROUND(((ROUND((ROUND(((AE416-((EU416*1.2)))*AV416*I416),2)*BS416),2)*AT416)/100),2))</f>
        <v>490.93</v>
      </c>
      <c r="Y416" s="2">
        <f>(ROUND((((S416+ROUND((ROUND((((EU416*1.2))*AV416*I416),2)*BS416),2))*AU416)/100),2)+ROUND(((ROUND((ROUND(((AE416-((EU416*1.2)))*AV416*I416),2)*BS416),2)*AU416)/100),2))</f>
        <v>250.92</v>
      </c>
      <c r="Z416" s="2"/>
      <c r="AA416" s="2">
        <v>57034452</v>
      </c>
      <c r="AB416" s="2">
        <f t="shared" si="329"/>
        <v>21.303999999999998</v>
      </c>
      <c r="AC416" s="2">
        <f>ROUND(((ES416*1)),6)</f>
        <v>1.96</v>
      </c>
      <c r="AD416" s="2">
        <f>ROUND(((((ET416*1.2))-((EU416*1.2)))+AE416),6)</f>
        <v>0.06</v>
      </c>
      <c r="AE416" s="2">
        <f>ROUND(((EU416*1.2)),6)</f>
        <v>1.2E-2</v>
      </c>
      <c r="AF416" s="2">
        <f>ROUND(((EV416*1.2)),6)</f>
        <v>19.283999999999999</v>
      </c>
      <c r="AG416" s="2">
        <f t="shared" si="334"/>
        <v>0</v>
      </c>
      <c r="AH416" s="2">
        <f>((EW416*1.2))</f>
        <v>1.44</v>
      </c>
      <c r="AI416" s="2">
        <f>((EX416*1.2))</f>
        <v>0</v>
      </c>
      <c r="AJ416" s="2">
        <f t="shared" si="337"/>
        <v>0</v>
      </c>
      <c r="AK416" s="2">
        <v>18.079999999999998</v>
      </c>
      <c r="AL416" s="2">
        <v>1.96</v>
      </c>
      <c r="AM416" s="2">
        <v>0.05</v>
      </c>
      <c r="AN416" s="2">
        <v>0.01</v>
      </c>
      <c r="AO416" s="2">
        <v>16.07</v>
      </c>
      <c r="AP416" s="2">
        <v>0</v>
      </c>
      <c r="AQ416" s="2">
        <v>1.2</v>
      </c>
      <c r="AR416" s="2">
        <v>0</v>
      </c>
      <c r="AS416" s="2">
        <v>0</v>
      </c>
      <c r="AT416" s="2">
        <v>90</v>
      </c>
      <c r="AU416" s="2">
        <v>46</v>
      </c>
      <c r="AV416" s="2">
        <v>1.0469999999999999</v>
      </c>
      <c r="AW416" s="2">
        <v>1</v>
      </c>
      <c r="AX416" s="2"/>
      <c r="AY416" s="2"/>
      <c r="AZ416" s="2">
        <v>1</v>
      </c>
      <c r="BA416" s="2">
        <v>1</v>
      </c>
      <c r="BB416" s="2">
        <v>1</v>
      </c>
      <c r="BC416" s="2">
        <v>1</v>
      </c>
      <c r="BD416" s="2" t="s">
        <v>3</v>
      </c>
      <c r="BE416" s="2" t="s">
        <v>3</v>
      </c>
      <c r="BF416" s="2" t="s">
        <v>3</v>
      </c>
      <c r="BG416" s="2" t="s">
        <v>3</v>
      </c>
      <c r="BH416" s="2">
        <v>0</v>
      </c>
      <c r="BI416" s="2">
        <v>2</v>
      </c>
      <c r="BJ416" s="2" t="s">
        <v>65</v>
      </c>
      <c r="BK416" s="2"/>
      <c r="BL416" s="2"/>
      <c r="BM416" s="2">
        <v>68</v>
      </c>
      <c r="BN416" s="2">
        <v>0</v>
      </c>
      <c r="BO416" s="2" t="s">
        <v>63</v>
      </c>
      <c r="BP416" s="2">
        <v>1</v>
      </c>
      <c r="BQ416" s="2">
        <v>40</v>
      </c>
      <c r="BR416" s="2">
        <v>0</v>
      </c>
      <c r="BS416" s="2">
        <v>1</v>
      </c>
      <c r="BT416" s="2">
        <v>1</v>
      </c>
      <c r="BU416" s="2">
        <v>1</v>
      </c>
      <c r="BV416" s="2">
        <v>1</v>
      </c>
      <c r="BW416" s="2">
        <v>1</v>
      </c>
      <c r="BX416" s="2">
        <v>1</v>
      </c>
      <c r="BY416" s="2" t="s">
        <v>3</v>
      </c>
      <c r="BZ416" s="2">
        <v>90</v>
      </c>
      <c r="CA416" s="2">
        <v>46</v>
      </c>
      <c r="CB416" s="2" t="s">
        <v>3</v>
      </c>
      <c r="CC416" s="2"/>
      <c r="CD416" s="2"/>
      <c r="CE416" s="2">
        <v>1566</v>
      </c>
      <c r="CF416" s="2">
        <v>0</v>
      </c>
      <c r="CG416" s="2">
        <v>0</v>
      </c>
      <c r="CH416" s="2"/>
      <c r="CI416" s="2"/>
      <c r="CJ416" s="2"/>
      <c r="CK416" s="2"/>
      <c r="CL416" s="2"/>
      <c r="CM416" s="2">
        <v>0</v>
      </c>
      <c r="CN416" s="2" t="s">
        <v>614</v>
      </c>
      <c r="CO416" s="2">
        <v>0</v>
      </c>
      <c r="CP416" s="2">
        <f t="shared" si="338"/>
        <v>599.76</v>
      </c>
      <c r="CQ416" s="2">
        <f t="shared" si="359"/>
        <v>1.96</v>
      </c>
      <c r="CR416" s="2">
        <f>(ROUND((ROUND((((ET416*1.2))*AV416*1),2)*BB416),2)+ROUND((ROUND(((AE416-((EU416*1.2)))*AV416*1),2)*BS416),2))</f>
        <v>0.06</v>
      </c>
      <c r="CS416" s="2">
        <f>(ROUND((ROUND((((EU416*1.2))*AV416*1),2)*BS416),2)+ROUND((ROUND(((AE416-((EU416*1.2)))*AV416*1),2)*BS416),2))</f>
        <v>0.01</v>
      </c>
      <c r="CT416" s="2">
        <f t="shared" si="342"/>
        <v>20.190000000000001</v>
      </c>
      <c r="CU416" s="2">
        <f t="shared" si="343"/>
        <v>0</v>
      </c>
      <c r="CV416" s="2">
        <f t="shared" si="344"/>
        <v>1.5076799999999999</v>
      </c>
      <c r="CW416" s="2">
        <f t="shared" si="345"/>
        <v>0</v>
      </c>
      <c r="CX416" s="2">
        <f t="shared" si="346"/>
        <v>0</v>
      </c>
      <c r="CY416" s="2">
        <f>(ROUND((((S416+ROUND((ROUND((((EU416*1.2))*AV416*1),2)*BS416),2))*AT416)/100),2)+ROUND(((ROUND((ROUND(((AE416-((EU416*1.2)))*AV416*1),2)*BS416),2)*AT416)/100),2))</f>
        <v>490.64</v>
      </c>
      <c r="CZ416" s="2">
        <f>(ROUND((((S416+ROUND((ROUND((((EU416*1.2))*AV416*1),2)*BS416),2))*AU416)/100),2)+ROUND(((ROUND((ROUND(((AE416-((EU416*1.2)))*AV416*1),2)*BS416),2)*AU416)/100),2))</f>
        <v>250.77</v>
      </c>
      <c r="DA416" s="2"/>
      <c r="DB416" s="2">
        <v>131</v>
      </c>
      <c r="DC416" s="2" t="s">
        <v>3</v>
      </c>
      <c r="DD416" s="2" t="s">
        <v>104</v>
      </c>
      <c r="DE416" s="2" t="s">
        <v>105</v>
      </c>
      <c r="DF416" s="2" t="s">
        <v>105</v>
      </c>
      <c r="DG416" s="2" t="s">
        <v>105</v>
      </c>
      <c r="DH416" s="2" t="s">
        <v>3</v>
      </c>
      <c r="DI416" s="2" t="s">
        <v>105</v>
      </c>
      <c r="DJ416" s="2" t="s">
        <v>105</v>
      </c>
      <c r="DK416" s="2" t="s">
        <v>3</v>
      </c>
      <c r="DL416" s="2" t="s">
        <v>3</v>
      </c>
      <c r="DM416" s="2" t="s">
        <v>3</v>
      </c>
      <c r="DN416" s="2">
        <v>0</v>
      </c>
      <c r="DO416" s="2">
        <v>0</v>
      </c>
      <c r="DP416" s="2">
        <v>1</v>
      </c>
      <c r="DQ416" s="2">
        <v>1</v>
      </c>
      <c r="DR416" s="2"/>
      <c r="DS416" s="2"/>
      <c r="DT416" s="2"/>
      <c r="DU416" s="2">
        <v>1013</v>
      </c>
      <c r="DV416" s="2" t="s">
        <v>26</v>
      </c>
      <c r="DW416" s="2" t="s">
        <v>26</v>
      </c>
      <c r="DX416" s="2">
        <v>1</v>
      </c>
      <c r="DY416" s="2"/>
      <c r="DZ416" s="2" t="s">
        <v>3</v>
      </c>
      <c r="EA416" s="2" t="s">
        <v>3</v>
      </c>
      <c r="EB416" s="2" t="s">
        <v>3</v>
      </c>
      <c r="EC416" s="2" t="s">
        <v>3</v>
      </c>
      <c r="ED416" s="2"/>
      <c r="EE416" s="2">
        <v>57042958</v>
      </c>
      <c r="EF416" s="2">
        <v>40</v>
      </c>
      <c r="EG416" s="2" t="s">
        <v>30</v>
      </c>
      <c r="EH416" s="2">
        <v>0</v>
      </c>
      <c r="EI416" s="2" t="s">
        <v>3</v>
      </c>
      <c r="EJ416" s="2">
        <v>2</v>
      </c>
      <c r="EK416" s="2">
        <v>68</v>
      </c>
      <c r="EL416" s="2" t="s">
        <v>38</v>
      </c>
      <c r="EM416" s="2" t="s">
        <v>39</v>
      </c>
      <c r="EN416" s="2"/>
      <c r="EO416" s="2" t="s">
        <v>109</v>
      </c>
      <c r="EP416" s="2"/>
      <c r="EQ416" s="2">
        <v>131072</v>
      </c>
      <c r="ER416" s="2">
        <v>18.079999999999998</v>
      </c>
      <c r="ES416" s="2">
        <v>1.96</v>
      </c>
      <c r="ET416" s="2">
        <v>0.05</v>
      </c>
      <c r="EU416" s="2">
        <v>0.01</v>
      </c>
      <c r="EV416" s="2">
        <v>16.07</v>
      </c>
      <c r="EW416" s="2">
        <v>1.2</v>
      </c>
      <c r="EX416" s="2">
        <v>0</v>
      </c>
      <c r="EY416" s="2">
        <v>0</v>
      </c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>
        <v>0</v>
      </c>
      <c r="FR416" s="2">
        <v>0</v>
      </c>
      <c r="FS416" s="2">
        <v>0</v>
      </c>
      <c r="FT416" s="2"/>
      <c r="FU416" s="2"/>
      <c r="FV416" s="2"/>
      <c r="FW416" s="2"/>
      <c r="FX416" s="2">
        <v>90</v>
      </c>
      <c r="FY416" s="2">
        <v>46</v>
      </c>
      <c r="FZ416" s="2"/>
      <c r="GA416" s="2" t="s">
        <v>3</v>
      </c>
      <c r="GB416" s="2"/>
      <c r="GC416" s="2"/>
      <c r="GD416" s="2">
        <v>1</v>
      </c>
      <c r="GE416" s="2"/>
      <c r="GF416" s="2">
        <v>-1354403463</v>
      </c>
      <c r="GG416" s="2">
        <v>2</v>
      </c>
      <c r="GH416" s="2">
        <v>1</v>
      </c>
      <c r="GI416" s="2">
        <v>2</v>
      </c>
      <c r="GJ416" s="2">
        <v>0</v>
      </c>
      <c r="GK416" s="2">
        <v>0</v>
      </c>
      <c r="GL416" s="2">
        <f t="shared" si="350"/>
        <v>0</v>
      </c>
      <c r="GM416" s="2">
        <f t="shared" si="351"/>
        <v>1341.61</v>
      </c>
      <c r="GN416" s="2">
        <f t="shared" si="352"/>
        <v>0</v>
      </c>
      <c r="GO416" s="2">
        <f t="shared" si="353"/>
        <v>1341.61</v>
      </c>
      <c r="GP416" s="2">
        <f t="shared" si="354"/>
        <v>0</v>
      </c>
      <c r="GQ416" s="2"/>
      <c r="GR416" s="2">
        <v>0</v>
      </c>
      <c r="GS416" s="2">
        <v>3</v>
      </c>
      <c r="GT416" s="2">
        <v>0</v>
      </c>
      <c r="GU416" s="2" t="s">
        <v>3</v>
      </c>
      <c r="GV416" s="2">
        <f t="shared" si="355"/>
        <v>0</v>
      </c>
      <c r="GW416" s="2">
        <v>1</v>
      </c>
      <c r="GX416" s="2">
        <f t="shared" si="356"/>
        <v>0</v>
      </c>
      <c r="GY416" s="2"/>
      <c r="GZ416" s="2"/>
      <c r="HA416" s="2">
        <v>0</v>
      </c>
      <c r="HB416" s="2">
        <v>0</v>
      </c>
      <c r="HC416" s="2">
        <f t="shared" si="357"/>
        <v>0</v>
      </c>
      <c r="HD416" s="2"/>
      <c r="HE416" s="2" t="s">
        <v>3</v>
      </c>
      <c r="HF416" s="2" t="s">
        <v>3</v>
      </c>
      <c r="HG416" s="2"/>
      <c r="HH416" s="2"/>
      <c r="HI416" s="2"/>
      <c r="HJ416" s="2"/>
      <c r="HK416" s="2"/>
      <c r="HL416" s="2"/>
      <c r="HM416" s="2" t="s">
        <v>3</v>
      </c>
      <c r="HN416" s="2" t="s">
        <v>3</v>
      </c>
      <c r="HO416" s="2" t="s">
        <v>3</v>
      </c>
      <c r="HP416" s="2" t="s">
        <v>3</v>
      </c>
      <c r="HQ416" s="2" t="s">
        <v>3</v>
      </c>
      <c r="HR416" s="2"/>
      <c r="HS416" s="2">
        <v>0</v>
      </c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>
        <v>0</v>
      </c>
      <c r="IL416" s="2"/>
      <c r="IM416" s="2"/>
      <c r="IN416" s="2"/>
      <c r="IO416" s="2"/>
      <c r="IP416" s="2"/>
      <c r="IQ416" s="2"/>
      <c r="IR416" s="2"/>
      <c r="IS416" s="2"/>
      <c r="IT416" s="2"/>
      <c r="IU416" s="2"/>
    </row>
    <row r="417" spans="1:255" x14ac:dyDescent="0.25">
      <c r="A417" s="3">
        <v>17</v>
      </c>
      <c r="B417" s="3">
        <v>1</v>
      </c>
      <c r="C417" s="3">
        <f>ROW(SmtRes!A286)</f>
        <v>286</v>
      </c>
      <c r="D417" s="3">
        <f>ROW(EtalonRes!A290)</f>
        <v>290</v>
      </c>
      <c r="E417" s="3" t="s">
        <v>352</v>
      </c>
      <c r="F417" s="3" t="s">
        <v>63</v>
      </c>
      <c r="G417" s="3" t="s">
        <v>246</v>
      </c>
      <c r="H417" s="3" t="s">
        <v>26</v>
      </c>
      <c r="I417" s="3">
        <f>ROUND(7+20,9)</f>
        <v>27</v>
      </c>
      <c r="J417" s="3">
        <v>0</v>
      </c>
      <c r="K417" s="3">
        <f>ROUND(7+20,9)</f>
        <v>27</v>
      </c>
      <c r="O417" s="3">
        <f t="shared" si="318"/>
        <v>31273.37</v>
      </c>
      <c r="P417" s="3">
        <f t="shared" si="358"/>
        <v>520.73</v>
      </c>
      <c r="Q417" s="3">
        <f>(ROUND((ROUND((((ET417*1.2))*AV417*I417),2)*BB417),2)+ROUND((ROUND(((AE417-((EU417*1.2)))*AV417*I417),2)*BS417),2))</f>
        <v>34</v>
      </c>
      <c r="R417" s="3">
        <f>(ROUND((ROUND((((EU417*1.2))*AV417*I417),2)*BS417),2)+ROUND((ROUND(((AE417-((EU417*1.2)))*AV417*I417),2)*BS417),2))</f>
        <v>19.16</v>
      </c>
      <c r="S417" s="3">
        <f t="shared" si="322"/>
        <v>30718.639999999999</v>
      </c>
      <c r="T417" s="3">
        <f t="shared" si="323"/>
        <v>0</v>
      </c>
      <c r="U417" s="3">
        <f t="shared" si="324"/>
        <v>40.707359999999994</v>
      </c>
      <c r="V417" s="3">
        <f t="shared" si="325"/>
        <v>0</v>
      </c>
      <c r="W417" s="3">
        <f t="shared" si="326"/>
        <v>0</v>
      </c>
      <c r="X417" s="3">
        <f>(ROUND((((S417+ROUND((ROUND((((EU417*1.2))*AV417*I417),2)*BS417),2))*AT417)/100),2)+ROUND(((ROUND((ROUND(((AE417-((EU417*1.2)))*AV417*I417),2)*BS417),2)*AT417)/100),2))</f>
        <v>27664.02</v>
      </c>
      <c r="Y417" s="3">
        <f>(ROUND((((S417+ROUND((ROUND((((EU417*1.2))*AV417*I417),2)*BS417),2))*AU417)/100),2)+ROUND(((ROUND((ROUND(((AE417-((EU417*1.2)))*AV417*I417),2)*BS417),2)*AU417)/100),2))</f>
        <v>14139.39</v>
      </c>
      <c r="AA417" s="3">
        <v>57034454</v>
      </c>
      <c r="AB417" s="3">
        <f t="shared" si="329"/>
        <v>21.303999999999998</v>
      </c>
      <c r="AC417" s="3">
        <f>ROUND(((ES417*1)),6)</f>
        <v>1.96</v>
      </c>
      <c r="AD417" s="3">
        <f>ROUND(((((ET417*1.2))-((EU417*1.2)))+AE417),6)</f>
        <v>0.06</v>
      </c>
      <c r="AE417" s="3">
        <f>ROUND(((EU417*1.2)),6)</f>
        <v>1.2E-2</v>
      </c>
      <c r="AF417" s="3">
        <f>ROUND(((EV417*1.2)),6)</f>
        <v>19.283999999999999</v>
      </c>
      <c r="AG417" s="3">
        <f t="shared" si="334"/>
        <v>0</v>
      </c>
      <c r="AH417" s="3">
        <f>((EW417*1.2))</f>
        <v>1.44</v>
      </c>
      <c r="AI417" s="3">
        <f>((EX417*1.2))</f>
        <v>0</v>
      </c>
      <c r="AJ417" s="3">
        <f t="shared" si="337"/>
        <v>0</v>
      </c>
      <c r="AK417" s="3">
        <v>18.079999999999998</v>
      </c>
      <c r="AL417" s="3">
        <v>1.96</v>
      </c>
      <c r="AM417" s="3">
        <v>0.05</v>
      </c>
      <c r="AN417" s="3">
        <v>0.01</v>
      </c>
      <c r="AO417" s="3">
        <v>16.07</v>
      </c>
      <c r="AP417" s="3">
        <v>0</v>
      </c>
      <c r="AQ417" s="3">
        <v>1.2</v>
      </c>
      <c r="AR417" s="3">
        <v>0</v>
      </c>
      <c r="AS417" s="3">
        <v>0</v>
      </c>
      <c r="AT417" s="3">
        <v>90</v>
      </c>
      <c r="AU417" s="3">
        <v>46</v>
      </c>
      <c r="AV417" s="3">
        <v>1.0469999999999999</v>
      </c>
      <c r="AW417" s="3">
        <v>1</v>
      </c>
      <c r="AZ417" s="3">
        <v>1</v>
      </c>
      <c r="BA417" s="3">
        <v>56.35</v>
      </c>
      <c r="BB417" s="3">
        <v>20</v>
      </c>
      <c r="BC417" s="3">
        <v>9.84</v>
      </c>
      <c r="BD417" s="3" t="s">
        <v>3</v>
      </c>
      <c r="BE417" s="3" t="s">
        <v>3</v>
      </c>
      <c r="BF417" s="3" t="s">
        <v>3</v>
      </c>
      <c r="BG417" s="3" t="s">
        <v>3</v>
      </c>
      <c r="BH417" s="3">
        <v>0</v>
      </c>
      <c r="BI417" s="3">
        <v>2</v>
      </c>
      <c r="BJ417" s="3" t="s">
        <v>65</v>
      </c>
      <c r="BM417" s="3">
        <v>68</v>
      </c>
      <c r="BN417" s="3">
        <v>0</v>
      </c>
      <c r="BO417" s="3" t="s">
        <v>63</v>
      </c>
      <c r="BP417" s="3">
        <v>1</v>
      </c>
      <c r="BQ417" s="3">
        <v>40</v>
      </c>
      <c r="BR417" s="3">
        <v>0</v>
      </c>
      <c r="BS417" s="3">
        <v>56.35</v>
      </c>
      <c r="BT417" s="3">
        <v>1</v>
      </c>
      <c r="BU417" s="3">
        <v>1</v>
      </c>
      <c r="BV417" s="3">
        <v>1</v>
      </c>
      <c r="BW417" s="3">
        <v>1</v>
      </c>
      <c r="BX417" s="3">
        <v>1</v>
      </c>
      <c r="BY417" s="3" t="s">
        <v>3</v>
      </c>
      <c r="BZ417" s="3">
        <v>90</v>
      </c>
      <c r="CA417" s="3">
        <v>46</v>
      </c>
      <c r="CB417" s="3" t="s">
        <v>3</v>
      </c>
      <c r="CE417" s="3">
        <v>1566</v>
      </c>
      <c r="CF417" s="3">
        <v>0</v>
      </c>
      <c r="CG417" s="3">
        <v>0</v>
      </c>
      <c r="CM417" s="3">
        <v>0</v>
      </c>
      <c r="CN417" s="3" t="s">
        <v>614</v>
      </c>
      <c r="CO417" s="3">
        <v>0</v>
      </c>
      <c r="CP417" s="3">
        <f t="shared" si="338"/>
        <v>31273.37</v>
      </c>
      <c r="CQ417" s="3">
        <f t="shared" si="359"/>
        <v>19.29</v>
      </c>
      <c r="CR417" s="3">
        <f>(ROUND((ROUND((((ET417*1.2))*AV417*1),2)*BB417),2)+ROUND((ROUND(((AE417-((EU417*1.2)))*AV417*1),2)*BS417),2))</f>
        <v>1.2</v>
      </c>
      <c r="CS417" s="3">
        <f>(ROUND((ROUND((((EU417*1.2))*AV417*1),2)*BS417),2)+ROUND((ROUND(((AE417-((EU417*1.2)))*AV417*1),2)*BS417),2))</f>
        <v>0.56000000000000005</v>
      </c>
      <c r="CT417" s="3">
        <f t="shared" si="342"/>
        <v>1137.71</v>
      </c>
      <c r="CU417" s="3">
        <f t="shared" si="343"/>
        <v>0</v>
      </c>
      <c r="CV417" s="3">
        <f t="shared" si="344"/>
        <v>1.5076799999999999</v>
      </c>
      <c r="CW417" s="3">
        <f t="shared" si="345"/>
        <v>0</v>
      </c>
      <c r="CX417" s="3">
        <f t="shared" si="346"/>
        <v>0</v>
      </c>
      <c r="CY417" s="3">
        <f>(ROUND((((S417+ROUND((ROUND((((EU417*1.2))*AV417*1),2)*BS417),2))*AT417)/100),2)+ROUND(((ROUND((ROUND(((AE417-((EU417*1.2)))*AV417*1),2)*BS417),2)*AT417)/100),2))</f>
        <v>27647.279999999999</v>
      </c>
      <c r="CZ417" s="3">
        <f>(ROUND((((S417+ROUND((ROUND((((EU417*1.2))*AV417*1),2)*BS417),2))*AU417)/100),2)+ROUND(((ROUND((ROUND(((AE417-((EU417*1.2)))*AV417*1),2)*BS417),2)*AU417)/100),2))</f>
        <v>14130.83</v>
      </c>
      <c r="DB417" s="3">
        <v>132</v>
      </c>
      <c r="DC417" s="3" t="s">
        <v>3</v>
      </c>
      <c r="DD417" s="3" t="s">
        <v>104</v>
      </c>
      <c r="DE417" s="3" t="s">
        <v>105</v>
      </c>
      <c r="DF417" s="3" t="s">
        <v>105</v>
      </c>
      <c r="DG417" s="3" t="s">
        <v>105</v>
      </c>
      <c r="DH417" s="3" t="s">
        <v>3</v>
      </c>
      <c r="DI417" s="3" t="s">
        <v>105</v>
      </c>
      <c r="DJ417" s="3" t="s">
        <v>105</v>
      </c>
      <c r="DK417" s="3" t="s">
        <v>3</v>
      </c>
      <c r="DL417" s="3" t="s">
        <v>3</v>
      </c>
      <c r="DM417" s="3" t="s">
        <v>3</v>
      </c>
      <c r="DN417" s="3">
        <v>0</v>
      </c>
      <c r="DO417" s="3">
        <v>0</v>
      </c>
      <c r="DP417" s="3">
        <v>1</v>
      </c>
      <c r="DQ417" s="3">
        <v>1</v>
      </c>
      <c r="DU417" s="3">
        <v>1013</v>
      </c>
      <c r="DV417" s="3" t="s">
        <v>26</v>
      </c>
      <c r="DW417" s="3" t="s">
        <v>26</v>
      </c>
      <c r="DX417" s="3">
        <v>1</v>
      </c>
      <c r="DZ417" s="3" t="s">
        <v>3</v>
      </c>
      <c r="EA417" s="3" t="s">
        <v>3</v>
      </c>
      <c r="EB417" s="3" t="s">
        <v>3</v>
      </c>
      <c r="EC417" s="3" t="s">
        <v>3</v>
      </c>
      <c r="EE417" s="3">
        <v>57042958</v>
      </c>
      <c r="EF417" s="3">
        <v>40</v>
      </c>
      <c r="EG417" s="3" t="s">
        <v>30</v>
      </c>
      <c r="EH417" s="3">
        <v>0</v>
      </c>
      <c r="EI417" s="3" t="s">
        <v>3</v>
      </c>
      <c r="EJ417" s="3">
        <v>2</v>
      </c>
      <c r="EK417" s="3">
        <v>68</v>
      </c>
      <c r="EL417" s="3" t="s">
        <v>38</v>
      </c>
      <c r="EM417" s="3" t="s">
        <v>39</v>
      </c>
      <c r="EO417" s="3" t="s">
        <v>109</v>
      </c>
      <c r="EQ417" s="3">
        <v>131072</v>
      </c>
      <c r="ER417" s="3">
        <v>18.079999999999998</v>
      </c>
      <c r="ES417" s="3">
        <v>1.96</v>
      </c>
      <c r="ET417" s="3">
        <v>0.05</v>
      </c>
      <c r="EU417" s="3">
        <v>0.01</v>
      </c>
      <c r="EV417" s="3">
        <v>16.07</v>
      </c>
      <c r="EW417" s="3">
        <v>1.2</v>
      </c>
      <c r="EX417" s="3">
        <v>0</v>
      </c>
      <c r="EY417" s="3">
        <v>0</v>
      </c>
      <c r="FQ417" s="3">
        <v>0</v>
      </c>
      <c r="FR417" s="3">
        <v>0</v>
      </c>
      <c r="FS417" s="3">
        <v>0</v>
      </c>
      <c r="FX417" s="3">
        <v>90</v>
      </c>
      <c r="FY417" s="3">
        <v>46</v>
      </c>
      <c r="GA417" s="3" t="s">
        <v>3</v>
      </c>
      <c r="GD417" s="3">
        <v>1</v>
      </c>
      <c r="GF417" s="3">
        <v>-1354403463</v>
      </c>
      <c r="GG417" s="3">
        <v>2</v>
      </c>
      <c r="GH417" s="3">
        <v>1</v>
      </c>
      <c r="GI417" s="3">
        <v>2</v>
      </c>
      <c r="GJ417" s="3">
        <v>0</v>
      </c>
      <c r="GK417" s="3">
        <v>0</v>
      </c>
      <c r="GL417" s="3">
        <f t="shared" si="350"/>
        <v>0</v>
      </c>
      <c r="GM417" s="3">
        <f t="shared" si="351"/>
        <v>73076.78</v>
      </c>
      <c r="GN417" s="3">
        <f t="shared" si="352"/>
        <v>0</v>
      </c>
      <c r="GO417" s="3">
        <f t="shared" si="353"/>
        <v>73076.78</v>
      </c>
      <c r="GP417" s="3">
        <f t="shared" si="354"/>
        <v>0</v>
      </c>
      <c r="GR417" s="3">
        <v>0</v>
      </c>
      <c r="GS417" s="3">
        <v>3</v>
      </c>
      <c r="GT417" s="3">
        <v>0</v>
      </c>
      <c r="GU417" s="3" t="s">
        <v>3</v>
      </c>
      <c r="GV417" s="3">
        <f t="shared" si="355"/>
        <v>0</v>
      </c>
      <c r="GW417" s="3">
        <v>1</v>
      </c>
      <c r="GX417" s="3">
        <f t="shared" si="356"/>
        <v>0</v>
      </c>
      <c r="HA417" s="3">
        <v>0</v>
      </c>
      <c r="HB417" s="3">
        <v>0</v>
      </c>
      <c r="HC417" s="3">
        <f t="shared" si="357"/>
        <v>0</v>
      </c>
      <c r="HE417" s="3" t="s">
        <v>3</v>
      </c>
      <c r="HF417" s="3" t="s">
        <v>3</v>
      </c>
      <c r="HM417" s="3" t="s">
        <v>3</v>
      </c>
      <c r="HN417" s="3" t="s">
        <v>3</v>
      </c>
      <c r="HO417" s="3" t="s">
        <v>3</v>
      </c>
      <c r="HP417" s="3" t="s">
        <v>3</v>
      </c>
      <c r="HQ417" s="3" t="s">
        <v>3</v>
      </c>
      <c r="HS417" s="3">
        <v>0</v>
      </c>
      <c r="IK417" s="3">
        <v>0</v>
      </c>
    </row>
    <row r="418" spans="1:255" x14ac:dyDescent="0.25">
      <c r="A418" s="2">
        <v>18</v>
      </c>
      <c r="B418" s="2">
        <v>1</v>
      </c>
      <c r="C418" s="2">
        <v>282</v>
      </c>
      <c r="D418" s="2"/>
      <c r="E418" s="2" t="s">
        <v>353</v>
      </c>
      <c r="F418" s="2" t="s">
        <v>354</v>
      </c>
      <c r="G418" s="2" t="s">
        <v>355</v>
      </c>
      <c r="H418" s="2" t="s">
        <v>177</v>
      </c>
      <c r="I418" s="2">
        <f>I416*J418</f>
        <v>7</v>
      </c>
      <c r="J418" s="2">
        <v>0.25925925925925924</v>
      </c>
      <c r="K418" s="2">
        <v>0.25925925999999999</v>
      </c>
      <c r="L418" s="2"/>
      <c r="M418" s="2"/>
      <c r="N418" s="2"/>
      <c r="O418" s="2">
        <f t="shared" si="318"/>
        <v>2903.53</v>
      </c>
      <c r="P418" s="2">
        <f>ROUND((ROUND((AC418*I418),2)*BC418),2)</f>
        <v>2903.53</v>
      </c>
      <c r="Q418" s="2">
        <f>(ROUND((ROUND(((ET418)*AV418*I418),2)*BB418),2)+ROUND((ROUND(((AE418-(EU418))*AV418*I418),2)*BS418),2))</f>
        <v>0</v>
      </c>
      <c r="R418" s="2">
        <f>(ROUND((ROUND(((EU418)*AV418*I418),2)*BS418),2)+ROUND((ROUND(((AE418-(EU418))*AV418*I418),2)*BS418),2))</f>
        <v>0</v>
      </c>
      <c r="S418" s="2">
        <f t="shared" si="322"/>
        <v>0</v>
      </c>
      <c r="T418" s="2">
        <f t="shared" si="323"/>
        <v>0</v>
      </c>
      <c r="U418" s="2">
        <f t="shared" si="324"/>
        <v>0</v>
      </c>
      <c r="V418" s="2">
        <f t="shared" si="325"/>
        <v>0</v>
      </c>
      <c r="W418" s="2">
        <f t="shared" si="326"/>
        <v>0</v>
      </c>
      <c r="X418" s="2">
        <f>(ROUND((((S418+ROUND((ROUND(((EU418)*AV418*I418),2)*BS418),2))*AT418)/100),2)+ROUND(((ROUND((ROUND(((AE418-(EU418))*AV418*I418),2)*BS418),2)*AT418)/100),2))</f>
        <v>0</v>
      </c>
      <c r="Y418" s="2">
        <f>(ROUND((((S418+ROUND((ROUND(((EU418)*AV418*I418),2)*BS418),2))*AU418)/100),2)+ROUND(((ROUND((ROUND(((AE418-(EU418))*AV418*I418),2)*BS418),2)*AU418)/100),2))</f>
        <v>0</v>
      </c>
      <c r="Z418" s="2"/>
      <c r="AA418" s="2">
        <v>57034452</v>
      </c>
      <c r="AB418" s="2">
        <f t="shared" si="329"/>
        <v>414.79</v>
      </c>
      <c r="AC418" s="2">
        <f>ROUND((ES418),6)</f>
        <v>414.79</v>
      </c>
      <c r="AD418" s="2">
        <f>ROUND((((ET418)-(EU418))+AE418),6)</f>
        <v>0</v>
      </c>
      <c r="AE418" s="2">
        <f t="shared" ref="AE418:AF421" si="362">ROUND((EU418),6)</f>
        <v>0</v>
      </c>
      <c r="AF418" s="2">
        <f t="shared" si="362"/>
        <v>0</v>
      </c>
      <c r="AG418" s="2">
        <f t="shared" si="334"/>
        <v>0</v>
      </c>
      <c r="AH418" s="2">
        <f t="shared" ref="AH418:AI421" si="363">(EW418)</f>
        <v>0</v>
      </c>
      <c r="AI418" s="2">
        <f t="shared" si="363"/>
        <v>0</v>
      </c>
      <c r="AJ418" s="2">
        <f t="shared" si="337"/>
        <v>0</v>
      </c>
      <c r="AK418" s="2">
        <v>414.79</v>
      </c>
      <c r="AL418" s="2">
        <v>414.79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1</v>
      </c>
      <c r="AW418" s="2">
        <v>1</v>
      </c>
      <c r="AX418" s="2"/>
      <c r="AY418" s="2"/>
      <c r="AZ418" s="2">
        <v>1</v>
      </c>
      <c r="BA418" s="2">
        <v>1</v>
      </c>
      <c r="BB418" s="2">
        <v>1</v>
      </c>
      <c r="BC418" s="2">
        <v>1</v>
      </c>
      <c r="BD418" s="2" t="s">
        <v>3</v>
      </c>
      <c r="BE418" s="2" t="s">
        <v>3</v>
      </c>
      <c r="BF418" s="2" t="s">
        <v>3</v>
      </c>
      <c r="BG418" s="2" t="s">
        <v>3</v>
      </c>
      <c r="BH418" s="2">
        <v>3</v>
      </c>
      <c r="BI418" s="2">
        <v>3</v>
      </c>
      <c r="BJ418" s="2" t="s">
        <v>3</v>
      </c>
      <c r="BK418" s="2"/>
      <c r="BL418" s="2"/>
      <c r="BM418" s="2">
        <v>746</v>
      </c>
      <c r="BN418" s="2">
        <v>0</v>
      </c>
      <c r="BO418" s="2" t="s">
        <v>3</v>
      </c>
      <c r="BP418" s="2">
        <v>0</v>
      </c>
      <c r="BQ418" s="2">
        <v>130</v>
      </c>
      <c r="BR418" s="2">
        <v>0</v>
      </c>
      <c r="BS418" s="2">
        <v>1</v>
      </c>
      <c r="BT418" s="2">
        <v>1</v>
      </c>
      <c r="BU418" s="2">
        <v>1</v>
      </c>
      <c r="BV418" s="2">
        <v>1</v>
      </c>
      <c r="BW418" s="2">
        <v>1</v>
      </c>
      <c r="BX418" s="2">
        <v>1</v>
      </c>
      <c r="BY418" s="2" t="s">
        <v>3</v>
      </c>
      <c r="BZ418" s="2">
        <v>90</v>
      </c>
      <c r="CA418" s="2">
        <v>46</v>
      </c>
      <c r="CB418" s="2" t="s">
        <v>3</v>
      </c>
      <c r="CC418" s="2"/>
      <c r="CD418" s="2"/>
      <c r="CE418" s="2">
        <v>1566</v>
      </c>
      <c r="CF418" s="2">
        <v>0</v>
      </c>
      <c r="CG418" s="2">
        <v>0</v>
      </c>
      <c r="CH418" s="2"/>
      <c r="CI418" s="2"/>
      <c r="CJ418" s="2"/>
      <c r="CK418" s="2"/>
      <c r="CL418" s="2"/>
      <c r="CM418" s="2">
        <v>0</v>
      </c>
      <c r="CN418" s="2" t="s">
        <v>615</v>
      </c>
      <c r="CO418" s="2">
        <v>0</v>
      </c>
      <c r="CP418" s="2">
        <f t="shared" si="338"/>
        <v>2903.53</v>
      </c>
      <c r="CQ418" s="2">
        <f>ROUND((ROUND((AC418*1),2)*BC418),2)</f>
        <v>414.79</v>
      </c>
      <c r="CR418" s="2">
        <f>(ROUND((ROUND(((ET418)*AV418*1),2)*BB418),2)+ROUND((ROUND(((AE418-(EU418))*AV418*1),2)*BS418),2))</f>
        <v>0</v>
      </c>
      <c r="CS418" s="2">
        <f>(ROUND((ROUND(((EU418)*AV418*1),2)*BS418),2)+ROUND((ROUND(((AE418-(EU418))*AV418*1),2)*BS418),2))</f>
        <v>0</v>
      </c>
      <c r="CT418" s="2">
        <f t="shared" si="342"/>
        <v>0</v>
      </c>
      <c r="CU418" s="2">
        <f t="shared" si="343"/>
        <v>0</v>
      </c>
      <c r="CV418" s="2">
        <f t="shared" si="344"/>
        <v>0</v>
      </c>
      <c r="CW418" s="2">
        <f t="shared" si="345"/>
        <v>0</v>
      </c>
      <c r="CX418" s="2">
        <f t="shared" si="346"/>
        <v>0</v>
      </c>
      <c r="CY418" s="2">
        <f>(ROUND((((S418+ROUND((ROUND(((EU418)*AV418*1),2)*BS418),2))*AT418)/100),2)+ROUND(((ROUND((ROUND(((AE418-(EU418))*AV418*1),2)*BS418),2)*AT418)/100),2))</f>
        <v>0</v>
      </c>
      <c r="CZ418" s="2">
        <f>(ROUND((((S418+ROUND((ROUND(((EU418)*AV418*1),2)*BS418),2))*AU418)/100),2)+ROUND(((ROUND((ROUND(((AE418-(EU418))*AV418*1),2)*BS418),2)*AU418)/100),2))</f>
        <v>0</v>
      </c>
      <c r="DA418" s="2"/>
      <c r="DB418" s="2"/>
      <c r="DC418" s="2" t="s">
        <v>3</v>
      </c>
      <c r="DD418" s="2" t="s">
        <v>3</v>
      </c>
      <c r="DE418" s="2" t="s">
        <v>3</v>
      </c>
      <c r="DF418" s="2" t="s">
        <v>3</v>
      </c>
      <c r="DG418" s="2" t="s">
        <v>3</v>
      </c>
      <c r="DH418" s="2" t="s">
        <v>3</v>
      </c>
      <c r="DI418" s="2" t="s">
        <v>3</v>
      </c>
      <c r="DJ418" s="2" t="s">
        <v>3</v>
      </c>
      <c r="DK418" s="2" t="s">
        <v>3</v>
      </c>
      <c r="DL418" s="2" t="s">
        <v>3</v>
      </c>
      <c r="DM418" s="2" t="s">
        <v>3</v>
      </c>
      <c r="DN418" s="2">
        <v>0</v>
      </c>
      <c r="DO418" s="2">
        <v>0</v>
      </c>
      <c r="DP418" s="2">
        <v>1</v>
      </c>
      <c r="DQ418" s="2">
        <v>1</v>
      </c>
      <c r="DR418" s="2"/>
      <c r="DS418" s="2"/>
      <c r="DT418" s="2"/>
      <c r="DU418" s="2">
        <v>1010</v>
      </c>
      <c r="DV418" s="2" t="s">
        <v>177</v>
      </c>
      <c r="DW418" s="2" t="s">
        <v>177</v>
      </c>
      <c r="DX418" s="2">
        <v>1</v>
      </c>
      <c r="DY418" s="2"/>
      <c r="DZ418" s="2" t="s">
        <v>3</v>
      </c>
      <c r="EA418" s="2" t="s">
        <v>3</v>
      </c>
      <c r="EB418" s="2" t="s">
        <v>3</v>
      </c>
      <c r="EC418" s="2" t="s">
        <v>3</v>
      </c>
      <c r="ED418" s="2"/>
      <c r="EE418" s="2">
        <v>57043064</v>
      </c>
      <c r="EF418" s="2">
        <v>130</v>
      </c>
      <c r="EG418" s="2" t="s">
        <v>178</v>
      </c>
      <c r="EH418" s="2">
        <v>0</v>
      </c>
      <c r="EI418" s="2" t="s">
        <v>3</v>
      </c>
      <c r="EJ418" s="2">
        <v>3</v>
      </c>
      <c r="EK418" s="2">
        <v>746</v>
      </c>
      <c r="EL418" s="2" t="s">
        <v>179</v>
      </c>
      <c r="EM418" s="2" t="s">
        <v>180</v>
      </c>
      <c r="EN418" s="2"/>
      <c r="EO418" s="2" t="s">
        <v>109</v>
      </c>
      <c r="EP418" s="2"/>
      <c r="EQ418" s="2">
        <v>2097152</v>
      </c>
      <c r="ER418" s="2">
        <v>0</v>
      </c>
      <c r="ES418" s="2">
        <v>414.79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>
        <v>0</v>
      </c>
      <c r="FR418" s="2">
        <f>P418</f>
        <v>2903.53</v>
      </c>
      <c r="FS418" s="2">
        <v>0</v>
      </c>
      <c r="FT418" s="2"/>
      <c r="FU418" s="2"/>
      <c r="FV418" s="2"/>
      <c r="FW418" s="2"/>
      <c r="FX418" s="2">
        <v>90</v>
      </c>
      <c r="FY418" s="2">
        <v>46</v>
      </c>
      <c r="FZ418" s="2"/>
      <c r="GA418" s="2" t="s">
        <v>356</v>
      </c>
      <c r="GB418" s="2"/>
      <c r="GC418" s="2"/>
      <c r="GD418" s="2">
        <v>1</v>
      </c>
      <c r="GE418" s="2"/>
      <c r="GF418" s="2">
        <v>808450246</v>
      </c>
      <c r="GG418" s="2">
        <v>2</v>
      </c>
      <c r="GH418" s="2">
        <v>4</v>
      </c>
      <c r="GI418" s="2">
        <v>-2</v>
      </c>
      <c r="GJ418" s="2">
        <v>0</v>
      </c>
      <c r="GK418" s="2">
        <v>0</v>
      </c>
      <c r="GL418" s="2">
        <f t="shared" si="350"/>
        <v>0</v>
      </c>
      <c r="GM418" s="2">
        <f t="shared" si="351"/>
        <v>2903.53</v>
      </c>
      <c r="GN418" s="2">
        <f t="shared" si="352"/>
        <v>0</v>
      </c>
      <c r="GO418" s="2">
        <f t="shared" si="353"/>
        <v>0</v>
      </c>
      <c r="GP418" s="2">
        <f t="shared" si="354"/>
        <v>0</v>
      </c>
      <c r="GQ418" s="2"/>
      <c r="GR418" s="2">
        <v>0</v>
      </c>
      <c r="GS418" s="2">
        <v>2</v>
      </c>
      <c r="GT418" s="2">
        <v>0</v>
      </c>
      <c r="GU418" s="2" t="s">
        <v>3</v>
      </c>
      <c r="GV418" s="2">
        <f t="shared" si="355"/>
        <v>0</v>
      </c>
      <c r="GW418" s="2">
        <v>1</v>
      </c>
      <c r="GX418" s="2">
        <f t="shared" si="356"/>
        <v>0</v>
      </c>
      <c r="GY418" s="2"/>
      <c r="GZ418" s="2"/>
      <c r="HA418" s="2">
        <v>0</v>
      </c>
      <c r="HB418" s="2">
        <v>0</v>
      </c>
      <c r="HC418" s="2">
        <f t="shared" si="357"/>
        <v>0</v>
      </c>
      <c r="HD418" s="2"/>
      <c r="HE418" s="2" t="s">
        <v>40</v>
      </c>
      <c r="HF418" s="2" t="s">
        <v>182</v>
      </c>
      <c r="HG418" s="2"/>
      <c r="HH418" s="2"/>
      <c r="HI418" s="2"/>
      <c r="HJ418" s="2"/>
      <c r="HK418" s="2"/>
      <c r="HL418" s="2"/>
      <c r="HM418" s="2" t="s">
        <v>104</v>
      </c>
      <c r="HN418" s="2" t="s">
        <v>3</v>
      </c>
      <c r="HO418" s="2" t="s">
        <v>3</v>
      </c>
      <c r="HP418" s="2" t="s">
        <v>3</v>
      </c>
      <c r="HQ418" s="2" t="s">
        <v>3</v>
      </c>
      <c r="HR418" s="2"/>
      <c r="HS418" s="2">
        <v>0</v>
      </c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>
        <v>0</v>
      </c>
      <c r="IL418" s="2"/>
      <c r="IM418" s="2"/>
      <c r="IN418" s="2"/>
      <c r="IO418" s="2"/>
      <c r="IP418" s="2"/>
      <c r="IQ418" s="2"/>
      <c r="IR418" s="2"/>
      <c r="IS418" s="2"/>
      <c r="IT418" s="2"/>
      <c r="IU418" s="2"/>
    </row>
    <row r="419" spans="1:255" x14ac:dyDescent="0.25">
      <c r="A419" s="3">
        <v>18</v>
      </c>
      <c r="B419" s="3">
        <v>1</v>
      </c>
      <c r="C419" s="3">
        <v>285</v>
      </c>
      <c r="E419" s="3" t="s">
        <v>353</v>
      </c>
      <c r="F419" s="3" t="s">
        <v>354</v>
      </c>
      <c r="G419" s="3" t="s">
        <v>355</v>
      </c>
      <c r="H419" s="3" t="s">
        <v>177</v>
      </c>
      <c r="I419" s="3">
        <f>I417*J419</f>
        <v>7</v>
      </c>
      <c r="J419" s="3">
        <v>0.25925925925925924</v>
      </c>
      <c r="K419" s="3">
        <v>0.25925925999999999</v>
      </c>
      <c r="O419" s="3">
        <f t="shared" si="318"/>
        <v>21979.72</v>
      </c>
      <c r="P419" s="3">
        <f>ROUND((ROUND((AC419*I419),2)*BC419),2)</f>
        <v>21979.72</v>
      </c>
      <c r="Q419" s="3">
        <f>(ROUND((ROUND(((ET419)*AV419*I419),2)*BB419),2)+ROUND((ROUND(((AE419-(EU419))*AV419*I419),2)*BS419),2))</f>
        <v>0</v>
      </c>
      <c r="R419" s="3">
        <f>(ROUND((ROUND(((EU419)*AV419*I419),2)*BS419),2)+ROUND((ROUND(((AE419-(EU419))*AV419*I419),2)*BS419),2))</f>
        <v>0</v>
      </c>
      <c r="S419" s="3">
        <f t="shared" si="322"/>
        <v>0</v>
      </c>
      <c r="T419" s="3">
        <f t="shared" si="323"/>
        <v>0</v>
      </c>
      <c r="U419" s="3">
        <f t="shared" si="324"/>
        <v>0</v>
      </c>
      <c r="V419" s="3">
        <f t="shared" si="325"/>
        <v>0</v>
      </c>
      <c r="W419" s="3">
        <f t="shared" si="326"/>
        <v>0</v>
      </c>
      <c r="X419" s="3">
        <f>(ROUND((((S419+ROUND((ROUND(((EU419)*AV419*I419),2)*BS419),2))*AT419)/100),2)+ROUND(((ROUND((ROUND(((AE419-(EU419))*AV419*I419),2)*BS419),2)*AT419)/100),2))</f>
        <v>0</v>
      </c>
      <c r="Y419" s="3">
        <f>(ROUND((((S419+ROUND((ROUND(((EU419)*AV419*I419),2)*BS419),2))*AU419)/100),2)+ROUND(((ROUND((ROUND(((AE419-(EU419))*AV419*I419),2)*BS419),2)*AU419)/100),2))</f>
        <v>0</v>
      </c>
      <c r="AA419" s="3">
        <v>57034454</v>
      </c>
      <c r="AB419" s="3">
        <f t="shared" si="329"/>
        <v>414.79</v>
      </c>
      <c r="AC419" s="3">
        <f>ROUND((ES419),6)</f>
        <v>414.79</v>
      </c>
      <c r="AD419" s="3">
        <f>ROUND((((ET419)-(EU419))+AE419),6)</f>
        <v>0</v>
      </c>
      <c r="AE419" s="3">
        <f t="shared" si="362"/>
        <v>0</v>
      </c>
      <c r="AF419" s="3">
        <f t="shared" si="362"/>
        <v>0</v>
      </c>
      <c r="AG419" s="3">
        <f t="shared" si="334"/>
        <v>0</v>
      </c>
      <c r="AH419" s="3">
        <f t="shared" si="363"/>
        <v>0</v>
      </c>
      <c r="AI419" s="3">
        <f t="shared" si="363"/>
        <v>0</v>
      </c>
      <c r="AJ419" s="3">
        <f t="shared" si="337"/>
        <v>0</v>
      </c>
      <c r="AK419" s="3">
        <v>414.79</v>
      </c>
      <c r="AL419" s="3">
        <v>414.79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1</v>
      </c>
      <c r="AW419" s="3">
        <v>1</v>
      </c>
      <c r="AZ419" s="3">
        <v>1</v>
      </c>
      <c r="BA419" s="3">
        <v>1</v>
      </c>
      <c r="BB419" s="3">
        <v>1</v>
      </c>
      <c r="BC419" s="3">
        <v>7.57</v>
      </c>
      <c r="BD419" s="3" t="s">
        <v>3</v>
      </c>
      <c r="BE419" s="3" t="s">
        <v>3</v>
      </c>
      <c r="BF419" s="3" t="s">
        <v>3</v>
      </c>
      <c r="BG419" s="3" t="s">
        <v>3</v>
      </c>
      <c r="BH419" s="3">
        <v>3</v>
      </c>
      <c r="BI419" s="3">
        <v>3</v>
      </c>
      <c r="BJ419" s="3" t="s">
        <v>3</v>
      </c>
      <c r="BM419" s="3">
        <v>746</v>
      </c>
      <c r="BN419" s="3">
        <v>0</v>
      </c>
      <c r="BO419" s="3" t="s">
        <v>3</v>
      </c>
      <c r="BP419" s="3">
        <v>0</v>
      </c>
      <c r="BQ419" s="3">
        <v>130</v>
      </c>
      <c r="BR419" s="3">
        <v>0</v>
      </c>
      <c r="BS419" s="3">
        <v>1</v>
      </c>
      <c r="BT419" s="3">
        <v>1</v>
      </c>
      <c r="BU419" s="3">
        <v>1</v>
      </c>
      <c r="BV419" s="3">
        <v>1</v>
      </c>
      <c r="BW419" s="3">
        <v>1</v>
      </c>
      <c r="BX419" s="3">
        <v>1</v>
      </c>
      <c r="BY419" s="3" t="s">
        <v>3</v>
      </c>
      <c r="BZ419" s="3">
        <v>90</v>
      </c>
      <c r="CA419" s="3">
        <v>46</v>
      </c>
      <c r="CB419" s="3" t="s">
        <v>3</v>
      </c>
      <c r="CE419" s="3">
        <v>1566</v>
      </c>
      <c r="CF419" s="3">
        <v>0</v>
      </c>
      <c r="CG419" s="3">
        <v>0</v>
      </c>
      <c r="CM419" s="3">
        <v>0</v>
      </c>
      <c r="CN419" s="3" t="s">
        <v>615</v>
      </c>
      <c r="CO419" s="3">
        <v>0</v>
      </c>
      <c r="CP419" s="3">
        <f t="shared" si="338"/>
        <v>21979.72</v>
      </c>
      <c r="CQ419" s="3">
        <f>ROUND((ROUND((AC419*1),2)*BC419),2)</f>
        <v>3139.96</v>
      </c>
      <c r="CR419" s="3">
        <f>(ROUND((ROUND(((ET419)*AV419*1),2)*BB419),2)+ROUND((ROUND(((AE419-(EU419))*AV419*1),2)*BS419),2))</f>
        <v>0</v>
      </c>
      <c r="CS419" s="3">
        <f>(ROUND((ROUND(((EU419)*AV419*1),2)*BS419),2)+ROUND((ROUND(((AE419-(EU419))*AV419*1),2)*BS419),2))</f>
        <v>0</v>
      </c>
      <c r="CT419" s="3">
        <f t="shared" si="342"/>
        <v>0</v>
      </c>
      <c r="CU419" s="3">
        <f t="shared" si="343"/>
        <v>0</v>
      </c>
      <c r="CV419" s="3">
        <f t="shared" si="344"/>
        <v>0</v>
      </c>
      <c r="CW419" s="3">
        <f t="shared" si="345"/>
        <v>0</v>
      </c>
      <c r="CX419" s="3">
        <f t="shared" si="346"/>
        <v>0</v>
      </c>
      <c r="CY419" s="3">
        <f>(ROUND((((S419+ROUND((ROUND(((EU419)*AV419*1),2)*BS419),2))*AT419)/100),2)+ROUND(((ROUND((ROUND(((AE419-(EU419))*AV419*1),2)*BS419),2)*AT419)/100),2))</f>
        <v>0</v>
      </c>
      <c r="CZ419" s="3">
        <f>(ROUND((((S419+ROUND((ROUND(((EU419)*AV419*1),2)*BS419),2))*AU419)/100),2)+ROUND(((ROUND((ROUND(((AE419-(EU419))*AV419*1),2)*BS419),2)*AU419)/100),2))</f>
        <v>0</v>
      </c>
      <c r="DC419" s="3" t="s">
        <v>3</v>
      </c>
      <c r="DD419" s="3" t="s">
        <v>3</v>
      </c>
      <c r="DE419" s="3" t="s">
        <v>3</v>
      </c>
      <c r="DF419" s="3" t="s">
        <v>3</v>
      </c>
      <c r="DG419" s="3" t="s">
        <v>3</v>
      </c>
      <c r="DH419" s="3" t="s">
        <v>3</v>
      </c>
      <c r="DI419" s="3" t="s">
        <v>3</v>
      </c>
      <c r="DJ419" s="3" t="s">
        <v>3</v>
      </c>
      <c r="DK419" s="3" t="s">
        <v>3</v>
      </c>
      <c r="DL419" s="3" t="s">
        <v>3</v>
      </c>
      <c r="DM419" s="3" t="s">
        <v>3</v>
      </c>
      <c r="DN419" s="3">
        <v>0</v>
      </c>
      <c r="DO419" s="3">
        <v>0</v>
      </c>
      <c r="DP419" s="3">
        <v>1</v>
      </c>
      <c r="DQ419" s="3">
        <v>1</v>
      </c>
      <c r="DU419" s="3">
        <v>1010</v>
      </c>
      <c r="DV419" s="3" t="s">
        <v>177</v>
      </c>
      <c r="DW419" s="3" t="s">
        <v>177</v>
      </c>
      <c r="DX419" s="3">
        <v>1</v>
      </c>
      <c r="DZ419" s="3" t="s">
        <v>3</v>
      </c>
      <c r="EA419" s="3" t="s">
        <v>3</v>
      </c>
      <c r="EB419" s="3" t="s">
        <v>3</v>
      </c>
      <c r="EC419" s="3" t="s">
        <v>3</v>
      </c>
      <c r="EE419" s="3">
        <v>57043064</v>
      </c>
      <c r="EF419" s="3">
        <v>130</v>
      </c>
      <c r="EG419" s="3" t="s">
        <v>178</v>
      </c>
      <c r="EH419" s="3">
        <v>0</v>
      </c>
      <c r="EI419" s="3" t="s">
        <v>3</v>
      </c>
      <c r="EJ419" s="3">
        <v>3</v>
      </c>
      <c r="EK419" s="3">
        <v>746</v>
      </c>
      <c r="EL419" s="3" t="s">
        <v>179</v>
      </c>
      <c r="EM419" s="3" t="s">
        <v>180</v>
      </c>
      <c r="EO419" s="3" t="s">
        <v>109</v>
      </c>
      <c r="EQ419" s="3">
        <v>2097152</v>
      </c>
      <c r="ER419" s="3">
        <v>414.79</v>
      </c>
      <c r="ES419" s="3">
        <v>414.79</v>
      </c>
      <c r="ET419" s="3">
        <v>0</v>
      </c>
      <c r="EU419" s="3">
        <v>0</v>
      </c>
      <c r="EV419" s="3">
        <v>0</v>
      </c>
      <c r="EW419" s="3">
        <v>0</v>
      </c>
      <c r="EX419" s="3">
        <v>0</v>
      </c>
      <c r="EZ419" s="3">
        <v>5</v>
      </c>
      <c r="FC419" s="3">
        <v>1</v>
      </c>
      <c r="FD419" s="3">
        <v>18</v>
      </c>
      <c r="FF419" s="3">
        <v>3675</v>
      </c>
      <c r="FQ419" s="3">
        <v>0</v>
      </c>
      <c r="FR419" s="3">
        <f>P419</f>
        <v>21979.72</v>
      </c>
      <c r="FS419" s="3">
        <v>0</v>
      </c>
      <c r="FX419" s="3">
        <v>90</v>
      </c>
      <c r="FY419" s="3">
        <v>46</v>
      </c>
      <c r="GA419" s="3" t="s">
        <v>356</v>
      </c>
      <c r="GD419" s="3">
        <v>1</v>
      </c>
      <c r="GF419" s="3">
        <v>808450246</v>
      </c>
      <c r="GG419" s="3">
        <v>2</v>
      </c>
      <c r="GH419" s="3">
        <v>3</v>
      </c>
      <c r="GI419" s="3">
        <v>5</v>
      </c>
      <c r="GJ419" s="3">
        <v>0</v>
      </c>
      <c r="GK419" s="3">
        <v>0</v>
      </c>
      <c r="GL419" s="3">
        <f t="shared" si="350"/>
        <v>0</v>
      </c>
      <c r="GM419" s="3">
        <f t="shared" si="351"/>
        <v>21979.72</v>
      </c>
      <c r="GN419" s="3">
        <f t="shared" si="352"/>
        <v>0</v>
      </c>
      <c r="GO419" s="3">
        <f t="shared" si="353"/>
        <v>0</v>
      </c>
      <c r="GP419" s="3">
        <f t="shared" si="354"/>
        <v>0</v>
      </c>
      <c r="GR419" s="3">
        <v>1</v>
      </c>
      <c r="GS419" s="3">
        <v>1</v>
      </c>
      <c r="GT419" s="3">
        <v>0</v>
      </c>
      <c r="GU419" s="3" t="s">
        <v>3</v>
      </c>
      <c r="GV419" s="3">
        <f t="shared" si="355"/>
        <v>0</v>
      </c>
      <c r="GW419" s="3">
        <v>1</v>
      </c>
      <c r="GX419" s="3">
        <f t="shared" si="356"/>
        <v>0</v>
      </c>
      <c r="HA419" s="3">
        <v>0</v>
      </c>
      <c r="HB419" s="3">
        <v>0</v>
      </c>
      <c r="HC419" s="3">
        <f t="shared" si="357"/>
        <v>0</v>
      </c>
      <c r="HE419" s="3" t="s">
        <v>40</v>
      </c>
      <c r="HF419" s="3" t="s">
        <v>182</v>
      </c>
      <c r="HM419" s="3" t="s">
        <v>104</v>
      </c>
      <c r="HN419" s="3" t="s">
        <v>3</v>
      </c>
      <c r="HO419" s="3" t="s">
        <v>3</v>
      </c>
      <c r="HP419" s="3" t="s">
        <v>3</v>
      </c>
      <c r="HQ419" s="3" t="s">
        <v>3</v>
      </c>
      <c r="HS419" s="3">
        <v>0</v>
      </c>
      <c r="IK419" s="3">
        <v>0</v>
      </c>
    </row>
    <row r="420" spans="1:255" x14ac:dyDescent="0.25">
      <c r="A420" s="2">
        <v>18</v>
      </c>
      <c r="B420" s="2">
        <v>1</v>
      </c>
      <c r="C420" s="2">
        <v>283</v>
      </c>
      <c r="D420" s="2"/>
      <c r="E420" s="2" t="s">
        <v>357</v>
      </c>
      <c r="F420" s="2" t="s">
        <v>358</v>
      </c>
      <c r="G420" s="2" t="s">
        <v>359</v>
      </c>
      <c r="H420" s="2" t="s">
        <v>177</v>
      </c>
      <c r="I420" s="2">
        <f>I416*J420</f>
        <v>20</v>
      </c>
      <c r="J420" s="2">
        <v>0.7407407407407407</v>
      </c>
      <c r="K420" s="2">
        <v>0.74074074000000001</v>
      </c>
      <c r="L420" s="2"/>
      <c r="M420" s="2"/>
      <c r="N420" s="2"/>
      <c r="O420" s="2">
        <f t="shared" si="318"/>
        <v>3392.6</v>
      </c>
      <c r="P420" s="2">
        <f>ROUND((ROUND((AC420*I420),2)*BC420),2)</f>
        <v>3392.6</v>
      </c>
      <c r="Q420" s="2">
        <f>(ROUND((ROUND(((ET420)*AV420*I420),2)*BB420),2)+ROUND((ROUND(((AE420-(EU420))*AV420*I420),2)*BS420),2))</f>
        <v>0</v>
      </c>
      <c r="R420" s="2">
        <f>(ROUND((ROUND(((EU420)*AV420*I420),2)*BS420),2)+ROUND((ROUND(((AE420-(EU420))*AV420*I420),2)*BS420),2))</f>
        <v>0</v>
      </c>
      <c r="S420" s="2">
        <f t="shared" si="322"/>
        <v>0</v>
      </c>
      <c r="T420" s="2">
        <f t="shared" si="323"/>
        <v>0</v>
      </c>
      <c r="U420" s="2">
        <f t="shared" si="324"/>
        <v>0</v>
      </c>
      <c r="V420" s="2">
        <f t="shared" si="325"/>
        <v>0</v>
      </c>
      <c r="W420" s="2">
        <f t="shared" si="326"/>
        <v>0</v>
      </c>
      <c r="X420" s="2">
        <f>(ROUND((((S420+ROUND((ROUND(((EU420)*AV420*I420),2)*BS420),2))*AT420)/100),2)+ROUND(((ROUND((ROUND(((AE420-(EU420))*AV420*I420),2)*BS420),2)*AT420)/100),2))</f>
        <v>0</v>
      </c>
      <c r="Y420" s="2">
        <f>(ROUND((((S420+ROUND((ROUND(((EU420)*AV420*I420),2)*BS420),2))*AU420)/100),2)+ROUND(((ROUND((ROUND(((AE420-(EU420))*AV420*I420),2)*BS420),2)*AU420)/100),2))</f>
        <v>0</v>
      </c>
      <c r="Z420" s="2"/>
      <c r="AA420" s="2">
        <v>57034452</v>
      </c>
      <c r="AB420" s="2">
        <f t="shared" si="329"/>
        <v>169.63</v>
      </c>
      <c r="AC420" s="2">
        <f>ROUND((ES420),6)</f>
        <v>169.63</v>
      </c>
      <c r="AD420" s="2">
        <f>ROUND((((ET420)-(EU420))+AE420),6)</f>
        <v>0</v>
      </c>
      <c r="AE420" s="2">
        <f t="shared" si="362"/>
        <v>0</v>
      </c>
      <c r="AF420" s="2">
        <f t="shared" si="362"/>
        <v>0</v>
      </c>
      <c r="AG420" s="2">
        <f t="shared" si="334"/>
        <v>0</v>
      </c>
      <c r="AH420" s="2">
        <f t="shared" si="363"/>
        <v>0</v>
      </c>
      <c r="AI420" s="2">
        <f t="shared" si="363"/>
        <v>0</v>
      </c>
      <c r="AJ420" s="2">
        <f t="shared" si="337"/>
        <v>0</v>
      </c>
      <c r="AK420" s="2">
        <v>169.63</v>
      </c>
      <c r="AL420" s="2">
        <v>169.63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1</v>
      </c>
      <c r="AW420" s="2">
        <v>1</v>
      </c>
      <c r="AX420" s="2"/>
      <c r="AY420" s="2"/>
      <c r="AZ420" s="2">
        <v>1</v>
      </c>
      <c r="BA420" s="2">
        <v>1</v>
      </c>
      <c r="BB420" s="2">
        <v>1</v>
      </c>
      <c r="BC420" s="2">
        <v>1</v>
      </c>
      <c r="BD420" s="2" t="s">
        <v>3</v>
      </c>
      <c r="BE420" s="2" t="s">
        <v>3</v>
      </c>
      <c r="BF420" s="2" t="s">
        <v>3</v>
      </c>
      <c r="BG420" s="2" t="s">
        <v>3</v>
      </c>
      <c r="BH420" s="2">
        <v>3</v>
      </c>
      <c r="BI420" s="2">
        <v>3</v>
      </c>
      <c r="BJ420" s="2" t="s">
        <v>3</v>
      </c>
      <c r="BK420" s="2"/>
      <c r="BL420" s="2"/>
      <c r="BM420" s="2">
        <v>746</v>
      </c>
      <c r="BN420" s="2">
        <v>0</v>
      </c>
      <c r="BO420" s="2" t="s">
        <v>3</v>
      </c>
      <c r="BP420" s="2">
        <v>0</v>
      </c>
      <c r="BQ420" s="2">
        <v>130</v>
      </c>
      <c r="BR420" s="2">
        <v>0</v>
      </c>
      <c r="BS420" s="2">
        <v>1</v>
      </c>
      <c r="BT420" s="2">
        <v>1</v>
      </c>
      <c r="BU420" s="2">
        <v>1</v>
      </c>
      <c r="BV420" s="2">
        <v>1</v>
      </c>
      <c r="BW420" s="2">
        <v>1</v>
      </c>
      <c r="BX420" s="2">
        <v>1</v>
      </c>
      <c r="BY420" s="2" t="s">
        <v>3</v>
      </c>
      <c r="BZ420" s="2">
        <v>90</v>
      </c>
      <c r="CA420" s="2">
        <v>46</v>
      </c>
      <c r="CB420" s="2" t="s">
        <v>3</v>
      </c>
      <c r="CC420" s="2"/>
      <c r="CD420" s="2"/>
      <c r="CE420" s="2">
        <v>1566</v>
      </c>
      <c r="CF420" s="2">
        <v>0</v>
      </c>
      <c r="CG420" s="2">
        <v>0</v>
      </c>
      <c r="CH420" s="2"/>
      <c r="CI420" s="2"/>
      <c r="CJ420" s="2"/>
      <c r="CK420" s="2"/>
      <c r="CL420" s="2"/>
      <c r="CM420" s="2">
        <v>0</v>
      </c>
      <c r="CN420" s="2" t="s">
        <v>615</v>
      </c>
      <c r="CO420" s="2">
        <v>0</v>
      </c>
      <c r="CP420" s="2">
        <f t="shared" si="338"/>
        <v>3392.6</v>
      </c>
      <c r="CQ420" s="2">
        <f>ROUND((ROUND((AC420*1),2)*BC420),2)</f>
        <v>169.63</v>
      </c>
      <c r="CR420" s="2">
        <f>(ROUND((ROUND(((ET420)*AV420*1),2)*BB420),2)+ROUND((ROUND(((AE420-(EU420))*AV420*1),2)*BS420),2))</f>
        <v>0</v>
      </c>
      <c r="CS420" s="2">
        <f>(ROUND((ROUND(((EU420)*AV420*1),2)*BS420),2)+ROUND((ROUND(((AE420-(EU420))*AV420*1),2)*BS420),2))</f>
        <v>0</v>
      </c>
      <c r="CT420" s="2">
        <f t="shared" si="342"/>
        <v>0</v>
      </c>
      <c r="CU420" s="2">
        <f t="shared" si="343"/>
        <v>0</v>
      </c>
      <c r="CV420" s="2">
        <f t="shared" si="344"/>
        <v>0</v>
      </c>
      <c r="CW420" s="2">
        <f t="shared" si="345"/>
        <v>0</v>
      </c>
      <c r="CX420" s="2">
        <f t="shared" si="346"/>
        <v>0</v>
      </c>
      <c r="CY420" s="2">
        <f>(ROUND((((S420+ROUND((ROUND(((EU420)*AV420*1),2)*BS420),2))*AT420)/100),2)+ROUND(((ROUND((ROUND(((AE420-(EU420))*AV420*1),2)*BS420),2)*AT420)/100),2))</f>
        <v>0</v>
      </c>
      <c r="CZ420" s="2">
        <f>(ROUND((((S420+ROUND((ROUND(((EU420)*AV420*1),2)*BS420),2))*AU420)/100),2)+ROUND(((ROUND((ROUND(((AE420-(EU420))*AV420*1),2)*BS420),2)*AU420)/100),2))</f>
        <v>0</v>
      </c>
      <c r="DA420" s="2"/>
      <c r="DB420" s="2"/>
      <c r="DC420" s="2" t="s">
        <v>3</v>
      </c>
      <c r="DD420" s="2" t="s">
        <v>3</v>
      </c>
      <c r="DE420" s="2" t="s">
        <v>3</v>
      </c>
      <c r="DF420" s="2" t="s">
        <v>3</v>
      </c>
      <c r="DG420" s="2" t="s">
        <v>3</v>
      </c>
      <c r="DH420" s="2" t="s">
        <v>3</v>
      </c>
      <c r="DI420" s="2" t="s">
        <v>3</v>
      </c>
      <c r="DJ420" s="2" t="s">
        <v>3</v>
      </c>
      <c r="DK420" s="2" t="s">
        <v>3</v>
      </c>
      <c r="DL420" s="2" t="s">
        <v>3</v>
      </c>
      <c r="DM420" s="2" t="s">
        <v>3</v>
      </c>
      <c r="DN420" s="2">
        <v>0</v>
      </c>
      <c r="DO420" s="2">
        <v>0</v>
      </c>
      <c r="DP420" s="2">
        <v>1</v>
      </c>
      <c r="DQ420" s="2">
        <v>1</v>
      </c>
      <c r="DR420" s="2"/>
      <c r="DS420" s="2"/>
      <c r="DT420" s="2"/>
      <c r="DU420" s="2">
        <v>1010</v>
      </c>
      <c r="DV420" s="2" t="s">
        <v>177</v>
      </c>
      <c r="DW420" s="2" t="s">
        <v>177</v>
      </c>
      <c r="DX420" s="2">
        <v>1</v>
      </c>
      <c r="DY420" s="2"/>
      <c r="DZ420" s="2" t="s">
        <v>3</v>
      </c>
      <c r="EA420" s="2" t="s">
        <v>3</v>
      </c>
      <c r="EB420" s="2" t="s">
        <v>3</v>
      </c>
      <c r="EC420" s="2" t="s">
        <v>3</v>
      </c>
      <c r="ED420" s="2"/>
      <c r="EE420" s="2">
        <v>57043064</v>
      </c>
      <c r="EF420" s="2">
        <v>130</v>
      </c>
      <c r="EG420" s="2" t="s">
        <v>178</v>
      </c>
      <c r="EH420" s="2">
        <v>0</v>
      </c>
      <c r="EI420" s="2" t="s">
        <v>3</v>
      </c>
      <c r="EJ420" s="2">
        <v>3</v>
      </c>
      <c r="EK420" s="2">
        <v>746</v>
      </c>
      <c r="EL420" s="2" t="s">
        <v>179</v>
      </c>
      <c r="EM420" s="2" t="s">
        <v>180</v>
      </c>
      <c r="EN420" s="2"/>
      <c r="EO420" s="2" t="s">
        <v>109</v>
      </c>
      <c r="EP420" s="2"/>
      <c r="EQ420" s="2">
        <v>2097152</v>
      </c>
      <c r="ER420" s="2">
        <v>0</v>
      </c>
      <c r="ES420" s="2">
        <v>169.63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>
        <v>0</v>
      </c>
      <c r="FR420" s="2">
        <f>P420</f>
        <v>3392.6</v>
      </c>
      <c r="FS420" s="2">
        <v>0</v>
      </c>
      <c r="FT420" s="2"/>
      <c r="FU420" s="2"/>
      <c r="FV420" s="2"/>
      <c r="FW420" s="2"/>
      <c r="FX420" s="2">
        <v>90</v>
      </c>
      <c r="FY420" s="2">
        <v>46</v>
      </c>
      <c r="FZ420" s="2"/>
      <c r="GA420" s="2" t="s">
        <v>360</v>
      </c>
      <c r="GB420" s="2"/>
      <c r="GC420" s="2"/>
      <c r="GD420" s="2">
        <v>1</v>
      </c>
      <c r="GE420" s="2"/>
      <c r="GF420" s="2">
        <v>499689706</v>
      </c>
      <c r="GG420" s="2">
        <v>2</v>
      </c>
      <c r="GH420" s="2">
        <v>4</v>
      </c>
      <c r="GI420" s="2">
        <v>-2</v>
      </c>
      <c r="GJ420" s="2">
        <v>0</v>
      </c>
      <c r="GK420" s="2">
        <v>0</v>
      </c>
      <c r="GL420" s="2">
        <f t="shared" si="350"/>
        <v>0</v>
      </c>
      <c r="GM420" s="2">
        <f t="shared" si="351"/>
        <v>3392.6</v>
      </c>
      <c r="GN420" s="2">
        <f t="shared" si="352"/>
        <v>0</v>
      </c>
      <c r="GO420" s="2">
        <f t="shared" si="353"/>
        <v>0</v>
      </c>
      <c r="GP420" s="2">
        <f t="shared" si="354"/>
        <v>0</v>
      </c>
      <c r="GQ420" s="2"/>
      <c r="GR420" s="2">
        <v>0</v>
      </c>
      <c r="GS420" s="2">
        <v>2</v>
      </c>
      <c r="GT420" s="2">
        <v>0</v>
      </c>
      <c r="GU420" s="2" t="s">
        <v>3</v>
      </c>
      <c r="GV420" s="2">
        <f t="shared" si="355"/>
        <v>0</v>
      </c>
      <c r="GW420" s="2">
        <v>1</v>
      </c>
      <c r="GX420" s="2">
        <f t="shared" si="356"/>
        <v>0</v>
      </c>
      <c r="GY420" s="2"/>
      <c r="GZ420" s="2"/>
      <c r="HA420" s="2">
        <v>0</v>
      </c>
      <c r="HB420" s="2">
        <v>0</v>
      </c>
      <c r="HC420" s="2">
        <f t="shared" si="357"/>
        <v>0</v>
      </c>
      <c r="HD420" s="2"/>
      <c r="HE420" s="2" t="s">
        <v>40</v>
      </c>
      <c r="HF420" s="2" t="s">
        <v>182</v>
      </c>
      <c r="HG420" s="2"/>
      <c r="HH420" s="2"/>
      <c r="HI420" s="2"/>
      <c r="HJ420" s="2"/>
      <c r="HK420" s="2"/>
      <c r="HL420" s="2"/>
      <c r="HM420" s="2" t="s">
        <v>104</v>
      </c>
      <c r="HN420" s="2" t="s">
        <v>3</v>
      </c>
      <c r="HO420" s="2" t="s">
        <v>3</v>
      </c>
      <c r="HP420" s="2" t="s">
        <v>3</v>
      </c>
      <c r="HQ420" s="2" t="s">
        <v>3</v>
      </c>
      <c r="HR420" s="2"/>
      <c r="HS420" s="2">
        <v>0</v>
      </c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>
        <v>0</v>
      </c>
      <c r="IL420" s="2"/>
      <c r="IM420" s="2"/>
      <c r="IN420" s="2"/>
      <c r="IO420" s="2"/>
      <c r="IP420" s="2"/>
      <c r="IQ420" s="2"/>
      <c r="IR420" s="2"/>
      <c r="IS420" s="2"/>
      <c r="IT420" s="2"/>
      <c r="IU420" s="2"/>
    </row>
    <row r="421" spans="1:255" x14ac:dyDescent="0.25">
      <c r="A421" s="3">
        <v>18</v>
      </c>
      <c r="B421" s="3">
        <v>1</v>
      </c>
      <c r="C421" s="3">
        <v>286</v>
      </c>
      <c r="E421" s="3" t="s">
        <v>357</v>
      </c>
      <c r="F421" s="3" t="s">
        <v>358</v>
      </c>
      <c r="G421" s="3" t="s">
        <v>359</v>
      </c>
      <c r="H421" s="3" t="s">
        <v>177</v>
      </c>
      <c r="I421" s="3">
        <f>I417*J421</f>
        <v>20</v>
      </c>
      <c r="J421" s="3">
        <v>0.7407407407407407</v>
      </c>
      <c r="K421" s="3">
        <v>0.74074074000000001</v>
      </c>
      <c r="O421" s="3">
        <f t="shared" si="318"/>
        <v>25681.98</v>
      </c>
      <c r="P421" s="3">
        <f>ROUND((ROUND((AC421*I421),2)*BC421),2)</f>
        <v>25681.98</v>
      </c>
      <c r="Q421" s="3">
        <f>(ROUND((ROUND(((ET421)*AV421*I421),2)*BB421),2)+ROUND((ROUND(((AE421-(EU421))*AV421*I421),2)*BS421),2))</f>
        <v>0</v>
      </c>
      <c r="R421" s="3">
        <f>(ROUND((ROUND(((EU421)*AV421*I421),2)*BS421),2)+ROUND((ROUND(((AE421-(EU421))*AV421*I421),2)*BS421),2))</f>
        <v>0</v>
      </c>
      <c r="S421" s="3">
        <f t="shared" si="322"/>
        <v>0</v>
      </c>
      <c r="T421" s="3">
        <f t="shared" si="323"/>
        <v>0</v>
      </c>
      <c r="U421" s="3">
        <f t="shared" si="324"/>
        <v>0</v>
      </c>
      <c r="V421" s="3">
        <f t="shared" si="325"/>
        <v>0</v>
      </c>
      <c r="W421" s="3">
        <f t="shared" si="326"/>
        <v>0</v>
      </c>
      <c r="X421" s="3">
        <f>(ROUND((((S421+ROUND((ROUND(((EU421)*AV421*I421),2)*BS421),2))*AT421)/100),2)+ROUND(((ROUND((ROUND(((AE421-(EU421))*AV421*I421),2)*BS421),2)*AT421)/100),2))</f>
        <v>0</v>
      </c>
      <c r="Y421" s="3">
        <f>(ROUND((((S421+ROUND((ROUND(((EU421)*AV421*I421),2)*BS421),2))*AU421)/100),2)+ROUND(((ROUND((ROUND(((AE421-(EU421))*AV421*I421),2)*BS421),2)*AU421)/100),2))</f>
        <v>0</v>
      </c>
      <c r="AA421" s="3">
        <v>57034454</v>
      </c>
      <c r="AB421" s="3">
        <f t="shared" si="329"/>
        <v>169.63</v>
      </c>
      <c r="AC421" s="3">
        <f>ROUND((ES421),6)</f>
        <v>169.63</v>
      </c>
      <c r="AD421" s="3">
        <f>ROUND((((ET421)-(EU421))+AE421),6)</f>
        <v>0</v>
      </c>
      <c r="AE421" s="3">
        <f t="shared" si="362"/>
        <v>0</v>
      </c>
      <c r="AF421" s="3">
        <f t="shared" si="362"/>
        <v>0</v>
      </c>
      <c r="AG421" s="3">
        <f t="shared" si="334"/>
        <v>0</v>
      </c>
      <c r="AH421" s="3">
        <f t="shared" si="363"/>
        <v>0</v>
      </c>
      <c r="AI421" s="3">
        <f t="shared" si="363"/>
        <v>0</v>
      </c>
      <c r="AJ421" s="3">
        <f t="shared" si="337"/>
        <v>0</v>
      </c>
      <c r="AK421" s="3">
        <v>169.63</v>
      </c>
      <c r="AL421" s="3">
        <v>169.63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1</v>
      </c>
      <c r="AW421" s="3">
        <v>1</v>
      </c>
      <c r="AZ421" s="3">
        <v>1</v>
      </c>
      <c r="BA421" s="3">
        <v>1</v>
      </c>
      <c r="BB421" s="3">
        <v>1</v>
      </c>
      <c r="BC421" s="3">
        <v>7.57</v>
      </c>
      <c r="BD421" s="3" t="s">
        <v>3</v>
      </c>
      <c r="BE421" s="3" t="s">
        <v>3</v>
      </c>
      <c r="BF421" s="3" t="s">
        <v>3</v>
      </c>
      <c r="BG421" s="3" t="s">
        <v>3</v>
      </c>
      <c r="BH421" s="3">
        <v>3</v>
      </c>
      <c r="BI421" s="3">
        <v>3</v>
      </c>
      <c r="BJ421" s="3" t="s">
        <v>3</v>
      </c>
      <c r="BM421" s="3">
        <v>746</v>
      </c>
      <c r="BN421" s="3">
        <v>0</v>
      </c>
      <c r="BO421" s="3" t="s">
        <v>3</v>
      </c>
      <c r="BP421" s="3">
        <v>0</v>
      </c>
      <c r="BQ421" s="3">
        <v>130</v>
      </c>
      <c r="BR421" s="3">
        <v>0</v>
      </c>
      <c r="BS421" s="3">
        <v>1</v>
      </c>
      <c r="BT421" s="3">
        <v>1</v>
      </c>
      <c r="BU421" s="3">
        <v>1</v>
      </c>
      <c r="BV421" s="3">
        <v>1</v>
      </c>
      <c r="BW421" s="3">
        <v>1</v>
      </c>
      <c r="BX421" s="3">
        <v>1</v>
      </c>
      <c r="BY421" s="3" t="s">
        <v>3</v>
      </c>
      <c r="BZ421" s="3">
        <v>90</v>
      </c>
      <c r="CA421" s="3">
        <v>46</v>
      </c>
      <c r="CB421" s="3" t="s">
        <v>3</v>
      </c>
      <c r="CE421" s="3">
        <v>1566</v>
      </c>
      <c r="CF421" s="3">
        <v>0</v>
      </c>
      <c r="CG421" s="3">
        <v>0</v>
      </c>
      <c r="CM421" s="3">
        <v>0</v>
      </c>
      <c r="CN421" s="3" t="s">
        <v>615</v>
      </c>
      <c r="CO421" s="3">
        <v>0</v>
      </c>
      <c r="CP421" s="3">
        <f t="shared" si="338"/>
        <v>25681.98</v>
      </c>
      <c r="CQ421" s="3">
        <f>ROUND((ROUND((AC421*1),2)*BC421),2)</f>
        <v>1284.0999999999999</v>
      </c>
      <c r="CR421" s="3">
        <f>(ROUND((ROUND(((ET421)*AV421*1),2)*BB421),2)+ROUND((ROUND(((AE421-(EU421))*AV421*1),2)*BS421),2))</f>
        <v>0</v>
      </c>
      <c r="CS421" s="3">
        <f>(ROUND((ROUND(((EU421)*AV421*1),2)*BS421),2)+ROUND((ROUND(((AE421-(EU421))*AV421*1),2)*BS421),2))</f>
        <v>0</v>
      </c>
      <c r="CT421" s="3">
        <f t="shared" si="342"/>
        <v>0</v>
      </c>
      <c r="CU421" s="3">
        <f t="shared" si="343"/>
        <v>0</v>
      </c>
      <c r="CV421" s="3">
        <f t="shared" si="344"/>
        <v>0</v>
      </c>
      <c r="CW421" s="3">
        <f t="shared" si="345"/>
        <v>0</v>
      </c>
      <c r="CX421" s="3">
        <f t="shared" si="346"/>
        <v>0</v>
      </c>
      <c r="CY421" s="3">
        <f>(ROUND((((S421+ROUND((ROUND(((EU421)*AV421*1),2)*BS421),2))*AT421)/100),2)+ROUND(((ROUND((ROUND(((AE421-(EU421))*AV421*1),2)*BS421),2)*AT421)/100),2))</f>
        <v>0</v>
      </c>
      <c r="CZ421" s="3">
        <f>(ROUND((((S421+ROUND((ROUND(((EU421)*AV421*1),2)*BS421),2))*AU421)/100),2)+ROUND(((ROUND((ROUND(((AE421-(EU421))*AV421*1),2)*BS421),2)*AU421)/100),2))</f>
        <v>0</v>
      </c>
      <c r="DC421" s="3" t="s">
        <v>3</v>
      </c>
      <c r="DD421" s="3" t="s">
        <v>3</v>
      </c>
      <c r="DE421" s="3" t="s">
        <v>3</v>
      </c>
      <c r="DF421" s="3" t="s">
        <v>3</v>
      </c>
      <c r="DG421" s="3" t="s">
        <v>3</v>
      </c>
      <c r="DH421" s="3" t="s">
        <v>3</v>
      </c>
      <c r="DI421" s="3" t="s">
        <v>3</v>
      </c>
      <c r="DJ421" s="3" t="s">
        <v>3</v>
      </c>
      <c r="DK421" s="3" t="s">
        <v>3</v>
      </c>
      <c r="DL421" s="3" t="s">
        <v>3</v>
      </c>
      <c r="DM421" s="3" t="s">
        <v>3</v>
      </c>
      <c r="DN421" s="3">
        <v>0</v>
      </c>
      <c r="DO421" s="3">
        <v>0</v>
      </c>
      <c r="DP421" s="3">
        <v>1</v>
      </c>
      <c r="DQ421" s="3">
        <v>1</v>
      </c>
      <c r="DU421" s="3">
        <v>1010</v>
      </c>
      <c r="DV421" s="3" t="s">
        <v>177</v>
      </c>
      <c r="DW421" s="3" t="s">
        <v>177</v>
      </c>
      <c r="DX421" s="3">
        <v>1</v>
      </c>
      <c r="DZ421" s="3" t="s">
        <v>3</v>
      </c>
      <c r="EA421" s="3" t="s">
        <v>3</v>
      </c>
      <c r="EB421" s="3" t="s">
        <v>3</v>
      </c>
      <c r="EC421" s="3" t="s">
        <v>3</v>
      </c>
      <c r="EE421" s="3">
        <v>57043064</v>
      </c>
      <c r="EF421" s="3">
        <v>130</v>
      </c>
      <c r="EG421" s="3" t="s">
        <v>178</v>
      </c>
      <c r="EH421" s="3">
        <v>0</v>
      </c>
      <c r="EI421" s="3" t="s">
        <v>3</v>
      </c>
      <c r="EJ421" s="3">
        <v>3</v>
      </c>
      <c r="EK421" s="3">
        <v>746</v>
      </c>
      <c r="EL421" s="3" t="s">
        <v>179</v>
      </c>
      <c r="EM421" s="3" t="s">
        <v>180</v>
      </c>
      <c r="EO421" s="3" t="s">
        <v>109</v>
      </c>
      <c r="EQ421" s="3">
        <v>2097152</v>
      </c>
      <c r="ER421" s="3">
        <v>127.7</v>
      </c>
      <c r="ES421" s="3">
        <v>169.63</v>
      </c>
      <c r="ET421" s="3">
        <v>0</v>
      </c>
      <c r="EU421" s="3">
        <v>0</v>
      </c>
      <c r="EV421" s="3">
        <v>0</v>
      </c>
      <c r="EW421" s="3">
        <v>0</v>
      </c>
      <c r="EX421" s="3">
        <v>0</v>
      </c>
      <c r="EZ421" s="3">
        <v>5</v>
      </c>
      <c r="FC421" s="3">
        <v>1</v>
      </c>
      <c r="FD421" s="3">
        <v>18</v>
      </c>
      <c r="FF421" s="3">
        <v>1503</v>
      </c>
      <c r="FQ421" s="3">
        <v>0</v>
      </c>
      <c r="FR421" s="3">
        <f>P421</f>
        <v>25681.98</v>
      </c>
      <c r="FS421" s="3">
        <v>0</v>
      </c>
      <c r="FX421" s="3">
        <v>90</v>
      </c>
      <c r="FY421" s="3">
        <v>46</v>
      </c>
      <c r="GA421" s="3" t="s">
        <v>360</v>
      </c>
      <c r="GD421" s="3">
        <v>1</v>
      </c>
      <c r="GF421" s="3">
        <v>499689706</v>
      </c>
      <c r="GG421" s="3">
        <v>2</v>
      </c>
      <c r="GH421" s="3">
        <v>3</v>
      </c>
      <c r="GI421" s="3">
        <v>5</v>
      </c>
      <c r="GJ421" s="3">
        <v>0</v>
      </c>
      <c r="GK421" s="3">
        <v>0</v>
      </c>
      <c r="GL421" s="3">
        <f t="shared" si="350"/>
        <v>0</v>
      </c>
      <c r="GM421" s="3">
        <f t="shared" si="351"/>
        <v>25681.98</v>
      </c>
      <c r="GN421" s="3">
        <f t="shared" si="352"/>
        <v>0</v>
      </c>
      <c r="GO421" s="3">
        <f t="shared" si="353"/>
        <v>0</v>
      </c>
      <c r="GP421" s="3">
        <f t="shared" si="354"/>
        <v>0</v>
      </c>
      <c r="GR421" s="3">
        <v>1</v>
      </c>
      <c r="GS421" s="3">
        <v>1</v>
      </c>
      <c r="GT421" s="3">
        <v>0</v>
      </c>
      <c r="GU421" s="3" t="s">
        <v>3</v>
      </c>
      <c r="GV421" s="3">
        <f t="shared" si="355"/>
        <v>0</v>
      </c>
      <c r="GW421" s="3">
        <v>1</v>
      </c>
      <c r="GX421" s="3">
        <f t="shared" si="356"/>
        <v>0</v>
      </c>
      <c r="HA421" s="3">
        <v>0</v>
      </c>
      <c r="HB421" s="3">
        <v>0</v>
      </c>
      <c r="HC421" s="3">
        <f t="shared" si="357"/>
        <v>0</v>
      </c>
      <c r="HE421" s="3" t="s">
        <v>40</v>
      </c>
      <c r="HF421" s="3" t="s">
        <v>182</v>
      </c>
      <c r="HM421" s="3" t="s">
        <v>104</v>
      </c>
      <c r="HN421" s="3" t="s">
        <v>3</v>
      </c>
      <c r="HO421" s="3" t="s">
        <v>3</v>
      </c>
      <c r="HP421" s="3" t="s">
        <v>3</v>
      </c>
      <c r="HQ421" s="3" t="s">
        <v>3</v>
      </c>
      <c r="HS421" s="3">
        <v>0</v>
      </c>
      <c r="IK421" s="3">
        <v>0</v>
      </c>
    </row>
    <row r="423" spans="1:255" ht="13" x14ac:dyDescent="0.3">
      <c r="A423" s="11">
        <v>51</v>
      </c>
      <c r="B423" s="11">
        <f>B364</f>
        <v>1</v>
      </c>
      <c r="C423" s="11">
        <f>A364</f>
        <v>4</v>
      </c>
      <c r="D423" s="11">
        <f>ROW(A364)</f>
        <v>364</v>
      </c>
      <c r="E423" s="11"/>
      <c r="F423" s="11" t="str">
        <f>IF(F364&lt;&gt;"",F364,"")</f>
        <v>Новый раздел</v>
      </c>
      <c r="G423" s="11" t="str">
        <f>IF(G364&lt;&gt;"",G364,"")</f>
        <v>Оконечное оборудование СПА.</v>
      </c>
      <c r="H423" s="11">
        <v>0</v>
      </c>
      <c r="I423" s="11"/>
      <c r="J423" s="11"/>
      <c r="K423" s="11"/>
      <c r="L423" s="11"/>
      <c r="M423" s="11"/>
      <c r="N423" s="11"/>
      <c r="O423" s="11">
        <f t="shared" ref="O423:T423" si="364">ROUND(AB423,2)</f>
        <v>300608.37</v>
      </c>
      <c r="P423" s="11">
        <f t="shared" si="364"/>
        <v>293938.43</v>
      </c>
      <c r="Q423" s="11">
        <f t="shared" si="364"/>
        <v>89.02</v>
      </c>
      <c r="R423" s="11">
        <f t="shared" si="364"/>
        <v>8.8699999999999992</v>
      </c>
      <c r="S423" s="11">
        <f t="shared" si="364"/>
        <v>6580.92</v>
      </c>
      <c r="T423" s="11">
        <f t="shared" si="364"/>
        <v>0</v>
      </c>
      <c r="U423" s="11">
        <f>AH423</f>
        <v>510.61352399999993</v>
      </c>
      <c r="V423" s="11">
        <f>AI423</f>
        <v>0</v>
      </c>
      <c r="W423" s="11">
        <f>ROUND(AJ423,2)</f>
        <v>0</v>
      </c>
      <c r="X423" s="11">
        <f>ROUND(AK423,2)</f>
        <v>5945.75</v>
      </c>
      <c r="Y423" s="11">
        <f>ROUND(AL423,2)</f>
        <v>3052.21</v>
      </c>
      <c r="Z423" s="11"/>
      <c r="AA423" s="11"/>
      <c r="AB423" s="11">
        <f>ROUND(SUMIF(AA368:AA421,"=57034452",O368:O421),2)</f>
        <v>300608.37</v>
      </c>
      <c r="AC423" s="11">
        <f>ROUND(SUMIF(AA368:AA421,"=57034452",P368:P421),2)</f>
        <v>293938.43</v>
      </c>
      <c r="AD423" s="11">
        <f>ROUND(SUMIF(AA368:AA421,"=57034452",Q368:Q421),2)</f>
        <v>89.02</v>
      </c>
      <c r="AE423" s="11">
        <f>ROUND(SUMIF(AA368:AA421,"=57034452",R368:R421),2)</f>
        <v>8.8699999999999992</v>
      </c>
      <c r="AF423" s="11">
        <f>ROUND(SUMIF(AA368:AA421,"=57034452",S368:S421),2)</f>
        <v>6580.92</v>
      </c>
      <c r="AG423" s="11">
        <f>ROUND(SUMIF(AA368:AA421,"=57034452",T368:T421),2)</f>
        <v>0</v>
      </c>
      <c r="AH423" s="11">
        <f>SUMIF(AA368:AA421,"=57034452",U368:U421)</f>
        <v>510.61352399999993</v>
      </c>
      <c r="AI423" s="11">
        <f>SUMIF(AA368:AA421,"=57034452",V368:V421)</f>
        <v>0</v>
      </c>
      <c r="AJ423" s="11">
        <f>ROUND(SUMIF(AA368:AA421,"=57034452",W368:W421),2)</f>
        <v>0</v>
      </c>
      <c r="AK423" s="11">
        <f>ROUND(SUMIF(AA368:AA421,"=57034452",X368:X421),2)</f>
        <v>5945.75</v>
      </c>
      <c r="AL423" s="11">
        <f>ROUND(SUMIF(AA368:AA421,"=57034452",Y368:Y421),2)</f>
        <v>3052.21</v>
      </c>
      <c r="AM423" s="11"/>
      <c r="AN423" s="11"/>
      <c r="AO423" s="11">
        <f t="shared" ref="AO423:BD423" si="365">ROUND(BX423,2)</f>
        <v>0</v>
      </c>
      <c r="AP423" s="11">
        <f t="shared" si="365"/>
        <v>288566.71999999997</v>
      </c>
      <c r="AQ423" s="11">
        <f t="shared" si="365"/>
        <v>0</v>
      </c>
      <c r="AR423" s="11">
        <f t="shared" si="365"/>
        <v>309606.33</v>
      </c>
      <c r="AS423" s="11">
        <f t="shared" si="365"/>
        <v>0</v>
      </c>
      <c r="AT423" s="11">
        <f t="shared" si="365"/>
        <v>21039.61</v>
      </c>
      <c r="AU423" s="11">
        <f t="shared" si="365"/>
        <v>0</v>
      </c>
      <c r="AV423" s="11">
        <f t="shared" si="365"/>
        <v>293938.43</v>
      </c>
      <c r="AW423" s="11">
        <f t="shared" si="365"/>
        <v>5371.71</v>
      </c>
      <c r="AX423" s="11">
        <f t="shared" si="365"/>
        <v>0</v>
      </c>
      <c r="AY423" s="11">
        <f t="shared" si="365"/>
        <v>5371.71</v>
      </c>
      <c r="AZ423" s="11">
        <f t="shared" si="365"/>
        <v>288566.71999999997</v>
      </c>
      <c r="BA423" s="11">
        <f t="shared" si="365"/>
        <v>0</v>
      </c>
      <c r="BB423" s="11">
        <f t="shared" si="365"/>
        <v>0</v>
      </c>
      <c r="BC423" s="11">
        <f t="shared" si="365"/>
        <v>0</v>
      </c>
      <c r="BD423" s="11">
        <f t="shared" si="365"/>
        <v>0</v>
      </c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>
        <f>ROUND(SUMIF(AA368:AA421,"=57034452",FQ368:FQ421),2)</f>
        <v>0</v>
      </c>
      <c r="BY423" s="11">
        <f>ROUND(SUMIF(AA368:AA421,"=57034452",FR368:FR421),2)</f>
        <v>288566.71999999997</v>
      </c>
      <c r="BZ423" s="11">
        <f>ROUND(SUMIF(AA368:AA421,"=57034452",GL368:GL421),2)</f>
        <v>0</v>
      </c>
      <c r="CA423" s="11">
        <f>ROUND(SUMIF(AA368:AA421,"=57034452",GM368:GM421),2)</f>
        <v>309606.33</v>
      </c>
      <c r="CB423" s="11">
        <f>ROUND(SUMIF(AA368:AA421,"=57034452",GN368:GN421),2)</f>
        <v>0</v>
      </c>
      <c r="CC423" s="11">
        <f>ROUND(SUMIF(AA368:AA421,"=57034452",GO368:GO421),2)</f>
        <v>21039.61</v>
      </c>
      <c r="CD423" s="11">
        <f>ROUND(SUMIF(AA368:AA421,"=57034452",GP368:GP421),2)</f>
        <v>0</v>
      </c>
      <c r="CE423" s="11">
        <f>AC423-BX423</f>
        <v>293938.43</v>
      </c>
      <c r="CF423" s="11">
        <f>AC423-BY423</f>
        <v>5371.710000000021</v>
      </c>
      <c r="CG423" s="11">
        <f>BX423-BZ423</f>
        <v>0</v>
      </c>
      <c r="CH423" s="11">
        <f>AC423-BX423-BY423+BZ423</f>
        <v>5371.710000000021</v>
      </c>
      <c r="CI423" s="11">
        <f>BY423-BZ423</f>
        <v>288566.71999999997</v>
      </c>
      <c r="CJ423" s="11">
        <f>ROUND(SUMIF(AA368:AA421,"=57034452",GX368:GX421),2)</f>
        <v>0</v>
      </c>
      <c r="CK423" s="11">
        <f>ROUND(SUMIF(AA368:AA421,"=57034452",GY368:GY421),2)</f>
        <v>0</v>
      </c>
      <c r="CL423" s="11">
        <f>ROUND(SUMIF(AA368:AA421,"=57034452",GZ368:GZ421),2)</f>
        <v>0</v>
      </c>
      <c r="CM423" s="11">
        <f>ROUND(SUMIF(AA368:AA421,"=57034452",HD368:HD421),2)</f>
        <v>0</v>
      </c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2">
        <f t="shared" ref="DG423:DL423" si="366">ROUND(DT423,2)</f>
        <v>2601964.59</v>
      </c>
      <c r="DH423" s="12">
        <f t="shared" si="366"/>
        <v>2229730.77</v>
      </c>
      <c r="DI423" s="12">
        <f t="shared" si="366"/>
        <v>1398.97</v>
      </c>
      <c r="DJ423" s="12">
        <f t="shared" si="366"/>
        <v>499.83</v>
      </c>
      <c r="DK423" s="12">
        <f t="shared" si="366"/>
        <v>370834.85</v>
      </c>
      <c r="DL423" s="12">
        <f t="shared" si="366"/>
        <v>0</v>
      </c>
      <c r="DM423" s="12">
        <f>DZ423</f>
        <v>510.61352399999993</v>
      </c>
      <c r="DN423" s="12">
        <f>EA423</f>
        <v>0</v>
      </c>
      <c r="DO423" s="12">
        <f>ROUND(EB423,2)</f>
        <v>0</v>
      </c>
      <c r="DP423" s="12">
        <f>ROUND(EC423,2)</f>
        <v>335043.01</v>
      </c>
      <c r="DQ423" s="12">
        <f>ROUND(ED423,2)</f>
        <v>171992.46</v>
      </c>
      <c r="DR423" s="12"/>
      <c r="DS423" s="12"/>
      <c r="DT423" s="12">
        <f>ROUND(SUMIF(AA368:AA421,"=57034454",O368:O421),2)</f>
        <v>2601964.59</v>
      </c>
      <c r="DU423" s="12">
        <f>ROUND(SUMIF(AA368:AA421,"=57034454",P368:P421),2)</f>
        <v>2229730.77</v>
      </c>
      <c r="DV423" s="12">
        <f>ROUND(SUMIF(AA368:AA421,"=57034454",Q368:Q421),2)</f>
        <v>1398.97</v>
      </c>
      <c r="DW423" s="12">
        <f>ROUND(SUMIF(AA368:AA421,"=57034454",R368:R421),2)</f>
        <v>499.83</v>
      </c>
      <c r="DX423" s="12">
        <f>ROUND(SUMIF(AA368:AA421,"=57034454",S368:S421),2)</f>
        <v>370834.85</v>
      </c>
      <c r="DY423" s="12">
        <f>ROUND(SUMIF(AA368:AA421,"=57034454",T368:T421),2)</f>
        <v>0</v>
      </c>
      <c r="DZ423" s="12">
        <f>SUMIF(AA368:AA421,"=57034454",U368:U421)</f>
        <v>510.61352399999993</v>
      </c>
      <c r="EA423" s="12">
        <f>SUMIF(AA368:AA421,"=57034454",V368:V421)</f>
        <v>0</v>
      </c>
      <c r="EB423" s="12">
        <f>ROUND(SUMIF(AA368:AA421,"=57034454",W368:W421),2)</f>
        <v>0</v>
      </c>
      <c r="EC423" s="12">
        <f>ROUND(SUMIF(AA368:AA421,"=57034454",X368:X421),2)</f>
        <v>335043.01</v>
      </c>
      <c r="ED423" s="12">
        <f>ROUND(SUMIF(AA368:AA421,"=57034454",Y368:Y421),2)</f>
        <v>171992.46</v>
      </c>
      <c r="EE423" s="12"/>
      <c r="EF423" s="12"/>
      <c r="EG423" s="12">
        <f t="shared" ref="EG423:EV423" si="367">ROUND(FP423,2)</f>
        <v>0</v>
      </c>
      <c r="EH423" s="12">
        <f t="shared" si="367"/>
        <v>2184450.06</v>
      </c>
      <c r="EI423" s="12">
        <f t="shared" si="367"/>
        <v>0</v>
      </c>
      <c r="EJ423" s="12">
        <f t="shared" si="367"/>
        <v>3109000.06</v>
      </c>
      <c r="EK423" s="12">
        <f t="shared" si="367"/>
        <v>0</v>
      </c>
      <c r="EL423" s="12">
        <f t="shared" si="367"/>
        <v>924550</v>
      </c>
      <c r="EM423" s="12">
        <f t="shared" si="367"/>
        <v>0</v>
      </c>
      <c r="EN423" s="12">
        <f t="shared" si="367"/>
        <v>2229730.77</v>
      </c>
      <c r="EO423" s="12">
        <f t="shared" si="367"/>
        <v>45280.71</v>
      </c>
      <c r="EP423" s="12">
        <f t="shared" si="367"/>
        <v>0</v>
      </c>
      <c r="EQ423" s="12">
        <f t="shared" si="367"/>
        <v>45280.71</v>
      </c>
      <c r="ER423" s="12">
        <f t="shared" si="367"/>
        <v>2184450.06</v>
      </c>
      <c r="ES423" s="12">
        <f t="shared" si="367"/>
        <v>0</v>
      </c>
      <c r="ET423" s="12">
        <f t="shared" si="367"/>
        <v>0</v>
      </c>
      <c r="EU423" s="12">
        <f t="shared" si="367"/>
        <v>0</v>
      </c>
      <c r="EV423" s="12">
        <f t="shared" si="367"/>
        <v>0</v>
      </c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>
        <f>ROUND(SUMIF(AA368:AA421,"=57034454",FQ368:FQ421),2)</f>
        <v>0</v>
      </c>
      <c r="FQ423" s="12">
        <f>ROUND(SUMIF(AA368:AA421,"=57034454",FR368:FR421),2)</f>
        <v>2184450.06</v>
      </c>
      <c r="FR423" s="12">
        <f>ROUND(SUMIF(AA368:AA421,"=57034454",GL368:GL421),2)</f>
        <v>0</v>
      </c>
      <c r="FS423" s="12">
        <f>ROUND(SUMIF(AA368:AA421,"=57034454",GM368:GM421),2)</f>
        <v>3109000.06</v>
      </c>
      <c r="FT423" s="12">
        <f>ROUND(SUMIF(AA368:AA421,"=57034454",GN368:GN421),2)</f>
        <v>0</v>
      </c>
      <c r="FU423" s="12">
        <f>ROUND(SUMIF(AA368:AA421,"=57034454",GO368:GO421),2)</f>
        <v>924550</v>
      </c>
      <c r="FV423" s="12">
        <f>ROUND(SUMIF(AA368:AA421,"=57034454",GP368:GP421),2)</f>
        <v>0</v>
      </c>
      <c r="FW423" s="12">
        <f>DU423-FP423</f>
        <v>2229730.77</v>
      </c>
      <c r="FX423" s="12">
        <f>DU423-FQ423</f>
        <v>45280.709999999963</v>
      </c>
      <c r="FY423" s="12">
        <f>FP423-FR423</f>
        <v>0</v>
      </c>
      <c r="FZ423" s="12">
        <f>DU423-FP423-FQ423+FR423</f>
        <v>45280.709999999963</v>
      </c>
      <c r="GA423" s="12">
        <f>FQ423-FR423</f>
        <v>2184450.06</v>
      </c>
      <c r="GB423" s="12">
        <f>ROUND(SUMIF(AA368:AA421,"=57034454",GX368:GX421),2)</f>
        <v>0</v>
      </c>
      <c r="GC423" s="12">
        <f>ROUND(SUMIF(AA368:AA421,"=57034454",GY368:GY421),2)</f>
        <v>0</v>
      </c>
      <c r="GD423" s="12">
        <f>ROUND(SUMIF(AA368:AA421,"=57034454",GZ368:GZ421),2)</f>
        <v>0</v>
      </c>
      <c r="GE423" s="12">
        <f>ROUND(SUMIF(AA368:AA421,"=57034454",HD368:HD421),2)</f>
        <v>0</v>
      </c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>
        <v>0</v>
      </c>
    </row>
    <row r="425" spans="1:255" ht="13" x14ac:dyDescent="0.3">
      <c r="A425" s="13">
        <v>50</v>
      </c>
      <c r="B425" s="13">
        <v>0</v>
      </c>
      <c r="C425" s="13">
        <v>0</v>
      </c>
      <c r="D425" s="13">
        <v>1</v>
      </c>
      <c r="E425" s="13">
        <v>201</v>
      </c>
      <c r="F425" s="13">
        <f>ROUND(Source!O423,O425)</f>
        <v>300608.37</v>
      </c>
      <c r="G425" s="13" t="s">
        <v>117</v>
      </c>
      <c r="H425" s="13" t="s">
        <v>118</v>
      </c>
      <c r="I425" s="13"/>
      <c r="J425" s="13"/>
      <c r="K425" s="13">
        <v>201</v>
      </c>
      <c r="L425" s="13">
        <v>1</v>
      </c>
      <c r="M425" s="13">
        <v>3</v>
      </c>
      <c r="N425" s="13" t="s">
        <v>3</v>
      </c>
      <c r="O425" s="13">
        <v>2</v>
      </c>
      <c r="P425" s="13">
        <f>ROUND(Source!DG423,O425)</f>
        <v>2601964.59</v>
      </c>
      <c r="Q425" s="13"/>
      <c r="R425" s="13"/>
      <c r="S425" s="13"/>
      <c r="T425" s="13"/>
      <c r="U425" s="13"/>
      <c r="V425" s="13"/>
      <c r="W425" s="13">
        <v>300608.37</v>
      </c>
      <c r="X425" s="13">
        <v>1</v>
      </c>
      <c r="Y425" s="13">
        <v>300608.37</v>
      </c>
      <c r="Z425" s="13">
        <v>2601964.59</v>
      </c>
      <c r="AA425" s="13">
        <v>1</v>
      </c>
      <c r="AB425" s="13">
        <v>2601964.59</v>
      </c>
    </row>
    <row r="426" spans="1:255" ht="13" x14ac:dyDescent="0.3">
      <c r="A426" s="13">
        <v>50</v>
      </c>
      <c r="B426" s="13">
        <v>0</v>
      </c>
      <c r="C426" s="13">
        <v>0</v>
      </c>
      <c r="D426" s="13">
        <v>1</v>
      </c>
      <c r="E426" s="13">
        <v>202</v>
      </c>
      <c r="F426" s="13">
        <f>ROUND(Source!P423,O426)</f>
        <v>293938.43</v>
      </c>
      <c r="G426" s="13" t="s">
        <v>119</v>
      </c>
      <c r="H426" s="13" t="s">
        <v>120</v>
      </c>
      <c r="I426" s="13"/>
      <c r="J426" s="13"/>
      <c r="K426" s="13">
        <v>202</v>
      </c>
      <c r="L426" s="13">
        <v>2</v>
      </c>
      <c r="M426" s="13">
        <v>3</v>
      </c>
      <c r="N426" s="13" t="s">
        <v>3</v>
      </c>
      <c r="O426" s="13">
        <v>2</v>
      </c>
      <c r="P426" s="13">
        <f>ROUND(Source!DH423,O426)</f>
        <v>2229730.77</v>
      </c>
      <c r="Q426" s="13"/>
      <c r="R426" s="13"/>
      <c r="S426" s="13"/>
      <c r="T426" s="13"/>
      <c r="U426" s="13"/>
      <c r="V426" s="13"/>
      <c r="W426" s="13">
        <v>293938.43</v>
      </c>
      <c r="X426" s="13">
        <v>1</v>
      </c>
      <c r="Y426" s="13">
        <v>293938.43</v>
      </c>
      <c r="Z426" s="13">
        <v>2229730.77</v>
      </c>
      <c r="AA426" s="13">
        <v>1</v>
      </c>
      <c r="AB426" s="13">
        <v>2229730.77</v>
      </c>
    </row>
    <row r="427" spans="1:255" ht="13" x14ac:dyDescent="0.3">
      <c r="A427" s="13">
        <v>50</v>
      </c>
      <c r="B427" s="13">
        <v>0</v>
      </c>
      <c r="C427" s="13">
        <v>0</v>
      </c>
      <c r="D427" s="13">
        <v>1</v>
      </c>
      <c r="E427" s="13">
        <v>222</v>
      </c>
      <c r="F427" s="13">
        <f>ROUND(Source!AO423,O427)</f>
        <v>0</v>
      </c>
      <c r="G427" s="13" t="s">
        <v>121</v>
      </c>
      <c r="H427" s="13" t="s">
        <v>122</v>
      </c>
      <c r="I427" s="13"/>
      <c r="J427" s="13"/>
      <c r="K427" s="13">
        <v>222</v>
      </c>
      <c r="L427" s="13">
        <v>3</v>
      </c>
      <c r="M427" s="13">
        <v>3</v>
      </c>
      <c r="N427" s="13" t="s">
        <v>3</v>
      </c>
      <c r="O427" s="13">
        <v>2</v>
      </c>
      <c r="P427" s="13">
        <f>ROUND(Source!EG423,O427)</f>
        <v>0</v>
      </c>
      <c r="Q427" s="13"/>
      <c r="R427" s="13"/>
      <c r="S427" s="13"/>
      <c r="T427" s="13"/>
      <c r="U427" s="13"/>
      <c r="V427" s="13"/>
      <c r="W427" s="13">
        <v>0</v>
      </c>
      <c r="X427" s="13">
        <v>1</v>
      </c>
      <c r="Y427" s="13">
        <v>0</v>
      </c>
      <c r="Z427" s="13">
        <v>0</v>
      </c>
      <c r="AA427" s="13">
        <v>1</v>
      </c>
      <c r="AB427" s="13">
        <v>0</v>
      </c>
    </row>
    <row r="428" spans="1:255" ht="13" x14ac:dyDescent="0.3">
      <c r="A428" s="13">
        <v>50</v>
      </c>
      <c r="B428" s="13">
        <v>0</v>
      </c>
      <c r="C428" s="13">
        <v>0</v>
      </c>
      <c r="D428" s="13">
        <v>1</v>
      </c>
      <c r="E428" s="13">
        <v>225</v>
      </c>
      <c r="F428" s="13">
        <f>ROUND(Source!AV423,O428)</f>
        <v>293938.43</v>
      </c>
      <c r="G428" s="13" t="s">
        <v>123</v>
      </c>
      <c r="H428" s="13" t="s">
        <v>124</v>
      </c>
      <c r="I428" s="13"/>
      <c r="J428" s="13"/>
      <c r="K428" s="13">
        <v>225</v>
      </c>
      <c r="L428" s="13">
        <v>4</v>
      </c>
      <c r="M428" s="13">
        <v>3</v>
      </c>
      <c r="N428" s="13" t="s">
        <v>3</v>
      </c>
      <c r="O428" s="13">
        <v>2</v>
      </c>
      <c r="P428" s="13">
        <f>ROUND(Source!EN423,O428)</f>
        <v>2229730.77</v>
      </c>
      <c r="Q428" s="13"/>
      <c r="R428" s="13"/>
      <c r="S428" s="13"/>
      <c r="T428" s="13"/>
      <c r="U428" s="13"/>
      <c r="V428" s="13"/>
      <c r="W428" s="13">
        <v>293938.43</v>
      </c>
      <c r="X428" s="13">
        <v>1</v>
      </c>
      <c r="Y428" s="13">
        <v>293938.43</v>
      </c>
      <c r="Z428" s="13">
        <v>2229730.77</v>
      </c>
      <c r="AA428" s="13">
        <v>1</v>
      </c>
      <c r="AB428" s="13">
        <v>2229730.77</v>
      </c>
    </row>
    <row r="429" spans="1:255" ht="13" x14ac:dyDescent="0.3">
      <c r="A429" s="13">
        <v>50</v>
      </c>
      <c r="B429" s="13">
        <v>0</v>
      </c>
      <c r="C429" s="13">
        <v>0</v>
      </c>
      <c r="D429" s="13">
        <v>1</v>
      </c>
      <c r="E429" s="13">
        <v>226</v>
      </c>
      <c r="F429" s="13">
        <f>ROUND(Source!AW423,O429)</f>
        <v>5371.71</v>
      </c>
      <c r="G429" s="13" t="s">
        <v>125</v>
      </c>
      <c r="H429" s="13" t="s">
        <v>126</v>
      </c>
      <c r="I429" s="13"/>
      <c r="J429" s="13"/>
      <c r="K429" s="13">
        <v>226</v>
      </c>
      <c r="L429" s="13">
        <v>5</v>
      </c>
      <c r="M429" s="13">
        <v>3</v>
      </c>
      <c r="N429" s="13" t="s">
        <v>3</v>
      </c>
      <c r="O429" s="13">
        <v>2</v>
      </c>
      <c r="P429" s="13">
        <f>ROUND(Source!EO423,O429)</f>
        <v>45280.71</v>
      </c>
      <c r="Q429" s="13"/>
      <c r="R429" s="13"/>
      <c r="S429" s="13"/>
      <c r="T429" s="13"/>
      <c r="U429" s="13"/>
      <c r="V429" s="13"/>
      <c r="W429" s="13">
        <v>5371.71</v>
      </c>
      <c r="X429" s="13">
        <v>1</v>
      </c>
      <c r="Y429" s="13">
        <v>5371.71</v>
      </c>
      <c r="Z429" s="13">
        <v>45280.71</v>
      </c>
      <c r="AA429" s="13">
        <v>1</v>
      </c>
      <c r="AB429" s="13">
        <v>45280.71</v>
      </c>
    </row>
    <row r="430" spans="1:255" ht="13" x14ac:dyDescent="0.3">
      <c r="A430" s="13">
        <v>50</v>
      </c>
      <c r="B430" s="13">
        <v>0</v>
      </c>
      <c r="C430" s="13">
        <v>0</v>
      </c>
      <c r="D430" s="13">
        <v>1</v>
      </c>
      <c r="E430" s="13">
        <v>227</v>
      </c>
      <c r="F430" s="13">
        <f>ROUND(Source!AX423,O430)</f>
        <v>0</v>
      </c>
      <c r="G430" s="13" t="s">
        <v>127</v>
      </c>
      <c r="H430" s="13" t="s">
        <v>128</v>
      </c>
      <c r="I430" s="13"/>
      <c r="J430" s="13"/>
      <c r="K430" s="13">
        <v>227</v>
      </c>
      <c r="L430" s="13">
        <v>6</v>
      </c>
      <c r="M430" s="13">
        <v>3</v>
      </c>
      <c r="N430" s="13" t="s">
        <v>3</v>
      </c>
      <c r="O430" s="13">
        <v>2</v>
      </c>
      <c r="P430" s="13">
        <f>ROUND(Source!EP423,O430)</f>
        <v>0</v>
      </c>
      <c r="Q430" s="13"/>
      <c r="R430" s="13"/>
      <c r="S430" s="13"/>
      <c r="T430" s="13"/>
      <c r="U430" s="13"/>
      <c r="V430" s="13"/>
      <c r="W430" s="13">
        <v>0</v>
      </c>
      <c r="X430" s="13">
        <v>1</v>
      </c>
      <c r="Y430" s="13">
        <v>0</v>
      </c>
      <c r="Z430" s="13">
        <v>0</v>
      </c>
      <c r="AA430" s="13">
        <v>1</v>
      </c>
      <c r="AB430" s="13">
        <v>0</v>
      </c>
    </row>
    <row r="431" spans="1:255" ht="13" x14ac:dyDescent="0.3">
      <c r="A431" s="13">
        <v>50</v>
      </c>
      <c r="B431" s="13">
        <v>0</v>
      </c>
      <c r="C431" s="13">
        <v>0</v>
      </c>
      <c r="D431" s="13">
        <v>1</v>
      </c>
      <c r="E431" s="13">
        <v>228</v>
      </c>
      <c r="F431" s="13">
        <f>ROUND(Source!AY423,O431)</f>
        <v>5371.71</v>
      </c>
      <c r="G431" s="13" t="s">
        <v>129</v>
      </c>
      <c r="H431" s="13" t="s">
        <v>130</v>
      </c>
      <c r="I431" s="13"/>
      <c r="J431" s="13"/>
      <c r="K431" s="13">
        <v>228</v>
      </c>
      <c r="L431" s="13">
        <v>7</v>
      </c>
      <c r="M431" s="13">
        <v>3</v>
      </c>
      <c r="N431" s="13" t="s">
        <v>3</v>
      </c>
      <c r="O431" s="13">
        <v>2</v>
      </c>
      <c r="P431" s="13">
        <f>ROUND(Source!EQ423,O431)</f>
        <v>45280.71</v>
      </c>
      <c r="Q431" s="13"/>
      <c r="R431" s="13"/>
      <c r="S431" s="13"/>
      <c r="T431" s="13"/>
      <c r="U431" s="13"/>
      <c r="V431" s="13"/>
      <c r="W431" s="13">
        <v>5371.71</v>
      </c>
      <c r="X431" s="13">
        <v>1</v>
      </c>
      <c r="Y431" s="13">
        <v>5371.71</v>
      </c>
      <c r="Z431" s="13">
        <v>45280.71</v>
      </c>
      <c r="AA431" s="13">
        <v>1</v>
      </c>
      <c r="AB431" s="13">
        <v>45280.71</v>
      </c>
    </row>
    <row r="432" spans="1:255" ht="13" x14ac:dyDescent="0.3">
      <c r="A432" s="13">
        <v>50</v>
      </c>
      <c r="B432" s="13">
        <v>0</v>
      </c>
      <c r="C432" s="13">
        <v>0</v>
      </c>
      <c r="D432" s="13">
        <v>1</v>
      </c>
      <c r="E432" s="13">
        <v>216</v>
      </c>
      <c r="F432" s="13">
        <f>ROUND(Source!AP423,O432)</f>
        <v>288566.71999999997</v>
      </c>
      <c r="G432" s="13" t="s">
        <v>131</v>
      </c>
      <c r="H432" s="13" t="s">
        <v>132</v>
      </c>
      <c r="I432" s="13"/>
      <c r="J432" s="13"/>
      <c r="K432" s="13">
        <v>216</v>
      </c>
      <c r="L432" s="13">
        <v>8</v>
      </c>
      <c r="M432" s="13">
        <v>3</v>
      </c>
      <c r="N432" s="13" t="s">
        <v>3</v>
      </c>
      <c r="O432" s="13">
        <v>2</v>
      </c>
      <c r="P432" s="13">
        <f>ROUND(Source!EH423,O432)</f>
        <v>2184450.06</v>
      </c>
      <c r="Q432" s="13"/>
      <c r="R432" s="13"/>
      <c r="S432" s="13"/>
      <c r="T432" s="13"/>
      <c r="U432" s="13"/>
      <c r="V432" s="13"/>
      <c r="W432" s="13">
        <v>288566.71999999997</v>
      </c>
      <c r="X432" s="13">
        <v>1</v>
      </c>
      <c r="Y432" s="13">
        <v>288566.71999999997</v>
      </c>
      <c r="Z432" s="13">
        <v>2184450.06</v>
      </c>
      <c r="AA432" s="13">
        <v>1</v>
      </c>
      <c r="AB432" s="13">
        <v>2184450.06</v>
      </c>
    </row>
    <row r="433" spans="1:28" ht="13" x14ac:dyDescent="0.3">
      <c r="A433" s="13">
        <v>50</v>
      </c>
      <c r="B433" s="13">
        <v>0</v>
      </c>
      <c r="C433" s="13">
        <v>0</v>
      </c>
      <c r="D433" s="13">
        <v>1</v>
      </c>
      <c r="E433" s="13">
        <v>223</v>
      </c>
      <c r="F433" s="13">
        <f>ROUND(Source!AQ423,O433)</f>
        <v>0</v>
      </c>
      <c r="G433" s="13" t="s">
        <v>133</v>
      </c>
      <c r="H433" s="13" t="s">
        <v>134</v>
      </c>
      <c r="I433" s="13"/>
      <c r="J433" s="13"/>
      <c r="K433" s="13">
        <v>223</v>
      </c>
      <c r="L433" s="13">
        <v>9</v>
      </c>
      <c r="M433" s="13">
        <v>3</v>
      </c>
      <c r="N433" s="13" t="s">
        <v>3</v>
      </c>
      <c r="O433" s="13">
        <v>2</v>
      </c>
      <c r="P433" s="13">
        <f>ROUND(Source!EI423,O433)</f>
        <v>0</v>
      </c>
      <c r="Q433" s="13"/>
      <c r="R433" s="13"/>
      <c r="S433" s="13"/>
      <c r="T433" s="13"/>
      <c r="U433" s="13"/>
      <c r="V433" s="13"/>
      <c r="W433" s="13">
        <v>0</v>
      </c>
      <c r="X433" s="13">
        <v>1</v>
      </c>
      <c r="Y433" s="13">
        <v>0</v>
      </c>
      <c r="Z433" s="13">
        <v>0</v>
      </c>
      <c r="AA433" s="13">
        <v>1</v>
      </c>
      <c r="AB433" s="13">
        <v>0</v>
      </c>
    </row>
    <row r="434" spans="1:28" ht="13" x14ac:dyDescent="0.3">
      <c r="A434" s="13">
        <v>50</v>
      </c>
      <c r="B434" s="13">
        <v>0</v>
      </c>
      <c r="C434" s="13">
        <v>0</v>
      </c>
      <c r="D434" s="13">
        <v>1</v>
      </c>
      <c r="E434" s="13">
        <v>229</v>
      </c>
      <c r="F434" s="13">
        <f>ROUND(Source!AZ423,O434)</f>
        <v>288566.71999999997</v>
      </c>
      <c r="G434" s="13" t="s">
        <v>135</v>
      </c>
      <c r="H434" s="13" t="s">
        <v>136</v>
      </c>
      <c r="I434" s="13"/>
      <c r="J434" s="13"/>
      <c r="K434" s="13">
        <v>229</v>
      </c>
      <c r="L434" s="13">
        <v>10</v>
      </c>
      <c r="M434" s="13">
        <v>3</v>
      </c>
      <c r="N434" s="13" t="s">
        <v>3</v>
      </c>
      <c r="O434" s="13">
        <v>2</v>
      </c>
      <c r="P434" s="13">
        <f>ROUND(Source!ER423,O434)</f>
        <v>2184450.06</v>
      </c>
      <c r="Q434" s="13"/>
      <c r="R434" s="13"/>
      <c r="S434" s="13"/>
      <c r="T434" s="13"/>
      <c r="U434" s="13"/>
      <c r="V434" s="13"/>
      <c r="W434" s="13">
        <v>288566.71999999997</v>
      </c>
      <c r="X434" s="13">
        <v>1</v>
      </c>
      <c r="Y434" s="13">
        <v>288566.71999999997</v>
      </c>
      <c r="Z434" s="13">
        <v>2184450.06</v>
      </c>
      <c r="AA434" s="13">
        <v>1</v>
      </c>
      <c r="AB434" s="13">
        <v>2184450.06</v>
      </c>
    </row>
    <row r="435" spans="1:28" ht="13" x14ac:dyDescent="0.3">
      <c r="A435" s="13">
        <v>50</v>
      </c>
      <c r="B435" s="13">
        <v>0</v>
      </c>
      <c r="C435" s="13">
        <v>0</v>
      </c>
      <c r="D435" s="13">
        <v>1</v>
      </c>
      <c r="E435" s="13">
        <v>203</v>
      </c>
      <c r="F435" s="13">
        <f>ROUND(Source!Q423,O435)</f>
        <v>89.02</v>
      </c>
      <c r="G435" s="13" t="s">
        <v>137</v>
      </c>
      <c r="H435" s="13" t="s">
        <v>138</v>
      </c>
      <c r="I435" s="13"/>
      <c r="J435" s="13"/>
      <c r="K435" s="13">
        <v>203</v>
      </c>
      <c r="L435" s="13">
        <v>11</v>
      </c>
      <c r="M435" s="13">
        <v>3</v>
      </c>
      <c r="N435" s="13" t="s">
        <v>3</v>
      </c>
      <c r="O435" s="13">
        <v>2</v>
      </c>
      <c r="P435" s="13">
        <f>ROUND(Source!DI423,O435)</f>
        <v>1398.97</v>
      </c>
      <c r="Q435" s="13"/>
      <c r="R435" s="13"/>
      <c r="S435" s="13"/>
      <c r="T435" s="13"/>
      <c r="U435" s="13"/>
      <c r="V435" s="13"/>
      <c r="W435" s="13">
        <v>89.02</v>
      </c>
      <c r="X435" s="13">
        <v>1</v>
      </c>
      <c r="Y435" s="13">
        <v>89.02</v>
      </c>
      <c r="Z435" s="13">
        <v>1398.97</v>
      </c>
      <c r="AA435" s="13">
        <v>1</v>
      </c>
      <c r="AB435" s="13">
        <v>1398.97</v>
      </c>
    </row>
    <row r="436" spans="1:28" ht="13" x14ac:dyDescent="0.3">
      <c r="A436" s="13">
        <v>50</v>
      </c>
      <c r="B436" s="13">
        <v>0</v>
      </c>
      <c r="C436" s="13">
        <v>0</v>
      </c>
      <c r="D436" s="13">
        <v>1</v>
      </c>
      <c r="E436" s="13">
        <v>231</v>
      </c>
      <c r="F436" s="13">
        <f>ROUND(Source!BB423,O436)</f>
        <v>0</v>
      </c>
      <c r="G436" s="13" t="s">
        <v>139</v>
      </c>
      <c r="H436" s="13" t="s">
        <v>140</v>
      </c>
      <c r="I436" s="13"/>
      <c r="J436" s="13"/>
      <c r="K436" s="13">
        <v>231</v>
      </c>
      <c r="L436" s="13">
        <v>12</v>
      </c>
      <c r="M436" s="13">
        <v>3</v>
      </c>
      <c r="N436" s="13" t="s">
        <v>3</v>
      </c>
      <c r="O436" s="13">
        <v>2</v>
      </c>
      <c r="P436" s="13">
        <f>ROUND(Source!ET423,O436)</f>
        <v>0</v>
      </c>
      <c r="Q436" s="13"/>
      <c r="R436" s="13"/>
      <c r="S436" s="13"/>
      <c r="T436" s="13"/>
      <c r="U436" s="13"/>
      <c r="V436" s="13"/>
      <c r="W436" s="13">
        <v>0</v>
      </c>
      <c r="X436" s="13">
        <v>1</v>
      </c>
      <c r="Y436" s="13">
        <v>0</v>
      </c>
      <c r="Z436" s="13">
        <v>0</v>
      </c>
      <c r="AA436" s="13">
        <v>1</v>
      </c>
      <c r="AB436" s="13">
        <v>0</v>
      </c>
    </row>
    <row r="437" spans="1:28" ht="13" x14ac:dyDescent="0.3">
      <c r="A437" s="13">
        <v>50</v>
      </c>
      <c r="B437" s="13">
        <v>0</v>
      </c>
      <c r="C437" s="13">
        <v>0</v>
      </c>
      <c r="D437" s="13">
        <v>1</v>
      </c>
      <c r="E437" s="13">
        <v>204</v>
      </c>
      <c r="F437" s="13">
        <f>ROUND(Source!R423,O437)</f>
        <v>8.8699999999999992</v>
      </c>
      <c r="G437" s="13" t="s">
        <v>141</v>
      </c>
      <c r="H437" s="13" t="s">
        <v>142</v>
      </c>
      <c r="I437" s="13"/>
      <c r="J437" s="13"/>
      <c r="K437" s="13">
        <v>204</v>
      </c>
      <c r="L437" s="13">
        <v>13</v>
      </c>
      <c r="M437" s="13">
        <v>3</v>
      </c>
      <c r="N437" s="13" t="s">
        <v>3</v>
      </c>
      <c r="O437" s="13">
        <v>2</v>
      </c>
      <c r="P437" s="13">
        <f>ROUND(Source!DJ423,O437)</f>
        <v>499.83</v>
      </c>
      <c r="Q437" s="13"/>
      <c r="R437" s="13"/>
      <c r="S437" s="13"/>
      <c r="T437" s="13"/>
      <c r="U437" s="13"/>
      <c r="V437" s="13"/>
      <c r="W437" s="13">
        <v>8.8699999999999992</v>
      </c>
      <c r="X437" s="13">
        <v>1</v>
      </c>
      <c r="Y437" s="13">
        <v>8.8699999999999992</v>
      </c>
      <c r="Z437" s="13">
        <v>499.83</v>
      </c>
      <c r="AA437" s="13">
        <v>1</v>
      </c>
      <c r="AB437" s="13">
        <v>499.83</v>
      </c>
    </row>
    <row r="438" spans="1:28" ht="13" x14ac:dyDescent="0.3">
      <c r="A438" s="13">
        <v>50</v>
      </c>
      <c r="B438" s="13">
        <v>0</v>
      </c>
      <c r="C438" s="13">
        <v>0</v>
      </c>
      <c r="D438" s="13">
        <v>1</v>
      </c>
      <c r="E438" s="13">
        <v>205</v>
      </c>
      <c r="F438" s="13">
        <f>ROUND(Source!S423,O438)</f>
        <v>6580.92</v>
      </c>
      <c r="G438" s="13" t="s">
        <v>143</v>
      </c>
      <c r="H438" s="13" t="s">
        <v>144</v>
      </c>
      <c r="I438" s="13"/>
      <c r="J438" s="13"/>
      <c r="K438" s="13">
        <v>205</v>
      </c>
      <c r="L438" s="13">
        <v>14</v>
      </c>
      <c r="M438" s="13">
        <v>3</v>
      </c>
      <c r="N438" s="13" t="s">
        <v>3</v>
      </c>
      <c r="O438" s="13">
        <v>2</v>
      </c>
      <c r="P438" s="13">
        <f>ROUND(Source!DK423,O438)</f>
        <v>370834.85</v>
      </c>
      <c r="Q438" s="13"/>
      <c r="R438" s="13"/>
      <c r="S438" s="13"/>
      <c r="T438" s="13"/>
      <c r="U438" s="13"/>
      <c r="V438" s="13"/>
      <c r="W438" s="13">
        <v>6580.92</v>
      </c>
      <c r="X438" s="13">
        <v>1</v>
      </c>
      <c r="Y438" s="13">
        <v>6580.92</v>
      </c>
      <c r="Z438" s="13">
        <v>370834.85</v>
      </c>
      <c r="AA438" s="13">
        <v>1</v>
      </c>
      <c r="AB438" s="13">
        <v>370834.85</v>
      </c>
    </row>
    <row r="439" spans="1:28" ht="13" x14ac:dyDescent="0.3">
      <c r="A439" s="13">
        <v>50</v>
      </c>
      <c r="B439" s="13">
        <v>0</v>
      </c>
      <c r="C439" s="13">
        <v>0</v>
      </c>
      <c r="D439" s="13">
        <v>1</v>
      </c>
      <c r="E439" s="13">
        <v>232</v>
      </c>
      <c r="F439" s="13">
        <f>ROUND(Source!BC423,O439)</f>
        <v>0</v>
      </c>
      <c r="G439" s="13" t="s">
        <v>145</v>
      </c>
      <c r="H439" s="13" t="s">
        <v>146</v>
      </c>
      <c r="I439" s="13"/>
      <c r="J439" s="13"/>
      <c r="K439" s="13">
        <v>232</v>
      </c>
      <c r="L439" s="13">
        <v>15</v>
      </c>
      <c r="M439" s="13">
        <v>3</v>
      </c>
      <c r="N439" s="13" t="s">
        <v>3</v>
      </c>
      <c r="O439" s="13">
        <v>2</v>
      </c>
      <c r="P439" s="13">
        <f>ROUND(Source!EU423,O439)</f>
        <v>0</v>
      </c>
      <c r="Q439" s="13"/>
      <c r="R439" s="13"/>
      <c r="S439" s="13"/>
      <c r="T439" s="13"/>
      <c r="U439" s="13"/>
      <c r="V439" s="13"/>
      <c r="W439" s="13">
        <v>0</v>
      </c>
      <c r="X439" s="13">
        <v>1</v>
      </c>
      <c r="Y439" s="13">
        <v>0</v>
      </c>
      <c r="Z439" s="13">
        <v>0</v>
      </c>
      <c r="AA439" s="13">
        <v>1</v>
      </c>
      <c r="AB439" s="13">
        <v>0</v>
      </c>
    </row>
    <row r="440" spans="1:28" ht="13" x14ac:dyDescent="0.3">
      <c r="A440" s="13">
        <v>50</v>
      </c>
      <c r="B440" s="13">
        <v>0</v>
      </c>
      <c r="C440" s="13">
        <v>0</v>
      </c>
      <c r="D440" s="13">
        <v>1</v>
      </c>
      <c r="E440" s="13">
        <v>214</v>
      </c>
      <c r="F440" s="13">
        <f>ROUND(Source!AS423,O440)</f>
        <v>0</v>
      </c>
      <c r="G440" s="13" t="s">
        <v>147</v>
      </c>
      <c r="H440" s="13" t="s">
        <v>148</v>
      </c>
      <c r="I440" s="13"/>
      <c r="J440" s="13"/>
      <c r="K440" s="13">
        <v>214</v>
      </c>
      <c r="L440" s="13">
        <v>16</v>
      </c>
      <c r="M440" s="13">
        <v>3</v>
      </c>
      <c r="N440" s="13" t="s">
        <v>3</v>
      </c>
      <c r="O440" s="13">
        <v>2</v>
      </c>
      <c r="P440" s="13">
        <f>ROUND(Source!EK423,O440)</f>
        <v>0</v>
      </c>
      <c r="Q440" s="13"/>
      <c r="R440" s="13"/>
      <c r="S440" s="13"/>
      <c r="T440" s="13"/>
      <c r="U440" s="13"/>
      <c r="V440" s="13"/>
      <c r="W440" s="13">
        <v>0</v>
      </c>
      <c r="X440" s="13">
        <v>1</v>
      </c>
      <c r="Y440" s="13">
        <v>0</v>
      </c>
      <c r="Z440" s="13">
        <v>0</v>
      </c>
      <c r="AA440" s="13">
        <v>1</v>
      </c>
      <c r="AB440" s="13">
        <v>0</v>
      </c>
    </row>
    <row r="441" spans="1:28" ht="13" x14ac:dyDescent="0.3">
      <c r="A441" s="13">
        <v>50</v>
      </c>
      <c r="B441" s="13">
        <v>0</v>
      </c>
      <c r="C441" s="13">
        <v>0</v>
      </c>
      <c r="D441" s="13">
        <v>1</v>
      </c>
      <c r="E441" s="13">
        <v>215</v>
      </c>
      <c r="F441" s="13">
        <f>ROUND(Source!AT423,O441)</f>
        <v>21039.61</v>
      </c>
      <c r="G441" s="13" t="s">
        <v>149</v>
      </c>
      <c r="H441" s="13" t="s">
        <v>150</v>
      </c>
      <c r="I441" s="13"/>
      <c r="J441" s="13"/>
      <c r="K441" s="13">
        <v>215</v>
      </c>
      <c r="L441" s="13">
        <v>17</v>
      </c>
      <c r="M441" s="13">
        <v>3</v>
      </c>
      <c r="N441" s="13" t="s">
        <v>3</v>
      </c>
      <c r="O441" s="13">
        <v>2</v>
      </c>
      <c r="P441" s="13">
        <f>ROUND(Source!EL423,O441)</f>
        <v>924550</v>
      </c>
      <c r="Q441" s="13"/>
      <c r="R441" s="13"/>
      <c r="S441" s="13"/>
      <c r="T441" s="13"/>
      <c r="U441" s="13"/>
      <c r="V441" s="13"/>
      <c r="W441" s="13">
        <v>21039.61</v>
      </c>
      <c r="X441" s="13">
        <v>1</v>
      </c>
      <c r="Y441" s="13">
        <v>21039.61</v>
      </c>
      <c r="Z441" s="13">
        <v>924550</v>
      </c>
      <c r="AA441" s="13">
        <v>1</v>
      </c>
      <c r="AB441" s="13">
        <v>924550</v>
      </c>
    </row>
    <row r="442" spans="1:28" ht="13" x14ac:dyDescent="0.3">
      <c r="A442" s="13">
        <v>50</v>
      </c>
      <c r="B442" s="13">
        <v>0</v>
      </c>
      <c r="C442" s="13">
        <v>0</v>
      </c>
      <c r="D442" s="13">
        <v>1</v>
      </c>
      <c r="E442" s="13">
        <v>217</v>
      </c>
      <c r="F442" s="13">
        <f>ROUND(Source!AU423,O442)</f>
        <v>0</v>
      </c>
      <c r="G442" s="13" t="s">
        <v>151</v>
      </c>
      <c r="H442" s="13" t="s">
        <v>152</v>
      </c>
      <c r="I442" s="13"/>
      <c r="J442" s="13"/>
      <c r="K442" s="13">
        <v>217</v>
      </c>
      <c r="L442" s="13">
        <v>18</v>
      </c>
      <c r="M442" s="13">
        <v>3</v>
      </c>
      <c r="N442" s="13" t="s">
        <v>3</v>
      </c>
      <c r="O442" s="13">
        <v>2</v>
      </c>
      <c r="P442" s="13">
        <f>ROUND(Source!EM423,O442)</f>
        <v>0</v>
      </c>
      <c r="Q442" s="13"/>
      <c r="R442" s="13"/>
      <c r="S442" s="13"/>
      <c r="T442" s="13"/>
      <c r="U442" s="13"/>
      <c r="V442" s="13"/>
      <c r="W442" s="13">
        <v>0</v>
      </c>
      <c r="X442" s="13">
        <v>1</v>
      </c>
      <c r="Y442" s="13">
        <v>0</v>
      </c>
      <c r="Z442" s="13">
        <v>0</v>
      </c>
      <c r="AA442" s="13">
        <v>1</v>
      </c>
      <c r="AB442" s="13">
        <v>0</v>
      </c>
    </row>
    <row r="443" spans="1:28" ht="13" x14ac:dyDescent="0.3">
      <c r="A443" s="13">
        <v>50</v>
      </c>
      <c r="B443" s="13">
        <v>0</v>
      </c>
      <c r="C443" s="13">
        <v>0</v>
      </c>
      <c r="D443" s="13">
        <v>1</v>
      </c>
      <c r="E443" s="13">
        <v>230</v>
      </c>
      <c r="F443" s="13">
        <f>ROUND(Source!BA423,O443)</f>
        <v>0</v>
      </c>
      <c r="G443" s="13" t="s">
        <v>153</v>
      </c>
      <c r="H443" s="13" t="s">
        <v>154</v>
      </c>
      <c r="I443" s="13"/>
      <c r="J443" s="13"/>
      <c r="K443" s="13">
        <v>230</v>
      </c>
      <c r="L443" s="13">
        <v>19</v>
      </c>
      <c r="M443" s="13">
        <v>3</v>
      </c>
      <c r="N443" s="13" t="s">
        <v>3</v>
      </c>
      <c r="O443" s="13">
        <v>2</v>
      </c>
      <c r="P443" s="13">
        <f>ROUND(Source!ES423,O443)</f>
        <v>0</v>
      </c>
      <c r="Q443" s="13"/>
      <c r="R443" s="13"/>
      <c r="S443" s="13"/>
      <c r="T443" s="13"/>
      <c r="U443" s="13"/>
      <c r="V443" s="13"/>
      <c r="W443" s="13">
        <v>0</v>
      </c>
      <c r="X443" s="13">
        <v>1</v>
      </c>
      <c r="Y443" s="13">
        <v>0</v>
      </c>
      <c r="Z443" s="13">
        <v>0</v>
      </c>
      <c r="AA443" s="13">
        <v>1</v>
      </c>
      <c r="AB443" s="13">
        <v>0</v>
      </c>
    </row>
    <row r="444" spans="1:28" ht="13" x14ac:dyDescent="0.3">
      <c r="A444" s="13">
        <v>50</v>
      </c>
      <c r="B444" s="13">
        <v>0</v>
      </c>
      <c r="C444" s="13">
        <v>0</v>
      </c>
      <c r="D444" s="13">
        <v>1</v>
      </c>
      <c r="E444" s="13">
        <v>206</v>
      </c>
      <c r="F444" s="13">
        <f>ROUND(Source!T423,O444)</f>
        <v>0</v>
      </c>
      <c r="G444" s="13" t="s">
        <v>155</v>
      </c>
      <c r="H444" s="13" t="s">
        <v>156</v>
      </c>
      <c r="I444" s="13"/>
      <c r="J444" s="13"/>
      <c r="K444" s="13">
        <v>206</v>
      </c>
      <c r="L444" s="13">
        <v>20</v>
      </c>
      <c r="M444" s="13">
        <v>3</v>
      </c>
      <c r="N444" s="13" t="s">
        <v>3</v>
      </c>
      <c r="O444" s="13">
        <v>2</v>
      </c>
      <c r="P444" s="13">
        <f>ROUND(Source!DL423,O444)</f>
        <v>0</v>
      </c>
      <c r="Q444" s="13"/>
      <c r="R444" s="13"/>
      <c r="S444" s="13"/>
      <c r="T444" s="13"/>
      <c r="U444" s="13"/>
      <c r="V444" s="13"/>
      <c r="W444" s="13">
        <v>0</v>
      </c>
      <c r="X444" s="13">
        <v>1</v>
      </c>
      <c r="Y444" s="13">
        <v>0</v>
      </c>
      <c r="Z444" s="13">
        <v>0</v>
      </c>
      <c r="AA444" s="13">
        <v>1</v>
      </c>
      <c r="AB444" s="13">
        <v>0</v>
      </c>
    </row>
    <row r="445" spans="1:28" ht="13" x14ac:dyDescent="0.3">
      <c r="A445" s="13">
        <v>50</v>
      </c>
      <c r="B445" s="13">
        <v>0</v>
      </c>
      <c r="C445" s="13">
        <v>0</v>
      </c>
      <c r="D445" s="13">
        <v>1</v>
      </c>
      <c r="E445" s="13">
        <v>207</v>
      </c>
      <c r="F445" s="13">
        <f>Source!U423</f>
        <v>510.61352399999993</v>
      </c>
      <c r="G445" s="13" t="s">
        <v>157</v>
      </c>
      <c r="H445" s="13" t="s">
        <v>158</v>
      </c>
      <c r="I445" s="13"/>
      <c r="J445" s="13"/>
      <c r="K445" s="13">
        <v>207</v>
      </c>
      <c r="L445" s="13">
        <v>21</v>
      </c>
      <c r="M445" s="13">
        <v>3</v>
      </c>
      <c r="N445" s="13" t="s">
        <v>3</v>
      </c>
      <c r="O445" s="13">
        <v>-1</v>
      </c>
      <c r="P445" s="13">
        <f>Source!DM423</f>
        <v>510.61352399999993</v>
      </c>
      <c r="Q445" s="13"/>
      <c r="R445" s="13"/>
      <c r="S445" s="13"/>
      <c r="T445" s="13"/>
      <c r="U445" s="13"/>
      <c r="V445" s="13"/>
      <c r="W445" s="13">
        <v>510.61352399999998</v>
      </c>
      <c r="X445" s="13">
        <v>1</v>
      </c>
      <c r="Y445" s="13">
        <v>510.61352399999998</v>
      </c>
      <c r="Z445" s="13">
        <v>510.61352399999998</v>
      </c>
      <c r="AA445" s="13">
        <v>1</v>
      </c>
      <c r="AB445" s="13">
        <v>510.61352399999998</v>
      </c>
    </row>
    <row r="446" spans="1:28" ht="13" x14ac:dyDescent="0.3">
      <c r="A446" s="13">
        <v>50</v>
      </c>
      <c r="B446" s="13">
        <v>0</v>
      </c>
      <c r="C446" s="13">
        <v>0</v>
      </c>
      <c r="D446" s="13">
        <v>1</v>
      </c>
      <c r="E446" s="13">
        <v>208</v>
      </c>
      <c r="F446" s="13">
        <f>Source!V423</f>
        <v>0</v>
      </c>
      <c r="G446" s="13" t="s">
        <v>159</v>
      </c>
      <c r="H446" s="13" t="s">
        <v>160</v>
      </c>
      <c r="I446" s="13"/>
      <c r="J446" s="13"/>
      <c r="K446" s="13">
        <v>208</v>
      </c>
      <c r="L446" s="13">
        <v>22</v>
      </c>
      <c r="M446" s="13">
        <v>3</v>
      </c>
      <c r="N446" s="13" t="s">
        <v>3</v>
      </c>
      <c r="O446" s="13">
        <v>-1</v>
      </c>
      <c r="P446" s="13">
        <f>Source!DN423</f>
        <v>0</v>
      </c>
      <c r="Q446" s="13"/>
      <c r="R446" s="13"/>
      <c r="S446" s="13"/>
      <c r="T446" s="13"/>
      <c r="U446" s="13"/>
      <c r="V446" s="13"/>
      <c r="W446" s="13">
        <v>0</v>
      </c>
      <c r="X446" s="13">
        <v>1</v>
      </c>
      <c r="Y446" s="13">
        <v>0</v>
      </c>
      <c r="Z446" s="13">
        <v>0</v>
      </c>
      <c r="AA446" s="13">
        <v>1</v>
      </c>
      <c r="AB446" s="13">
        <v>0</v>
      </c>
    </row>
    <row r="447" spans="1:28" ht="13" x14ac:dyDescent="0.3">
      <c r="A447" s="13">
        <v>50</v>
      </c>
      <c r="B447" s="13">
        <v>0</v>
      </c>
      <c r="C447" s="13">
        <v>0</v>
      </c>
      <c r="D447" s="13">
        <v>1</v>
      </c>
      <c r="E447" s="13">
        <v>209</v>
      </c>
      <c r="F447" s="13">
        <f>ROUND(Source!W423,O447)</f>
        <v>0</v>
      </c>
      <c r="G447" s="13" t="s">
        <v>161</v>
      </c>
      <c r="H447" s="13" t="s">
        <v>162</v>
      </c>
      <c r="I447" s="13"/>
      <c r="J447" s="13"/>
      <c r="K447" s="13">
        <v>209</v>
      </c>
      <c r="L447" s="13">
        <v>23</v>
      </c>
      <c r="M447" s="13">
        <v>3</v>
      </c>
      <c r="N447" s="13" t="s">
        <v>3</v>
      </c>
      <c r="O447" s="13">
        <v>2</v>
      </c>
      <c r="P447" s="13">
        <f>ROUND(Source!DO423,O447)</f>
        <v>0</v>
      </c>
      <c r="Q447" s="13"/>
      <c r="R447" s="13"/>
      <c r="S447" s="13"/>
      <c r="T447" s="13"/>
      <c r="U447" s="13"/>
      <c r="V447" s="13"/>
      <c r="W447" s="13">
        <v>0</v>
      </c>
      <c r="X447" s="13">
        <v>1</v>
      </c>
      <c r="Y447" s="13">
        <v>0</v>
      </c>
      <c r="Z447" s="13">
        <v>0</v>
      </c>
      <c r="AA447" s="13">
        <v>1</v>
      </c>
      <c r="AB447" s="13">
        <v>0</v>
      </c>
    </row>
    <row r="448" spans="1:28" ht="13" x14ac:dyDescent="0.3">
      <c r="A448" s="13">
        <v>50</v>
      </c>
      <c r="B448" s="13">
        <v>0</v>
      </c>
      <c r="C448" s="13">
        <v>0</v>
      </c>
      <c r="D448" s="13">
        <v>1</v>
      </c>
      <c r="E448" s="13">
        <v>233</v>
      </c>
      <c r="F448" s="13">
        <f>ROUND(Source!BD423,O448)</f>
        <v>0</v>
      </c>
      <c r="G448" s="13" t="s">
        <v>163</v>
      </c>
      <c r="H448" s="13" t="s">
        <v>164</v>
      </c>
      <c r="I448" s="13"/>
      <c r="J448" s="13"/>
      <c r="K448" s="13">
        <v>233</v>
      </c>
      <c r="L448" s="13">
        <v>24</v>
      </c>
      <c r="M448" s="13">
        <v>3</v>
      </c>
      <c r="N448" s="13" t="s">
        <v>3</v>
      </c>
      <c r="O448" s="13">
        <v>2</v>
      </c>
      <c r="P448" s="13">
        <f>ROUND(Source!EV423,O448)</f>
        <v>0</v>
      </c>
      <c r="Q448" s="13"/>
      <c r="R448" s="13"/>
      <c r="S448" s="13"/>
      <c r="T448" s="13"/>
      <c r="U448" s="13"/>
      <c r="V448" s="13"/>
      <c r="W448" s="13">
        <v>0</v>
      </c>
      <c r="X448" s="13">
        <v>1</v>
      </c>
      <c r="Y448" s="13">
        <v>0</v>
      </c>
      <c r="Z448" s="13">
        <v>0</v>
      </c>
      <c r="AA448" s="13">
        <v>1</v>
      </c>
      <c r="AB448" s="13">
        <v>0</v>
      </c>
    </row>
    <row r="449" spans="1:255" ht="13" x14ac:dyDescent="0.3">
      <c r="A449" s="13">
        <v>50</v>
      </c>
      <c r="B449" s="13">
        <v>0</v>
      </c>
      <c r="C449" s="13">
        <v>0</v>
      </c>
      <c r="D449" s="13">
        <v>1</v>
      </c>
      <c r="E449" s="13">
        <v>210</v>
      </c>
      <c r="F449" s="13">
        <f>ROUND(Source!X423,O449)</f>
        <v>5945.75</v>
      </c>
      <c r="G449" s="13" t="s">
        <v>165</v>
      </c>
      <c r="H449" s="13" t="s">
        <v>166</v>
      </c>
      <c r="I449" s="13"/>
      <c r="J449" s="13"/>
      <c r="K449" s="13">
        <v>210</v>
      </c>
      <c r="L449" s="13">
        <v>25</v>
      </c>
      <c r="M449" s="13">
        <v>3</v>
      </c>
      <c r="N449" s="13" t="s">
        <v>3</v>
      </c>
      <c r="O449" s="13">
        <v>2</v>
      </c>
      <c r="P449" s="13">
        <f>ROUND(Source!DP423,O449)</f>
        <v>335043.01</v>
      </c>
      <c r="Q449" s="13"/>
      <c r="R449" s="13"/>
      <c r="S449" s="13"/>
      <c r="T449" s="13"/>
      <c r="U449" s="13"/>
      <c r="V449" s="13"/>
      <c r="W449" s="13">
        <v>5945.75</v>
      </c>
      <c r="X449" s="13">
        <v>1</v>
      </c>
      <c r="Y449" s="13">
        <v>5945.75</v>
      </c>
      <c r="Z449" s="13">
        <v>335043.01</v>
      </c>
      <c r="AA449" s="13">
        <v>1</v>
      </c>
      <c r="AB449" s="13">
        <v>335043.01</v>
      </c>
    </row>
    <row r="450" spans="1:255" ht="13" x14ac:dyDescent="0.3">
      <c r="A450" s="13">
        <v>50</v>
      </c>
      <c r="B450" s="13">
        <v>0</v>
      </c>
      <c r="C450" s="13">
        <v>0</v>
      </c>
      <c r="D450" s="13">
        <v>1</v>
      </c>
      <c r="E450" s="13">
        <v>211</v>
      </c>
      <c r="F450" s="13">
        <f>ROUND(Source!Y423,O450)</f>
        <v>3052.21</v>
      </c>
      <c r="G450" s="13" t="s">
        <v>167</v>
      </c>
      <c r="H450" s="13" t="s">
        <v>168</v>
      </c>
      <c r="I450" s="13"/>
      <c r="J450" s="13"/>
      <c r="K450" s="13">
        <v>211</v>
      </c>
      <c r="L450" s="13">
        <v>26</v>
      </c>
      <c r="M450" s="13">
        <v>3</v>
      </c>
      <c r="N450" s="13" t="s">
        <v>3</v>
      </c>
      <c r="O450" s="13">
        <v>2</v>
      </c>
      <c r="P450" s="13">
        <f>ROUND(Source!DQ423,O450)</f>
        <v>171992.46</v>
      </c>
      <c r="Q450" s="13"/>
      <c r="R450" s="13"/>
      <c r="S450" s="13"/>
      <c r="T450" s="13"/>
      <c r="U450" s="13"/>
      <c r="V450" s="13"/>
      <c r="W450" s="13">
        <v>3052.21</v>
      </c>
      <c r="X450" s="13">
        <v>1</v>
      </c>
      <c r="Y450" s="13">
        <v>3052.21</v>
      </c>
      <c r="Z450" s="13">
        <v>171992.46</v>
      </c>
      <c r="AA450" s="13">
        <v>1</v>
      </c>
      <c r="AB450" s="13">
        <v>171992.46</v>
      </c>
    </row>
    <row r="451" spans="1:255" ht="13" x14ac:dyDescent="0.3">
      <c r="A451" s="13">
        <v>50</v>
      </c>
      <c r="B451" s="13">
        <v>0</v>
      </c>
      <c r="C451" s="13">
        <v>0</v>
      </c>
      <c r="D451" s="13">
        <v>1</v>
      </c>
      <c r="E451" s="13">
        <v>224</v>
      </c>
      <c r="F451" s="13">
        <f>ROUND(Source!AR423,O451)</f>
        <v>309606.33</v>
      </c>
      <c r="G451" s="13" t="s">
        <v>169</v>
      </c>
      <c r="H451" s="13" t="s">
        <v>170</v>
      </c>
      <c r="I451" s="13"/>
      <c r="J451" s="13"/>
      <c r="K451" s="13">
        <v>224</v>
      </c>
      <c r="L451" s="13">
        <v>27</v>
      </c>
      <c r="M451" s="13">
        <v>3</v>
      </c>
      <c r="N451" s="13" t="s">
        <v>3</v>
      </c>
      <c r="O451" s="13">
        <v>2</v>
      </c>
      <c r="P451" s="13">
        <f>ROUND(Source!EJ423,O451)</f>
        <v>3109000.06</v>
      </c>
      <c r="Q451" s="13"/>
      <c r="R451" s="13"/>
      <c r="S451" s="13"/>
      <c r="T451" s="13"/>
      <c r="U451" s="13"/>
      <c r="V451" s="13"/>
      <c r="W451" s="13">
        <v>309606.33</v>
      </c>
      <c r="X451" s="13">
        <v>1</v>
      </c>
      <c r="Y451" s="13">
        <v>309606.33</v>
      </c>
      <c r="Z451" s="13">
        <v>3109000.06</v>
      </c>
      <c r="AA451" s="13">
        <v>1</v>
      </c>
      <c r="AB451" s="13">
        <v>3109000.06</v>
      </c>
    </row>
    <row r="453" spans="1:255" ht="13" x14ac:dyDescent="0.3">
      <c r="A453" s="10">
        <v>4</v>
      </c>
      <c r="B453" s="10">
        <v>1</v>
      </c>
      <c r="C453" s="10"/>
      <c r="D453" s="10">
        <f>ROW(A462)</f>
        <v>462</v>
      </c>
      <c r="E453" s="10"/>
      <c r="F453" s="10" t="s">
        <v>21</v>
      </c>
      <c r="G453" s="10" t="s">
        <v>361</v>
      </c>
      <c r="H453" s="10" t="s">
        <v>3</v>
      </c>
      <c r="I453" s="10">
        <v>0</v>
      </c>
      <c r="J453" s="10"/>
      <c r="K453" s="10">
        <v>0</v>
      </c>
      <c r="L453" s="10"/>
      <c r="M453" s="10" t="s">
        <v>3</v>
      </c>
      <c r="N453" s="10"/>
      <c r="O453" s="10"/>
      <c r="P453" s="10"/>
      <c r="Q453" s="10"/>
      <c r="R453" s="10"/>
      <c r="S453" s="10">
        <v>0</v>
      </c>
      <c r="T453" s="10">
        <v>0</v>
      </c>
      <c r="U453" s="10" t="s">
        <v>3</v>
      </c>
      <c r="V453" s="10">
        <v>2</v>
      </c>
      <c r="W453" s="10"/>
      <c r="X453" s="10"/>
      <c r="Y453" s="10"/>
      <c r="Z453" s="10"/>
      <c r="AA453" s="10"/>
      <c r="AB453" s="10" t="s">
        <v>3</v>
      </c>
      <c r="AC453" s="10" t="s">
        <v>3</v>
      </c>
      <c r="AD453" s="10" t="s">
        <v>3</v>
      </c>
      <c r="AE453" s="10" t="s">
        <v>3</v>
      </c>
      <c r="AF453" s="10" t="s">
        <v>3</v>
      </c>
      <c r="AG453" s="10" t="s">
        <v>3</v>
      </c>
      <c r="AH453" s="10"/>
      <c r="AI453" s="10"/>
      <c r="AJ453" s="10"/>
      <c r="AK453" s="10"/>
      <c r="AL453" s="10"/>
      <c r="AM453" s="10"/>
      <c r="AN453" s="10"/>
      <c r="AO453" s="10"/>
      <c r="AP453" s="10" t="s">
        <v>3</v>
      </c>
      <c r="AQ453" s="10" t="s">
        <v>3</v>
      </c>
      <c r="AR453" s="10" t="s">
        <v>3</v>
      </c>
      <c r="AS453" s="10"/>
      <c r="AT453" s="10"/>
      <c r="AU453" s="10"/>
      <c r="AV453" s="10"/>
      <c r="AW453" s="10"/>
      <c r="AX453" s="10"/>
      <c r="AY453" s="10"/>
      <c r="AZ453" s="10" t="s">
        <v>3</v>
      </c>
      <c r="BA453" s="10"/>
      <c r="BB453" s="10" t="s">
        <v>3</v>
      </c>
      <c r="BC453" s="10" t="s">
        <v>3</v>
      </c>
      <c r="BD453" s="10" t="s">
        <v>3</v>
      </c>
      <c r="BE453" s="10" t="s">
        <v>3</v>
      </c>
      <c r="BF453" s="10" t="s">
        <v>3</v>
      </c>
      <c r="BG453" s="10" t="s">
        <v>3</v>
      </c>
      <c r="BH453" s="10" t="s">
        <v>3</v>
      </c>
      <c r="BI453" s="10" t="s">
        <v>3</v>
      </c>
      <c r="BJ453" s="10" t="s">
        <v>3</v>
      </c>
      <c r="BK453" s="10" t="s">
        <v>3</v>
      </c>
      <c r="BL453" s="10" t="s">
        <v>3</v>
      </c>
      <c r="BM453" s="10" t="s">
        <v>3</v>
      </c>
      <c r="BN453" s="10" t="s">
        <v>3</v>
      </c>
      <c r="BO453" s="10" t="s">
        <v>3</v>
      </c>
      <c r="BP453" s="10" t="s">
        <v>3</v>
      </c>
      <c r="BQ453" s="10"/>
      <c r="BR453" s="10"/>
      <c r="BS453" s="10"/>
      <c r="BT453" s="10"/>
      <c r="BU453" s="10"/>
      <c r="BV453" s="10"/>
      <c r="BW453" s="10"/>
      <c r="BX453" s="10">
        <v>0</v>
      </c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>
        <v>0</v>
      </c>
    </row>
    <row r="455" spans="1:255" ht="13" x14ac:dyDescent="0.3">
      <c r="A455" s="11">
        <v>52</v>
      </c>
      <c r="B455" s="11">
        <f t="shared" ref="B455:G455" si="368">B462</f>
        <v>1</v>
      </c>
      <c r="C455" s="11">
        <f t="shared" si="368"/>
        <v>4</v>
      </c>
      <c r="D455" s="11">
        <f t="shared" si="368"/>
        <v>453</v>
      </c>
      <c r="E455" s="11">
        <f t="shared" si="368"/>
        <v>0</v>
      </c>
      <c r="F455" s="11" t="str">
        <f t="shared" si="368"/>
        <v>Новый раздел</v>
      </c>
      <c r="G455" s="11" t="str">
        <f t="shared" si="368"/>
        <v>Материалы, поставляемые с оборудованием СПА.</v>
      </c>
      <c r="H455" s="11"/>
      <c r="I455" s="11"/>
      <c r="J455" s="11"/>
      <c r="K455" s="11"/>
      <c r="L455" s="11"/>
      <c r="M455" s="11"/>
      <c r="N455" s="11"/>
      <c r="O455" s="11">
        <f t="shared" ref="O455:AT455" si="369">O462</f>
        <v>2500.3200000000002</v>
      </c>
      <c r="P455" s="11">
        <f t="shared" si="369"/>
        <v>2500.3200000000002</v>
      </c>
      <c r="Q455" s="11">
        <f t="shared" si="369"/>
        <v>0</v>
      </c>
      <c r="R455" s="11">
        <f t="shared" si="369"/>
        <v>0</v>
      </c>
      <c r="S455" s="11">
        <f t="shared" si="369"/>
        <v>0</v>
      </c>
      <c r="T455" s="11">
        <f t="shared" si="369"/>
        <v>0</v>
      </c>
      <c r="U455" s="11">
        <f t="shared" si="369"/>
        <v>0</v>
      </c>
      <c r="V455" s="11">
        <f t="shared" si="369"/>
        <v>0</v>
      </c>
      <c r="W455" s="11">
        <f t="shared" si="369"/>
        <v>0</v>
      </c>
      <c r="X455" s="11">
        <f t="shared" si="369"/>
        <v>0</v>
      </c>
      <c r="Y455" s="11">
        <f t="shared" si="369"/>
        <v>0</v>
      </c>
      <c r="Z455" s="11">
        <f t="shared" si="369"/>
        <v>0</v>
      </c>
      <c r="AA455" s="11">
        <f t="shared" si="369"/>
        <v>0</v>
      </c>
      <c r="AB455" s="11">
        <f t="shared" si="369"/>
        <v>2500.3200000000002</v>
      </c>
      <c r="AC455" s="11">
        <f t="shared" si="369"/>
        <v>2500.3200000000002</v>
      </c>
      <c r="AD455" s="11">
        <f t="shared" si="369"/>
        <v>0</v>
      </c>
      <c r="AE455" s="11">
        <f t="shared" si="369"/>
        <v>0</v>
      </c>
      <c r="AF455" s="11">
        <f t="shared" si="369"/>
        <v>0</v>
      </c>
      <c r="AG455" s="11">
        <f t="shared" si="369"/>
        <v>0</v>
      </c>
      <c r="AH455" s="11">
        <f t="shared" si="369"/>
        <v>0</v>
      </c>
      <c r="AI455" s="11">
        <f t="shared" si="369"/>
        <v>0</v>
      </c>
      <c r="AJ455" s="11">
        <f t="shared" si="369"/>
        <v>0</v>
      </c>
      <c r="AK455" s="11">
        <f t="shared" si="369"/>
        <v>0</v>
      </c>
      <c r="AL455" s="11">
        <f t="shared" si="369"/>
        <v>0</v>
      </c>
      <c r="AM455" s="11">
        <f t="shared" si="369"/>
        <v>0</v>
      </c>
      <c r="AN455" s="11">
        <f t="shared" si="369"/>
        <v>0</v>
      </c>
      <c r="AO455" s="11">
        <f t="shared" si="369"/>
        <v>0</v>
      </c>
      <c r="AP455" s="11">
        <f t="shared" si="369"/>
        <v>2500.3200000000002</v>
      </c>
      <c r="AQ455" s="11">
        <f t="shared" si="369"/>
        <v>0</v>
      </c>
      <c r="AR455" s="11">
        <f t="shared" si="369"/>
        <v>2500.3200000000002</v>
      </c>
      <c r="AS455" s="11">
        <f t="shared" si="369"/>
        <v>0</v>
      </c>
      <c r="AT455" s="11">
        <f t="shared" si="369"/>
        <v>0</v>
      </c>
      <c r="AU455" s="11">
        <f t="shared" ref="AU455:BZ455" si="370">AU462</f>
        <v>0</v>
      </c>
      <c r="AV455" s="11">
        <f t="shared" si="370"/>
        <v>2500.3200000000002</v>
      </c>
      <c r="AW455" s="11">
        <f t="shared" si="370"/>
        <v>0</v>
      </c>
      <c r="AX455" s="11">
        <f t="shared" si="370"/>
        <v>0</v>
      </c>
      <c r="AY455" s="11">
        <f t="shared" si="370"/>
        <v>0</v>
      </c>
      <c r="AZ455" s="11">
        <f t="shared" si="370"/>
        <v>2500.3200000000002</v>
      </c>
      <c r="BA455" s="11">
        <f t="shared" si="370"/>
        <v>0</v>
      </c>
      <c r="BB455" s="11">
        <f t="shared" si="370"/>
        <v>0</v>
      </c>
      <c r="BC455" s="11">
        <f t="shared" si="370"/>
        <v>0</v>
      </c>
      <c r="BD455" s="11">
        <f t="shared" si="370"/>
        <v>0</v>
      </c>
      <c r="BE455" s="11">
        <f t="shared" si="370"/>
        <v>0</v>
      </c>
      <c r="BF455" s="11">
        <f t="shared" si="370"/>
        <v>0</v>
      </c>
      <c r="BG455" s="11">
        <f t="shared" si="370"/>
        <v>0</v>
      </c>
      <c r="BH455" s="11">
        <f t="shared" si="370"/>
        <v>0</v>
      </c>
      <c r="BI455" s="11">
        <f t="shared" si="370"/>
        <v>0</v>
      </c>
      <c r="BJ455" s="11">
        <f t="shared" si="370"/>
        <v>0</v>
      </c>
      <c r="BK455" s="11">
        <f t="shared" si="370"/>
        <v>0</v>
      </c>
      <c r="BL455" s="11">
        <f t="shared" si="370"/>
        <v>0</v>
      </c>
      <c r="BM455" s="11">
        <f t="shared" si="370"/>
        <v>0</v>
      </c>
      <c r="BN455" s="11">
        <f t="shared" si="370"/>
        <v>0</v>
      </c>
      <c r="BO455" s="11">
        <f t="shared" si="370"/>
        <v>0</v>
      </c>
      <c r="BP455" s="11">
        <f t="shared" si="370"/>
        <v>0</v>
      </c>
      <c r="BQ455" s="11">
        <f t="shared" si="370"/>
        <v>0</v>
      </c>
      <c r="BR455" s="11">
        <f t="shared" si="370"/>
        <v>0</v>
      </c>
      <c r="BS455" s="11">
        <f t="shared" si="370"/>
        <v>0</v>
      </c>
      <c r="BT455" s="11">
        <f t="shared" si="370"/>
        <v>0</v>
      </c>
      <c r="BU455" s="11">
        <f t="shared" si="370"/>
        <v>0</v>
      </c>
      <c r="BV455" s="11">
        <f t="shared" si="370"/>
        <v>0</v>
      </c>
      <c r="BW455" s="11">
        <f t="shared" si="370"/>
        <v>0</v>
      </c>
      <c r="BX455" s="11">
        <f t="shared" si="370"/>
        <v>0</v>
      </c>
      <c r="BY455" s="11">
        <f t="shared" si="370"/>
        <v>2500.3200000000002</v>
      </c>
      <c r="BZ455" s="11">
        <f t="shared" si="370"/>
        <v>0</v>
      </c>
      <c r="CA455" s="11">
        <f t="shared" ref="CA455:DF455" si="371">CA462</f>
        <v>2500.3200000000002</v>
      </c>
      <c r="CB455" s="11">
        <f t="shared" si="371"/>
        <v>0</v>
      </c>
      <c r="CC455" s="11">
        <f t="shared" si="371"/>
        <v>0</v>
      </c>
      <c r="CD455" s="11">
        <f t="shared" si="371"/>
        <v>0</v>
      </c>
      <c r="CE455" s="11">
        <f t="shared" si="371"/>
        <v>2500.3200000000002</v>
      </c>
      <c r="CF455" s="11">
        <f t="shared" si="371"/>
        <v>0</v>
      </c>
      <c r="CG455" s="11">
        <f t="shared" si="371"/>
        <v>0</v>
      </c>
      <c r="CH455" s="11">
        <f t="shared" si="371"/>
        <v>0</v>
      </c>
      <c r="CI455" s="11">
        <f t="shared" si="371"/>
        <v>2500.3200000000002</v>
      </c>
      <c r="CJ455" s="11">
        <f t="shared" si="371"/>
        <v>0</v>
      </c>
      <c r="CK455" s="11">
        <f t="shared" si="371"/>
        <v>0</v>
      </c>
      <c r="CL455" s="11">
        <f t="shared" si="371"/>
        <v>0</v>
      </c>
      <c r="CM455" s="11">
        <f t="shared" si="371"/>
        <v>0</v>
      </c>
      <c r="CN455" s="11">
        <f t="shared" si="371"/>
        <v>0</v>
      </c>
      <c r="CO455" s="11">
        <f t="shared" si="371"/>
        <v>0</v>
      </c>
      <c r="CP455" s="11">
        <f t="shared" si="371"/>
        <v>0</v>
      </c>
      <c r="CQ455" s="11">
        <f t="shared" si="371"/>
        <v>0</v>
      </c>
      <c r="CR455" s="11">
        <f t="shared" si="371"/>
        <v>0</v>
      </c>
      <c r="CS455" s="11">
        <f t="shared" si="371"/>
        <v>0</v>
      </c>
      <c r="CT455" s="11">
        <f t="shared" si="371"/>
        <v>0</v>
      </c>
      <c r="CU455" s="11">
        <f t="shared" si="371"/>
        <v>0</v>
      </c>
      <c r="CV455" s="11">
        <f t="shared" si="371"/>
        <v>0</v>
      </c>
      <c r="CW455" s="11">
        <f t="shared" si="371"/>
        <v>0</v>
      </c>
      <c r="CX455" s="11">
        <f t="shared" si="371"/>
        <v>0</v>
      </c>
      <c r="CY455" s="11">
        <f t="shared" si="371"/>
        <v>0</v>
      </c>
      <c r="CZ455" s="11">
        <f t="shared" si="371"/>
        <v>0</v>
      </c>
      <c r="DA455" s="11">
        <f t="shared" si="371"/>
        <v>0</v>
      </c>
      <c r="DB455" s="11">
        <f t="shared" si="371"/>
        <v>0</v>
      </c>
      <c r="DC455" s="11">
        <f t="shared" si="371"/>
        <v>0</v>
      </c>
      <c r="DD455" s="11">
        <f t="shared" si="371"/>
        <v>0</v>
      </c>
      <c r="DE455" s="11">
        <f t="shared" si="371"/>
        <v>0</v>
      </c>
      <c r="DF455" s="11">
        <f t="shared" si="371"/>
        <v>0</v>
      </c>
      <c r="DG455" s="12">
        <f t="shared" ref="DG455:EL455" si="372">DG462</f>
        <v>18927.419999999998</v>
      </c>
      <c r="DH455" s="12">
        <f t="shared" si="372"/>
        <v>18927.419999999998</v>
      </c>
      <c r="DI455" s="12">
        <f t="shared" si="372"/>
        <v>0</v>
      </c>
      <c r="DJ455" s="12">
        <f t="shared" si="372"/>
        <v>0</v>
      </c>
      <c r="DK455" s="12">
        <f t="shared" si="372"/>
        <v>0</v>
      </c>
      <c r="DL455" s="12">
        <f t="shared" si="372"/>
        <v>0</v>
      </c>
      <c r="DM455" s="12">
        <f t="shared" si="372"/>
        <v>0</v>
      </c>
      <c r="DN455" s="12">
        <f t="shared" si="372"/>
        <v>0</v>
      </c>
      <c r="DO455" s="12">
        <f t="shared" si="372"/>
        <v>0</v>
      </c>
      <c r="DP455" s="12">
        <f t="shared" si="372"/>
        <v>0</v>
      </c>
      <c r="DQ455" s="12">
        <f t="shared" si="372"/>
        <v>0</v>
      </c>
      <c r="DR455" s="12">
        <f t="shared" si="372"/>
        <v>0</v>
      </c>
      <c r="DS455" s="12">
        <f t="shared" si="372"/>
        <v>0</v>
      </c>
      <c r="DT455" s="12">
        <f t="shared" si="372"/>
        <v>18927.419999999998</v>
      </c>
      <c r="DU455" s="12">
        <f t="shared" si="372"/>
        <v>18927.419999999998</v>
      </c>
      <c r="DV455" s="12">
        <f t="shared" si="372"/>
        <v>0</v>
      </c>
      <c r="DW455" s="12">
        <f t="shared" si="372"/>
        <v>0</v>
      </c>
      <c r="DX455" s="12">
        <f t="shared" si="372"/>
        <v>0</v>
      </c>
      <c r="DY455" s="12">
        <f t="shared" si="372"/>
        <v>0</v>
      </c>
      <c r="DZ455" s="12">
        <f t="shared" si="372"/>
        <v>0</v>
      </c>
      <c r="EA455" s="12">
        <f t="shared" si="372"/>
        <v>0</v>
      </c>
      <c r="EB455" s="12">
        <f t="shared" si="372"/>
        <v>0</v>
      </c>
      <c r="EC455" s="12">
        <f t="shared" si="372"/>
        <v>0</v>
      </c>
      <c r="ED455" s="12">
        <f t="shared" si="372"/>
        <v>0</v>
      </c>
      <c r="EE455" s="12">
        <f t="shared" si="372"/>
        <v>0</v>
      </c>
      <c r="EF455" s="12">
        <f t="shared" si="372"/>
        <v>0</v>
      </c>
      <c r="EG455" s="12">
        <f t="shared" si="372"/>
        <v>0</v>
      </c>
      <c r="EH455" s="12">
        <f t="shared" si="372"/>
        <v>18927.419999999998</v>
      </c>
      <c r="EI455" s="12">
        <f t="shared" si="372"/>
        <v>0</v>
      </c>
      <c r="EJ455" s="12">
        <f t="shared" si="372"/>
        <v>18927.419999999998</v>
      </c>
      <c r="EK455" s="12">
        <f t="shared" si="372"/>
        <v>0</v>
      </c>
      <c r="EL455" s="12">
        <f t="shared" si="372"/>
        <v>0</v>
      </c>
      <c r="EM455" s="12">
        <f t="shared" ref="EM455:FR455" si="373">EM462</f>
        <v>0</v>
      </c>
      <c r="EN455" s="12">
        <f t="shared" si="373"/>
        <v>18927.419999999998</v>
      </c>
      <c r="EO455" s="12">
        <f t="shared" si="373"/>
        <v>0</v>
      </c>
      <c r="EP455" s="12">
        <f t="shared" si="373"/>
        <v>0</v>
      </c>
      <c r="EQ455" s="12">
        <f t="shared" si="373"/>
        <v>0</v>
      </c>
      <c r="ER455" s="12">
        <f t="shared" si="373"/>
        <v>18927.419999999998</v>
      </c>
      <c r="ES455" s="12">
        <f t="shared" si="373"/>
        <v>0</v>
      </c>
      <c r="ET455" s="12">
        <f t="shared" si="373"/>
        <v>0</v>
      </c>
      <c r="EU455" s="12">
        <f t="shared" si="373"/>
        <v>0</v>
      </c>
      <c r="EV455" s="12">
        <f t="shared" si="373"/>
        <v>0</v>
      </c>
      <c r="EW455" s="12">
        <f t="shared" si="373"/>
        <v>0</v>
      </c>
      <c r="EX455" s="12">
        <f t="shared" si="373"/>
        <v>0</v>
      </c>
      <c r="EY455" s="12">
        <f t="shared" si="373"/>
        <v>0</v>
      </c>
      <c r="EZ455" s="12">
        <f t="shared" si="373"/>
        <v>0</v>
      </c>
      <c r="FA455" s="12">
        <f t="shared" si="373"/>
        <v>0</v>
      </c>
      <c r="FB455" s="12">
        <f t="shared" si="373"/>
        <v>0</v>
      </c>
      <c r="FC455" s="12">
        <f t="shared" si="373"/>
        <v>0</v>
      </c>
      <c r="FD455" s="12">
        <f t="shared" si="373"/>
        <v>0</v>
      </c>
      <c r="FE455" s="12">
        <f t="shared" si="373"/>
        <v>0</v>
      </c>
      <c r="FF455" s="12">
        <f t="shared" si="373"/>
        <v>0</v>
      </c>
      <c r="FG455" s="12">
        <f t="shared" si="373"/>
        <v>0</v>
      </c>
      <c r="FH455" s="12">
        <f t="shared" si="373"/>
        <v>0</v>
      </c>
      <c r="FI455" s="12">
        <f t="shared" si="373"/>
        <v>0</v>
      </c>
      <c r="FJ455" s="12">
        <f t="shared" si="373"/>
        <v>0</v>
      </c>
      <c r="FK455" s="12">
        <f t="shared" si="373"/>
        <v>0</v>
      </c>
      <c r="FL455" s="12">
        <f t="shared" si="373"/>
        <v>0</v>
      </c>
      <c r="FM455" s="12">
        <f t="shared" si="373"/>
        <v>0</v>
      </c>
      <c r="FN455" s="12">
        <f t="shared" si="373"/>
        <v>0</v>
      </c>
      <c r="FO455" s="12">
        <f t="shared" si="373"/>
        <v>0</v>
      </c>
      <c r="FP455" s="12">
        <f t="shared" si="373"/>
        <v>0</v>
      </c>
      <c r="FQ455" s="12">
        <f t="shared" si="373"/>
        <v>18927.419999999998</v>
      </c>
      <c r="FR455" s="12">
        <f t="shared" si="373"/>
        <v>0</v>
      </c>
      <c r="FS455" s="12">
        <f t="shared" ref="FS455:GX455" si="374">FS462</f>
        <v>18927.419999999998</v>
      </c>
      <c r="FT455" s="12">
        <f t="shared" si="374"/>
        <v>0</v>
      </c>
      <c r="FU455" s="12">
        <f t="shared" si="374"/>
        <v>0</v>
      </c>
      <c r="FV455" s="12">
        <f t="shared" si="374"/>
        <v>0</v>
      </c>
      <c r="FW455" s="12">
        <f t="shared" si="374"/>
        <v>18927.419999999998</v>
      </c>
      <c r="FX455" s="12">
        <f t="shared" si="374"/>
        <v>0</v>
      </c>
      <c r="FY455" s="12">
        <f t="shared" si="374"/>
        <v>0</v>
      </c>
      <c r="FZ455" s="12">
        <f t="shared" si="374"/>
        <v>0</v>
      </c>
      <c r="GA455" s="12">
        <f t="shared" si="374"/>
        <v>18927.419999999998</v>
      </c>
      <c r="GB455" s="12">
        <f t="shared" si="374"/>
        <v>0</v>
      </c>
      <c r="GC455" s="12">
        <f t="shared" si="374"/>
        <v>0</v>
      </c>
      <c r="GD455" s="12">
        <f t="shared" si="374"/>
        <v>0</v>
      </c>
      <c r="GE455" s="12">
        <f t="shared" si="374"/>
        <v>0</v>
      </c>
      <c r="GF455" s="12">
        <f t="shared" si="374"/>
        <v>0</v>
      </c>
      <c r="GG455" s="12">
        <f t="shared" si="374"/>
        <v>0</v>
      </c>
      <c r="GH455" s="12">
        <f t="shared" si="374"/>
        <v>0</v>
      </c>
      <c r="GI455" s="12">
        <f t="shared" si="374"/>
        <v>0</v>
      </c>
      <c r="GJ455" s="12">
        <f t="shared" si="374"/>
        <v>0</v>
      </c>
      <c r="GK455" s="12">
        <f t="shared" si="374"/>
        <v>0</v>
      </c>
      <c r="GL455" s="12">
        <f t="shared" si="374"/>
        <v>0</v>
      </c>
      <c r="GM455" s="12">
        <f t="shared" si="374"/>
        <v>0</v>
      </c>
      <c r="GN455" s="12">
        <f t="shared" si="374"/>
        <v>0</v>
      </c>
      <c r="GO455" s="12">
        <f t="shared" si="374"/>
        <v>0</v>
      </c>
      <c r="GP455" s="12">
        <f t="shared" si="374"/>
        <v>0</v>
      </c>
      <c r="GQ455" s="12">
        <f t="shared" si="374"/>
        <v>0</v>
      </c>
      <c r="GR455" s="12">
        <f t="shared" si="374"/>
        <v>0</v>
      </c>
      <c r="GS455" s="12">
        <f t="shared" si="374"/>
        <v>0</v>
      </c>
      <c r="GT455" s="12">
        <f t="shared" si="374"/>
        <v>0</v>
      </c>
      <c r="GU455" s="12">
        <f t="shared" si="374"/>
        <v>0</v>
      </c>
      <c r="GV455" s="12">
        <f t="shared" si="374"/>
        <v>0</v>
      </c>
      <c r="GW455" s="12">
        <f t="shared" si="374"/>
        <v>0</v>
      </c>
      <c r="GX455" s="12">
        <f t="shared" si="374"/>
        <v>0</v>
      </c>
    </row>
    <row r="457" spans="1:255" x14ac:dyDescent="0.25">
      <c r="A457" s="2">
        <v>17</v>
      </c>
      <c r="B457" s="2">
        <v>1</v>
      </c>
      <c r="C457" s="2"/>
      <c r="D457" s="2"/>
      <c r="E457" s="2" t="s">
        <v>362</v>
      </c>
      <c r="F457" s="2" t="s">
        <v>270</v>
      </c>
      <c r="G457" s="2" t="s">
        <v>271</v>
      </c>
      <c r="H457" s="2" t="s">
        <v>177</v>
      </c>
      <c r="I457" s="2">
        <v>4</v>
      </c>
      <c r="J457" s="2">
        <v>0</v>
      </c>
      <c r="K457" s="2">
        <v>4</v>
      </c>
      <c r="L457" s="2"/>
      <c r="M457" s="2"/>
      <c r="N457" s="2"/>
      <c r="O457" s="2">
        <f>ROUND(CP457,2)</f>
        <v>2500.3200000000002</v>
      </c>
      <c r="P457" s="2">
        <f>ROUND((ROUND((AC457*I457),2)*BC457),2)</f>
        <v>2500.3200000000002</v>
      </c>
      <c r="Q457" s="2">
        <f>(ROUND((ROUND(((ET457)*AV457*I457),2)*BB457),2)+ROUND((ROUND(((AE457-(EU457))*AV457*I457),2)*BS457),2))</f>
        <v>0</v>
      </c>
      <c r="R457" s="2">
        <f>(ROUND((ROUND(((EU457)*AV457*I457),2)*BS457),2)+ROUND((ROUND(((AE457-(EU457))*AV457*I457),2)*BS457),2))</f>
        <v>0</v>
      </c>
      <c r="S457" s="2">
        <f>ROUND((ROUND((AF457*AV457*I457),2)*BA457),2)</f>
        <v>0</v>
      </c>
      <c r="T457" s="2">
        <f>ROUND(CU457*I457,2)</f>
        <v>0</v>
      </c>
      <c r="U457" s="2">
        <f>CV457*I457</f>
        <v>0</v>
      </c>
      <c r="V457" s="2">
        <f>CW457*I457</f>
        <v>0</v>
      </c>
      <c r="W457" s="2">
        <f>ROUND(CX457*I457,2)</f>
        <v>0</v>
      </c>
      <c r="X457" s="2">
        <f>(ROUND((((S457+ROUND((ROUND(((EU457)*AV457*I457),2)*BS457),2))*AT457)/100),2)+ROUND(((ROUND((ROUND(((AE457-(EU457))*AV457*I457),2)*BS457),2)*AT457)/100),2))</f>
        <v>0</v>
      </c>
      <c r="Y457" s="2">
        <f>(ROUND((((S457+ROUND((ROUND(((EU457)*AV457*I457),2)*BS457),2))*AU457)/100),2)+ROUND(((ROUND((ROUND(((AE457-(EU457))*AV457*I457),2)*BS457),2)*AU457)/100),2))</f>
        <v>0</v>
      </c>
      <c r="Z457" s="2"/>
      <c r="AA457" s="2">
        <v>57034452</v>
      </c>
      <c r="AB457" s="2">
        <f>ROUND((AC457+AD457+AF457),6)</f>
        <v>625.08000000000004</v>
      </c>
      <c r="AC457" s="2">
        <f>ROUND((ES457),6)</f>
        <v>625.08000000000004</v>
      </c>
      <c r="AD457" s="2">
        <f>ROUND((((ET457)-(EU457))+AE457),6)</f>
        <v>0</v>
      </c>
      <c r="AE457" s="2">
        <f t="shared" ref="AE457:AF460" si="375">ROUND((EU457),6)</f>
        <v>0</v>
      </c>
      <c r="AF457" s="2">
        <f t="shared" si="375"/>
        <v>0</v>
      </c>
      <c r="AG457" s="2">
        <f>ROUND((AP457),6)</f>
        <v>0</v>
      </c>
      <c r="AH457" s="2">
        <f t="shared" ref="AH457:AI460" si="376">(EW457)</f>
        <v>0</v>
      </c>
      <c r="AI457" s="2">
        <f t="shared" si="376"/>
        <v>0</v>
      </c>
      <c r="AJ457" s="2">
        <f>(AS457)</f>
        <v>0</v>
      </c>
      <c r="AK457" s="2">
        <v>625.07999999999993</v>
      </c>
      <c r="AL457" s="2">
        <v>625.07999999999993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1</v>
      </c>
      <c r="AW457" s="2">
        <v>1</v>
      </c>
      <c r="AX457" s="2"/>
      <c r="AY457" s="2"/>
      <c r="AZ457" s="2">
        <v>1</v>
      </c>
      <c r="BA457" s="2">
        <v>1</v>
      </c>
      <c r="BB457" s="2">
        <v>1</v>
      </c>
      <c r="BC457" s="2">
        <v>1</v>
      </c>
      <c r="BD457" s="2" t="s">
        <v>3</v>
      </c>
      <c r="BE457" s="2" t="s">
        <v>3</v>
      </c>
      <c r="BF457" s="2" t="s">
        <v>3</v>
      </c>
      <c r="BG457" s="2" t="s">
        <v>3</v>
      </c>
      <c r="BH457" s="2">
        <v>3</v>
      </c>
      <c r="BI457" s="2">
        <v>3</v>
      </c>
      <c r="BJ457" s="2" t="s">
        <v>3</v>
      </c>
      <c r="BK457" s="2"/>
      <c r="BL457" s="2"/>
      <c r="BM457" s="2">
        <v>746</v>
      </c>
      <c r="BN457" s="2">
        <v>0</v>
      </c>
      <c r="BO457" s="2" t="s">
        <v>3</v>
      </c>
      <c r="BP457" s="2">
        <v>0</v>
      </c>
      <c r="BQ457" s="2">
        <v>130</v>
      </c>
      <c r="BR457" s="2">
        <v>0</v>
      </c>
      <c r="BS457" s="2">
        <v>1</v>
      </c>
      <c r="BT457" s="2">
        <v>1</v>
      </c>
      <c r="BU457" s="2">
        <v>1</v>
      </c>
      <c r="BV457" s="2">
        <v>1</v>
      </c>
      <c r="BW457" s="2">
        <v>1</v>
      </c>
      <c r="BX457" s="2">
        <v>1</v>
      </c>
      <c r="BY457" s="2" t="s">
        <v>3</v>
      </c>
      <c r="BZ457" s="2">
        <v>0</v>
      </c>
      <c r="CA457" s="2">
        <v>0</v>
      </c>
      <c r="CB457" s="2" t="s">
        <v>3</v>
      </c>
      <c r="CC457" s="2"/>
      <c r="CD457" s="2"/>
      <c r="CE457" s="2">
        <v>1566</v>
      </c>
      <c r="CF457" s="2">
        <v>0</v>
      </c>
      <c r="CG457" s="2">
        <v>0</v>
      </c>
      <c r="CH457" s="2"/>
      <c r="CI457" s="2"/>
      <c r="CJ457" s="2"/>
      <c r="CK457" s="2"/>
      <c r="CL457" s="2"/>
      <c r="CM457" s="2">
        <v>0</v>
      </c>
      <c r="CN457" s="2" t="s">
        <v>3</v>
      </c>
      <c r="CO457" s="2">
        <v>0</v>
      </c>
      <c r="CP457" s="2">
        <f>(P457+Q457+S457)</f>
        <v>2500.3200000000002</v>
      </c>
      <c r="CQ457" s="2">
        <f>ROUND((ROUND((AC457*1),2)*BC457),2)</f>
        <v>625.08000000000004</v>
      </c>
      <c r="CR457" s="2">
        <f>(ROUND((ROUND(((ET457)*AV457*1),2)*BB457),2)+ROUND((ROUND(((AE457-(EU457))*AV457*1),2)*BS457),2))</f>
        <v>0</v>
      </c>
      <c r="CS457" s="2">
        <f>(ROUND((ROUND(((EU457)*AV457*1),2)*BS457),2)+ROUND((ROUND(((AE457-(EU457))*AV457*1),2)*BS457),2))</f>
        <v>0</v>
      </c>
      <c r="CT457" s="2">
        <f>ROUND((ROUND((AF457*AV457*1),2)*BA457),2)</f>
        <v>0</v>
      </c>
      <c r="CU457" s="2">
        <f>AG457</f>
        <v>0</v>
      </c>
      <c r="CV457" s="2">
        <f>(AH457*AV457)</f>
        <v>0</v>
      </c>
      <c r="CW457" s="2">
        <f t="shared" ref="CW457:CX460" si="377">AI457</f>
        <v>0</v>
      </c>
      <c r="CX457" s="2">
        <f t="shared" si="377"/>
        <v>0</v>
      </c>
      <c r="CY457" s="2">
        <f>(ROUND((((S457+ROUND((ROUND(((EU457)*AV457*1),2)*BS457),2))*AT457)/100),2)+ROUND(((ROUND((ROUND(((AE457-(EU457))*AV457*1),2)*BS457),2)*AT457)/100),2))</f>
        <v>0</v>
      </c>
      <c r="CZ457" s="2">
        <f>(ROUND((((S457+ROUND((ROUND(((EU457)*AV457*1),2)*BS457),2))*AU457)/100),2)+ROUND(((ROUND((ROUND(((AE457-(EU457))*AV457*1),2)*BS457),2)*AU457)/100),2))</f>
        <v>0</v>
      </c>
      <c r="DA457" s="2"/>
      <c r="DB457" s="2"/>
      <c r="DC457" s="2" t="s">
        <v>3</v>
      </c>
      <c r="DD457" s="2" t="s">
        <v>3</v>
      </c>
      <c r="DE457" s="2" t="s">
        <v>3</v>
      </c>
      <c r="DF457" s="2" t="s">
        <v>3</v>
      </c>
      <c r="DG457" s="2" t="s">
        <v>3</v>
      </c>
      <c r="DH457" s="2" t="s">
        <v>3</v>
      </c>
      <c r="DI457" s="2" t="s">
        <v>3</v>
      </c>
      <c r="DJ457" s="2" t="s">
        <v>3</v>
      </c>
      <c r="DK457" s="2" t="s">
        <v>3</v>
      </c>
      <c r="DL457" s="2" t="s">
        <v>3</v>
      </c>
      <c r="DM457" s="2" t="s">
        <v>3</v>
      </c>
      <c r="DN457" s="2">
        <v>0</v>
      </c>
      <c r="DO457" s="2">
        <v>0</v>
      </c>
      <c r="DP457" s="2">
        <v>1</v>
      </c>
      <c r="DQ457" s="2">
        <v>1</v>
      </c>
      <c r="DR457" s="2"/>
      <c r="DS457" s="2"/>
      <c r="DT457" s="2"/>
      <c r="DU457" s="2">
        <v>1010</v>
      </c>
      <c r="DV457" s="2" t="s">
        <v>177</v>
      </c>
      <c r="DW457" s="2" t="s">
        <v>177</v>
      </c>
      <c r="DX457" s="2">
        <v>1</v>
      </c>
      <c r="DY457" s="2"/>
      <c r="DZ457" s="2" t="s">
        <v>3</v>
      </c>
      <c r="EA457" s="2" t="s">
        <v>3</v>
      </c>
      <c r="EB457" s="2" t="s">
        <v>3</v>
      </c>
      <c r="EC457" s="2" t="s">
        <v>3</v>
      </c>
      <c r="ED457" s="2"/>
      <c r="EE457" s="2">
        <v>57043064</v>
      </c>
      <c r="EF457" s="2">
        <v>130</v>
      </c>
      <c r="EG457" s="2" t="s">
        <v>178</v>
      </c>
      <c r="EH457" s="2">
        <v>0</v>
      </c>
      <c r="EI457" s="2" t="s">
        <v>3</v>
      </c>
      <c r="EJ457" s="2">
        <v>3</v>
      </c>
      <c r="EK457" s="2">
        <v>746</v>
      </c>
      <c r="EL457" s="2" t="s">
        <v>179</v>
      </c>
      <c r="EM457" s="2" t="s">
        <v>180</v>
      </c>
      <c r="EN457" s="2"/>
      <c r="EO457" s="2" t="s">
        <v>3</v>
      </c>
      <c r="EP457" s="2"/>
      <c r="EQ457" s="2">
        <v>2228224</v>
      </c>
      <c r="ER457" s="2">
        <v>0</v>
      </c>
      <c r="ES457" s="2">
        <v>625.07999999999993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>
        <v>0</v>
      </c>
      <c r="FR457" s="2">
        <f>P457</f>
        <v>2500.3200000000002</v>
      </c>
      <c r="FS457" s="2">
        <v>0</v>
      </c>
      <c r="FT457" s="2"/>
      <c r="FU457" s="2"/>
      <c r="FV457" s="2"/>
      <c r="FW457" s="2"/>
      <c r="FX457" s="2">
        <v>0</v>
      </c>
      <c r="FY457" s="2">
        <v>0</v>
      </c>
      <c r="FZ457" s="2"/>
      <c r="GA457" s="2" t="s">
        <v>272</v>
      </c>
      <c r="GB457" s="2"/>
      <c r="GC457" s="2"/>
      <c r="GD457" s="2">
        <v>1</v>
      </c>
      <c r="GE457" s="2"/>
      <c r="GF457" s="2">
        <v>1148918955</v>
      </c>
      <c r="GG457" s="2">
        <v>2</v>
      </c>
      <c r="GH457" s="2">
        <v>4</v>
      </c>
      <c r="GI457" s="2">
        <v>-2</v>
      </c>
      <c r="GJ457" s="2">
        <v>0</v>
      </c>
      <c r="GK457" s="2">
        <v>0</v>
      </c>
      <c r="GL457" s="2">
        <f>ROUND(IF(AND(BH457=3,BI457=3,FS457&lt;&gt;0),P457,0),2)</f>
        <v>0</v>
      </c>
      <c r="GM457" s="2">
        <f>ROUND(O457+X457+Y457,2)+GX457</f>
        <v>2500.3200000000002</v>
      </c>
      <c r="GN457" s="2">
        <f>IF(OR(BI457=0,BI457=1),GM457-GX457,0)</f>
        <v>0</v>
      </c>
      <c r="GO457" s="2">
        <f>IF(BI457=2,GM457-GX457,0)</f>
        <v>0</v>
      </c>
      <c r="GP457" s="2">
        <f>IF(BI457=4,GM457-GX457,0)</f>
        <v>0</v>
      </c>
      <c r="GQ457" s="2"/>
      <c r="GR457" s="2">
        <v>0</v>
      </c>
      <c r="GS457" s="2">
        <v>2</v>
      </c>
      <c r="GT457" s="2">
        <v>0</v>
      </c>
      <c r="GU457" s="2" t="s">
        <v>3</v>
      </c>
      <c r="GV457" s="2">
        <f>ROUND((GT457),6)</f>
        <v>0</v>
      </c>
      <c r="GW457" s="2">
        <v>1</v>
      </c>
      <c r="GX457" s="2">
        <f>ROUND(HC457*I457,2)</f>
        <v>0</v>
      </c>
      <c r="GY457" s="2"/>
      <c r="GZ457" s="2"/>
      <c r="HA457" s="2">
        <v>0</v>
      </c>
      <c r="HB457" s="2">
        <v>0</v>
      </c>
      <c r="HC457" s="2">
        <f>GV457*GW457</f>
        <v>0</v>
      </c>
      <c r="HD457" s="2"/>
      <c r="HE457" s="2" t="s">
        <v>40</v>
      </c>
      <c r="HF457" s="2" t="s">
        <v>182</v>
      </c>
      <c r="HG457" s="2"/>
      <c r="HH457" s="2"/>
      <c r="HI457" s="2"/>
      <c r="HJ457" s="2"/>
      <c r="HK457" s="2"/>
      <c r="HL457" s="2"/>
      <c r="HM457" s="2" t="s">
        <v>3</v>
      </c>
      <c r="HN457" s="2" t="s">
        <v>3</v>
      </c>
      <c r="HO457" s="2" t="s">
        <v>3</v>
      </c>
      <c r="HP457" s="2" t="s">
        <v>3</v>
      </c>
      <c r="HQ457" s="2" t="s">
        <v>3</v>
      </c>
      <c r="HR457" s="2"/>
      <c r="HS457" s="2">
        <v>0</v>
      </c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>
        <v>0</v>
      </c>
      <c r="IL457" s="2"/>
      <c r="IM457" s="2"/>
      <c r="IN457" s="2"/>
      <c r="IO457" s="2"/>
      <c r="IP457" s="2"/>
      <c r="IQ457" s="2"/>
      <c r="IR457" s="2"/>
      <c r="IS457" s="2"/>
      <c r="IT457" s="2"/>
      <c r="IU457" s="2"/>
    </row>
    <row r="458" spans="1:255" x14ac:dyDescent="0.25">
      <c r="A458" s="3">
        <v>17</v>
      </c>
      <c r="B458" s="3">
        <v>1</v>
      </c>
      <c r="E458" s="3" t="s">
        <v>362</v>
      </c>
      <c r="F458" s="3" t="s">
        <v>270</v>
      </c>
      <c r="G458" s="3" t="s">
        <v>271</v>
      </c>
      <c r="H458" s="3" t="s">
        <v>177</v>
      </c>
      <c r="I458" s="3">
        <v>4</v>
      </c>
      <c r="J458" s="3">
        <v>0</v>
      </c>
      <c r="K458" s="3">
        <v>4</v>
      </c>
      <c r="O458" s="3">
        <f>ROUND(CP458,2)</f>
        <v>18927.419999999998</v>
      </c>
      <c r="P458" s="3">
        <f>ROUND((ROUND((AC458*I458),2)*BC458),2)</f>
        <v>18927.419999999998</v>
      </c>
      <c r="Q458" s="3">
        <f>(ROUND((ROUND(((ET458)*AV458*I458),2)*BB458),2)+ROUND((ROUND(((AE458-(EU458))*AV458*I458),2)*BS458),2))</f>
        <v>0</v>
      </c>
      <c r="R458" s="3">
        <f>(ROUND((ROUND(((EU458)*AV458*I458),2)*BS458),2)+ROUND((ROUND(((AE458-(EU458))*AV458*I458),2)*BS458),2))</f>
        <v>0</v>
      </c>
      <c r="S458" s="3">
        <f>ROUND((ROUND((AF458*AV458*I458),2)*BA458),2)</f>
        <v>0</v>
      </c>
      <c r="T458" s="3">
        <f>ROUND(CU458*I458,2)</f>
        <v>0</v>
      </c>
      <c r="U458" s="3">
        <f>CV458*I458</f>
        <v>0</v>
      </c>
      <c r="V458" s="3">
        <f>CW458*I458</f>
        <v>0</v>
      </c>
      <c r="W458" s="3">
        <f>ROUND(CX458*I458,2)</f>
        <v>0</v>
      </c>
      <c r="X458" s="3">
        <f>(ROUND((((S458+ROUND((ROUND(((EU458)*AV458*I458),2)*BS458),2))*AT458)/100),2)+ROUND(((ROUND((ROUND(((AE458-(EU458))*AV458*I458),2)*BS458),2)*AT458)/100),2))</f>
        <v>0</v>
      </c>
      <c r="Y458" s="3">
        <f>(ROUND((((S458+ROUND((ROUND(((EU458)*AV458*I458),2)*BS458),2))*AU458)/100),2)+ROUND(((ROUND((ROUND(((AE458-(EU458))*AV458*I458),2)*BS458),2)*AU458)/100),2))</f>
        <v>0</v>
      </c>
      <c r="AA458" s="3">
        <v>57034454</v>
      </c>
      <c r="AB458" s="3">
        <f>ROUND((AC458+AD458+AF458),6)</f>
        <v>625.08000000000004</v>
      </c>
      <c r="AC458" s="3">
        <f>ROUND((ES458),6)</f>
        <v>625.08000000000004</v>
      </c>
      <c r="AD458" s="3">
        <f>ROUND((((ET458)-(EU458))+AE458),6)</f>
        <v>0</v>
      </c>
      <c r="AE458" s="3">
        <f t="shared" si="375"/>
        <v>0</v>
      </c>
      <c r="AF458" s="3">
        <f t="shared" si="375"/>
        <v>0</v>
      </c>
      <c r="AG458" s="3">
        <f>ROUND((AP458),6)</f>
        <v>0</v>
      </c>
      <c r="AH458" s="3">
        <f t="shared" si="376"/>
        <v>0</v>
      </c>
      <c r="AI458" s="3">
        <f t="shared" si="376"/>
        <v>0</v>
      </c>
      <c r="AJ458" s="3">
        <f>(AS458)</f>
        <v>0</v>
      </c>
      <c r="AK458" s="3">
        <v>625.07999999999993</v>
      </c>
      <c r="AL458" s="3">
        <v>625.07999999999993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1</v>
      </c>
      <c r="AW458" s="3">
        <v>1</v>
      </c>
      <c r="AZ458" s="3">
        <v>1</v>
      </c>
      <c r="BA458" s="3">
        <v>1</v>
      </c>
      <c r="BB458" s="3">
        <v>1</v>
      </c>
      <c r="BC458" s="3">
        <v>7.57</v>
      </c>
      <c r="BD458" s="3" t="s">
        <v>3</v>
      </c>
      <c r="BE458" s="3" t="s">
        <v>3</v>
      </c>
      <c r="BF458" s="3" t="s">
        <v>3</v>
      </c>
      <c r="BG458" s="3" t="s">
        <v>3</v>
      </c>
      <c r="BH458" s="3">
        <v>3</v>
      </c>
      <c r="BI458" s="3">
        <v>3</v>
      </c>
      <c r="BJ458" s="3" t="s">
        <v>3</v>
      </c>
      <c r="BM458" s="3">
        <v>746</v>
      </c>
      <c r="BN458" s="3">
        <v>0</v>
      </c>
      <c r="BO458" s="3" t="s">
        <v>3</v>
      </c>
      <c r="BP458" s="3">
        <v>0</v>
      </c>
      <c r="BQ458" s="3">
        <v>130</v>
      </c>
      <c r="BR458" s="3">
        <v>0</v>
      </c>
      <c r="BS458" s="3">
        <v>1</v>
      </c>
      <c r="BT458" s="3">
        <v>1</v>
      </c>
      <c r="BU458" s="3">
        <v>1</v>
      </c>
      <c r="BV458" s="3">
        <v>1</v>
      </c>
      <c r="BW458" s="3">
        <v>1</v>
      </c>
      <c r="BX458" s="3">
        <v>1</v>
      </c>
      <c r="BY458" s="3" t="s">
        <v>3</v>
      </c>
      <c r="BZ458" s="3">
        <v>0</v>
      </c>
      <c r="CA458" s="3">
        <v>0</v>
      </c>
      <c r="CB458" s="3" t="s">
        <v>3</v>
      </c>
      <c r="CE458" s="3">
        <v>1566</v>
      </c>
      <c r="CF458" s="3">
        <v>0</v>
      </c>
      <c r="CG458" s="3">
        <v>0</v>
      </c>
      <c r="CM458" s="3">
        <v>0</v>
      </c>
      <c r="CN458" s="3" t="s">
        <v>3</v>
      </c>
      <c r="CO458" s="3">
        <v>0</v>
      </c>
      <c r="CP458" s="3">
        <f>(P458+Q458+S458)</f>
        <v>18927.419999999998</v>
      </c>
      <c r="CQ458" s="3">
        <f>ROUND((ROUND((AC458*1),2)*BC458),2)</f>
        <v>4731.8599999999997</v>
      </c>
      <c r="CR458" s="3">
        <f>(ROUND((ROUND(((ET458)*AV458*1),2)*BB458),2)+ROUND((ROUND(((AE458-(EU458))*AV458*1),2)*BS458),2))</f>
        <v>0</v>
      </c>
      <c r="CS458" s="3">
        <f>(ROUND((ROUND(((EU458)*AV458*1),2)*BS458),2)+ROUND((ROUND(((AE458-(EU458))*AV458*1),2)*BS458),2))</f>
        <v>0</v>
      </c>
      <c r="CT458" s="3">
        <f>ROUND((ROUND((AF458*AV458*1),2)*BA458),2)</f>
        <v>0</v>
      </c>
      <c r="CU458" s="3">
        <f>AG458</f>
        <v>0</v>
      </c>
      <c r="CV458" s="3">
        <f>(AH458*AV458)</f>
        <v>0</v>
      </c>
      <c r="CW458" s="3">
        <f t="shared" si="377"/>
        <v>0</v>
      </c>
      <c r="CX458" s="3">
        <f t="shared" si="377"/>
        <v>0</v>
      </c>
      <c r="CY458" s="3">
        <f>(ROUND((((S458+ROUND((ROUND(((EU458)*AV458*1),2)*BS458),2))*AT458)/100),2)+ROUND(((ROUND((ROUND(((AE458-(EU458))*AV458*1),2)*BS458),2)*AT458)/100),2))</f>
        <v>0</v>
      </c>
      <c r="CZ458" s="3">
        <f>(ROUND((((S458+ROUND((ROUND(((EU458)*AV458*1),2)*BS458),2))*AU458)/100),2)+ROUND(((ROUND((ROUND(((AE458-(EU458))*AV458*1),2)*BS458),2)*AU458)/100),2))</f>
        <v>0</v>
      </c>
      <c r="DC458" s="3" t="s">
        <v>3</v>
      </c>
      <c r="DD458" s="3" t="s">
        <v>3</v>
      </c>
      <c r="DE458" s="3" t="s">
        <v>3</v>
      </c>
      <c r="DF458" s="3" t="s">
        <v>3</v>
      </c>
      <c r="DG458" s="3" t="s">
        <v>3</v>
      </c>
      <c r="DH458" s="3" t="s">
        <v>3</v>
      </c>
      <c r="DI458" s="3" t="s">
        <v>3</v>
      </c>
      <c r="DJ458" s="3" t="s">
        <v>3</v>
      </c>
      <c r="DK458" s="3" t="s">
        <v>3</v>
      </c>
      <c r="DL458" s="3" t="s">
        <v>3</v>
      </c>
      <c r="DM458" s="3" t="s">
        <v>3</v>
      </c>
      <c r="DN458" s="3">
        <v>0</v>
      </c>
      <c r="DO458" s="3">
        <v>0</v>
      </c>
      <c r="DP458" s="3">
        <v>1</v>
      </c>
      <c r="DQ458" s="3">
        <v>1</v>
      </c>
      <c r="DU458" s="3">
        <v>1010</v>
      </c>
      <c r="DV458" s="3" t="s">
        <v>177</v>
      </c>
      <c r="DW458" s="3" t="s">
        <v>177</v>
      </c>
      <c r="DX458" s="3">
        <v>1</v>
      </c>
      <c r="DZ458" s="3" t="s">
        <v>3</v>
      </c>
      <c r="EA458" s="3" t="s">
        <v>3</v>
      </c>
      <c r="EB458" s="3" t="s">
        <v>3</v>
      </c>
      <c r="EC458" s="3" t="s">
        <v>3</v>
      </c>
      <c r="EE458" s="3">
        <v>57043064</v>
      </c>
      <c r="EF458" s="3">
        <v>130</v>
      </c>
      <c r="EG458" s="3" t="s">
        <v>178</v>
      </c>
      <c r="EH458" s="3">
        <v>0</v>
      </c>
      <c r="EI458" s="3" t="s">
        <v>3</v>
      </c>
      <c r="EJ458" s="3">
        <v>3</v>
      </c>
      <c r="EK458" s="3">
        <v>746</v>
      </c>
      <c r="EL458" s="3" t="s">
        <v>179</v>
      </c>
      <c r="EM458" s="3" t="s">
        <v>180</v>
      </c>
      <c r="EO458" s="3" t="s">
        <v>3</v>
      </c>
      <c r="EQ458" s="3">
        <v>2228224</v>
      </c>
      <c r="ER458" s="3">
        <v>470.57</v>
      </c>
      <c r="ES458" s="3">
        <v>625.07999999999993</v>
      </c>
      <c r="ET458" s="3">
        <v>0</v>
      </c>
      <c r="EU458" s="3">
        <v>0</v>
      </c>
      <c r="EV458" s="3">
        <v>0</v>
      </c>
      <c r="EW458" s="3">
        <v>0</v>
      </c>
      <c r="EX458" s="3">
        <v>0</v>
      </c>
      <c r="EY458" s="3">
        <v>0</v>
      </c>
      <c r="EZ458" s="3">
        <v>5</v>
      </c>
      <c r="FC458" s="3">
        <v>1</v>
      </c>
      <c r="FD458" s="3">
        <v>18</v>
      </c>
      <c r="FF458" s="3">
        <v>5538.25</v>
      </c>
      <c r="FQ458" s="3">
        <v>0</v>
      </c>
      <c r="FR458" s="3">
        <f>P458</f>
        <v>18927.419999999998</v>
      </c>
      <c r="FS458" s="3">
        <v>0</v>
      </c>
      <c r="FX458" s="3">
        <v>0</v>
      </c>
      <c r="FY458" s="3">
        <v>0</v>
      </c>
      <c r="GA458" s="3" t="s">
        <v>272</v>
      </c>
      <c r="GD458" s="3">
        <v>1</v>
      </c>
      <c r="GF458" s="3">
        <v>1148918955</v>
      </c>
      <c r="GG458" s="3">
        <v>2</v>
      </c>
      <c r="GH458" s="3">
        <v>3</v>
      </c>
      <c r="GI458" s="3">
        <v>5</v>
      </c>
      <c r="GJ458" s="3">
        <v>0</v>
      </c>
      <c r="GK458" s="3">
        <v>0</v>
      </c>
      <c r="GL458" s="3">
        <f>ROUND(IF(AND(BH458=3,BI458=3,FS458&lt;&gt;0),P458,0),2)</f>
        <v>0</v>
      </c>
      <c r="GM458" s="3">
        <f>ROUND(O458+X458+Y458,2)+GX458</f>
        <v>18927.419999999998</v>
      </c>
      <c r="GN458" s="3">
        <f>IF(OR(BI458=0,BI458=1),GM458-GX458,0)</f>
        <v>0</v>
      </c>
      <c r="GO458" s="3">
        <f>IF(BI458=2,GM458-GX458,0)</f>
        <v>0</v>
      </c>
      <c r="GP458" s="3">
        <f>IF(BI458=4,GM458-GX458,0)</f>
        <v>0</v>
      </c>
      <c r="GR458" s="3">
        <v>1</v>
      </c>
      <c r="GS458" s="3">
        <v>1</v>
      </c>
      <c r="GT458" s="3">
        <v>0</v>
      </c>
      <c r="GU458" s="3" t="s">
        <v>3</v>
      </c>
      <c r="GV458" s="3">
        <f>ROUND((GT458),6)</f>
        <v>0</v>
      </c>
      <c r="GW458" s="3">
        <v>1</v>
      </c>
      <c r="GX458" s="3">
        <f>ROUND(HC458*I458,2)</f>
        <v>0</v>
      </c>
      <c r="HA458" s="3">
        <v>0</v>
      </c>
      <c r="HB458" s="3">
        <v>0</v>
      </c>
      <c r="HC458" s="3">
        <f>GV458*GW458</f>
        <v>0</v>
      </c>
      <c r="HE458" s="3" t="s">
        <v>40</v>
      </c>
      <c r="HF458" s="3" t="s">
        <v>182</v>
      </c>
      <c r="HM458" s="3" t="s">
        <v>3</v>
      </c>
      <c r="HN458" s="3" t="s">
        <v>3</v>
      </c>
      <c r="HO458" s="3" t="s">
        <v>3</v>
      </c>
      <c r="HP458" s="3" t="s">
        <v>3</v>
      </c>
      <c r="HQ458" s="3" t="s">
        <v>3</v>
      </c>
      <c r="HS458" s="3">
        <v>0</v>
      </c>
      <c r="IK458" s="3">
        <v>0</v>
      </c>
    </row>
    <row r="459" spans="1:255" x14ac:dyDescent="0.25">
      <c r="A459" s="2">
        <v>17</v>
      </c>
      <c r="B459" s="2">
        <v>1</v>
      </c>
      <c r="C459" s="2"/>
      <c r="D459" s="2"/>
      <c r="E459" s="2" t="s">
        <v>3</v>
      </c>
      <c r="F459" s="2" t="s">
        <v>363</v>
      </c>
      <c r="G459" s="2" t="s">
        <v>364</v>
      </c>
      <c r="H459" s="2" t="s">
        <v>177</v>
      </c>
      <c r="I459" s="2">
        <v>4</v>
      </c>
      <c r="J459" s="2">
        <v>0</v>
      </c>
      <c r="K459" s="2">
        <v>4</v>
      </c>
      <c r="L459" s="2"/>
      <c r="M459" s="2"/>
      <c r="N459" s="2"/>
      <c r="O459" s="2">
        <f>ROUND(CP459,2)</f>
        <v>1113.4000000000001</v>
      </c>
      <c r="P459" s="2">
        <f>ROUND((ROUND((AC459*I459),2)*BC459),2)</f>
        <v>1113.4000000000001</v>
      </c>
      <c r="Q459" s="2">
        <f>(ROUND((ROUND(((ET459)*AV459*I459),2)*BB459),2)+ROUND((ROUND(((AE459-(EU459))*AV459*I459),2)*BS459),2))</f>
        <v>0</v>
      </c>
      <c r="R459" s="2">
        <f>(ROUND((ROUND(((EU459)*AV459*I459),2)*BS459),2)+ROUND((ROUND(((AE459-(EU459))*AV459*I459),2)*BS459),2))</f>
        <v>0</v>
      </c>
      <c r="S459" s="2">
        <f>ROUND((ROUND((AF459*AV459*I459),2)*BA459),2)</f>
        <v>0</v>
      </c>
      <c r="T459" s="2">
        <f>ROUND(CU459*I459,2)</f>
        <v>0</v>
      </c>
      <c r="U459" s="2">
        <f>CV459*I459</f>
        <v>0</v>
      </c>
      <c r="V459" s="2">
        <f>CW459*I459</f>
        <v>0</v>
      </c>
      <c r="W459" s="2">
        <f>ROUND(CX459*I459,2)</f>
        <v>0</v>
      </c>
      <c r="X459" s="2">
        <f>(ROUND((((S459+ROUND((ROUND(((EU459)*AV459*I459),2)*BS459),2))*AT459)/100),2)+ROUND(((ROUND((ROUND(((AE459-(EU459))*AV459*I459),2)*BS459),2)*AT459)/100),2))</f>
        <v>0</v>
      </c>
      <c r="Y459" s="2">
        <f>(ROUND((((S459+ROUND((ROUND(((EU459)*AV459*I459),2)*BS459),2))*AU459)/100),2)+ROUND(((ROUND((ROUND(((AE459-(EU459))*AV459*I459),2)*BS459),2)*AU459)/100),2))</f>
        <v>0</v>
      </c>
      <c r="Z459" s="2"/>
      <c r="AA459" s="2">
        <v>-1</v>
      </c>
      <c r="AB459" s="2">
        <f>ROUND((AC459+AD459+AF459),6)</f>
        <v>278.35000000000002</v>
      </c>
      <c r="AC459" s="2">
        <f>ROUND((ES459),6)</f>
        <v>278.35000000000002</v>
      </c>
      <c r="AD459" s="2">
        <f>ROUND((((ET459)-(EU459))+AE459),6)</f>
        <v>0</v>
      </c>
      <c r="AE459" s="2">
        <f t="shared" si="375"/>
        <v>0</v>
      </c>
      <c r="AF459" s="2">
        <f t="shared" si="375"/>
        <v>0</v>
      </c>
      <c r="AG459" s="2">
        <f>ROUND((AP459),6)</f>
        <v>0</v>
      </c>
      <c r="AH459" s="2">
        <f t="shared" si="376"/>
        <v>0</v>
      </c>
      <c r="AI459" s="2">
        <f t="shared" si="376"/>
        <v>0</v>
      </c>
      <c r="AJ459" s="2">
        <f>(AS459)</f>
        <v>0</v>
      </c>
      <c r="AK459" s="2">
        <v>278.35000000000002</v>
      </c>
      <c r="AL459" s="2">
        <v>278.35000000000002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1</v>
      </c>
      <c r="AW459" s="2">
        <v>1</v>
      </c>
      <c r="AX459" s="2"/>
      <c r="AY459" s="2"/>
      <c r="AZ459" s="2">
        <v>1</v>
      </c>
      <c r="BA459" s="2">
        <v>1</v>
      </c>
      <c r="BB459" s="2">
        <v>1</v>
      </c>
      <c r="BC459" s="2">
        <v>1</v>
      </c>
      <c r="BD459" s="2" t="s">
        <v>3</v>
      </c>
      <c r="BE459" s="2" t="s">
        <v>3</v>
      </c>
      <c r="BF459" s="2" t="s">
        <v>3</v>
      </c>
      <c r="BG459" s="2" t="s">
        <v>3</v>
      </c>
      <c r="BH459" s="2">
        <v>3</v>
      </c>
      <c r="BI459" s="2">
        <v>3</v>
      </c>
      <c r="BJ459" s="2" t="s">
        <v>365</v>
      </c>
      <c r="BK459" s="2"/>
      <c r="BL459" s="2"/>
      <c r="BM459" s="2">
        <v>746</v>
      </c>
      <c r="BN459" s="2">
        <v>0</v>
      </c>
      <c r="BO459" s="2" t="s">
        <v>3</v>
      </c>
      <c r="BP459" s="2">
        <v>0</v>
      </c>
      <c r="BQ459" s="2">
        <v>130</v>
      </c>
      <c r="BR459" s="2">
        <v>0</v>
      </c>
      <c r="BS459" s="2">
        <v>1</v>
      </c>
      <c r="BT459" s="2">
        <v>1</v>
      </c>
      <c r="BU459" s="2">
        <v>1</v>
      </c>
      <c r="BV459" s="2">
        <v>1</v>
      </c>
      <c r="BW459" s="2">
        <v>1</v>
      </c>
      <c r="BX459" s="2">
        <v>1</v>
      </c>
      <c r="BY459" s="2" t="s">
        <v>3</v>
      </c>
      <c r="BZ459" s="2">
        <v>0</v>
      </c>
      <c r="CA459" s="2">
        <v>0</v>
      </c>
      <c r="CB459" s="2" t="s">
        <v>3</v>
      </c>
      <c r="CC459" s="2"/>
      <c r="CD459" s="2"/>
      <c r="CE459" s="2">
        <v>1566</v>
      </c>
      <c r="CF459" s="2">
        <v>0</v>
      </c>
      <c r="CG459" s="2">
        <v>0</v>
      </c>
      <c r="CH459" s="2"/>
      <c r="CI459" s="2"/>
      <c r="CJ459" s="2"/>
      <c r="CK459" s="2"/>
      <c r="CL459" s="2"/>
      <c r="CM459" s="2">
        <v>0</v>
      </c>
      <c r="CN459" s="2" t="s">
        <v>3</v>
      </c>
      <c r="CO459" s="2">
        <v>0</v>
      </c>
      <c r="CP459" s="2">
        <f>(P459+Q459+S459)</f>
        <v>1113.4000000000001</v>
      </c>
      <c r="CQ459" s="2">
        <f>ROUND((ROUND((AC459*1),2)*BC459),2)</f>
        <v>278.35000000000002</v>
      </c>
      <c r="CR459" s="2">
        <f>(ROUND((ROUND(((ET459)*AV459*1),2)*BB459),2)+ROUND((ROUND(((AE459-(EU459))*AV459*1),2)*BS459),2))</f>
        <v>0</v>
      </c>
      <c r="CS459" s="2">
        <f>(ROUND((ROUND(((EU459)*AV459*1),2)*BS459),2)+ROUND((ROUND(((AE459-(EU459))*AV459*1),2)*BS459),2))</f>
        <v>0</v>
      </c>
      <c r="CT459" s="2">
        <f>ROUND((ROUND((AF459*AV459*1),2)*BA459),2)</f>
        <v>0</v>
      </c>
      <c r="CU459" s="2">
        <f>AG459</f>
        <v>0</v>
      </c>
      <c r="CV459" s="2">
        <f>(AH459*AV459)</f>
        <v>0</v>
      </c>
      <c r="CW459" s="2">
        <f t="shared" si="377"/>
        <v>0</v>
      </c>
      <c r="CX459" s="2">
        <f t="shared" si="377"/>
        <v>0</v>
      </c>
      <c r="CY459" s="2">
        <f>(ROUND((((S459+ROUND((ROUND(((EU459)*AV459*1),2)*BS459),2))*AT459)/100),2)+ROUND(((ROUND((ROUND(((AE459-(EU459))*AV459*1),2)*BS459),2)*AT459)/100),2))</f>
        <v>0</v>
      </c>
      <c r="CZ459" s="2">
        <f>(ROUND((((S459+ROUND((ROUND(((EU459)*AV459*1),2)*BS459),2))*AU459)/100),2)+ROUND(((ROUND((ROUND(((AE459-(EU459))*AV459*1),2)*BS459),2)*AU459)/100),2))</f>
        <v>0</v>
      </c>
      <c r="DA459" s="2"/>
      <c r="DB459" s="2"/>
      <c r="DC459" s="2" t="s">
        <v>3</v>
      </c>
      <c r="DD459" s="2" t="s">
        <v>3</v>
      </c>
      <c r="DE459" s="2" t="s">
        <v>3</v>
      </c>
      <c r="DF459" s="2" t="s">
        <v>3</v>
      </c>
      <c r="DG459" s="2" t="s">
        <v>3</v>
      </c>
      <c r="DH459" s="2" t="s">
        <v>3</v>
      </c>
      <c r="DI459" s="2" t="s">
        <v>3</v>
      </c>
      <c r="DJ459" s="2" t="s">
        <v>3</v>
      </c>
      <c r="DK459" s="2" t="s">
        <v>3</v>
      </c>
      <c r="DL459" s="2" t="s">
        <v>3</v>
      </c>
      <c r="DM459" s="2" t="s">
        <v>3</v>
      </c>
      <c r="DN459" s="2">
        <v>0</v>
      </c>
      <c r="DO459" s="2">
        <v>0</v>
      </c>
      <c r="DP459" s="2">
        <v>1</v>
      </c>
      <c r="DQ459" s="2">
        <v>1</v>
      </c>
      <c r="DR459" s="2"/>
      <c r="DS459" s="2"/>
      <c r="DT459" s="2"/>
      <c r="DU459" s="2">
        <v>1010</v>
      </c>
      <c r="DV459" s="2" t="s">
        <v>177</v>
      </c>
      <c r="DW459" s="2" t="s">
        <v>177</v>
      </c>
      <c r="DX459" s="2">
        <v>1</v>
      </c>
      <c r="DY459" s="2"/>
      <c r="DZ459" s="2" t="s">
        <v>3</v>
      </c>
      <c r="EA459" s="2" t="s">
        <v>3</v>
      </c>
      <c r="EB459" s="2" t="s">
        <v>3</v>
      </c>
      <c r="EC459" s="2" t="s">
        <v>3</v>
      </c>
      <c r="ED459" s="2"/>
      <c r="EE459" s="2">
        <v>57043064</v>
      </c>
      <c r="EF459" s="2">
        <v>130</v>
      </c>
      <c r="EG459" s="2" t="s">
        <v>178</v>
      </c>
      <c r="EH459" s="2">
        <v>0</v>
      </c>
      <c r="EI459" s="2" t="s">
        <v>3</v>
      </c>
      <c r="EJ459" s="2">
        <v>3</v>
      </c>
      <c r="EK459" s="2">
        <v>746</v>
      </c>
      <c r="EL459" s="2" t="s">
        <v>179</v>
      </c>
      <c r="EM459" s="2" t="s">
        <v>180</v>
      </c>
      <c r="EN459" s="2"/>
      <c r="EO459" s="2" t="s">
        <v>3</v>
      </c>
      <c r="EP459" s="2"/>
      <c r="EQ459" s="2">
        <v>132096</v>
      </c>
      <c r="ER459" s="2">
        <v>278.35000000000002</v>
      </c>
      <c r="ES459" s="2">
        <v>278.35000000000002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>
        <v>0</v>
      </c>
      <c r="FR459" s="2">
        <f>P459</f>
        <v>1113.4000000000001</v>
      </c>
      <c r="FS459" s="2">
        <v>0</v>
      </c>
      <c r="FT459" s="2"/>
      <c r="FU459" s="2"/>
      <c r="FV459" s="2"/>
      <c r="FW459" s="2"/>
      <c r="FX459" s="2">
        <v>0</v>
      </c>
      <c r="FY459" s="2">
        <v>0</v>
      </c>
      <c r="FZ459" s="2"/>
      <c r="GA459" s="2" t="s">
        <v>3</v>
      </c>
      <c r="GB459" s="2"/>
      <c r="GC459" s="2"/>
      <c r="GD459" s="2">
        <v>1</v>
      </c>
      <c r="GE459" s="2"/>
      <c r="GF459" s="2">
        <v>1272847060</v>
      </c>
      <c r="GG459" s="2">
        <v>2</v>
      </c>
      <c r="GH459" s="2">
        <v>1</v>
      </c>
      <c r="GI459" s="2">
        <v>-2</v>
      </c>
      <c r="GJ459" s="2">
        <v>0</v>
      </c>
      <c r="GK459" s="2">
        <v>0</v>
      </c>
      <c r="GL459" s="2">
        <f>ROUND(IF(AND(BH459=3,BI459=3,FS459&lt;&gt;0),P459,0),2)</f>
        <v>0</v>
      </c>
      <c r="GM459" s="2">
        <f>ROUND(O459+X459+Y459,2)+GX459</f>
        <v>1113.4000000000001</v>
      </c>
      <c r="GN459" s="2">
        <f>IF(OR(BI459=0,BI459=1),GM459-GX459,0)</f>
        <v>0</v>
      </c>
      <c r="GO459" s="2">
        <f>IF(BI459=2,GM459-GX459,0)</f>
        <v>0</v>
      </c>
      <c r="GP459" s="2">
        <f>IF(BI459=4,GM459-GX459,0)</f>
        <v>0</v>
      </c>
      <c r="GQ459" s="2"/>
      <c r="GR459" s="2">
        <v>0</v>
      </c>
      <c r="GS459" s="2">
        <v>3</v>
      </c>
      <c r="GT459" s="2">
        <v>0</v>
      </c>
      <c r="GU459" s="2" t="s">
        <v>3</v>
      </c>
      <c r="GV459" s="2">
        <f>ROUND((GT459),6)</f>
        <v>0</v>
      </c>
      <c r="GW459" s="2">
        <v>1</v>
      </c>
      <c r="GX459" s="2">
        <f>ROUND(HC459*I459,2)</f>
        <v>0</v>
      </c>
      <c r="GY459" s="2"/>
      <c r="GZ459" s="2"/>
      <c r="HA459" s="2">
        <v>0</v>
      </c>
      <c r="HB459" s="2">
        <v>0</v>
      </c>
      <c r="HC459" s="2">
        <f>GV459*GW459</f>
        <v>0</v>
      </c>
      <c r="HD459" s="2"/>
      <c r="HE459" s="2" t="s">
        <v>3</v>
      </c>
      <c r="HF459" s="2" t="s">
        <v>3</v>
      </c>
      <c r="HG459" s="2"/>
      <c r="HH459" s="2"/>
      <c r="HI459" s="2"/>
      <c r="HJ459" s="2"/>
      <c r="HK459" s="2"/>
      <c r="HL459" s="2"/>
      <c r="HM459" s="2" t="s">
        <v>3</v>
      </c>
      <c r="HN459" s="2" t="s">
        <v>3</v>
      </c>
      <c r="HO459" s="2" t="s">
        <v>3</v>
      </c>
      <c r="HP459" s="2" t="s">
        <v>3</v>
      </c>
      <c r="HQ459" s="2" t="s">
        <v>3</v>
      </c>
      <c r="HR459" s="2"/>
      <c r="HS459" s="2">
        <v>0</v>
      </c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>
        <v>0</v>
      </c>
      <c r="IL459" s="2"/>
      <c r="IM459" s="2"/>
      <c r="IN459" s="2"/>
      <c r="IO459" s="2"/>
      <c r="IP459" s="2"/>
      <c r="IQ459" s="2"/>
      <c r="IR459" s="2"/>
      <c r="IS459" s="2"/>
      <c r="IT459" s="2"/>
      <c r="IU459" s="2"/>
    </row>
    <row r="460" spans="1:255" x14ac:dyDescent="0.25">
      <c r="A460" s="3">
        <v>17</v>
      </c>
      <c r="B460" s="3">
        <v>1</v>
      </c>
      <c r="E460" s="3" t="s">
        <v>3</v>
      </c>
      <c r="F460" s="3" t="s">
        <v>363</v>
      </c>
      <c r="G460" s="3" t="s">
        <v>364</v>
      </c>
      <c r="H460" s="3" t="s">
        <v>177</v>
      </c>
      <c r="I460" s="3">
        <v>4</v>
      </c>
      <c r="J460" s="3">
        <v>0</v>
      </c>
      <c r="K460" s="3">
        <v>4</v>
      </c>
      <c r="O460" s="3">
        <f>ROUND(CP460,2)</f>
        <v>7782.67</v>
      </c>
      <c r="P460" s="3">
        <f>ROUND((ROUND((AC460*I460),2)*BC460),2)</f>
        <v>7782.67</v>
      </c>
      <c r="Q460" s="3">
        <f>(ROUND((ROUND(((ET460)*AV460*I460),2)*BB460),2)+ROUND((ROUND(((AE460-(EU460))*AV460*I460),2)*BS460),2))</f>
        <v>0</v>
      </c>
      <c r="R460" s="3">
        <f>(ROUND((ROUND(((EU460)*AV460*I460),2)*BS460),2)+ROUND((ROUND(((AE460-(EU460))*AV460*I460),2)*BS460),2))</f>
        <v>0</v>
      </c>
      <c r="S460" s="3">
        <f>ROUND((ROUND((AF460*AV460*I460),2)*BA460),2)</f>
        <v>0</v>
      </c>
      <c r="T460" s="3">
        <f>ROUND(CU460*I460,2)</f>
        <v>0</v>
      </c>
      <c r="U460" s="3">
        <f>CV460*I460</f>
        <v>0</v>
      </c>
      <c r="V460" s="3">
        <f>CW460*I460</f>
        <v>0</v>
      </c>
      <c r="W460" s="3">
        <f>ROUND(CX460*I460,2)</f>
        <v>0</v>
      </c>
      <c r="X460" s="3">
        <f>(ROUND((((S460+ROUND((ROUND(((EU460)*AV460*I460),2)*BS460),2))*AT460)/100),2)+ROUND(((ROUND((ROUND(((AE460-(EU460))*AV460*I460),2)*BS460),2)*AT460)/100),2))</f>
        <v>0</v>
      </c>
      <c r="Y460" s="3">
        <f>(ROUND((((S460+ROUND((ROUND(((EU460)*AV460*I460),2)*BS460),2))*AU460)/100),2)+ROUND(((ROUND((ROUND(((AE460-(EU460))*AV460*I460),2)*BS460),2)*AU460)/100),2))</f>
        <v>0</v>
      </c>
      <c r="AA460" s="3">
        <v>-1</v>
      </c>
      <c r="AB460" s="3">
        <f>ROUND((AC460+AD460+AF460),6)</f>
        <v>278.35000000000002</v>
      </c>
      <c r="AC460" s="3">
        <f>ROUND((ES460),6)</f>
        <v>278.35000000000002</v>
      </c>
      <c r="AD460" s="3">
        <f>ROUND((((ET460)-(EU460))+AE460),6)</f>
        <v>0</v>
      </c>
      <c r="AE460" s="3">
        <f t="shared" si="375"/>
        <v>0</v>
      </c>
      <c r="AF460" s="3">
        <f t="shared" si="375"/>
        <v>0</v>
      </c>
      <c r="AG460" s="3">
        <f>ROUND((AP460),6)</f>
        <v>0</v>
      </c>
      <c r="AH460" s="3">
        <f t="shared" si="376"/>
        <v>0</v>
      </c>
      <c r="AI460" s="3">
        <f t="shared" si="376"/>
        <v>0</v>
      </c>
      <c r="AJ460" s="3">
        <f>(AS460)</f>
        <v>0</v>
      </c>
      <c r="AK460" s="3">
        <v>278.35000000000002</v>
      </c>
      <c r="AL460" s="3">
        <v>278.35000000000002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1</v>
      </c>
      <c r="AW460" s="3">
        <v>1</v>
      </c>
      <c r="AZ460" s="3">
        <v>1</v>
      </c>
      <c r="BA460" s="3">
        <v>1</v>
      </c>
      <c r="BB460" s="3">
        <v>1</v>
      </c>
      <c r="BC460" s="3">
        <v>6.99</v>
      </c>
      <c r="BD460" s="3" t="s">
        <v>3</v>
      </c>
      <c r="BE460" s="3" t="s">
        <v>3</v>
      </c>
      <c r="BF460" s="3" t="s">
        <v>3</v>
      </c>
      <c r="BG460" s="3" t="s">
        <v>3</v>
      </c>
      <c r="BH460" s="3">
        <v>3</v>
      </c>
      <c r="BI460" s="3">
        <v>3</v>
      </c>
      <c r="BJ460" s="3" t="s">
        <v>365</v>
      </c>
      <c r="BM460" s="3">
        <v>746</v>
      </c>
      <c r="BN460" s="3">
        <v>0</v>
      </c>
      <c r="BO460" s="3" t="s">
        <v>3</v>
      </c>
      <c r="BP460" s="3">
        <v>0</v>
      </c>
      <c r="BQ460" s="3">
        <v>130</v>
      </c>
      <c r="BR460" s="3">
        <v>0</v>
      </c>
      <c r="BS460" s="3">
        <v>1</v>
      </c>
      <c r="BT460" s="3">
        <v>1</v>
      </c>
      <c r="BU460" s="3">
        <v>1</v>
      </c>
      <c r="BV460" s="3">
        <v>1</v>
      </c>
      <c r="BW460" s="3">
        <v>1</v>
      </c>
      <c r="BX460" s="3">
        <v>1</v>
      </c>
      <c r="BY460" s="3" t="s">
        <v>3</v>
      </c>
      <c r="BZ460" s="3">
        <v>0</v>
      </c>
      <c r="CA460" s="3">
        <v>0</v>
      </c>
      <c r="CB460" s="3" t="s">
        <v>3</v>
      </c>
      <c r="CE460" s="3">
        <v>1566</v>
      </c>
      <c r="CF460" s="3">
        <v>0</v>
      </c>
      <c r="CG460" s="3">
        <v>0</v>
      </c>
      <c r="CM460" s="3">
        <v>0</v>
      </c>
      <c r="CN460" s="3" t="s">
        <v>3</v>
      </c>
      <c r="CO460" s="3">
        <v>0</v>
      </c>
      <c r="CP460" s="3">
        <f>(P460+Q460+S460)</f>
        <v>7782.67</v>
      </c>
      <c r="CQ460" s="3">
        <f>ROUND((ROUND((AC460*1),2)*BC460),2)</f>
        <v>1945.67</v>
      </c>
      <c r="CR460" s="3">
        <f>(ROUND((ROUND(((ET460)*AV460*1),2)*BB460),2)+ROUND((ROUND(((AE460-(EU460))*AV460*1),2)*BS460),2))</f>
        <v>0</v>
      </c>
      <c r="CS460" s="3">
        <f>(ROUND((ROUND(((EU460)*AV460*1),2)*BS460),2)+ROUND((ROUND(((AE460-(EU460))*AV460*1),2)*BS460),2))</f>
        <v>0</v>
      </c>
      <c r="CT460" s="3">
        <f>ROUND((ROUND((AF460*AV460*1),2)*BA460),2)</f>
        <v>0</v>
      </c>
      <c r="CU460" s="3">
        <f>AG460</f>
        <v>0</v>
      </c>
      <c r="CV460" s="3">
        <f>(AH460*AV460)</f>
        <v>0</v>
      </c>
      <c r="CW460" s="3">
        <f t="shared" si="377"/>
        <v>0</v>
      </c>
      <c r="CX460" s="3">
        <f t="shared" si="377"/>
        <v>0</v>
      </c>
      <c r="CY460" s="3">
        <f>(ROUND((((S460+ROUND((ROUND(((EU460)*AV460*1),2)*BS460),2))*AT460)/100),2)+ROUND(((ROUND((ROUND(((AE460-(EU460))*AV460*1),2)*BS460),2)*AT460)/100),2))</f>
        <v>0</v>
      </c>
      <c r="CZ460" s="3">
        <f>(ROUND((((S460+ROUND((ROUND(((EU460)*AV460*1),2)*BS460),2))*AU460)/100),2)+ROUND(((ROUND((ROUND(((AE460-(EU460))*AV460*1),2)*BS460),2)*AU460)/100),2))</f>
        <v>0</v>
      </c>
      <c r="DC460" s="3" t="s">
        <v>3</v>
      </c>
      <c r="DD460" s="3" t="s">
        <v>3</v>
      </c>
      <c r="DE460" s="3" t="s">
        <v>3</v>
      </c>
      <c r="DF460" s="3" t="s">
        <v>3</v>
      </c>
      <c r="DG460" s="3" t="s">
        <v>3</v>
      </c>
      <c r="DH460" s="3" t="s">
        <v>3</v>
      </c>
      <c r="DI460" s="3" t="s">
        <v>3</v>
      </c>
      <c r="DJ460" s="3" t="s">
        <v>3</v>
      </c>
      <c r="DK460" s="3" t="s">
        <v>3</v>
      </c>
      <c r="DL460" s="3" t="s">
        <v>3</v>
      </c>
      <c r="DM460" s="3" t="s">
        <v>3</v>
      </c>
      <c r="DN460" s="3">
        <v>0</v>
      </c>
      <c r="DO460" s="3">
        <v>0</v>
      </c>
      <c r="DP460" s="3">
        <v>1</v>
      </c>
      <c r="DQ460" s="3">
        <v>1</v>
      </c>
      <c r="DU460" s="3">
        <v>1010</v>
      </c>
      <c r="DV460" s="3" t="s">
        <v>177</v>
      </c>
      <c r="DW460" s="3" t="s">
        <v>177</v>
      </c>
      <c r="DX460" s="3">
        <v>1</v>
      </c>
      <c r="DZ460" s="3" t="s">
        <v>3</v>
      </c>
      <c r="EA460" s="3" t="s">
        <v>3</v>
      </c>
      <c r="EB460" s="3" t="s">
        <v>3</v>
      </c>
      <c r="EC460" s="3" t="s">
        <v>3</v>
      </c>
      <c r="EE460" s="3">
        <v>57043064</v>
      </c>
      <c r="EF460" s="3">
        <v>130</v>
      </c>
      <c r="EG460" s="3" t="s">
        <v>178</v>
      </c>
      <c r="EH460" s="3">
        <v>0</v>
      </c>
      <c r="EI460" s="3" t="s">
        <v>3</v>
      </c>
      <c r="EJ460" s="3">
        <v>3</v>
      </c>
      <c r="EK460" s="3">
        <v>746</v>
      </c>
      <c r="EL460" s="3" t="s">
        <v>179</v>
      </c>
      <c r="EM460" s="3" t="s">
        <v>180</v>
      </c>
      <c r="EO460" s="3" t="s">
        <v>3</v>
      </c>
      <c r="EQ460" s="3">
        <v>132096</v>
      </c>
      <c r="ER460" s="3">
        <v>278.35000000000002</v>
      </c>
      <c r="ES460" s="3">
        <v>278.35000000000002</v>
      </c>
      <c r="ET460" s="3">
        <v>0</v>
      </c>
      <c r="EU460" s="3">
        <v>0</v>
      </c>
      <c r="EV460" s="3">
        <v>0</v>
      </c>
      <c r="EW460" s="3">
        <v>0</v>
      </c>
      <c r="EX460" s="3">
        <v>0</v>
      </c>
      <c r="EY460" s="3">
        <v>0</v>
      </c>
      <c r="FQ460" s="3">
        <v>0</v>
      </c>
      <c r="FR460" s="3">
        <f>P460</f>
        <v>7782.67</v>
      </c>
      <c r="FS460" s="3">
        <v>0</v>
      </c>
      <c r="FX460" s="3">
        <v>0</v>
      </c>
      <c r="FY460" s="3">
        <v>0</v>
      </c>
      <c r="GA460" s="3" t="s">
        <v>3</v>
      </c>
      <c r="GD460" s="3">
        <v>1</v>
      </c>
      <c r="GF460" s="3">
        <v>1272847060</v>
      </c>
      <c r="GG460" s="3">
        <v>2</v>
      </c>
      <c r="GH460" s="3">
        <v>1</v>
      </c>
      <c r="GI460" s="3">
        <v>2</v>
      </c>
      <c r="GJ460" s="3">
        <v>0</v>
      </c>
      <c r="GK460" s="3">
        <v>0</v>
      </c>
      <c r="GL460" s="3">
        <f>ROUND(IF(AND(BH460=3,BI460=3,FS460&lt;&gt;0),P460,0),2)</f>
        <v>0</v>
      </c>
      <c r="GM460" s="3">
        <f>ROUND(O460+X460+Y460,2)+GX460</f>
        <v>7782.67</v>
      </c>
      <c r="GN460" s="3">
        <f>IF(OR(BI460=0,BI460=1),GM460-GX460,0)</f>
        <v>0</v>
      </c>
      <c r="GO460" s="3">
        <f>IF(BI460=2,GM460-GX460,0)</f>
        <v>0</v>
      </c>
      <c r="GP460" s="3">
        <f>IF(BI460=4,GM460-GX460,0)</f>
        <v>0</v>
      </c>
      <c r="GR460" s="3">
        <v>0</v>
      </c>
      <c r="GS460" s="3">
        <v>3</v>
      </c>
      <c r="GT460" s="3">
        <v>0</v>
      </c>
      <c r="GU460" s="3" t="s">
        <v>3</v>
      </c>
      <c r="GV460" s="3">
        <f>ROUND((GT460),6)</f>
        <v>0</v>
      </c>
      <c r="GW460" s="3">
        <v>1</v>
      </c>
      <c r="GX460" s="3">
        <f>ROUND(HC460*I460,2)</f>
        <v>0</v>
      </c>
      <c r="HA460" s="3">
        <v>0</v>
      </c>
      <c r="HB460" s="3">
        <v>0</v>
      </c>
      <c r="HC460" s="3">
        <f>GV460*GW460</f>
        <v>0</v>
      </c>
      <c r="HE460" s="3" t="s">
        <v>3</v>
      </c>
      <c r="HF460" s="3" t="s">
        <v>3</v>
      </c>
      <c r="HM460" s="3" t="s">
        <v>3</v>
      </c>
      <c r="HN460" s="3" t="s">
        <v>3</v>
      </c>
      <c r="HO460" s="3" t="s">
        <v>3</v>
      </c>
      <c r="HP460" s="3" t="s">
        <v>3</v>
      </c>
      <c r="HQ460" s="3" t="s">
        <v>3</v>
      </c>
      <c r="HS460" s="3">
        <v>0</v>
      </c>
      <c r="IK460" s="3">
        <v>0</v>
      </c>
    </row>
    <row r="462" spans="1:255" ht="13" x14ac:dyDescent="0.3">
      <c r="A462" s="11">
        <v>51</v>
      </c>
      <c r="B462" s="11">
        <f>B453</f>
        <v>1</v>
      </c>
      <c r="C462" s="11">
        <f>A453</f>
        <v>4</v>
      </c>
      <c r="D462" s="11">
        <f>ROW(A453)</f>
        <v>453</v>
      </c>
      <c r="E462" s="11"/>
      <c r="F462" s="11" t="str">
        <f>IF(F453&lt;&gt;"",F453,"")</f>
        <v>Новый раздел</v>
      </c>
      <c r="G462" s="11" t="str">
        <f>IF(G453&lt;&gt;"",G453,"")</f>
        <v>Материалы, поставляемые с оборудованием СПА.</v>
      </c>
      <c r="H462" s="11">
        <v>0</v>
      </c>
      <c r="I462" s="11"/>
      <c r="J462" s="11"/>
      <c r="K462" s="11"/>
      <c r="L462" s="11"/>
      <c r="M462" s="11"/>
      <c r="N462" s="11"/>
      <c r="O462" s="11">
        <f t="shared" ref="O462:T462" si="378">ROUND(AB462,2)</f>
        <v>2500.3200000000002</v>
      </c>
      <c r="P462" s="11">
        <f t="shared" si="378"/>
        <v>2500.3200000000002</v>
      </c>
      <c r="Q462" s="11">
        <f t="shared" si="378"/>
        <v>0</v>
      </c>
      <c r="R462" s="11">
        <f t="shared" si="378"/>
        <v>0</v>
      </c>
      <c r="S462" s="11">
        <f t="shared" si="378"/>
        <v>0</v>
      </c>
      <c r="T462" s="11">
        <f t="shared" si="378"/>
        <v>0</v>
      </c>
      <c r="U462" s="11">
        <f>AH462</f>
        <v>0</v>
      </c>
      <c r="V462" s="11">
        <f>AI462</f>
        <v>0</v>
      </c>
      <c r="W462" s="11">
        <f>ROUND(AJ462,2)</f>
        <v>0</v>
      </c>
      <c r="X462" s="11">
        <f>ROUND(AK462,2)</f>
        <v>0</v>
      </c>
      <c r="Y462" s="11">
        <f>ROUND(AL462,2)</f>
        <v>0</v>
      </c>
      <c r="Z462" s="11"/>
      <c r="AA462" s="11"/>
      <c r="AB462" s="11">
        <f>ROUND(SUMIF(AA457:AA460,"=57034452",O457:O460),2)</f>
        <v>2500.3200000000002</v>
      </c>
      <c r="AC462" s="11">
        <f>ROUND(SUMIF(AA457:AA460,"=57034452",P457:P460),2)</f>
        <v>2500.3200000000002</v>
      </c>
      <c r="AD462" s="11">
        <f>ROUND(SUMIF(AA457:AA460,"=57034452",Q457:Q460),2)</f>
        <v>0</v>
      </c>
      <c r="AE462" s="11">
        <f>ROUND(SUMIF(AA457:AA460,"=57034452",R457:R460),2)</f>
        <v>0</v>
      </c>
      <c r="AF462" s="11">
        <f>ROUND(SUMIF(AA457:AA460,"=57034452",S457:S460),2)</f>
        <v>0</v>
      </c>
      <c r="AG462" s="11">
        <f>ROUND(SUMIF(AA457:AA460,"=57034452",T457:T460),2)</f>
        <v>0</v>
      </c>
      <c r="AH462" s="11">
        <f>SUMIF(AA457:AA460,"=57034452",U457:U460)</f>
        <v>0</v>
      </c>
      <c r="AI462" s="11">
        <f>SUMIF(AA457:AA460,"=57034452",V457:V460)</f>
        <v>0</v>
      </c>
      <c r="AJ462" s="11">
        <f>ROUND(SUMIF(AA457:AA460,"=57034452",W457:W460),2)</f>
        <v>0</v>
      </c>
      <c r="AK462" s="11">
        <f>ROUND(SUMIF(AA457:AA460,"=57034452",X457:X460),2)</f>
        <v>0</v>
      </c>
      <c r="AL462" s="11">
        <f>ROUND(SUMIF(AA457:AA460,"=57034452",Y457:Y460),2)</f>
        <v>0</v>
      </c>
      <c r="AM462" s="11"/>
      <c r="AN462" s="11"/>
      <c r="AO462" s="11">
        <f t="shared" ref="AO462:BD462" si="379">ROUND(BX462,2)</f>
        <v>0</v>
      </c>
      <c r="AP462" s="11">
        <f t="shared" si="379"/>
        <v>2500.3200000000002</v>
      </c>
      <c r="AQ462" s="11">
        <f t="shared" si="379"/>
        <v>0</v>
      </c>
      <c r="AR462" s="11">
        <f t="shared" si="379"/>
        <v>2500.3200000000002</v>
      </c>
      <c r="AS462" s="11">
        <f t="shared" si="379"/>
        <v>0</v>
      </c>
      <c r="AT462" s="11">
        <f t="shared" si="379"/>
        <v>0</v>
      </c>
      <c r="AU462" s="11">
        <f t="shared" si="379"/>
        <v>0</v>
      </c>
      <c r="AV462" s="11">
        <f t="shared" si="379"/>
        <v>2500.3200000000002</v>
      </c>
      <c r="AW462" s="11">
        <f t="shared" si="379"/>
        <v>0</v>
      </c>
      <c r="AX462" s="11">
        <f t="shared" si="379"/>
        <v>0</v>
      </c>
      <c r="AY462" s="11">
        <f t="shared" si="379"/>
        <v>0</v>
      </c>
      <c r="AZ462" s="11">
        <f t="shared" si="379"/>
        <v>2500.3200000000002</v>
      </c>
      <c r="BA462" s="11">
        <f t="shared" si="379"/>
        <v>0</v>
      </c>
      <c r="BB462" s="11">
        <f t="shared" si="379"/>
        <v>0</v>
      </c>
      <c r="BC462" s="11">
        <f t="shared" si="379"/>
        <v>0</v>
      </c>
      <c r="BD462" s="11">
        <f t="shared" si="379"/>
        <v>0</v>
      </c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>
        <f>ROUND(SUMIF(AA457:AA460,"=57034452",FQ457:FQ460),2)</f>
        <v>0</v>
      </c>
      <c r="BY462" s="11">
        <f>ROUND(SUMIF(AA457:AA460,"=57034452",FR457:FR460),2)</f>
        <v>2500.3200000000002</v>
      </c>
      <c r="BZ462" s="11">
        <f>ROUND(SUMIF(AA457:AA460,"=57034452",GL457:GL460),2)</f>
        <v>0</v>
      </c>
      <c r="CA462" s="11">
        <f>ROUND(SUMIF(AA457:AA460,"=57034452",GM457:GM460),2)</f>
        <v>2500.3200000000002</v>
      </c>
      <c r="CB462" s="11">
        <f>ROUND(SUMIF(AA457:AA460,"=57034452",GN457:GN460),2)</f>
        <v>0</v>
      </c>
      <c r="CC462" s="11">
        <f>ROUND(SUMIF(AA457:AA460,"=57034452",GO457:GO460),2)</f>
        <v>0</v>
      </c>
      <c r="CD462" s="11">
        <f>ROUND(SUMIF(AA457:AA460,"=57034452",GP457:GP460),2)</f>
        <v>0</v>
      </c>
      <c r="CE462" s="11">
        <f>AC462-BX462</f>
        <v>2500.3200000000002</v>
      </c>
      <c r="CF462" s="11">
        <f>AC462-BY462</f>
        <v>0</v>
      </c>
      <c r="CG462" s="11">
        <f>BX462-BZ462</f>
        <v>0</v>
      </c>
      <c r="CH462" s="11">
        <f>AC462-BX462-BY462+BZ462</f>
        <v>0</v>
      </c>
      <c r="CI462" s="11">
        <f>BY462-BZ462</f>
        <v>2500.3200000000002</v>
      </c>
      <c r="CJ462" s="11">
        <f>ROUND(SUMIF(AA457:AA460,"=57034452",GX457:GX460),2)</f>
        <v>0</v>
      </c>
      <c r="CK462" s="11">
        <f>ROUND(SUMIF(AA457:AA460,"=57034452",GY457:GY460),2)</f>
        <v>0</v>
      </c>
      <c r="CL462" s="11">
        <f>ROUND(SUMIF(AA457:AA460,"=57034452",GZ457:GZ460),2)</f>
        <v>0</v>
      </c>
      <c r="CM462" s="11">
        <f>ROUND(SUMIF(AA457:AA460,"=57034452",HD457:HD460),2)</f>
        <v>0</v>
      </c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2">
        <f t="shared" ref="DG462:DL462" si="380">ROUND(DT462,2)</f>
        <v>18927.419999999998</v>
      </c>
      <c r="DH462" s="12">
        <f t="shared" si="380"/>
        <v>18927.419999999998</v>
      </c>
      <c r="DI462" s="12">
        <f t="shared" si="380"/>
        <v>0</v>
      </c>
      <c r="DJ462" s="12">
        <f t="shared" si="380"/>
        <v>0</v>
      </c>
      <c r="DK462" s="12">
        <f t="shared" si="380"/>
        <v>0</v>
      </c>
      <c r="DL462" s="12">
        <f t="shared" si="380"/>
        <v>0</v>
      </c>
      <c r="DM462" s="12">
        <f>DZ462</f>
        <v>0</v>
      </c>
      <c r="DN462" s="12">
        <f>EA462</f>
        <v>0</v>
      </c>
      <c r="DO462" s="12">
        <f>ROUND(EB462,2)</f>
        <v>0</v>
      </c>
      <c r="DP462" s="12">
        <f>ROUND(EC462,2)</f>
        <v>0</v>
      </c>
      <c r="DQ462" s="12">
        <f>ROUND(ED462,2)</f>
        <v>0</v>
      </c>
      <c r="DR462" s="12"/>
      <c r="DS462" s="12"/>
      <c r="DT462" s="12">
        <f>ROUND(SUMIF(AA457:AA460,"=57034454",O457:O460),2)</f>
        <v>18927.419999999998</v>
      </c>
      <c r="DU462" s="12">
        <f>ROUND(SUMIF(AA457:AA460,"=57034454",P457:P460),2)</f>
        <v>18927.419999999998</v>
      </c>
      <c r="DV462" s="12">
        <f>ROUND(SUMIF(AA457:AA460,"=57034454",Q457:Q460),2)</f>
        <v>0</v>
      </c>
      <c r="DW462" s="12">
        <f>ROUND(SUMIF(AA457:AA460,"=57034454",R457:R460),2)</f>
        <v>0</v>
      </c>
      <c r="DX462" s="12">
        <f>ROUND(SUMIF(AA457:AA460,"=57034454",S457:S460),2)</f>
        <v>0</v>
      </c>
      <c r="DY462" s="12">
        <f>ROUND(SUMIF(AA457:AA460,"=57034454",T457:T460),2)</f>
        <v>0</v>
      </c>
      <c r="DZ462" s="12">
        <f>SUMIF(AA457:AA460,"=57034454",U457:U460)</f>
        <v>0</v>
      </c>
      <c r="EA462" s="12">
        <f>SUMIF(AA457:AA460,"=57034454",V457:V460)</f>
        <v>0</v>
      </c>
      <c r="EB462" s="12">
        <f>ROUND(SUMIF(AA457:AA460,"=57034454",W457:W460),2)</f>
        <v>0</v>
      </c>
      <c r="EC462" s="12">
        <f>ROUND(SUMIF(AA457:AA460,"=57034454",X457:X460),2)</f>
        <v>0</v>
      </c>
      <c r="ED462" s="12">
        <f>ROUND(SUMIF(AA457:AA460,"=57034454",Y457:Y460),2)</f>
        <v>0</v>
      </c>
      <c r="EE462" s="12"/>
      <c r="EF462" s="12"/>
      <c r="EG462" s="12">
        <f t="shared" ref="EG462:EV462" si="381">ROUND(FP462,2)</f>
        <v>0</v>
      </c>
      <c r="EH462" s="12">
        <f t="shared" si="381"/>
        <v>18927.419999999998</v>
      </c>
      <c r="EI462" s="12">
        <f t="shared" si="381"/>
        <v>0</v>
      </c>
      <c r="EJ462" s="12">
        <f t="shared" si="381"/>
        <v>18927.419999999998</v>
      </c>
      <c r="EK462" s="12">
        <f t="shared" si="381"/>
        <v>0</v>
      </c>
      <c r="EL462" s="12">
        <f t="shared" si="381"/>
        <v>0</v>
      </c>
      <c r="EM462" s="12">
        <f t="shared" si="381"/>
        <v>0</v>
      </c>
      <c r="EN462" s="12">
        <f t="shared" si="381"/>
        <v>18927.419999999998</v>
      </c>
      <c r="EO462" s="12">
        <f t="shared" si="381"/>
        <v>0</v>
      </c>
      <c r="EP462" s="12">
        <f t="shared" si="381"/>
        <v>0</v>
      </c>
      <c r="EQ462" s="12">
        <f t="shared" si="381"/>
        <v>0</v>
      </c>
      <c r="ER462" s="12">
        <f t="shared" si="381"/>
        <v>18927.419999999998</v>
      </c>
      <c r="ES462" s="12">
        <f t="shared" si="381"/>
        <v>0</v>
      </c>
      <c r="ET462" s="12">
        <f t="shared" si="381"/>
        <v>0</v>
      </c>
      <c r="EU462" s="12">
        <f t="shared" si="381"/>
        <v>0</v>
      </c>
      <c r="EV462" s="12">
        <f t="shared" si="381"/>
        <v>0</v>
      </c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>
        <f>ROUND(SUMIF(AA457:AA460,"=57034454",FQ457:FQ460),2)</f>
        <v>0</v>
      </c>
      <c r="FQ462" s="12">
        <f>ROUND(SUMIF(AA457:AA460,"=57034454",FR457:FR460),2)</f>
        <v>18927.419999999998</v>
      </c>
      <c r="FR462" s="12">
        <f>ROUND(SUMIF(AA457:AA460,"=57034454",GL457:GL460),2)</f>
        <v>0</v>
      </c>
      <c r="FS462" s="12">
        <f>ROUND(SUMIF(AA457:AA460,"=57034454",GM457:GM460),2)</f>
        <v>18927.419999999998</v>
      </c>
      <c r="FT462" s="12">
        <f>ROUND(SUMIF(AA457:AA460,"=57034454",GN457:GN460),2)</f>
        <v>0</v>
      </c>
      <c r="FU462" s="12">
        <f>ROUND(SUMIF(AA457:AA460,"=57034454",GO457:GO460),2)</f>
        <v>0</v>
      </c>
      <c r="FV462" s="12">
        <f>ROUND(SUMIF(AA457:AA460,"=57034454",GP457:GP460),2)</f>
        <v>0</v>
      </c>
      <c r="FW462" s="12">
        <f>DU462-FP462</f>
        <v>18927.419999999998</v>
      </c>
      <c r="FX462" s="12">
        <f>DU462-FQ462</f>
        <v>0</v>
      </c>
      <c r="FY462" s="12">
        <f>FP462-FR462</f>
        <v>0</v>
      </c>
      <c r="FZ462" s="12">
        <f>DU462-FP462-FQ462+FR462</f>
        <v>0</v>
      </c>
      <c r="GA462" s="12">
        <f>FQ462-FR462</f>
        <v>18927.419999999998</v>
      </c>
      <c r="GB462" s="12">
        <f>ROUND(SUMIF(AA457:AA460,"=57034454",GX457:GX460),2)</f>
        <v>0</v>
      </c>
      <c r="GC462" s="12">
        <f>ROUND(SUMIF(AA457:AA460,"=57034454",GY457:GY460),2)</f>
        <v>0</v>
      </c>
      <c r="GD462" s="12">
        <f>ROUND(SUMIF(AA457:AA460,"=57034454",GZ457:GZ460),2)</f>
        <v>0</v>
      </c>
      <c r="GE462" s="12">
        <f>ROUND(SUMIF(AA457:AA460,"=57034454",HD457:HD460),2)</f>
        <v>0</v>
      </c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  <c r="GS462" s="12"/>
      <c r="GT462" s="12"/>
      <c r="GU462" s="12"/>
      <c r="GV462" s="12"/>
      <c r="GW462" s="12"/>
      <c r="GX462" s="12">
        <v>0</v>
      </c>
    </row>
    <row r="464" spans="1:255" ht="13" x14ac:dyDescent="0.3">
      <c r="A464" s="13">
        <v>50</v>
      </c>
      <c r="B464" s="13">
        <v>0</v>
      </c>
      <c r="C464" s="13">
        <v>0</v>
      </c>
      <c r="D464" s="13">
        <v>1</v>
      </c>
      <c r="E464" s="13">
        <v>201</v>
      </c>
      <c r="F464" s="13">
        <f>ROUND(Source!O462,O464)</f>
        <v>2500.3200000000002</v>
      </c>
      <c r="G464" s="13" t="s">
        <v>117</v>
      </c>
      <c r="H464" s="13" t="s">
        <v>118</v>
      </c>
      <c r="I464" s="13"/>
      <c r="J464" s="13"/>
      <c r="K464" s="13">
        <v>201</v>
      </c>
      <c r="L464" s="13">
        <v>1</v>
      </c>
      <c r="M464" s="13">
        <v>3</v>
      </c>
      <c r="N464" s="13" t="s">
        <v>3</v>
      </c>
      <c r="O464" s="13">
        <v>2</v>
      </c>
      <c r="P464" s="13">
        <f>ROUND(Source!DG462,O464)</f>
        <v>18927.419999999998</v>
      </c>
      <c r="Q464" s="13"/>
      <c r="R464" s="13"/>
      <c r="S464" s="13"/>
      <c r="T464" s="13"/>
      <c r="U464" s="13"/>
      <c r="V464" s="13"/>
      <c r="W464" s="13">
        <v>2500.3200000000002</v>
      </c>
      <c r="X464" s="13">
        <v>1</v>
      </c>
      <c r="Y464" s="13">
        <v>2500.3200000000002</v>
      </c>
      <c r="Z464" s="13">
        <v>18927.419999999998</v>
      </c>
      <c r="AA464" s="13">
        <v>1</v>
      </c>
      <c r="AB464" s="13">
        <v>18927.419999999998</v>
      </c>
    </row>
    <row r="465" spans="1:28" ht="13" x14ac:dyDescent="0.3">
      <c r="A465" s="13">
        <v>50</v>
      </c>
      <c r="B465" s="13">
        <v>0</v>
      </c>
      <c r="C465" s="13">
        <v>0</v>
      </c>
      <c r="D465" s="13">
        <v>1</v>
      </c>
      <c r="E465" s="13">
        <v>202</v>
      </c>
      <c r="F465" s="13">
        <f>ROUND(Source!P462,O465)</f>
        <v>2500.3200000000002</v>
      </c>
      <c r="G465" s="13" t="s">
        <v>119</v>
      </c>
      <c r="H465" s="13" t="s">
        <v>120</v>
      </c>
      <c r="I465" s="13"/>
      <c r="J465" s="13"/>
      <c r="K465" s="13">
        <v>202</v>
      </c>
      <c r="L465" s="13">
        <v>2</v>
      </c>
      <c r="M465" s="13">
        <v>3</v>
      </c>
      <c r="N465" s="13" t="s">
        <v>3</v>
      </c>
      <c r="O465" s="13">
        <v>2</v>
      </c>
      <c r="P465" s="13">
        <f>ROUND(Source!DH462,O465)</f>
        <v>18927.419999999998</v>
      </c>
      <c r="Q465" s="13"/>
      <c r="R465" s="13"/>
      <c r="S465" s="13"/>
      <c r="T465" s="13"/>
      <c r="U465" s="13"/>
      <c r="V465" s="13"/>
      <c r="W465" s="13">
        <v>2500.3200000000002</v>
      </c>
      <c r="X465" s="13">
        <v>1</v>
      </c>
      <c r="Y465" s="13">
        <v>2500.3200000000002</v>
      </c>
      <c r="Z465" s="13">
        <v>18927.419999999998</v>
      </c>
      <c r="AA465" s="13">
        <v>1</v>
      </c>
      <c r="AB465" s="13">
        <v>18927.419999999998</v>
      </c>
    </row>
    <row r="466" spans="1:28" ht="13" x14ac:dyDescent="0.3">
      <c r="A466" s="13">
        <v>50</v>
      </c>
      <c r="B466" s="13">
        <v>0</v>
      </c>
      <c r="C466" s="13">
        <v>0</v>
      </c>
      <c r="D466" s="13">
        <v>1</v>
      </c>
      <c r="E466" s="13">
        <v>222</v>
      </c>
      <c r="F466" s="13">
        <f>ROUND(Source!AO462,O466)</f>
        <v>0</v>
      </c>
      <c r="G466" s="13" t="s">
        <v>121</v>
      </c>
      <c r="H466" s="13" t="s">
        <v>122</v>
      </c>
      <c r="I466" s="13"/>
      <c r="J466" s="13"/>
      <c r="K466" s="13">
        <v>222</v>
      </c>
      <c r="L466" s="13">
        <v>3</v>
      </c>
      <c r="M466" s="13">
        <v>3</v>
      </c>
      <c r="N466" s="13" t="s">
        <v>3</v>
      </c>
      <c r="O466" s="13">
        <v>2</v>
      </c>
      <c r="P466" s="13">
        <f>ROUND(Source!EG462,O466)</f>
        <v>0</v>
      </c>
      <c r="Q466" s="13"/>
      <c r="R466" s="13"/>
      <c r="S466" s="13"/>
      <c r="T466" s="13"/>
      <c r="U466" s="13"/>
      <c r="V466" s="13"/>
      <c r="W466" s="13">
        <v>0</v>
      </c>
      <c r="X466" s="13">
        <v>1</v>
      </c>
      <c r="Y466" s="13">
        <v>0</v>
      </c>
      <c r="Z466" s="13">
        <v>0</v>
      </c>
      <c r="AA466" s="13">
        <v>1</v>
      </c>
      <c r="AB466" s="13">
        <v>0</v>
      </c>
    </row>
    <row r="467" spans="1:28" ht="13" x14ac:dyDescent="0.3">
      <c r="A467" s="13">
        <v>50</v>
      </c>
      <c r="B467" s="13">
        <v>0</v>
      </c>
      <c r="C467" s="13">
        <v>0</v>
      </c>
      <c r="D467" s="13">
        <v>1</v>
      </c>
      <c r="E467" s="13">
        <v>225</v>
      </c>
      <c r="F467" s="13">
        <f>ROUND(Source!AV462,O467)</f>
        <v>2500.3200000000002</v>
      </c>
      <c r="G467" s="13" t="s">
        <v>123</v>
      </c>
      <c r="H467" s="13" t="s">
        <v>124</v>
      </c>
      <c r="I467" s="13"/>
      <c r="J467" s="13"/>
      <c r="K467" s="13">
        <v>225</v>
      </c>
      <c r="L467" s="13">
        <v>4</v>
      </c>
      <c r="M467" s="13">
        <v>3</v>
      </c>
      <c r="N467" s="13" t="s">
        <v>3</v>
      </c>
      <c r="O467" s="13">
        <v>2</v>
      </c>
      <c r="P467" s="13">
        <f>ROUND(Source!EN462,O467)</f>
        <v>18927.419999999998</v>
      </c>
      <c r="Q467" s="13"/>
      <c r="R467" s="13"/>
      <c r="S467" s="13"/>
      <c r="T467" s="13"/>
      <c r="U467" s="13"/>
      <c r="V467" s="13"/>
      <c r="W467" s="13">
        <v>2500.3200000000002</v>
      </c>
      <c r="X467" s="13">
        <v>1</v>
      </c>
      <c r="Y467" s="13">
        <v>2500.3200000000002</v>
      </c>
      <c r="Z467" s="13">
        <v>18927.419999999998</v>
      </c>
      <c r="AA467" s="13">
        <v>1</v>
      </c>
      <c r="AB467" s="13">
        <v>18927.419999999998</v>
      </c>
    </row>
    <row r="468" spans="1:28" ht="13" x14ac:dyDescent="0.3">
      <c r="A468" s="13">
        <v>50</v>
      </c>
      <c r="B468" s="13">
        <v>0</v>
      </c>
      <c r="C468" s="13">
        <v>0</v>
      </c>
      <c r="D468" s="13">
        <v>1</v>
      </c>
      <c r="E468" s="13">
        <v>226</v>
      </c>
      <c r="F468" s="13">
        <f>ROUND(Source!AW462,O468)</f>
        <v>0</v>
      </c>
      <c r="G468" s="13" t="s">
        <v>125</v>
      </c>
      <c r="H468" s="13" t="s">
        <v>126</v>
      </c>
      <c r="I468" s="13"/>
      <c r="J468" s="13"/>
      <c r="K468" s="13">
        <v>226</v>
      </c>
      <c r="L468" s="13">
        <v>5</v>
      </c>
      <c r="M468" s="13">
        <v>3</v>
      </c>
      <c r="N468" s="13" t="s">
        <v>3</v>
      </c>
      <c r="O468" s="13">
        <v>2</v>
      </c>
      <c r="P468" s="13">
        <f>ROUND(Source!EO462,O468)</f>
        <v>0</v>
      </c>
      <c r="Q468" s="13"/>
      <c r="R468" s="13"/>
      <c r="S468" s="13"/>
      <c r="T468" s="13"/>
      <c r="U468" s="13"/>
      <c r="V468" s="13"/>
      <c r="W468" s="13">
        <v>0</v>
      </c>
      <c r="X468" s="13">
        <v>1</v>
      </c>
      <c r="Y468" s="13">
        <v>0</v>
      </c>
      <c r="Z468" s="13">
        <v>0</v>
      </c>
      <c r="AA468" s="13">
        <v>1</v>
      </c>
      <c r="AB468" s="13">
        <v>0</v>
      </c>
    </row>
    <row r="469" spans="1:28" ht="13" x14ac:dyDescent="0.3">
      <c r="A469" s="13">
        <v>50</v>
      </c>
      <c r="B469" s="13">
        <v>0</v>
      </c>
      <c r="C469" s="13">
        <v>0</v>
      </c>
      <c r="D469" s="13">
        <v>1</v>
      </c>
      <c r="E469" s="13">
        <v>227</v>
      </c>
      <c r="F469" s="13">
        <f>ROUND(Source!AX462,O469)</f>
        <v>0</v>
      </c>
      <c r="G469" s="13" t="s">
        <v>127</v>
      </c>
      <c r="H469" s="13" t="s">
        <v>128</v>
      </c>
      <c r="I469" s="13"/>
      <c r="J469" s="13"/>
      <c r="K469" s="13">
        <v>227</v>
      </c>
      <c r="L469" s="13">
        <v>6</v>
      </c>
      <c r="M469" s="13">
        <v>3</v>
      </c>
      <c r="N469" s="13" t="s">
        <v>3</v>
      </c>
      <c r="O469" s="13">
        <v>2</v>
      </c>
      <c r="P469" s="13">
        <f>ROUND(Source!EP462,O469)</f>
        <v>0</v>
      </c>
      <c r="Q469" s="13"/>
      <c r="R469" s="13"/>
      <c r="S469" s="13"/>
      <c r="T469" s="13"/>
      <c r="U469" s="13"/>
      <c r="V469" s="13"/>
      <c r="W469" s="13">
        <v>0</v>
      </c>
      <c r="X469" s="13">
        <v>1</v>
      </c>
      <c r="Y469" s="13">
        <v>0</v>
      </c>
      <c r="Z469" s="13">
        <v>0</v>
      </c>
      <c r="AA469" s="13">
        <v>1</v>
      </c>
      <c r="AB469" s="13">
        <v>0</v>
      </c>
    </row>
    <row r="470" spans="1:28" ht="13" x14ac:dyDescent="0.3">
      <c r="A470" s="13">
        <v>50</v>
      </c>
      <c r="B470" s="13">
        <v>0</v>
      </c>
      <c r="C470" s="13">
        <v>0</v>
      </c>
      <c r="D470" s="13">
        <v>1</v>
      </c>
      <c r="E470" s="13">
        <v>228</v>
      </c>
      <c r="F470" s="13">
        <f>ROUND(Source!AY462,O470)</f>
        <v>0</v>
      </c>
      <c r="G470" s="13" t="s">
        <v>129</v>
      </c>
      <c r="H470" s="13" t="s">
        <v>130</v>
      </c>
      <c r="I470" s="13"/>
      <c r="J470" s="13"/>
      <c r="K470" s="13">
        <v>228</v>
      </c>
      <c r="L470" s="13">
        <v>7</v>
      </c>
      <c r="M470" s="13">
        <v>3</v>
      </c>
      <c r="N470" s="13" t="s">
        <v>3</v>
      </c>
      <c r="O470" s="13">
        <v>2</v>
      </c>
      <c r="P470" s="13">
        <f>ROUND(Source!EQ462,O470)</f>
        <v>0</v>
      </c>
      <c r="Q470" s="13"/>
      <c r="R470" s="13"/>
      <c r="S470" s="13"/>
      <c r="T470" s="13"/>
      <c r="U470" s="13"/>
      <c r="V470" s="13"/>
      <c r="W470" s="13">
        <v>0</v>
      </c>
      <c r="X470" s="13">
        <v>1</v>
      </c>
      <c r="Y470" s="13">
        <v>0</v>
      </c>
      <c r="Z470" s="13">
        <v>0</v>
      </c>
      <c r="AA470" s="13">
        <v>1</v>
      </c>
      <c r="AB470" s="13">
        <v>0</v>
      </c>
    </row>
    <row r="471" spans="1:28" ht="13" x14ac:dyDescent="0.3">
      <c r="A471" s="13">
        <v>50</v>
      </c>
      <c r="B471" s="13">
        <v>0</v>
      </c>
      <c r="C471" s="13">
        <v>0</v>
      </c>
      <c r="D471" s="13">
        <v>1</v>
      </c>
      <c r="E471" s="13">
        <v>216</v>
      </c>
      <c r="F471" s="13">
        <f>ROUND(Source!AP462,O471)</f>
        <v>2500.3200000000002</v>
      </c>
      <c r="G471" s="13" t="s">
        <v>131</v>
      </c>
      <c r="H471" s="13" t="s">
        <v>132</v>
      </c>
      <c r="I471" s="13"/>
      <c r="J471" s="13"/>
      <c r="K471" s="13">
        <v>216</v>
      </c>
      <c r="L471" s="13">
        <v>8</v>
      </c>
      <c r="M471" s="13">
        <v>3</v>
      </c>
      <c r="N471" s="13" t="s">
        <v>3</v>
      </c>
      <c r="O471" s="13">
        <v>2</v>
      </c>
      <c r="P471" s="13">
        <f>ROUND(Source!EH462,O471)</f>
        <v>18927.419999999998</v>
      </c>
      <c r="Q471" s="13"/>
      <c r="R471" s="13"/>
      <c r="S471" s="13"/>
      <c r="T471" s="13"/>
      <c r="U471" s="13"/>
      <c r="V471" s="13"/>
      <c r="W471" s="13">
        <v>2500.3200000000002</v>
      </c>
      <c r="X471" s="13">
        <v>1</v>
      </c>
      <c r="Y471" s="13">
        <v>2500.3200000000002</v>
      </c>
      <c r="Z471" s="13">
        <v>18927.419999999998</v>
      </c>
      <c r="AA471" s="13">
        <v>1</v>
      </c>
      <c r="AB471" s="13">
        <v>18927.419999999998</v>
      </c>
    </row>
    <row r="472" spans="1:28" ht="13" x14ac:dyDescent="0.3">
      <c r="A472" s="13">
        <v>50</v>
      </c>
      <c r="B472" s="13">
        <v>0</v>
      </c>
      <c r="C472" s="13">
        <v>0</v>
      </c>
      <c r="D472" s="13">
        <v>1</v>
      </c>
      <c r="E472" s="13">
        <v>223</v>
      </c>
      <c r="F472" s="13">
        <f>ROUND(Source!AQ462,O472)</f>
        <v>0</v>
      </c>
      <c r="G472" s="13" t="s">
        <v>133</v>
      </c>
      <c r="H472" s="13" t="s">
        <v>134</v>
      </c>
      <c r="I472" s="13"/>
      <c r="J472" s="13"/>
      <c r="K472" s="13">
        <v>223</v>
      </c>
      <c r="L472" s="13">
        <v>9</v>
      </c>
      <c r="M472" s="13">
        <v>3</v>
      </c>
      <c r="N472" s="13" t="s">
        <v>3</v>
      </c>
      <c r="O472" s="13">
        <v>2</v>
      </c>
      <c r="P472" s="13">
        <f>ROUND(Source!EI462,O472)</f>
        <v>0</v>
      </c>
      <c r="Q472" s="13"/>
      <c r="R472" s="13"/>
      <c r="S472" s="13"/>
      <c r="T472" s="13"/>
      <c r="U472" s="13"/>
      <c r="V472" s="13"/>
      <c r="W472" s="13">
        <v>0</v>
      </c>
      <c r="X472" s="13">
        <v>1</v>
      </c>
      <c r="Y472" s="13">
        <v>0</v>
      </c>
      <c r="Z472" s="13">
        <v>0</v>
      </c>
      <c r="AA472" s="13">
        <v>1</v>
      </c>
      <c r="AB472" s="13">
        <v>0</v>
      </c>
    </row>
    <row r="473" spans="1:28" ht="13" x14ac:dyDescent="0.3">
      <c r="A473" s="13">
        <v>50</v>
      </c>
      <c r="B473" s="13">
        <v>0</v>
      </c>
      <c r="C473" s="13">
        <v>0</v>
      </c>
      <c r="D473" s="13">
        <v>1</v>
      </c>
      <c r="E473" s="13">
        <v>229</v>
      </c>
      <c r="F473" s="13">
        <f>ROUND(Source!AZ462,O473)</f>
        <v>2500.3200000000002</v>
      </c>
      <c r="G473" s="13" t="s">
        <v>135</v>
      </c>
      <c r="H473" s="13" t="s">
        <v>136</v>
      </c>
      <c r="I473" s="13"/>
      <c r="J473" s="13"/>
      <c r="K473" s="13">
        <v>229</v>
      </c>
      <c r="L473" s="13">
        <v>10</v>
      </c>
      <c r="M473" s="13">
        <v>3</v>
      </c>
      <c r="N473" s="13" t="s">
        <v>3</v>
      </c>
      <c r="O473" s="13">
        <v>2</v>
      </c>
      <c r="P473" s="13">
        <f>ROUND(Source!ER462,O473)</f>
        <v>18927.419999999998</v>
      </c>
      <c r="Q473" s="13"/>
      <c r="R473" s="13"/>
      <c r="S473" s="13"/>
      <c r="T473" s="13"/>
      <c r="U473" s="13"/>
      <c r="V473" s="13"/>
      <c r="W473" s="13">
        <v>2500.3200000000002</v>
      </c>
      <c r="X473" s="13">
        <v>1</v>
      </c>
      <c r="Y473" s="13">
        <v>2500.3200000000002</v>
      </c>
      <c r="Z473" s="13">
        <v>18927.419999999998</v>
      </c>
      <c r="AA473" s="13">
        <v>1</v>
      </c>
      <c r="AB473" s="13">
        <v>18927.419999999998</v>
      </c>
    </row>
    <row r="474" spans="1:28" ht="13" x14ac:dyDescent="0.3">
      <c r="A474" s="13">
        <v>50</v>
      </c>
      <c r="B474" s="13">
        <v>0</v>
      </c>
      <c r="C474" s="13">
        <v>0</v>
      </c>
      <c r="D474" s="13">
        <v>1</v>
      </c>
      <c r="E474" s="13">
        <v>203</v>
      </c>
      <c r="F474" s="13">
        <f>ROUND(Source!Q462,O474)</f>
        <v>0</v>
      </c>
      <c r="G474" s="13" t="s">
        <v>137</v>
      </c>
      <c r="H474" s="13" t="s">
        <v>138</v>
      </c>
      <c r="I474" s="13"/>
      <c r="J474" s="13"/>
      <c r="K474" s="13">
        <v>203</v>
      </c>
      <c r="L474" s="13">
        <v>11</v>
      </c>
      <c r="M474" s="13">
        <v>3</v>
      </c>
      <c r="N474" s="13" t="s">
        <v>3</v>
      </c>
      <c r="O474" s="13">
        <v>2</v>
      </c>
      <c r="P474" s="13">
        <f>ROUND(Source!DI462,O474)</f>
        <v>0</v>
      </c>
      <c r="Q474" s="13"/>
      <c r="R474" s="13"/>
      <c r="S474" s="13"/>
      <c r="T474" s="13"/>
      <c r="U474" s="13"/>
      <c r="V474" s="13"/>
      <c r="W474" s="13">
        <v>0</v>
      </c>
      <c r="X474" s="13">
        <v>1</v>
      </c>
      <c r="Y474" s="13">
        <v>0</v>
      </c>
      <c r="Z474" s="13">
        <v>0</v>
      </c>
      <c r="AA474" s="13">
        <v>1</v>
      </c>
      <c r="AB474" s="13">
        <v>0</v>
      </c>
    </row>
    <row r="475" spans="1:28" ht="13" x14ac:dyDescent="0.3">
      <c r="A475" s="13">
        <v>50</v>
      </c>
      <c r="B475" s="13">
        <v>0</v>
      </c>
      <c r="C475" s="13">
        <v>0</v>
      </c>
      <c r="D475" s="13">
        <v>1</v>
      </c>
      <c r="E475" s="13">
        <v>231</v>
      </c>
      <c r="F475" s="13">
        <f>ROUND(Source!BB462,O475)</f>
        <v>0</v>
      </c>
      <c r="G475" s="13" t="s">
        <v>139</v>
      </c>
      <c r="H475" s="13" t="s">
        <v>140</v>
      </c>
      <c r="I475" s="13"/>
      <c r="J475" s="13"/>
      <c r="K475" s="13">
        <v>231</v>
      </c>
      <c r="L475" s="13">
        <v>12</v>
      </c>
      <c r="M475" s="13">
        <v>3</v>
      </c>
      <c r="N475" s="13" t="s">
        <v>3</v>
      </c>
      <c r="O475" s="13">
        <v>2</v>
      </c>
      <c r="P475" s="13">
        <f>ROUND(Source!ET462,O475)</f>
        <v>0</v>
      </c>
      <c r="Q475" s="13"/>
      <c r="R475" s="13"/>
      <c r="S475" s="13"/>
      <c r="T475" s="13"/>
      <c r="U475" s="13"/>
      <c r="V475" s="13"/>
      <c r="W475" s="13">
        <v>0</v>
      </c>
      <c r="X475" s="13">
        <v>1</v>
      </c>
      <c r="Y475" s="13">
        <v>0</v>
      </c>
      <c r="Z475" s="13">
        <v>0</v>
      </c>
      <c r="AA475" s="13">
        <v>1</v>
      </c>
      <c r="AB475" s="13">
        <v>0</v>
      </c>
    </row>
    <row r="476" spans="1:28" ht="13" x14ac:dyDescent="0.3">
      <c r="A476" s="13">
        <v>50</v>
      </c>
      <c r="B476" s="13">
        <v>0</v>
      </c>
      <c r="C476" s="13">
        <v>0</v>
      </c>
      <c r="D476" s="13">
        <v>1</v>
      </c>
      <c r="E476" s="13">
        <v>204</v>
      </c>
      <c r="F476" s="13">
        <f>ROUND(Source!R462,O476)</f>
        <v>0</v>
      </c>
      <c r="G476" s="13" t="s">
        <v>141</v>
      </c>
      <c r="H476" s="13" t="s">
        <v>142</v>
      </c>
      <c r="I476" s="13"/>
      <c r="J476" s="13"/>
      <c r="K476" s="13">
        <v>204</v>
      </c>
      <c r="L476" s="13">
        <v>13</v>
      </c>
      <c r="M476" s="13">
        <v>3</v>
      </c>
      <c r="N476" s="13" t="s">
        <v>3</v>
      </c>
      <c r="O476" s="13">
        <v>2</v>
      </c>
      <c r="P476" s="13">
        <f>ROUND(Source!DJ462,O476)</f>
        <v>0</v>
      </c>
      <c r="Q476" s="13"/>
      <c r="R476" s="13"/>
      <c r="S476" s="13"/>
      <c r="T476" s="13"/>
      <c r="U476" s="13"/>
      <c r="V476" s="13"/>
      <c r="W476" s="13">
        <v>0</v>
      </c>
      <c r="X476" s="13">
        <v>1</v>
      </c>
      <c r="Y476" s="13">
        <v>0</v>
      </c>
      <c r="Z476" s="13">
        <v>0</v>
      </c>
      <c r="AA476" s="13">
        <v>1</v>
      </c>
      <c r="AB476" s="13">
        <v>0</v>
      </c>
    </row>
    <row r="477" spans="1:28" ht="13" x14ac:dyDescent="0.3">
      <c r="A477" s="13">
        <v>50</v>
      </c>
      <c r="B477" s="13">
        <v>0</v>
      </c>
      <c r="C477" s="13">
        <v>0</v>
      </c>
      <c r="D477" s="13">
        <v>1</v>
      </c>
      <c r="E477" s="13">
        <v>205</v>
      </c>
      <c r="F477" s="13">
        <f>ROUND(Source!S462,O477)</f>
        <v>0</v>
      </c>
      <c r="G477" s="13" t="s">
        <v>143</v>
      </c>
      <c r="H477" s="13" t="s">
        <v>144</v>
      </c>
      <c r="I477" s="13"/>
      <c r="J477" s="13"/>
      <c r="K477" s="13">
        <v>205</v>
      </c>
      <c r="L477" s="13">
        <v>14</v>
      </c>
      <c r="M477" s="13">
        <v>3</v>
      </c>
      <c r="N477" s="13" t="s">
        <v>3</v>
      </c>
      <c r="O477" s="13">
        <v>2</v>
      </c>
      <c r="P477" s="13">
        <f>ROUND(Source!DK462,O477)</f>
        <v>0</v>
      </c>
      <c r="Q477" s="13"/>
      <c r="R477" s="13"/>
      <c r="S477" s="13"/>
      <c r="T477" s="13"/>
      <c r="U477" s="13"/>
      <c r="V477" s="13"/>
      <c r="W477" s="13">
        <v>0</v>
      </c>
      <c r="X477" s="13">
        <v>1</v>
      </c>
      <c r="Y477" s="13">
        <v>0</v>
      </c>
      <c r="Z477" s="13">
        <v>0</v>
      </c>
      <c r="AA477" s="13">
        <v>1</v>
      </c>
      <c r="AB477" s="13">
        <v>0</v>
      </c>
    </row>
    <row r="478" spans="1:28" ht="13" x14ac:dyDescent="0.3">
      <c r="A478" s="13">
        <v>50</v>
      </c>
      <c r="B478" s="13">
        <v>0</v>
      </c>
      <c r="C478" s="13">
        <v>0</v>
      </c>
      <c r="D478" s="13">
        <v>1</v>
      </c>
      <c r="E478" s="13">
        <v>232</v>
      </c>
      <c r="F478" s="13">
        <f>ROUND(Source!BC462,O478)</f>
        <v>0</v>
      </c>
      <c r="G478" s="13" t="s">
        <v>145</v>
      </c>
      <c r="H478" s="13" t="s">
        <v>146</v>
      </c>
      <c r="I478" s="13"/>
      <c r="J478" s="13"/>
      <c r="K478" s="13">
        <v>232</v>
      </c>
      <c r="L478" s="13">
        <v>15</v>
      </c>
      <c r="M478" s="13">
        <v>3</v>
      </c>
      <c r="N478" s="13" t="s">
        <v>3</v>
      </c>
      <c r="O478" s="13">
        <v>2</v>
      </c>
      <c r="P478" s="13">
        <f>ROUND(Source!EU462,O478)</f>
        <v>0</v>
      </c>
      <c r="Q478" s="13"/>
      <c r="R478" s="13"/>
      <c r="S478" s="13"/>
      <c r="T478" s="13"/>
      <c r="U478" s="13"/>
      <c r="V478" s="13"/>
      <c r="W478" s="13">
        <v>0</v>
      </c>
      <c r="X478" s="13">
        <v>1</v>
      </c>
      <c r="Y478" s="13">
        <v>0</v>
      </c>
      <c r="Z478" s="13">
        <v>0</v>
      </c>
      <c r="AA478" s="13">
        <v>1</v>
      </c>
      <c r="AB478" s="13">
        <v>0</v>
      </c>
    </row>
    <row r="479" spans="1:28" ht="13" x14ac:dyDescent="0.3">
      <c r="A479" s="13">
        <v>50</v>
      </c>
      <c r="B479" s="13">
        <v>0</v>
      </c>
      <c r="C479" s="13">
        <v>0</v>
      </c>
      <c r="D479" s="13">
        <v>1</v>
      </c>
      <c r="E479" s="13">
        <v>214</v>
      </c>
      <c r="F479" s="13">
        <f>ROUND(Source!AS462,O479)</f>
        <v>0</v>
      </c>
      <c r="G479" s="13" t="s">
        <v>147</v>
      </c>
      <c r="H479" s="13" t="s">
        <v>148</v>
      </c>
      <c r="I479" s="13"/>
      <c r="J479" s="13"/>
      <c r="K479" s="13">
        <v>214</v>
      </c>
      <c r="L479" s="13">
        <v>16</v>
      </c>
      <c r="M479" s="13">
        <v>3</v>
      </c>
      <c r="N479" s="13" t="s">
        <v>3</v>
      </c>
      <c r="O479" s="13">
        <v>2</v>
      </c>
      <c r="P479" s="13">
        <f>ROUND(Source!EK462,O479)</f>
        <v>0</v>
      </c>
      <c r="Q479" s="13"/>
      <c r="R479" s="13"/>
      <c r="S479" s="13"/>
      <c r="T479" s="13"/>
      <c r="U479" s="13"/>
      <c r="V479" s="13"/>
      <c r="W479" s="13">
        <v>0</v>
      </c>
      <c r="X479" s="13">
        <v>1</v>
      </c>
      <c r="Y479" s="13">
        <v>0</v>
      </c>
      <c r="Z479" s="13">
        <v>0</v>
      </c>
      <c r="AA479" s="13">
        <v>1</v>
      </c>
      <c r="AB479" s="13">
        <v>0</v>
      </c>
    </row>
    <row r="480" spans="1:28" ht="13" x14ac:dyDescent="0.3">
      <c r="A480" s="13">
        <v>50</v>
      </c>
      <c r="B480" s="13">
        <v>0</v>
      </c>
      <c r="C480" s="13">
        <v>0</v>
      </c>
      <c r="D480" s="13">
        <v>1</v>
      </c>
      <c r="E480" s="13">
        <v>215</v>
      </c>
      <c r="F480" s="13">
        <f>ROUND(Source!AT462,O480)</f>
        <v>0</v>
      </c>
      <c r="G480" s="13" t="s">
        <v>149</v>
      </c>
      <c r="H480" s="13" t="s">
        <v>150</v>
      </c>
      <c r="I480" s="13"/>
      <c r="J480" s="13"/>
      <c r="K480" s="13">
        <v>215</v>
      </c>
      <c r="L480" s="13">
        <v>17</v>
      </c>
      <c r="M480" s="13">
        <v>3</v>
      </c>
      <c r="N480" s="13" t="s">
        <v>3</v>
      </c>
      <c r="O480" s="13">
        <v>2</v>
      </c>
      <c r="P480" s="13">
        <f>ROUND(Source!EL462,O480)</f>
        <v>0</v>
      </c>
      <c r="Q480" s="13"/>
      <c r="R480" s="13"/>
      <c r="S480" s="13"/>
      <c r="T480" s="13"/>
      <c r="U480" s="13"/>
      <c r="V480" s="13"/>
      <c r="W480" s="13">
        <v>0</v>
      </c>
      <c r="X480" s="13">
        <v>1</v>
      </c>
      <c r="Y480" s="13">
        <v>0</v>
      </c>
      <c r="Z480" s="13">
        <v>0</v>
      </c>
      <c r="AA480" s="13">
        <v>1</v>
      </c>
      <c r="AB480" s="13">
        <v>0</v>
      </c>
    </row>
    <row r="481" spans="1:255" ht="13" x14ac:dyDescent="0.3">
      <c r="A481" s="13">
        <v>50</v>
      </c>
      <c r="B481" s="13">
        <v>0</v>
      </c>
      <c r="C481" s="13">
        <v>0</v>
      </c>
      <c r="D481" s="13">
        <v>1</v>
      </c>
      <c r="E481" s="13">
        <v>217</v>
      </c>
      <c r="F481" s="13">
        <f>ROUND(Source!AU462,O481)</f>
        <v>0</v>
      </c>
      <c r="G481" s="13" t="s">
        <v>151</v>
      </c>
      <c r="H481" s="13" t="s">
        <v>152</v>
      </c>
      <c r="I481" s="13"/>
      <c r="J481" s="13"/>
      <c r="K481" s="13">
        <v>217</v>
      </c>
      <c r="L481" s="13">
        <v>18</v>
      </c>
      <c r="M481" s="13">
        <v>3</v>
      </c>
      <c r="N481" s="13" t="s">
        <v>3</v>
      </c>
      <c r="O481" s="13">
        <v>2</v>
      </c>
      <c r="P481" s="13">
        <f>ROUND(Source!EM462,O481)</f>
        <v>0</v>
      </c>
      <c r="Q481" s="13"/>
      <c r="R481" s="13"/>
      <c r="S481" s="13"/>
      <c r="T481" s="13"/>
      <c r="U481" s="13"/>
      <c r="V481" s="13"/>
      <c r="W481" s="13">
        <v>0</v>
      </c>
      <c r="X481" s="13">
        <v>1</v>
      </c>
      <c r="Y481" s="13">
        <v>0</v>
      </c>
      <c r="Z481" s="13">
        <v>0</v>
      </c>
      <c r="AA481" s="13">
        <v>1</v>
      </c>
      <c r="AB481" s="13">
        <v>0</v>
      </c>
    </row>
    <row r="482" spans="1:255" ht="13" x14ac:dyDescent="0.3">
      <c r="A482" s="13">
        <v>50</v>
      </c>
      <c r="B482" s="13">
        <v>0</v>
      </c>
      <c r="C482" s="13">
        <v>0</v>
      </c>
      <c r="D482" s="13">
        <v>1</v>
      </c>
      <c r="E482" s="13">
        <v>230</v>
      </c>
      <c r="F482" s="13">
        <f>ROUND(Source!BA462,O482)</f>
        <v>0</v>
      </c>
      <c r="G482" s="13" t="s">
        <v>153</v>
      </c>
      <c r="H482" s="13" t="s">
        <v>154</v>
      </c>
      <c r="I482" s="13"/>
      <c r="J482" s="13"/>
      <c r="K482" s="13">
        <v>230</v>
      </c>
      <c r="L482" s="13">
        <v>19</v>
      </c>
      <c r="M482" s="13">
        <v>3</v>
      </c>
      <c r="N482" s="13" t="s">
        <v>3</v>
      </c>
      <c r="O482" s="13">
        <v>2</v>
      </c>
      <c r="P482" s="13">
        <f>ROUND(Source!ES462,O482)</f>
        <v>0</v>
      </c>
      <c r="Q482" s="13"/>
      <c r="R482" s="13"/>
      <c r="S482" s="13"/>
      <c r="T482" s="13"/>
      <c r="U482" s="13"/>
      <c r="V482" s="13"/>
      <c r="W482" s="13">
        <v>0</v>
      </c>
      <c r="X482" s="13">
        <v>1</v>
      </c>
      <c r="Y482" s="13">
        <v>0</v>
      </c>
      <c r="Z482" s="13">
        <v>0</v>
      </c>
      <c r="AA482" s="13">
        <v>1</v>
      </c>
      <c r="AB482" s="13">
        <v>0</v>
      </c>
    </row>
    <row r="483" spans="1:255" ht="13" x14ac:dyDescent="0.3">
      <c r="A483" s="13">
        <v>50</v>
      </c>
      <c r="B483" s="13">
        <v>0</v>
      </c>
      <c r="C483" s="13">
        <v>0</v>
      </c>
      <c r="D483" s="13">
        <v>1</v>
      </c>
      <c r="E483" s="13">
        <v>206</v>
      </c>
      <c r="F483" s="13">
        <f>ROUND(Source!T462,O483)</f>
        <v>0</v>
      </c>
      <c r="G483" s="13" t="s">
        <v>155</v>
      </c>
      <c r="H483" s="13" t="s">
        <v>156</v>
      </c>
      <c r="I483" s="13"/>
      <c r="J483" s="13"/>
      <c r="K483" s="13">
        <v>206</v>
      </c>
      <c r="L483" s="13">
        <v>20</v>
      </c>
      <c r="M483" s="13">
        <v>3</v>
      </c>
      <c r="N483" s="13" t="s">
        <v>3</v>
      </c>
      <c r="O483" s="13">
        <v>2</v>
      </c>
      <c r="P483" s="13">
        <f>ROUND(Source!DL462,O483)</f>
        <v>0</v>
      </c>
      <c r="Q483" s="13"/>
      <c r="R483" s="13"/>
      <c r="S483" s="13"/>
      <c r="T483" s="13"/>
      <c r="U483" s="13"/>
      <c r="V483" s="13"/>
      <c r="W483" s="13">
        <v>0</v>
      </c>
      <c r="X483" s="13">
        <v>1</v>
      </c>
      <c r="Y483" s="13">
        <v>0</v>
      </c>
      <c r="Z483" s="13">
        <v>0</v>
      </c>
      <c r="AA483" s="13">
        <v>1</v>
      </c>
      <c r="AB483" s="13">
        <v>0</v>
      </c>
    </row>
    <row r="484" spans="1:255" ht="13" x14ac:dyDescent="0.3">
      <c r="A484" s="13">
        <v>50</v>
      </c>
      <c r="B484" s="13">
        <v>0</v>
      </c>
      <c r="C484" s="13">
        <v>0</v>
      </c>
      <c r="D484" s="13">
        <v>1</v>
      </c>
      <c r="E484" s="13">
        <v>207</v>
      </c>
      <c r="F484" s="13">
        <f>Source!U462</f>
        <v>0</v>
      </c>
      <c r="G484" s="13" t="s">
        <v>157</v>
      </c>
      <c r="H484" s="13" t="s">
        <v>158</v>
      </c>
      <c r="I484" s="13"/>
      <c r="J484" s="13"/>
      <c r="K484" s="13">
        <v>207</v>
      </c>
      <c r="L484" s="13">
        <v>21</v>
      </c>
      <c r="M484" s="13">
        <v>3</v>
      </c>
      <c r="N484" s="13" t="s">
        <v>3</v>
      </c>
      <c r="O484" s="13">
        <v>-1</v>
      </c>
      <c r="P484" s="13">
        <f>Source!DM462</f>
        <v>0</v>
      </c>
      <c r="Q484" s="13"/>
      <c r="R484" s="13"/>
      <c r="S484" s="13"/>
      <c r="T484" s="13"/>
      <c r="U484" s="13"/>
      <c r="V484" s="13"/>
      <c r="W484" s="13">
        <v>0</v>
      </c>
      <c r="X484" s="13">
        <v>1</v>
      </c>
      <c r="Y484" s="13">
        <v>0</v>
      </c>
      <c r="Z484" s="13">
        <v>0</v>
      </c>
      <c r="AA484" s="13">
        <v>1</v>
      </c>
      <c r="AB484" s="13">
        <v>0</v>
      </c>
    </row>
    <row r="485" spans="1:255" ht="13" x14ac:dyDescent="0.3">
      <c r="A485" s="13">
        <v>50</v>
      </c>
      <c r="B485" s="13">
        <v>0</v>
      </c>
      <c r="C485" s="13">
        <v>0</v>
      </c>
      <c r="D485" s="13">
        <v>1</v>
      </c>
      <c r="E485" s="13">
        <v>208</v>
      </c>
      <c r="F485" s="13">
        <f>Source!V462</f>
        <v>0</v>
      </c>
      <c r="G485" s="13" t="s">
        <v>159</v>
      </c>
      <c r="H485" s="13" t="s">
        <v>160</v>
      </c>
      <c r="I485" s="13"/>
      <c r="J485" s="13"/>
      <c r="K485" s="13">
        <v>208</v>
      </c>
      <c r="L485" s="13">
        <v>22</v>
      </c>
      <c r="M485" s="13">
        <v>3</v>
      </c>
      <c r="N485" s="13" t="s">
        <v>3</v>
      </c>
      <c r="O485" s="13">
        <v>-1</v>
      </c>
      <c r="P485" s="13">
        <f>Source!DN462</f>
        <v>0</v>
      </c>
      <c r="Q485" s="13"/>
      <c r="R485" s="13"/>
      <c r="S485" s="13"/>
      <c r="T485" s="13"/>
      <c r="U485" s="13"/>
      <c r="V485" s="13"/>
      <c r="W485" s="13">
        <v>0</v>
      </c>
      <c r="X485" s="13">
        <v>1</v>
      </c>
      <c r="Y485" s="13">
        <v>0</v>
      </c>
      <c r="Z485" s="13">
        <v>0</v>
      </c>
      <c r="AA485" s="13">
        <v>1</v>
      </c>
      <c r="AB485" s="13">
        <v>0</v>
      </c>
    </row>
    <row r="486" spans="1:255" ht="13" x14ac:dyDescent="0.3">
      <c r="A486" s="13">
        <v>50</v>
      </c>
      <c r="B486" s="13">
        <v>0</v>
      </c>
      <c r="C486" s="13">
        <v>0</v>
      </c>
      <c r="D486" s="13">
        <v>1</v>
      </c>
      <c r="E486" s="13">
        <v>209</v>
      </c>
      <c r="F486" s="13">
        <f>ROUND(Source!W462,O486)</f>
        <v>0</v>
      </c>
      <c r="G486" s="13" t="s">
        <v>161</v>
      </c>
      <c r="H486" s="13" t="s">
        <v>162</v>
      </c>
      <c r="I486" s="13"/>
      <c r="J486" s="13"/>
      <c r="K486" s="13">
        <v>209</v>
      </c>
      <c r="L486" s="13">
        <v>23</v>
      </c>
      <c r="M486" s="13">
        <v>3</v>
      </c>
      <c r="N486" s="13" t="s">
        <v>3</v>
      </c>
      <c r="O486" s="13">
        <v>2</v>
      </c>
      <c r="P486" s="13">
        <f>ROUND(Source!DO462,O486)</f>
        <v>0</v>
      </c>
      <c r="Q486" s="13"/>
      <c r="R486" s="13"/>
      <c r="S486" s="13"/>
      <c r="T486" s="13"/>
      <c r="U486" s="13"/>
      <c r="V486" s="13"/>
      <c r="W486" s="13">
        <v>0</v>
      </c>
      <c r="X486" s="13">
        <v>1</v>
      </c>
      <c r="Y486" s="13">
        <v>0</v>
      </c>
      <c r="Z486" s="13">
        <v>0</v>
      </c>
      <c r="AA486" s="13">
        <v>1</v>
      </c>
      <c r="AB486" s="13">
        <v>0</v>
      </c>
    </row>
    <row r="487" spans="1:255" ht="13" x14ac:dyDescent="0.3">
      <c r="A487" s="13">
        <v>50</v>
      </c>
      <c r="B487" s="13">
        <v>0</v>
      </c>
      <c r="C487" s="13">
        <v>0</v>
      </c>
      <c r="D487" s="13">
        <v>1</v>
      </c>
      <c r="E487" s="13">
        <v>233</v>
      </c>
      <c r="F487" s="13">
        <f>ROUND(Source!BD462,O487)</f>
        <v>0</v>
      </c>
      <c r="G487" s="13" t="s">
        <v>163</v>
      </c>
      <c r="H487" s="13" t="s">
        <v>164</v>
      </c>
      <c r="I487" s="13"/>
      <c r="J487" s="13"/>
      <c r="K487" s="13">
        <v>233</v>
      </c>
      <c r="L487" s="13">
        <v>24</v>
      </c>
      <c r="M487" s="13">
        <v>3</v>
      </c>
      <c r="N487" s="13" t="s">
        <v>3</v>
      </c>
      <c r="O487" s="13">
        <v>2</v>
      </c>
      <c r="P487" s="13">
        <f>ROUND(Source!EV462,O487)</f>
        <v>0</v>
      </c>
      <c r="Q487" s="13"/>
      <c r="R487" s="13"/>
      <c r="S487" s="13"/>
      <c r="T487" s="13"/>
      <c r="U487" s="13"/>
      <c r="V487" s="13"/>
      <c r="W487" s="13">
        <v>0</v>
      </c>
      <c r="X487" s="13">
        <v>1</v>
      </c>
      <c r="Y487" s="13">
        <v>0</v>
      </c>
      <c r="Z487" s="13">
        <v>0</v>
      </c>
      <c r="AA487" s="13">
        <v>1</v>
      </c>
      <c r="AB487" s="13">
        <v>0</v>
      </c>
    </row>
    <row r="488" spans="1:255" ht="13" x14ac:dyDescent="0.3">
      <c r="A488" s="13">
        <v>50</v>
      </c>
      <c r="B488" s="13">
        <v>0</v>
      </c>
      <c r="C488" s="13">
        <v>0</v>
      </c>
      <c r="D488" s="13">
        <v>1</v>
      </c>
      <c r="E488" s="13">
        <v>210</v>
      </c>
      <c r="F488" s="13">
        <f>ROUND(Source!X462,O488)</f>
        <v>0</v>
      </c>
      <c r="G488" s="13" t="s">
        <v>165</v>
      </c>
      <c r="H488" s="13" t="s">
        <v>166</v>
      </c>
      <c r="I488" s="13"/>
      <c r="J488" s="13"/>
      <c r="K488" s="13">
        <v>210</v>
      </c>
      <c r="L488" s="13">
        <v>25</v>
      </c>
      <c r="M488" s="13">
        <v>3</v>
      </c>
      <c r="N488" s="13" t="s">
        <v>3</v>
      </c>
      <c r="O488" s="13">
        <v>2</v>
      </c>
      <c r="P488" s="13">
        <f>ROUND(Source!DP462,O488)</f>
        <v>0</v>
      </c>
      <c r="Q488" s="13"/>
      <c r="R488" s="13"/>
      <c r="S488" s="13"/>
      <c r="T488" s="13"/>
      <c r="U488" s="13"/>
      <c r="V488" s="13"/>
      <c r="W488" s="13">
        <v>0</v>
      </c>
      <c r="X488" s="13">
        <v>1</v>
      </c>
      <c r="Y488" s="13">
        <v>0</v>
      </c>
      <c r="Z488" s="13">
        <v>0</v>
      </c>
      <c r="AA488" s="13">
        <v>1</v>
      </c>
      <c r="AB488" s="13">
        <v>0</v>
      </c>
    </row>
    <row r="489" spans="1:255" ht="13" x14ac:dyDescent="0.3">
      <c r="A489" s="13">
        <v>50</v>
      </c>
      <c r="B489" s="13">
        <v>0</v>
      </c>
      <c r="C489" s="13">
        <v>0</v>
      </c>
      <c r="D489" s="13">
        <v>1</v>
      </c>
      <c r="E489" s="13">
        <v>211</v>
      </c>
      <c r="F489" s="13">
        <f>ROUND(Source!Y462,O489)</f>
        <v>0</v>
      </c>
      <c r="G489" s="13" t="s">
        <v>167</v>
      </c>
      <c r="H489" s="13" t="s">
        <v>168</v>
      </c>
      <c r="I489" s="13"/>
      <c r="J489" s="13"/>
      <c r="K489" s="13">
        <v>211</v>
      </c>
      <c r="L489" s="13">
        <v>26</v>
      </c>
      <c r="M489" s="13">
        <v>3</v>
      </c>
      <c r="N489" s="13" t="s">
        <v>3</v>
      </c>
      <c r="O489" s="13">
        <v>2</v>
      </c>
      <c r="P489" s="13">
        <f>ROUND(Source!DQ462,O489)</f>
        <v>0</v>
      </c>
      <c r="Q489" s="13"/>
      <c r="R489" s="13"/>
      <c r="S489" s="13"/>
      <c r="T489" s="13"/>
      <c r="U489" s="13"/>
      <c r="V489" s="13"/>
      <c r="W489" s="13">
        <v>0</v>
      </c>
      <c r="X489" s="13">
        <v>1</v>
      </c>
      <c r="Y489" s="13">
        <v>0</v>
      </c>
      <c r="Z489" s="13">
        <v>0</v>
      </c>
      <c r="AA489" s="13">
        <v>1</v>
      </c>
      <c r="AB489" s="13">
        <v>0</v>
      </c>
    </row>
    <row r="490" spans="1:255" ht="13" x14ac:dyDescent="0.3">
      <c r="A490" s="13">
        <v>50</v>
      </c>
      <c r="B490" s="13">
        <v>0</v>
      </c>
      <c r="C490" s="13">
        <v>0</v>
      </c>
      <c r="D490" s="13">
        <v>1</v>
      </c>
      <c r="E490" s="13">
        <v>224</v>
      </c>
      <c r="F490" s="13">
        <f>ROUND(Source!AR462,O490)</f>
        <v>2500.3200000000002</v>
      </c>
      <c r="G490" s="13" t="s">
        <v>169</v>
      </c>
      <c r="H490" s="13" t="s">
        <v>170</v>
      </c>
      <c r="I490" s="13"/>
      <c r="J490" s="13"/>
      <c r="K490" s="13">
        <v>224</v>
      </c>
      <c r="L490" s="13">
        <v>27</v>
      </c>
      <c r="M490" s="13">
        <v>3</v>
      </c>
      <c r="N490" s="13" t="s">
        <v>3</v>
      </c>
      <c r="O490" s="13">
        <v>2</v>
      </c>
      <c r="P490" s="13">
        <f>ROUND(Source!EJ462,O490)</f>
        <v>18927.419999999998</v>
      </c>
      <c r="Q490" s="13"/>
      <c r="R490" s="13"/>
      <c r="S490" s="13"/>
      <c r="T490" s="13"/>
      <c r="U490" s="13"/>
      <c r="V490" s="13"/>
      <c r="W490" s="13">
        <v>2500.3200000000002</v>
      </c>
      <c r="X490" s="13">
        <v>1</v>
      </c>
      <c r="Y490" s="13">
        <v>2500.3200000000002</v>
      </c>
      <c r="Z490" s="13">
        <v>18927.419999999998</v>
      </c>
      <c r="AA490" s="13">
        <v>1</v>
      </c>
      <c r="AB490" s="13">
        <v>18927.419999999998</v>
      </c>
    </row>
    <row r="492" spans="1:255" ht="13" x14ac:dyDescent="0.3">
      <c r="A492" s="10">
        <v>4</v>
      </c>
      <c r="B492" s="10">
        <v>1</v>
      </c>
      <c r="C492" s="10"/>
      <c r="D492" s="10">
        <f>ROW(A549)</f>
        <v>549</v>
      </c>
      <c r="E492" s="10"/>
      <c r="F492" s="10" t="s">
        <v>21</v>
      </c>
      <c r="G492" s="10" t="s">
        <v>366</v>
      </c>
      <c r="H492" s="10" t="s">
        <v>3</v>
      </c>
      <c r="I492" s="10">
        <v>0</v>
      </c>
      <c r="J492" s="10"/>
      <c r="K492" s="10">
        <v>0</v>
      </c>
      <c r="L492" s="10"/>
      <c r="M492" s="10" t="s">
        <v>3</v>
      </c>
      <c r="N492" s="10"/>
      <c r="O492" s="10"/>
      <c r="P492" s="10"/>
      <c r="Q492" s="10"/>
      <c r="R492" s="10"/>
      <c r="S492" s="10">
        <v>0</v>
      </c>
      <c r="T492" s="10">
        <v>0</v>
      </c>
      <c r="U492" s="10" t="s">
        <v>3</v>
      </c>
      <c r="V492" s="10">
        <v>2</v>
      </c>
      <c r="W492" s="10"/>
      <c r="X492" s="10"/>
      <c r="Y492" s="10"/>
      <c r="Z492" s="10"/>
      <c r="AA492" s="10"/>
      <c r="AB492" s="10" t="s">
        <v>3</v>
      </c>
      <c r="AC492" s="10" t="s">
        <v>3</v>
      </c>
      <c r="AD492" s="10" t="s">
        <v>3</v>
      </c>
      <c r="AE492" s="10" t="s">
        <v>3</v>
      </c>
      <c r="AF492" s="10" t="s">
        <v>3</v>
      </c>
      <c r="AG492" s="10" t="s">
        <v>3</v>
      </c>
      <c r="AH492" s="10"/>
      <c r="AI492" s="10"/>
      <c r="AJ492" s="10"/>
      <c r="AK492" s="10"/>
      <c r="AL492" s="10"/>
      <c r="AM492" s="10"/>
      <c r="AN492" s="10"/>
      <c r="AO492" s="10"/>
      <c r="AP492" s="10" t="s">
        <v>3</v>
      </c>
      <c r="AQ492" s="10" t="s">
        <v>3</v>
      </c>
      <c r="AR492" s="10" t="s">
        <v>3</v>
      </c>
      <c r="AS492" s="10"/>
      <c r="AT492" s="10"/>
      <c r="AU492" s="10"/>
      <c r="AV492" s="10"/>
      <c r="AW492" s="10"/>
      <c r="AX492" s="10"/>
      <c r="AY492" s="10"/>
      <c r="AZ492" s="10" t="s">
        <v>3</v>
      </c>
      <c r="BA492" s="10"/>
      <c r="BB492" s="10" t="s">
        <v>3</v>
      </c>
      <c r="BC492" s="10" t="s">
        <v>3</v>
      </c>
      <c r="BD492" s="10" t="s">
        <v>3</v>
      </c>
      <c r="BE492" s="10" t="s">
        <v>3</v>
      </c>
      <c r="BF492" s="10" t="s">
        <v>3</v>
      </c>
      <c r="BG492" s="10" t="s">
        <v>3</v>
      </c>
      <c r="BH492" s="10" t="s">
        <v>3</v>
      </c>
      <c r="BI492" s="10" t="s">
        <v>3</v>
      </c>
      <c r="BJ492" s="10" t="s">
        <v>3</v>
      </c>
      <c r="BK492" s="10" t="s">
        <v>3</v>
      </c>
      <c r="BL492" s="10" t="s">
        <v>3</v>
      </c>
      <c r="BM492" s="10" t="s">
        <v>3</v>
      </c>
      <c r="BN492" s="10" t="s">
        <v>3</v>
      </c>
      <c r="BO492" s="10" t="s">
        <v>3</v>
      </c>
      <c r="BP492" s="10" t="s">
        <v>3</v>
      </c>
      <c r="BQ492" s="10"/>
      <c r="BR492" s="10"/>
      <c r="BS492" s="10"/>
      <c r="BT492" s="10"/>
      <c r="BU492" s="10"/>
      <c r="BV492" s="10"/>
      <c r="BW492" s="10"/>
      <c r="BX492" s="10">
        <v>0</v>
      </c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>
        <v>0</v>
      </c>
    </row>
    <row r="494" spans="1:255" ht="13" x14ac:dyDescent="0.3">
      <c r="A494" s="11">
        <v>52</v>
      </c>
      <c r="B494" s="11">
        <f t="shared" ref="B494:G494" si="382">B549</f>
        <v>1</v>
      </c>
      <c r="C494" s="11">
        <f t="shared" si="382"/>
        <v>4</v>
      </c>
      <c r="D494" s="11">
        <f t="shared" si="382"/>
        <v>492</v>
      </c>
      <c r="E494" s="11">
        <f t="shared" si="382"/>
        <v>0</v>
      </c>
      <c r="F494" s="11" t="str">
        <f t="shared" si="382"/>
        <v>Новый раздел</v>
      </c>
      <c r="G494" s="11" t="str">
        <f t="shared" si="382"/>
        <v>Кабельная продукция и материалы.</v>
      </c>
      <c r="H494" s="11"/>
      <c r="I494" s="11"/>
      <c r="J494" s="11"/>
      <c r="K494" s="11"/>
      <c r="L494" s="11"/>
      <c r="M494" s="11"/>
      <c r="N494" s="11"/>
      <c r="O494" s="11">
        <f t="shared" ref="O494:AT494" si="383">O549</f>
        <v>154505.47</v>
      </c>
      <c r="P494" s="11">
        <f t="shared" si="383"/>
        <v>127433.71</v>
      </c>
      <c r="Q494" s="11">
        <f t="shared" si="383"/>
        <v>452.29</v>
      </c>
      <c r="R494" s="11">
        <f t="shared" si="383"/>
        <v>0</v>
      </c>
      <c r="S494" s="11">
        <f t="shared" si="383"/>
        <v>26619.47</v>
      </c>
      <c r="T494" s="11">
        <f t="shared" si="383"/>
        <v>0</v>
      </c>
      <c r="U494" s="11">
        <f t="shared" si="383"/>
        <v>2239.4262059999996</v>
      </c>
      <c r="V494" s="11">
        <f t="shared" si="383"/>
        <v>0</v>
      </c>
      <c r="W494" s="11">
        <f t="shared" si="383"/>
        <v>0</v>
      </c>
      <c r="X494" s="11">
        <f t="shared" si="383"/>
        <v>23957.52</v>
      </c>
      <c r="Y494" s="11">
        <f t="shared" si="383"/>
        <v>12244.96</v>
      </c>
      <c r="Z494" s="11">
        <f t="shared" si="383"/>
        <v>0</v>
      </c>
      <c r="AA494" s="11">
        <f t="shared" si="383"/>
        <v>0</v>
      </c>
      <c r="AB494" s="11">
        <f t="shared" si="383"/>
        <v>154505.47</v>
      </c>
      <c r="AC494" s="11">
        <f t="shared" si="383"/>
        <v>127433.71</v>
      </c>
      <c r="AD494" s="11">
        <f t="shared" si="383"/>
        <v>452.29</v>
      </c>
      <c r="AE494" s="11">
        <f t="shared" si="383"/>
        <v>0</v>
      </c>
      <c r="AF494" s="11">
        <f t="shared" si="383"/>
        <v>26619.47</v>
      </c>
      <c r="AG494" s="11">
        <f t="shared" si="383"/>
        <v>0</v>
      </c>
      <c r="AH494" s="11">
        <f t="shared" si="383"/>
        <v>2239.4262059999996</v>
      </c>
      <c r="AI494" s="11">
        <f t="shared" si="383"/>
        <v>0</v>
      </c>
      <c r="AJ494" s="11">
        <f t="shared" si="383"/>
        <v>0</v>
      </c>
      <c r="AK494" s="11">
        <f t="shared" si="383"/>
        <v>23957.52</v>
      </c>
      <c r="AL494" s="11">
        <f t="shared" si="383"/>
        <v>12244.96</v>
      </c>
      <c r="AM494" s="11">
        <f t="shared" si="383"/>
        <v>0</v>
      </c>
      <c r="AN494" s="11">
        <f t="shared" si="383"/>
        <v>0</v>
      </c>
      <c r="AO494" s="11">
        <f t="shared" si="383"/>
        <v>0</v>
      </c>
      <c r="AP494" s="11">
        <f t="shared" si="383"/>
        <v>0</v>
      </c>
      <c r="AQ494" s="11">
        <f t="shared" si="383"/>
        <v>0</v>
      </c>
      <c r="AR494" s="11">
        <f t="shared" si="383"/>
        <v>190707.95</v>
      </c>
      <c r="AS494" s="11">
        <f t="shared" si="383"/>
        <v>0</v>
      </c>
      <c r="AT494" s="11">
        <f t="shared" si="383"/>
        <v>190707.95</v>
      </c>
      <c r="AU494" s="11">
        <f t="shared" ref="AU494:BZ494" si="384">AU549</f>
        <v>0</v>
      </c>
      <c r="AV494" s="11">
        <f t="shared" si="384"/>
        <v>127433.71</v>
      </c>
      <c r="AW494" s="11">
        <f t="shared" si="384"/>
        <v>127433.71</v>
      </c>
      <c r="AX494" s="11">
        <f t="shared" si="384"/>
        <v>0</v>
      </c>
      <c r="AY494" s="11">
        <f t="shared" si="384"/>
        <v>127433.71</v>
      </c>
      <c r="AZ494" s="11">
        <f t="shared" si="384"/>
        <v>0</v>
      </c>
      <c r="BA494" s="11">
        <f t="shared" si="384"/>
        <v>0</v>
      </c>
      <c r="BB494" s="11">
        <f t="shared" si="384"/>
        <v>0</v>
      </c>
      <c r="BC494" s="11">
        <f t="shared" si="384"/>
        <v>0</v>
      </c>
      <c r="BD494" s="11">
        <f t="shared" si="384"/>
        <v>0</v>
      </c>
      <c r="BE494" s="11">
        <f t="shared" si="384"/>
        <v>0</v>
      </c>
      <c r="BF494" s="11">
        <f t="shared" si="384"/>
        <v>0</v>
      </c>
      <c r="BG494" s="11">
        <f t="shared" si="384"/>
        <v>0</v>
      </c>
      <c r="BH494" s="11">
        <f t="shared" si="384"/>
        <v>0</v>
      </c>
      <c r="BI494" s="11">
        <f t="shared" si="384"/>
        <v>0</v>
      </c>
      <c r="BJ494" s="11">
        <f t="shared" si="384"/>
        <v>0</v>
      </c>
      <c r="BK494" s="11">
        <f t="shared" si="384"/>
        <v>0</v>
      </c>
      <c r="BL494" s="11">
        <f t="shared" si="384"/>
        <v>0</v>
      </c>
      <c r="BM494" s="11">
        <f t="shared" si="384"/>
        <v>0</v>
      </c>
      <c r="BN494" s="11">
        <f t="shared" si="384"/>
        <v>0</v>
      </c>
      <c r="BO494" s="11">
        <f t="shared" si="384"/>
        <v>0</v>
      </c>
      <c r="BP494" s="11">
        <f t="shared" si="384"/>
        <v>0</v>
      </c>
      <c r="BQ494" s="11">
        <f t="shared" si="384"/>
        <v>0</v>
      </c>
      <c r="BR494" s="11">
        <f t="shared" si="384"/>
        <v>0</v>
      </c>
      <c r="BS494" s="11">
        <f t="shared" si="384"/>
        <v>0</v>
      </c>
      <c r="BT494" s="11">
        <f t="shared" si="384"/>
        <v>0</v>
      </c>
      <c r="BU494" s="11">
        <f t="shared" si="384"/>
        <v>0</v>
      </c>
      <c r="BV494" s="11">
        <f t="shared" si="384"/>
        <v>0</v>
      </c>
      <c r="BW494" s="11">
        <f t="shared" si="384"/>
        <v>0</v>
      </c>
      <c r="BX494" s="11">
        <f t="shared" si="384"/>
        <v>0</v>
      </c>
      <c r="BY494" s="11">
        <f t="shared" si="384"/>
        <v>0</v>
      </c>
      <c r="BZ494" s="11">
        <f t="shared" si="384"/>
        <v>0</v>
      </c>
      <c r="CA494" s="11">
        <f t="shared" ref="CA494:DF494" si="385">CA549</f>
        <v>190707.95</v>
      </c>
      <c r="CB494" s="11">
        <f t="shared" si="385"/>
        <v>0</v>
      </c>
      <c r="CC494" s="11">
        <f t="shared" si="385"/>
        <v>190707.95</v>
      </c>
      <c r="CD494" s="11">
        <f t="shared" si="385"/>
        <v>0</v>
      </c>
      <c r="CE494" s="11">
        <f t="shared" si="385"/>
        <v>127433.71</v>
      </c>
      <c r="CF494" s="11">
        <f t="shared" si="385"/>
        <v>127433.71</v>
      </c>
      <c r="CG494" s="11">
        <f t="shared" si="385"/>
        <v>0</v>
      </c>
      <c r="CH494" s="11">
        <f t="shared" si="385"/>
        <v>127433.71</v>
      </c>
      <c r="CI494" s="11">
        <f t="shared" si="385"/>
        <v>0</v>
      </c>
      <c r="CJ494" s="11">
        <f t="shared" si="385"/>
        <v>0</v>
      </c>
      <c r="CK494" s="11">
        <f t="shared" si="385"/>
        <v>0</v>
      </c>
      <c r="CL494" s="11">
        <f t="shared" si="385"/>
        <v>0</v>
      </c>
      <c r="CM494" s="11">
        <f t="shared" si="385"/>
        <v>0</v>
      </c>
      <c r="CN494" s="11">
        <f t="shared" si="385"/>
        <v>0</v>
      </c>
      <c r="CO494" s="11">
        <f t="shared" si="385"/>
        <v>0</v>
      </c>
      <c r="CP494" s="11">
        <f t="shared" si="385"/>
        <v>0</v>
      </c>
      <c r="CQ494" s="11">
        <f t="shared" si="385"/>
        <v>0</v>
      </c>
      <c r="CR494" s="11">
        <f t="shared" si="385"/>
        <v>0</v>
      </c>
      <c r="CS494" s="11">
        <f t="shared" si="385"/>
        <v>0</v>
      </c>
      <c r="CT494" s="11">
        <f t="shared" si="385"/>
        <v>0</v>
      </c>
      <c r="CU494" s="11">
        <f t="shared" si="385"/>
        <v>0</v>
      </c>
      <c r="CV494" s="11">
        <f t="shared" si="385"/>
        <v>0</v>
      </c>
      <c r="CW494" s="11">
        <f t="shared" si="385"/>
        <v>0</v>
      </c>
      <c r="CX494" s="11">
        <f t="shared" si="385"/>
        <v>0</v>
      </c>
      <c r="CY494" s="11">
        <f t="shared" si="385"/>
        <v>0</v>
      </c>
      <c r="CZ494" s="11">
        <f t="shared" si="385"/>
        <v>0</v>
      </c>
      <c r="DA494" s="11">
        <f t="shared" si="385"/>
        <v>0</v>
      </c>
      <c r="DB494" s="11">
        <f t="shared" si="385"/>
        <v>0</v>
      </c>
      <c r="DC494" s="11">
        <f t="shared" si="385"/>
        <v>0</v>
      </c>
      <c r="DD494" s="11">
        <f t="shared" si="385"/>
        <v>0</v>
      </c>
      <c r="DE494" s="11">
        <f t="shared" si="385"/>
        <v>0</v>
      </c>
      <c r="DF494" s="11">
        <f t="shared" si="385"/>
        <v>0</v>
      </c>
      <c r="DG494" s="12">
        <f t="shared" ref="DG494:EL494" si="386">DG549</f>
        <v>2586772.12</v>
      </c>
      <c r="DH494" s="12">
        <f t="shared" si="386"/>
        <v>1082423.01</v>
      </c>
      <c r="DI494" s="12">
        <f t="shared" si="386"/>
        <v>4341.9799999999996</v>
      </c>
      <c r="DJ494" s="12">
        <f t="shared" si="386"/>
        <v>0</v>
      </c>
      <c r="DK494" s="12">
        <f t="shared" si="386"/>
        <v>1500007.13</v>
      </c>
      <c r="DL494" s="12">
        <f t="shared" si="386"/>
        <v>0</v>
      </c>
      <c r="DM494" s="12">
        <f t="shared" si="386"/>
        <v>2239.4262059999996</v>
      </c>
      <c r="DN494" s="12">
        <f t="shared" si="386"/>
        <v>0</v>
      </c>
      <c r="DO494" s="12">
        <f t="shared" si="386"/>
        <v>0</v>
      </c>
      <c r="DP494" s="12">
        <f t="shared" si="386"/>
        <v>1350006.42</v>
      </c>
      <c r="DQ494" s="12">
        <f t="shared" si="386"/>
        <v>690003.28</v>
      </c>
      <c r="DR494" s="12">
        <f t="shared" si="386"/>
        <v>0</v>
      </c>
      <c r="DS494" s="12">
        <f t="shared" si="386"/>
        <v>0</v>
      </c>
      <c r="DT494" s="12">
        <f t="shared" si="386"/>
        <v>2586772.12</v>
      </c>
      <c r="DU494" s="12">
        <f t="shared" si="386"/>
        <v>1082423.01</v>
      </c>
      <c r="DV494" s="12">
        <f t="shared" si="386"/>
        <v>4341.9799999999996</v>
      </c>
      <c r="DW494" s="12">
        <f t="shared" si="386"/>
        <v>0</v>
      </c>
      <c r="DX494" s="12">
        <f t="shared" si="386"/>
        <v>1500007.13</v>
      </c>
      <c r="DY494" s="12">
        <f t="shared" si="386"/>
        <v>0</v>
      </c>
      <c r="DZ494" s="12">
        <f t="shared" si="386"/>
        <v>2239.4262059999996</v>
      </c>
      <c r="EA494" s="12">
        <f t="shared" si="386"/>
        <v>0</v>
      </c>
      <c r="EB494" s="12">
        <f t="shared" si="386"/>
        <v>0</v>
      </c>
      <c r="EC494" s="12">
        <f t="shared" si="386"/>
        <v>1350006.42</v>
      </c>
      <c r="ED494" s="12">
        <f t="shared" si="386"/>
        <v>690003.28</v>
      </c>
      <c r="EE494" s="12">
        <f t="shared" si="386"/>
        <v>0</v>
      </c>
      <c r="EF494" s="12">
        <f t="shared" si="386"/>
        <v>0</v>
      </c>
      <c r="EG494" s="12">
        <f t="shared" si="386"/>
        <v>0</v>
      </c>
      <c r="EH494" s="12">
        <f t="shared" si="386"/>
        <v>0</v>
      </c>
      <c r="EI494" s="12">
        <f t="shared" si="386"/>
        <v>0</v>
      </c>
      <c r="EJ494" s="12">
        <f t="shared" si="386"/>
        <v>4626781.82</v>
      </c>
      <c r="EK494" s="12">
        <f t="shared" si="386"/>
        <v>0</v>
      </c>
      <c r="EL494" s="12">
        <f t="shared" si="386"/>
        <v>4626781.82</v>
      </c>
      <c r="EM494" s="12">
        <f t="shared" ref="EM494:FR494" si="387">EM549</f>
        <v>0</v>
      </c>
      <c r="EN494" s="12">
        <f t="shared" si="387"/>
        <v>1082423.01</v>
      </c>
      <c r="EO494" s="12">
        <f t="shared" si="387"/>
        <v>1082423.01</v>
      </c>
      <c r="EP494" s="12">
        <f t="shared" si="387"/>
        <v>0</v>
      </c>
      <c r="EQ494" s="12">
        <f t="shared" si="387"/>
        <v>1082423.01</v>
      </c>
      <c r="ER494" s="12">
        <f t="shared" si="387"/>
        <v>0</v>
      </c>
      <c r="ES494" s="12">
        <f t="shared" si="387"/>
        <v>0</v>
      </c>
      <c r="ET494" s="12">
        <f t="shared" si="387"/>
        <v>0</v>
      </c>
      <c r="EU494" s="12">
        <f t="shared" si="387"/>
        <v>0</v>
      </c>
      <c r="EV494" s="12">
        <f t="shared" si="387"/>
        <v>0</v>
      </c>
      <c r="EW494" s="12">
        <f t="shared" si="387"/>
        <v>0</v>
      </c>
      <c r="EX494" s="12">
        <f t="shared" si="387"/>
        <v>0</v>
      </c>
      <c r="EY494" s="12">
        <f t="shared" si="387"/>
        <v>0</v>
      </c>
      <c r="EZ494" s="12">
        <f t="shared" si="387"/>
        <v>0</v>
      </c>
      <c r="FA494" s="12">
        <f t="shared" si="387"/>
        <v>0</v>
      </c>
      <c r="FB494" s="12">
        <f t="shared" si="387"/>
        <v>0</v>
      </c>
      <c r="FC494" s="12">
        <f t="shared" si="387"/>
        <v>0</v>
      </c>
      <c r="FD494" s="12">
        <f t="shared" si="387"/>
        <v>0</v>
      </c>
      <c r="FE494" s="12">
        <f t="shared" si="387"/>
        <v>0</v>
      </c>
      <c r="FF494" s="12">
        <f t="shared" si="387"/>
        <v>0</v>
      </c>
      <c r="FG494" s="12">
        <f t="shared" si="387"/>
        <v>0</v>
      </c>
      <c r="FH494" s="12">
        <f t="shared" si="387"/>
        <v>0</v>
      </c>
      <c r="FI494" s="12">
        <f t="shared" si="387"/>
        <v>0</v>
      </c>
      <c r="FJ494" s="12">
        <f t="shared" si="387"/>
        <v>0</v>
      </c>
      <c r="FK494" s="12">
        <f t="shared" si="387"/>
        <v>0</v>
      </c>
      <c r="FL494" s="12">
        <f t="shared" si="387"/>
        <v>0</v>
      </c>
      <c r="FM494" s="12">
        <f t="shared" si="387"/>
        <v>0</v>
      </c>
      <c r="FN494" s="12">
        <f t="shared" si="387"/>
        <v>0</v>
      </c>
      <c r="FO494" s="12">
        <f t="shared" si="387"/>
        <v>0</v>
      </c>
      <c r="FP494" s="12">
        <f t="shared" si="387"/>
        <v>0</v>
      </c>
      <c r="FQ494" s="12">
        <f t="shared" si="387"/>
        <v>0</v>
      </c>
      <c r="FR494" s="12">
        <f t="shared" si="387"/>
        <v>0</v>
      </c>
      <c r="FS494" s="12">
        <f t="shared" ref="FS494:GX494" si="388">FS549</f>
        <v>4626781.82</v>
      </c>
      <c r="FT494" s="12">
        <f t="shared" si="388"/>
        <v>0</v>
      </c>
      <c r="FU494" s="12">
        <f t="shared" si="388"/>
        <v>4626781.82</v>
      </c>
      <c r="FV494" s="12">
        <f t="shared" si="388"/>
        <v>0</v>
      </c>
      <c r="FW494" s="12">
        <f t="shared" si="388"/>
        <v>1082423.01</v>
      </c>
      <c r="FX494" s="12">
        <f t="shared" si="388"/>
        <v>1082423.01</v>
      </c>
      <c r="FY494" s="12">
        <f t="shared" si="388"/>
        <v>0</v>
      </c>
      <c r="FZ494" s="12">
        <f t="shared" si="388"/>
        <v>1082423.01</v>
      </c>
      <c r="GA494" s="12">
        <f t="shared" si="388"/>
        <v>0</v>
      </c>
      <c r="GB494" s="12">
        <f t="shared" si="388"/>
        <v>0</v>
      </c>
      <c r="GC494" s="12">
        <f t="shared" si="388"/>
        <v>0</v>
      </c>
      <c r="GD494" s="12">
        <f t="shared" si="388"/>
        <v>0</v>
      </c>
      <c r="GE494" s="12">
        <f t="shared" si="388"/>
        <v>0</v>
      </c>
      <c r="GF494" s="12">
        <f t="shared" si="388"/>
        <v>0</v>
      </c>
      <c r="GG494" s="12">
        <f t="shared" si="388"/>
        <v>0</v>
      </c>
      <c r="GH494" s="12">
        <f t="shared" si="388"/>
        <v>0</v>
      </c>
      <c r="GI494" s="12">
        <f t="shared" si="388"/>
        <v>0</v>
      </c>
      <c r="GJ494" s="12">
        <f t="shared" si="388"/>
        <v>0</v>
      </c>
      <c r="GK494" s="12">
        <f t="shared" si="388"/>
        <v>0</v>
      </c>
      <c r="GL494" s="12">
        <f t="shared" si="388"/>
        <v>0</v>
      </c>
      <c r="GM494" s="12">
        <f t="shared" si="388"/>
        <v>0</v>
      </c>
      <c r="GN494" s="12">
        <f t="shared" si="388"/>
        <v>0</v>
      </c>
      <c r="GO494" s="12">
        <f t="shared" si="388"/>
        <v>0</v>
      </c>
      <c r="GP494" s="12">
        <f t="shared" si="388"/>
        <v>0</v>
      </c>
      <c r="GQ494" s="12">
        <f t="shared" si="388"/>
        <v>0</v>
      </c>
      <c r="GR494" s="12">
        <f t="shared" si="388"/>
        <v>0</v>
      </c>
      <c r="GS494" s="12">
        <f t="shared" si="388"/>
        <v>0</v>
      </c>
      <c r="GT494" s="12">
        <f t="shared" si="388"/>
        <v>0</v>
      </c>
      <c r="GU494" s="12">
        <f t="shared" si="388"/>
        <v>0</v>
      </c>
      <c r="GV494" s="12">
        <f t="shared" si="388"/>
        <v>0</v>
      </c>
      <c r="GW494" s="12">
        <f t="shared" si="388"/>
        <v>0</v>
      </c>
      <c r="GX494" s="12">
        <f t="shared" si="388"/>
        <v>0</v>
      </c>
    </row>
    <row r="496" spans="1:255" x14ac:dyDescent="0.25">
      <c r="A496" s="2">
        <v>17</v>
      </c>
      <c r="B496" s="2">
        <v>1</v>
      </c>
      <c r="C496" s="2">
        <f>ROW(SmtRes!A293)</f>
        <v>293</v>
      </c>
      <c r="D496" s="2">
        <f>ROW(EtalonRes!A300)</f>
        <v>300</v>
      </c>
      <c r="E496" s="2" t="s">
        <v>367</v>
      </c>
      <c r="F496" s="2" t="s">
        <v>97</v>
      </c>
      <c r="G496" s="2" t="s">
        <v>98</v>
      </c>
      <c r="H496" s="2" t="s">
        <v>99</v>
      </c>
      <c r="I496" s="2">
        <f>ROUND(5150/100,9)</f>
        <v>51.5</v>
      </c>
      <c r="J496" s="2">
        <v>0</v>
      </c>
      <c r="K496" s="2">
        <f>ROUND(5150/100,9)</f>
        <v>51.5</v>
      </c>
      <c r="L496" s="2"/>
      <c r="M496" s="2"/>
      <c r="N496" s="2"/>
      <c r="O496" s="2">
        <f t="shared" ref="O496:O527" si="389">ROUND(CP496,2)</f>
        <v>28276.35</v>
      </c>
      <c r="P496" s="2">
        <f t="shared" ref="P496:P527" si="390">ROUND((ROUND((AC496*AW496*I496),2)*BC496),2)</f>
        <v>1204.5899999999999</v>
      </c>
      <c r="Q496" s="2">
        <f>(ROUND((ROUND((((ET496*1.2))*AV496*I496),2)*BB496),2)+ROUND((ROUND(((AE496-((EU496*1.2)))*AV496*I496),2)*BS496),2))</f>
        <v>452.29</v>
      </c>
      <c r="R496" s="2">
        <f>(ROUND((ROUND((((EU496*1.2))*AV496*I496),2)*BS496),2)+ROUND((ROUND(((AE496-((EU496*1.2)))*AV496*I496),2)*BS496),2))</f>
        <v>0</v>
      </c>
      <c r="S496" s="2">
        <f t="shared" ref="S496:S527" si="391">ROUND((ROUND((AF496*AV496*I496),2)*BA496),2)</f>
        <v>26619.47</v>
      </c>
      <c r="T496" s="2">
        <f t="shared" ref="T496:T527" si="392">ROUND(CU496*I496,2)</f>
        <v>0</v>
      </c>
      <c r="U496" s="2">
        <f t="shared" ref="U496:U527" si="393">CV496*I496</f>
        <v>2239.4262059999996</v>
      </c>
      <c r="V496" s="2">
        <f t="shared" ref="V496:V527" si="394">CW496*I496</f>
        <v>0</v>
      </c>
      <c r="W496" s="2">
        <f t="shared" ref="W496:W527" si="395">ROUND(CX496*I496,2)</f>
        <v>0</v>
      </c>
      <c r="X496" s="2">
        <f>(ROUND((((S496+ROUND((ROUND((((EU496*1.2))*AV496*I496),2)*BS496),2))*AT496)/100),2)+ROUND(((ROUND((ROUND(((AE496-((EU496*1.2)))*AV496*I496),2)*BS496),2)*AT496)/100),2))</f>
        <v>23957.52</v>
      </c>
      <c r="Y496" s="2">
        <f>(ROUND((((S496+ROUND((ROUND((((EU496*1.2))*AV496*I496),2)*BS496),2))*AU496)/100),2)+ROUND(((ROUND((ROUND(((AE496-((EU496*1.2)))*AV496*I496),2)*BS496),2)*AU496)/100),2))</f>
        <v>12244.96</v>
      </c>
      <c r="Z496" s="2"/>
      <c r="AA496" s="2">
        <v>57034452</v>
      </c>
      <c r="AB496" s="2">
        <f t="shared" ref="AB496:AB527" si="396">ROUND((AC496+AD496+AF496),6)</f>
        <v>525.45799999999997</v>
      </c>
      <c r="AC496" s="2">
        <f>ROUND(((ES496*1)),6)</f>
        <v>23.39</v>
      </c>
      <c r="AD496" s="2">
        <f>ROUND(((((ET496*1.2))-((EU496*1.2)))+AE496),6)</f>
        <v>8.3879999999999999</v>
      </c>
      <c r="AE496" s="2">
        <f>ROUND(((EU496*1.2)),6)</f>
        <v>0</v>
      </c>
      <c r="AF496" s="2">
        <f>ROUND(((EV496*1.2)),6)</f>
        <v>493.68</v>
      </c>
      <c r="AG496" s="2">
        <f t="shared" ref="AG496:AG527" si="397">ROUND((AP496),6)</f>
        <v>0</v>
      </c>
      <c r="AH496" s="2">
        <f>((EW496*1.2))</f>
        <v>41.531999999999996</v>
      </c>
      <c r="AI496" s="2">
        <f>((EX496*1.2))</f>
        <v>0</v>
      </c>
      <c r="AJ496" s="2">
        <f t="shared" ref="AJ496:AJ527" si="398">(AS496)</f>
        <v>0</v>
      </c>
      <c r="AK496" s="2">
        <v>441.78</v>
      </c>
      <c r="AL496" s="2">
        <v>23.39</v>
      </c>
      <c r="AM496" s="2">
        <v>6.99</v>
      </c>
      <c r="AN496" s="2">
        <v>0</v>
      </c>
      <c r="AO496" s="2">
        <v>411.4</v>
      </c>
      <c r="AP496" s="2">
        <v>0</v>
      </c>
      <c r="AQ496" s="2">
        <v>34.61</v>
      </c>
      <c r="AR496" s="2">
        <v>0</v>
      </c>
      <c r="AS496" s="2">
        <v>0</v>
      </c>
      <c r="AT496" s="2">
        <v>90</v>
      </c>
      <c r="AU496" s="2">
        <v>46</v>
      </c>
      <c r="AV496" s="2">
        <v>1.0469999999999999</v>
      </c>
      <c r="AW496" s="2">
        <v>1</v>
      </c>
      <c r="AX496" s="2"/>
      <c r="AY496" s="2"/>
      <c r="AZ496" s="2">
        <v>1</v>
      </c>
      <c r="BA496" s="2">
        <v>1</v>
      </c>
      <c r="BB496" s="2">
        <v>1</v>
      </c>
      <c r="BC496" s="2">
        <v>1</v>
      </c>
      <c r="BD496" s="2" t="s">
        <v>3</v>
      </c>
      <c r="BE496" s="2" t="s">
        <v>3</v>
      </c>
      <c r="BF496" s="2" t="s">
        <v>3</v>
      </c>
      <c r="BG496" s="2" t="s">
        <v>3</v>
      </c>
      <c r="BH496" s="2">
        <v>0</v>
      </c>
      <c r="BI496" s="2">
        <v>2</v>
      </c>
      <c r="BJ496" s="2" t="s">
        <v>100</v>
      </c>
      <c r="BK496" s="2"/>
      <c r="BL496" s="2"/>
      <c r="BM496" s="2">
        <v>68</v>
      </c>
      <c r="BN496" s="2">
        <v>0</v>
      </c>
      <c r="BO496" s="2" t="s">
        <v>97</v>
      </c>
      <c r="BP496" s="2">
        <v>1</v>
      </c>
      <c r="BQ496" s="2">
        <v>40</v>
      </c>
      <c r="BR496" s="2">
        <v>0</v>
      </c>
      <c r="BS496" s="2">
        <v>1</v>
      </c>
      <c r="BT496" s="2">
        <v>1</v>
      </c>
      <c r="BU496" s="2">
        <v>1</v>
      </c>
      <c r="BV496" s="2">
        <v>1</v>
      </c>
      <c r="BW496" s="2">
        <v>1</v>
      </c>
      <c r="BX496" s="2">
        <v>1</v>
      </c>
      <c r="BY496" s="2" t="s">
        <v>3</v>
      </c>
      <c r="BZ496" s="2">
        <v>90</v>
      </c>
      <c r="CA496" s="2">
        <v>46</v>
      </c>
      <c r="CB496" s="2" t="s">
        <v>3</v>
      </c>
      <c r="CC496" s="2"/>
      <c r="CD496" s="2"/>
      <c r="CE496" s="2">
        <v>1566</v>
      </c>
      <c r="CF496" s="2">
        <v>0</v>
      </c>
      <c r="CG496" s="2">
        <v>0</v>
      </c>
      <c r="CH496" s="2"/>
      <c r="CI496" s="2"/>
      <c r="CJ496" s="2"/>
      <c r="CK496" s="2"/>
      <c r="CL496" s="2"/>
      <c r="CM496" s="2">
        <v>0</v>
      </c>
      <c r="CN496" s="2" t="s">
        <v>614</v>
      </c>
      <c r="CO496" s="2">
        <v>0</v>
      </c>
      <c r="CP496" s="2">
        <f t="shared" ref="CP496:CP527" si="399">(P496+Q496+S496)</f>
        <v>28276.350000000002</v>
      </c>
      <c r="CQ496" s="2">
        <f t="shared" ref="CQ496:CQ527" si="400">ROUND((ROUND((AC496*AW496*1),2)*BC496),2)</f>
        <v>23.39</v>
      </c>
      <c r="CR496" s="2">
        <f>(ROUND((ROUND((((ET496*1.2))*AV496*1),2)*BB496),2)+ROUND((ROUND(((AE496-((EU496*1.2)))*AV496*1),2)*BS496),2))</f>
        <v>8.7799999999999994</v>
      </c>
      <c r="CS496" s="2">
        <f>(ROUND((ROUND((((EU496*1.2))*AV496*1),2)*BS496),2)+ROUND((ROUND(((AE496-((EU496*1.2)))*AV496*1),2)*BS496),2))</f>
        <v>0</v>
      </c>
      <c r="CT496" s="2">
        <f t="shared" ref="CT496:CT527" si="401">ROUND((ROUND((AF496*AV496*1),2)*BA496),2)</f>
        <v>516.88</v>
      </c>
      <c r="CU496" s="2">
        <f t="shared" ref="CU496:CU527" si="402">AG496</f>
        <v>0</v>
      </c>
      <c r="CV496" s="2">
        <f t="shared" ref="CV496:CV527" si="403">(AH496*AV496)</f>
        <v>43.484003999999992</v>
      </c>
      <c r="CW496" s="2">
        <f t="shared" ref="CW496:CW527" si="404">AI496</f>
        <v>0</v>
      </c>
      <c r="CX496" s="2">
        <f t="shared" ref="CX496:CX527" si="405">AJ496</f>
        <v>0</v>
      </c>
      <c r="CY496" s="2">
        <f>(ROUND((((S496+ROUND((ROUND((((EU496*1.2))*AV496*1),2)*BS496),2))*AT496)/100),2)+ROUND(((ROUND((ROUND(((AE496-((EU496*1.2)))*AV496*1),2)*BS496),2)*AT496)/100),2))</f>
        <v>23957.52</v>
      </c>
      <c r="CZ496" s="2">
        <f>(ROUND((((S496+ROUND((ROUND((((EU496*1.2))*AV496*1),2)*BS496),2))*AU496)/100),2)+ROUND(((ROUND((ROUND(((AE496-((EU496*1.2)))*AV496*1),2)*BS496),2)*AU496)/100),2))</f>
        <v>12244.96</v>
      </c>
      <c r="DA496" s="2"/>
      <c r="DB496" s="2">
        <v>133</v>
      </c>
      <c r="DC496" s="2" t="s">
        <v>3</v>
      </c>
      <c r="DD496" s="2" t="s">
        <v>104</v>
      </c>
      <c r="DE496" s="2" t="s">
        <v>105</v>
      </c>
      <c r="DF496" s="2" t="s">
        <v>105</v>
      </c>
      <c r="DG496" s="2" t="s">
        <v>105</v>
      </c>
      <c r="DH496" s="2" t="s">
        <v>3</v>
      </c>
      <c r="DI496" s="2" t="s">
        <v>105</v>
      </c>
      <c r="DJ496" s="2" t="s">
        <v>105</v>
      </c>
      <c r="DK496" s="2" t="s">
        <v>3</v>
      </c>
      <c r="DL496" s="2" t="s">
        <v>3</v>
      </c>
      <c r="DM496" s="2" t="s">
        <v>3</v>
      </c>
      <c r="DN496" s="2">
        <v>0</v>
      </c>
      <c r="DO496" s="2">
        <v>0</v>
      </c>
      <c r="DP496" s="2">
        <v>1</v>
      </c>
      <c r="DQ496" s="2">
        <v>1</v>
      </c>
      <c r="DR496" s="2"/>
      <c r="DS496" s="2"/>
      <c r="DT496" s="2"/>
      <c r="DU496" s="2">
        <v>1003</v>
      </c>
      <c r="DV496" s="2" t="s">
        <v>99</v>
      </c>
      <c r="DW496" s="2" t="s">
        <v>99</v>
      </c>
      <c r="DX496" s="2">
        <v>100</v>
      </c>
      <c r="DY496" s="2"/>
      <c r="DZ496" s="2" t="s">
        <v>3</v>
      </c>
      <c r="EA496" s="2" t="s">
        <v>3</v>
      </c>
      <c r="EB496" s="2" t="s">
        <v>3</v>
      </c>
      <c r="EC496" s="2" t="s">
        <v>3</v>
      </c>
      <c r="ED496" s="2"/>
      <c r="EE496" s="2">
        <v>57042958</v>
      </c>
      <c r="EF496" s="2">
        <v>40</v>
      </c>
      <c r="EG496" s="2" t="s">
        <v>30</v>
      </c>
      <c r="EH496" s="2">
        <v>0</v>
      </c>
      <c r="EI496" s="2" t="s">
        <v>3</v>
      </c>
      <c r="EJ496" s="2">
        <v>2</v>
      </c>
      <c r="EK496" s="2">
        <v>68</v>
      </c>
      <c r="EL496" s="2" t="s">
        <v>38</v>
      </c>
      <c r="EM496" s="2" t="s">
        <v>39</v>
      </c>
      <c r="EN496" s="2"/>
      <c r="EO496" s="2" t="s">
        <v>109</v>
      </c>
      <c r="EP496" s="2"/>
      <c r="EQ496" s="2">
        <v>0</v>
      </c>
      <c r="ER496" s="2">
        <v>441.78</v>
      </c>
      <c r="ES496" s="2">
        <v>23.39</v>
      </c>
      <c r="ET496" s="2">
        <v>6.99</v>
      </c>
      <c r="EU496" s="2">
        <v>0</v>
      </c>
      <c r="EV496" s="2">
        <v>411.4</v>
      </c>
      <c r="EW496" s="2">
        <v>34.61</v>
      </c>
      <c r="EX496" s="2">
        <v>0</v>
      </c>
      <c r="EY496" s="2">
        <v>0</v>
      </c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>
        <v>0</v>
      </c>
      <c r="FR496" s="2">
        <v>0</v>
      </c>
      <c r="FS496" s="2">
        <v>0</v>
      </c>
      <c r="FT496" s="2"/>
      <c r="FU496" s="2"/>
      <c r="FV496" s="2"/>
      <c r="FW496" s="2"/>
      <c r="FX496" s="2">
        <v>90</v>
      </c>
      <c r="FY496" s="2">
        <v>46</v>
      </c>
      <c r="FZ496" s="2"/>
      <c r="GA496" s="2" t="s">
        <v>3</v>
      </c>
      <c r="GB496" s="2"/>
      <c r="GC496" s="2"/>
      <c r="GD496" s="2">
        <v>1</v>
      </c>
      <c r="GE496" s="2"/>
      <c r="GF496" s="2">
        <v>-63843540</v>
      </c>
      <c r="GG496" s="2">
        <v>2</v>
      </c>
      <c r="GH496" s="2">
        <v>1</v>
      </c>
      <c r="GI496" s="2">
        <v>2</v>
      </c>
      <c r="GJ496" s="2">
        <v>0</v>
      </c>
      <c r="GK496" s="2">
        <v>0</v>
      </c>
      <c r="GL496" s="2">
        <f t="shared" ref="GL496:GL527" si="406">ROUND(IF(AND(BH496=3,BI496=3,FS496&lt;&gt;0),P496,0),2)</f>
        <v>0</v>
      </c>
      <c r="GM496" s="2">
        <f t="shared" ref="GM496:GM527" si="407">ROUND(O496+X496+Y496,2)+GX496</f>
        <v>64478.83</v>
      </c>
      <c r="GN496" s="2">
        <f t="shared" ref="GN496:GN527" si="408">IF(OR(BI496=0,BI496=1),GM496-GX496,0)</f>
        <v>0</v>
      </c>
      <c r="GO496" s="2">
        <f t="shared" ref="GO496:GO527" si="409">IF(BI496=2,GM496-GX496,0)</f>
        <v>64478.83</v>
      </c>
      <c r="GP496" s="2">
        <f t="shared" ref="GP496:GP527" si="410">IF(BI496=4,GM496-GX496,0)</f>
        <v>0</v>
      </c>
      <c r="GQ496" s="2"/>
      <c r="GR496" s="2">
        <v>0</v>
      </c>
      <c r="GS496" s="2">
        <v>3</v>
      </c>
      <c r="GT496" s="2">
        <v>0</v>
      </c>
      <c r="GU496" s="2" t="s">
        <v>3</v>
      </c>
      <c r="GV496" s="2">
        <f t="shared" ref="GV496:GV527" si="411">ROUND((GT496),6)</f>
        <v>0</v>
      </c>
      <c r="GW496" s="2">
        <v>1</v>
      </c>
      <c r="GX496" s="2">
        <f t="shared" ref="GX496:GX527" si="412">ROUND(HC496*I496,2)</f>
        <v>0</v>
      </c>
      <c r="GY496" s="2"/>
      <c r="GZ496" s="2"/>
      <c r="HA496" s="2">
        <v>0</v>
      </c>
      <c r="HB496" s="2">
        <v>0</v>
      </c>
      <c r="HC496" s="2">
        <f t="shared" ref="HC496:HC527" si="413">GV496*GW496</f>
        <v>0</v>
      </c>
      <c r="HD496" s="2"/>
      <c r="HE496" s="2" t="s">
        <v>3</v>
      </c>
      <c r="HF496" s="2" t="s">
        <v>3</v>
      </c>
      <c r="HG496" s="2"/>
      <c r="HH496" s="2"/>
      <c r="HI496" s="2"/>
      <c r="HJ496" s="2"/>
      <c r="HK496" s="2"/>
      <c r="HL496" s="2"/>
      <c r="HM496" s="2" t="s">
        <v>3</v>
      </c>
      <c r="HN496" s="2" t="s">
        <v>3</v>
      </c>
      <c r="HO496" s="2" t="s">
        <v>3</v>
      </c>
      <c r="HP496" s="2" t="s">
        <v>3</v>
      </c>
      <c r="HQ496" s="2" t="s">
        <v>3</v>
      </c>
      <c r="HR496" s="2"/>
      <c r="HS496" s="2">
        <v>0</v>
      </c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>
        <v>0</v>
      </c>
      <c r="IL496" s="2"/>
      <c r="IM496" s="2"/>
      <c r="IN496" s="2"/>
      <c r="IO496" s="2"/>
      <c r="IP496" s="2"/>
      <c r="IQ496" s="2"/>
      <c r="IR496" s="2"/>
      <c r="IS496" s="2"/>
      <c r="IT496" s="2"/>
      <c r="IU496" s="2"/>
    </row>
    <row r="497" spans="1:255" x14ac:dyDescent="0.25">
      <c r="A497" s="3">
        <v>17</v>
      </c>
      <c r="B497" s="3">
        <v>1</v>
      </c>
      <c r="C497" s="3">
        <f>ROW(SmtRes!A300)</f>
        <v>300</v>
      </c>
      <c r="D497" s="3">
        <f>ROW(EtalonRes!A310)</f>
        <v>310</v>
      </c>
      <c r="E497" s="3" t="s">
        <v>367</v>
      </c>
      <c r="F497" s="3" t="s">
        <v>97</v>
      </c>
      <c r="G497" s="3" t="s">
        <v>98</v>
      </c>
      <c r="H497" s="3" t="s">
        <v>99</v>
      </c>
      <c r="I497" s="3">
        <f>ROUND(5150/100,9)</f>
        <v>51.5</v>
      </c>
      <c r="J497" s="3">
        <v>0</v>
      </c>
      <c r="K497" s="3">
        <f>ROUND(5150/100,9)</f>
        <v>51.5</v>
      </c>
      <c r="O497" s="3">
        <f t="shared" si="389"/>
        <v>1513275.12</v>
      </c>
      <c r="P497" s="3">
        <f t="shared" si="390"/>
        <v>8926.01</v>
      </c>
      <c r="Q497" s="3">
        <f>(ROUND((ROUND((((ET497*1.2))*AV497*I497),2)*BB497),2)+ROUND((ROUND(((AE497-((EU497*1.2)))*AV497*I497),2)*BS497),2))</f>
        <v>4341.9799999999996</v>
      </c>
      <c r="R497" s="3">
        <f>(ROUND((ROUND((((EU497*1.2))*AV497*I497),2)*BS497),2)+ROUND((ROUND(((AE497-((EU497*1.2)))*AV497*I497),2)*BS497),2))</f>
        <v>0</v>
      </c>
      <c r="S497" s="3">
        <f t="shared" si="391"/>
        <v>1500007.13</v>
      </c>
      <c r="T497" s="3">
        <f t="shared" si="392"/>
        <v>0</v>
      </c>
      <c r="U497" s="3">
        <f t="shared" si="393"/>
        <v>2239.4262059999996</v>
      </c>
      <c r="V497" s="3">
        <f t="shared" si="394"/>
        <v>0</v>
      </c>
      <c r="W497" s="3">
        <f t="shared" si="395"/>
        <v>0</v>
      </c>
      <c r="X497" s="3">
        <f>(ROUND((((S497+ROUND((ROUND((((EU497*1.2))*AV497*I497),2)*BS497),2))*AT497)/100),2)+ROUND(((ROUND((ROUND(((AE497-((EU497*1.2)))*AV497*I497),2)*BS497),2)*AT497)/100),2))</f>
        <v>1350006.42</v>
      </c>
      <c r="Y497" s="3">
        <f>(ROUND((((S497+ROUND((ROUND((((EU497*1.2))*AV497*I497),2)*BS497),2))*AU497)/100),2)+ROUND(((ROUND((ROUND(((AE497-((EU497*1.2)))*AV497*I497),2)*BS497),2)*AU497)/100),2))</f>
        <v>690003.28</v>
      </c>
      <c r="AA497" s="3">
        <v>57034454</v>
      </c>
      <c r="AB497" s="3">
        <f t="shared" si="396"/>
        <v>525.45799999999997</v>
      </c>
      <c r="AC497" s="3">
        <f>ROUND(((ES497*1)),6)</f>
        <v>23.39</v>
      </c>
      <c r="AD497" s="3">
        <f>ROUND(((((ET497*1.2))-((EU497*1.2)))+AE497),6)</f>
        <v>8.3879999999999999</v>
      </c>
      <c r="AE497" s="3">
        <f>ROUND(((EU497*1.2)),6)</f>
        <v>0</v>
      </c>
      <c r="AF497" s="3">
        <f>ROUND(((EV497*1.2)),6)</f>
        <v>493.68</v>
      </c>
      <c r="AG497" s="3">
        <f t="shared" si="397"/>
        <v>0</v>
      </c>
      <c r="AH497" s="3">
        <f>((EW497*1.2))</f>
        <v>41.531999999999996</v>
      </c>
      <c r="AI497" s="3">
        <f>((EX497*1.2))</f>
        <v>0</v>
      </c>
      <c r="AJ497" s="3">
        <f t="shared" si="398"/>
        <v>0</v>
      </c>
      <c r="AK497" s="3">
        <v>441.78</v>
      </c>
      <c r="AL497" s="3">
        <v>23.39</v>
      </c>
      <c r="AM497" s="3">
        <v>6.99</v>
      </c>
      <c r="AN497" s="3">
        <v>0</v>
      </c>
      <c r="AO497" s="3">
        <v>411.4</v>
      </c>
      <c r="AP497" s="3">
        <v>0</v>
      </c>
      <c r="AQ497" s="3">
        <v>34.61</v>
      </c>
      <c r="AR497" s="3">
        <v>0</v>
      </c>
      <c r="AS497" s="3">
        <v>0</v>
      </c>
      <c r="AT497" s="3">
        <v>90</v>
      </c>
      <c r="AU497" s="3">
        <v>46</v>
      </c>
      <c r="AV497" s="3">
        <v>1.0469999999999999</v>
      </c>
      <c r="AW497" s="3">
        <v>1</v>
      </c>
      <c r="AZ497" s="3">
        <v>1</v>
      </c>
      <c r="BA497" s="3">
        <v>56.35</v>
      </c>
      <c r="BB497" s="3">
        <v>9.6</v>
      </c>
      <c r="BC497" s="3">
        <v>7.41</v>
      </c>
      <c r="BD497" s="3" t="s">
        <v>3</v>
      </c>
      <c r="BE497" s="3" t="s">
        <v>3</v>
      </c>
      <c r="BF497" s="3" t="s">
        <v>3</v>
      </c>
      <c r="BG497" s="3" t="s">
        <v>3</v>
      </c>
      <c r="BH497" s="3">
        <v>0</v>
      </c>
      <c r="BI497" s="3">
        <v>2</v>
      </c>
      <c r="BJ497" s="3" t="s">
        <v>100</v>
      </c>
      <c r="BM497" s="3">
        <v>68</v>
      </c>
      <c r="BN497" s="3">
        <v>0</v>
      </c>
      <c r="BO497" s="3" t="s">
        <v>97</v>
      </c>
      <c r="BP497" s="3">
        <v>1</v>
      </c>
      <c r="BQ497" s="3">
        <v>40</v>
      </c>
      <c r="BR497" s="3">
        <v>0</v>
      </c>
      <c r="BS497" s="3">
        <v>56.35</v>
      </c>
      <c r="BT497" s="3">
        <v>1</v>
      </c>
      <c r="BU497" s="3">
        <v>1</v>
      </c>
      <c r="BV497" s="3">
        <v>1</v>
      </c>
      <c r="BW497" s="3">
        <v>1</v>
      </c>
      <c r="BX497" s="3">
        <v>1</v>
      </c>
      <c r="BY497" s="3" t="s">
        <v>3</v>
      </c>
      <c r="BZ497" s="3">
        <v>90</v>
      </c>
      <c r="CA497" s="3">
        <v>46</v>
      </c>
      <c r="CB497" s="3" t="s">
        <v>3</v>
      </c>
      <c r="CE497" s="3">
        <v>1566</v>
      </c>
      <c r="CF497" s="3">
        <v>0</v>
      </c>
      <c r="CG497" s="3">
        <v>0</v>
      </c>
      <c r="CM497" s="3">
        <v>0</v>
      </c>
      <c r="CN497" s="3" t="s">
        <v>614</v>
      </c>
      <c r="CO497" s="3">
        <v>0</v>
      </c>
      <c r="CP497" s="3">
        <f t="shared" si="399"/>
        <v>1513275.1199999999</v>
      </c>
      <c r="CQ497" s="3">
        <f t="shared" si="400"/>
        <v>173.32</v>
      </c>
      <c r="CR497" s="3">
        <f>(ROUND((ROUND((((ET497*1.2))*AV497*1),2)*BB497),2)+ROUND((ROUND(((AE497-((EU497*1.2)))*AV497*1),2)*BS497),2))</f>
        <v>84.29</v>
      </c>
      <c r="CS497" s="3">
        <f>(ROUND((ROUND((((EU497*1.2))*AV497*1),2)*BS497),2)+ROUND((ROUND(((AE497-((EU497*1.2)))*AV497*1),2)*BS497),2))</f>
        <v>0</v>
      </c>
      <c r="CT497" s="3">
        <f t="shared" si="401"/>
        <v>29126.19</v>
      </c>
      <c r="CU497" s="3">
        <f t="shared" si="402"/>
        <v>0</v>
      </c>
      <c r="CV497" s="3">
        <f t="shared" si="403"/>
        <v>43.484003999999992</v>
      </c>
      <c r="CW497" s="3">
        <f t="shared" si="404"/>
        <v>0</v>
      </c>
      <c r="CX497" s="3">
        <f t="shared" si="405"/>
        <v>0</v>
      </c>
      <c r="CY497" s="3">
        <f>(ROUND((((S497+ROUND((ROUND((((EU497*1.2))*AV497*1),2)*BS497),2))*AT497)/100),2)+ROUND(((ROUND((ROUND(((AE497-((EU497*1.2)))*AV497*1),2)*BS497),2)*AT497)/100),2))</f>
        <v>1350006.42</v>
      </c>
      <c r="CZ497" s="3">
        <f>(ROUND((((S497+ROUND((ROUND((((EU497*1.2))*AV497*1),2)*BS497),2))*AU497)/100),2)+ROUND(((ROUND((ROUND(((AE497-((EU497*1.2)))*AV497*1),2)*BS497),2)*AU497)/100),2))</f>
        <v>690003.28</v>
      </c>
      <c r="DB497" s="3">
        <v>134</v>
      </c>
      <c r="DC497" s="3" t="s">
        <v>3</v>
      </c>
      <c r="DD497" s="3" t="s">
        <v>104</v>
      </c>
      <c r="DE497" s="3" t="s">
        <v>105</v>
      </c>
      <c r="DF497" s="3" t="s">
        <v>105</v>
      </c>
      <c r="DG497" s="3" t="s">
        <v>105</v>
      </c>
      <c r="DH497" s="3" t="s">
        <v>3</v>
      </c>
      <c r="DI497" s="3" t="s">
        <v>105</v>
      </c>
      <c r="DJ497" s="3" t="s">
        <v>105</v>
      </c>
      <c r="DK497" s="3" t="s">
        <v>3</v>
      </c>
      <c r="DL497" s="3" t="s">
        <v>3</v>
      </c>
      <c r="DM497" s="3" t="s">
        <v>3</v>
      </c>
      <c r="DN497" s="3">
        <v>0</v>
      </c>
      <c r="DO497" s="3">
        <v>0</v>
      </c>
      <c r="DP497" s="3">
        <v>1</v>
      </c>
      <c r="DQ497" s="3">
        <v>1</v>
      </c>
      <c r="DU497" s="3">
        <v>1003</v>
      </c>
      <c r="DV497" s="3" t="s">
        <v>99</v>
      </c>
      <c r="DW497" s="3" t="s">
        <v>99</v>
      </c>
      <c r="DX497" s="3">
        <v>100</v>
      </c>
      <c r="DZ497" s="3" t="s">
        <v>3</v>
      </c>
      <c r="EA497" s="3" t="s">
        <v>3</v>
      </c>
      <c r="EB497" s="3" t="s">
        <v>3</v>
      </c>
      <c r="EC497" s="3" t="s">
        <v>3</v>
      </c>
      <c r="EE497" s="3">
        <v>57042958</v>
      </c>
      <c r="EF497" s="3">
        <v>40</v>
      </c>
      <c r="EG497" s="3" t="s">
        <v>30</v>
      </c>
      <c r="EH497" s="3">
        <v>0</v>
      </c>
      <c r="EI497" s="3" t="s">
        <v>3</v>
      </c>
      <c r="EJ497" s="3">
        <v>2</v>
      </c>
      <c r="EK497" s="3">
        <v>68</v>
      </c>
      <c r="EL497" s="3" t="s">
        <v>38</v>
      </c>
      <c r="EM497" s="3" t="s">
        <v>39</v>
      </c>
      <c r="EO497" s="3" t="s">
        <v>109</v>
      </c>
      <c r="EQ497" s="3">
        <v>0</v>
      </c>
      <c r="ER497" s="3">
        <v>441.78</v>
      </c>
      <c r="ES497" s="3">
        <v>23.39</v>
      </c>
      <c r="ET497" s="3">
        <v>6.99</v>
      </c>
      <c r="EU497" s="3">
        <v>0</v>
      </c>
      <c r="EV497" s="3">
        <v>411.4</v>
      </c>
      <c r="EW497" s="3">
        <v>34.61</v>
      </c>
      <c r="EX497" s="3">
        <v>0</v>
      </c>
      <c r="EY497" s="3">
        <v>0</v>
      </c>
      <c r="FQ497" s="3">
        <v>0</v>
      </c>
      <c r="FR497" s="3">
        <v>0</v>
      </c>
      <c r="FS497" s="3">
        <v>0</v>
      </c>
      <c r="FX497" s="3">
        <v>90</v>
      </c>
      <c r="FY497" s="3">
        <v>46</v>
      </c>
      <c r="GA497" s="3" t="s">
        <v>3</v>
      </c>
      <c r="GD497" s="3">
        <v>1</v>
      </c>
      <c r="GF497" s="3">
        <v>-63843540</v>
      </c>
      <c r="GG497" s="3">
        <v>2</v>
      </c>
      <c r="GH497" s="3">
        <v>1</v>
      </c>
      <c r="GI497" s="3">
        <v>2</v>
      </c>
      <c r="GJ497" s="3">
        <v>0</v>
      </c>
      <c r="GK497" s="3">
        <v>0</v>
      </c>
      <c r="GL497" s="3">
        <f t="shared" si="406"/>
        <v>0</v>
      </c>
      <c r="GM497" s="3">
        <f t="shared" si="407"/>
        <v>3553284.82</v>
      </c>
      <c r="GN497" s="3">
        <f t="shared" si="408"/>
        <v>0</v>
      </c>
      <c r="GO497" s="3">
        <f t="shared" si="409"/>
        <v>3553284.82</v>
      </c>
      <c r="GP497" s="3">
        <f t="shared" si="410"/>
        <v>0</v>
      </c>
      <c r="GR497" s="3">
        <v>0</v>
      </c>
      <c r="GS497" s="3">
        <v>3</v>
      </c>
      <c r="GT497" s="3">
        <v>0</v>
      </c>
      <c r="GU497" s="3" t="s">
        <v>3</v>
      </c>
      <c r="GV497" s="3">
        <f t="shared" si="411"/>
        <v>0</v>
      </c>
      <c r="GW497" s="3">
        <v>1</v>
      </c>
      <c r="GX497" s="3">
        <f t="shared" si="412"/>
        <v>0</v>
      </c>
      <c r="HA497" s="3">
        <v>0</v>
      </c>
      <c r="HB497" s="3">
        <v>0</v>
      </c>
      <c r="HC497" s="3">
        <f t="shared" si="413"/>
        <v>0</v>
      </c>
      <c r="HE497" s="3" t="s">
        <v>3</v>
      </c>
      <c r="HF497" s="3" t="s">
        <v>3</v>
      </c>
      <c r="HM497" s="3" t="s">
        <v>3</v>
      </c>
      <c r="HN497" s="3" t="s">
        <v>3</v>
      </c>
      <c r="HO497" s="3" t="s">
        <v>3</v>
      </c>
      <c r="HP497" s="3" t="s">
        <v>3</v>
      </c>
      <c r="HQ497" s="3" t="s">
        <v>3</v>
      </c>
      <c r="HS497" s="3">
        <v>0</v>
      </c>
      <c r="IK497" s="3">
        <v>0</v>
      </c>
    </row>
    <row r="498" spans="1:255" x14ac:dyDescent="0.25">
      <c r="A498" s="2">
        <v>18</v>
      </c>
      <c r="B498" s="2">
        <v>1</v>
      </c>
      <c r="C498" s="2">
        <v>290</v>
      </c>
      <c r="D498" s="2"/>
      <c r="E498" s="2" t="s">
        <v>368</v>
      </c>
      <c r="F498" s="2" t="s">
        <v>369</v>
      </c>
      <c r="G498" s="2" t="s">
        <v>370</v>
      </c>
      <c r="H498" s="2" t="s">
        <v>371</v>
      </c>
      <c r="I498" s="2">
        <f>I496*J498</f>
        <v>5253</v>
      </c>
      <c r="J498" s="2">
        <v>102</v>
      </c>
      <c r="K498" s="2">
        <v>102</v>
      </c>
      <c r="L498" s="2"/>
      <c r="M498" s="2"/>
      <c r="N498" s="2"/>
      <c r="O498" s="2">
        <f t="shared" si="389"/>
        <v>18122.849999999999</v>
      </c>
      <c r="P498" s="2">
        <f t="shared" si="390"/>
        <v>18122.849999999999</v>
      </c>
      <c r="Q498" s="2">
        <f t="shared" ref="Q498:Q515" si="414">(ROUND((ROUND(((ET498)*AV498*I498),2)*BB498),2)+ROUND((ROUND(((AE498-(EU498))*AV498*I498),2)*BS498),2))</f>
        <v>0</v>
      </c>
      <c r="R498" s="2">
        <f t="shared" ref="R498:R515" si="415">(ROUND((ROUND(((EU498)*AV498*I498),2)*BS498),2)+ROUND((ROUND(((AE498-(EU498))*AV498*I498),2)*BS498),2))</f>
        <v>0</v>
      </c>
      <c r="S498" s="2">
        <f t="shared" si="391"/>
        <v>0</v>
      </c>
      <c r="T498" s="2">
        <f t="shared" si="392"/>
        <v>0</v>
      </c>
      <c r="U498" s="2">
        <f t="shared" si="393"/>
        <v>0</v>
      </c>
      <c r="V498" s="2">
        <f t="shared" si="394"/>
        <v>0</v>
      </c>
      <c r="W498" s="2">
        <f t="shared" si="395"/>
        <v>0</v>
      </c>
      <c r="X498" s="2">
        <f t="shared" ref="X498:X515" si="416">(ROUND((((S498+ROUND((ROUND(((EU498)*AV498*I498),2)*BS498),2))*AT498)/100),2)+ROUND(((ROUND((ROUND(((AE498-(EU498))*AV498*I498),2)*BS498),2)*AT498)/100),2))</f>
        <v>0</v>
      </c>
      <c r="Y498" s="2">
        <f t="shared" ref="Y498:Y515" si="417">(ROUND((((S498+ROUND((ROUND(((EU498)*AV498*I498),2)*BS498),2))*AU498)/100),2)+ROUND(((ROUND((ROUND(((AE498-(EU498))*AV498*I498),2)*BS498),2)*AU498)/100),2))</f>
        <v>0</v>
      </c>
      <c r="Z498" s="2"/>
      <c r="AA498" s="2">
        <v>57034452</v>
      </c>
      <c r="AB498" s="2">
        <f t="shared" si="396"/>
        <v>3.45</v>
      </c>
      <c r="AC498" s="2">
        <f t="shared" ref="AC498:AC515" si="418">ROUND((ES498),6)</f>
        <v>3.45</v>
      </c>
      <c r="AD498" s="2">
        <f t="shared" ref="AD498:AD515" si="419">ROUND((((ET498)-(EU498))+AE498),6)</f>
        <v>0</v>
      </c>
      <c r="AE498" s="2">
        <f t="shared" ref="AE498:AE515" si="420">ROUND((EU498),6)</f>
        <v>0</v>
      </c>
      <c r="AF498" s="2">
        <f t="shared" ref="AF498:AF515" si="421">ROUND((EV498),6)</f>
        <v>0</v>
      </c>
      <c r="AG498" s="2">
        <f t="shared" si="397"/>
        <v>0</v>
      </c>
      <c r="AH498" s="2">
        <f t="shared" ref="AH498:AH515" si="422">(EW498)</f>
        <v>0</v>
      </c>
      <c r="AI498" s="2">
        <f t="shared" ref="AI498:AI515" si="423">(EX498)</f>
        <v>0</v>
      </c>
      <c r="AJ498" s="2">
        <f t="shared" si="398"/>
        <v>0</v>
      </c>
      <c r="AK498" s="2">
        <v>3.45</v>
      </c>
      <c r="AL498" s="2">
        <v>3.45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90</v>
      </c>
      <c r="AU498" s="2">
        <v>46</v>
      </c>
      <c r="AV498" s="2">
        <v>1</v>
      </c>
      <c r="AW498" s="2">
        <v>1</v>
      </c>
      <c r="AX498" s="2"/>
      <c r="AY498" s="2"/>
      <c r="AZ498" s="2">
        <v>1</v>
      </c>
      <c r="BA498" s="2">
        <v>1</v>
      </c>
      <c r="BB498" s="2">
        <v>1</v>
      </c>
      <c r="BC498" s="2">
        <v>1</v>
      </c>
      <c r="BD498" s="2" t="s">
        <v>3</v>
      </c>
      <c r="BE498" s="2" t="s">
        <v>3</v>
      </c>
      <c r="BF498" s="2" t="s">
        <v>3</v>
      </c>
      <c r="BG498" s="2" t="s">
        <v>3</v>
      </c>
      <c r="BH498" s="2">
        <v>3</v>
      </c>
      <c r="BI498" s="2">
        <v>2</v>
      </c>
      <c r="BJ498" s="2" t="s">
        <v>372</v>
      </c>
      <c r="BK498" s="2"/>
      <c r="BL498" s="2"/>
      <c r="BM498" s="2">
        <v>68</v>
      </c>
      <c r="BN498" s="2">
        <v>0</v>
      </c>
      <c r="BO498" s="2" t="s">
        <v>3</v>
      </c>
      <c r="BP498" s="2">
        <v>0</v>
      </c>
      <c r="BQ498" s="2">
        <v>40</v>
      </c>
      <c r="BR498" s="2">
        <v>0</v>
      </c>
      <c r="BS498" s="2">
        <v>1</v>
      </c>
      <c r="BT498" s="2">
        <v>1</v>
      </c>
      <c r="BU498" s="2">
        <v>1</v>
      </c>
      <c r="BV498" s="2">
        <v>1</v>
      </c>
      <c r="BW498" s="2">
        <v>1</v>
      </c>
      <c r="BX498" s="2">
        <v>1</v>
      </c>
      <c r="BY498" s="2" t="s">
        <v>3</v>
      </c>
      <c r="BZ498" s="2">
        <v>90</v>
      </c>
      <c r="CA498" s="2">
        <v>46</v>
      </c>
      <c r="CB498" s="2" t="s">
        <v>3</v>
      </c>
      <c r="CC498" s="2"/>
      <c r="CD498" s="2"/>
      <c r="CE498" s="2">
        <v>1566</v>
      </c>
      <c r="CF498" s="2">
        <v>0</v>
      </c>
      <c r="CG498" s="2">
        <v>0</v>
      </c>
      <c r="CH498" s="2"/>
      <c r="CI498" s="2"/>
      <c r="CJ498" s="2"/>
      <c r="CK498" s="2"/>
      <c r="CL498" s="2"/>
      <c r="CM498" s="2">
        <v>0</v>
      </c>
      <c r="CN498" s="2" t="s">
        <v>615</v>
      </c>
      <c r="CO498" s="2">
        <v>0</v>
      </c>
      <c r="CP498" s="2">
        <f t="shared" si="399"/>
        <v>18122.849999999999</v>
      </c>
      <c r="CQ498" s="2">
        <f t="shared" si="400"/>
        <v>3.45</v>
      </c>
      <c r="CR498" s="2">
        <f t="shared" ref="CR498:CR515" si="424">(ROUND((ROUND(((ET498)*AV498*1),2)*BB498),2)+ROUND((ROUND(((AE498-(EU498))*AV498*1),2)*BS498),2))</f>
        <v>0</v>
      </c>
      <c r="CS498" s="2">
        <f t="shared" ref="CS498:CS515" si="425">(ROUND((ROUND(((EU498)*AV498*1),2)*BS498),2)+ROUND((ROUND(((AE498-(EU498))*AV498*1),2)*BS498),2))</f>
        <v>0</v>
      </c>
      <c r="CT498" s="2">
        <f t="shared" si="401"/>
        <v>0</v>
      </c>
      <c r="CU498" s="2">
        <f t="shared" si="402"/>
        <v>0</v>
      </c>
      <c r="CV498" s="2">
        <f t="shared" si="403"/>
        <v>0</v>
      </c>
      <c r="CW498" s="2">
        <f t="shared" si="404"/>
        <v>0</v>
      </c>
      <c r="CX498" s="2">
        <f t="shared" si="405"/>
        <v>0</v>
      </c>
      <c r="CY498" s="2">
        <f t="shared" ref="CY498:CY515" si="426">(ROUND((((S498+ROUND((ROUND(((EU498)*AV498*1),2)*BS498),2))*AT498)/100),2)+ROUND(((ROUND((ROUND(((AE498-(EU498))*AV498*1),2)*BS498),2)*AT498)/100),2))</f>
        <v>0</v>
      </c>
      <c r="CZ498" s="2">
        <f t="shared" ref="CZ498:CZ515" si="427">(ROUND((((S498+ROUND((ROUND(((EU498)*AV498*1),2)*BS498),2))*AU498)/100),2)+ROUND(((ROUND((ROUND(((AE498-(EU498))*AV498*1),2)*BS498),2)*AU498)/100),2))</f>
        <v>0</v>
      </c>
      <c r="DA498" s="2"/>
      <c r="DB498" s="2"/>
      <c r="DC498" s="2" t="s">
        <v>3</v>
      </c>
      <c r="DD498" s="2" t="s">
        <v>3</v>
      </c>
      <c r="DE498" s="2" t="s">
        <v>3</v>
      </c>
      <c r="DF498" s="2" t="s">
        <v>3</v>
      </c>
      <c r="DG498" s="2" t="s">
        <v>3</v>
      </c>
      <c r="DH498" s="2" t="s">
        <v>3</v>
      </c>
      <c r="DI498" s="2" t="s">
        <v>3</v>
      </c>
      <c r="DJ498" s="2" t="s">
        <v>3</v>
      </c>
      <c r="DK498" s="2" t="s">
        <v>3</v>
      </c>
      <c r="DL498" s="2" t="s">
        <v>3</v>
      </c>
      <c r="DM498" s="2" t="s">
        <v>3</v>
      </c>
      <c r="DN498" s="2">
        <v>0</v>
      </c>
      <c r="DO498" s="2">
        <v>0</v>
      </c>
      <c r="DP498" s="2">
        <v>1</v>
      </c>
      <c r="DQ498" s="2">
        <v>1</v>
      </c>
      <c r="DR498" s="2"/>
      <c r="DS498" s="2"/>
      <c r="DT498" s="2"/>
      <c r="DU498" s="2">
        <v>1003</v>
      </c>
      <c r="DV498" s="2" t="s">
        <v>371</v>
      </c>
      <c r="DW498" s="2" t="s">
        <v>371</v>
      </c>
      <c r="DX498" s="2">
        <v>1</v>
      </c>
      <c r="DY498" s="2"/>
      <c r="DZ498" s="2" t="s">
        <v>3</v>
      </c>
      <c r="EA498" s="2" t="s">
        <v>3</v>
      </c>
      <c r="EB498" s="2" t="s">
        <v>3</v>
      </c>
      <c r="EC498" s="2" t="s">
        <v>3</v>
      </c>
      <c r="ED498" s="2"/>
      <c r="EE498" s="2">
        <v>57042958</v>
      </c>
      <c r="EF498" s="2">
        <v>40</v>
      </c>
      <c r="EG498" s="2" t="s">
        <v>30</v>
      </c>
      <c r="EH498" s="2">
        <v>0</v>
      </c>
      <c r="EI498" s="2" t="s">
        <v>3</v>
      </c>
      <c r="EJ498" s="2">
        <v>2</v>
      </c>
      <c r="EK498" s="2">
        <v>68</v>
      </c>
      <c r="EL498" s="2" t="s">
        <v>38</v>
      </c>
      <c r="EM498" s="2" t="s">
        <v>39</v>
      </c>
      <c r="EN498" s="2"/>
      <c r="EO498" s="2" t="s">
        <v>109</v>
      </c>
      <c r="EP498" s="2"/>
      <c r="EQ498" s="2">
        <v>0</v>
      </c>
      <c r="ER498" s="2">
        <v>3.45</v>
      </c>
      <c r="ES498" s="2">
        <v>3.45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>
        <v>0</v>
      </c>
      <c r="FR498" s="2">
        <v>0</v>
      </c>
      <c r="FS498" s="2">
        <v>0</v>
      </c>
      <c r="FT498" s="2"/>
      <c r="FU498" s="2"/>
      <c r="FV498" s="2"/>
      <c r="FW498" s="2"/>
      <c r="FX498" s="2">
        <v>90</v>
      </c>
      <c r="FY498" s="2">
        <v>46</v>
      </c>
      <c r="FZ498" s="2"/>
      <c r="GA498" s="2" t="s">
        <v>3</v>
      </c>
      <c r="GB498" s="2"/>
      <c r="GC498" s="2"/>
      <c r="GD498" s="2">
        <v>1</v>
      </c>
      <c r="GE498" s="2"/>
      <c r="GF498" s="2">
        <v>1194371439</v>
      </c>
      <c r="GG498" s="2">
        <v>2</v>
      </c>
      <c r="GH498" s="2">
        <v>1</v>
      </c>
      <c r="GI498" s="2">
        <v>-2</v>
      </c>
      <c r="GJ498" s="2">
        <v>0</v>
      </c>
      <c r="GK498" s="2">
        <v>0</v>
      </c>
      <c r="GL498" s="2">
        <f t="shared" si="406"/>
        <v>0</v>
      </c>
      <c r="GM498" s="2">
        <f t="shared" si="407"/>
        <v>18122.849999999999</v>
      </c>
      <c r="GN498" s="2">
        <f t="shared" si="408"/>
        <v>0</v>
      </c>
      <c r="GO498" s="2">
        <f t="shared" si="409"/>
        <v>18122.849999999999</v>
      </c>
      <c r="GP498" s="2">
        <f t="shared" si="410"/>
        <v>0</v>
      </c>
      <c r="GQ498" s="2"/>
      <c r="GR498" s="2">
        <v>0</v>
      </c>
      <c r="GS498" s="2">
        <v>3</v>
      </c>
      <c r="GT498" s="2">
        <v>0</v>
      </c>
      <c r="GU498" s="2" t="s">
        <v>3</v>
      </c>
      <c r="GV498" s="2">
        <f t="shared" si="411"/>
        <v>0</v>
      </c>
      <c r="GW498" s="2">
        <v>1</v>
      </c>
      <c r="GX498" s="2">
        <f t="shared" si="412"/>
        <v>0</v>
      </c>
      <c r="GY498" s="2"/>
      <c r="GZ498" s="2"/>
      <c r="HA498" s="2">
        <v>0</v>
      </c>
      <c r="HB498" s="2">
        <v>0</v>
      </c>
      <c r="HC498" s="2">
        <f t="shared" si="413"/>
        <v>0</v>
      </c>
      <c r="HD498" s="2"/>
      <c r="HE498" s="2" t="s">
        <v>3</v>
      </c>
      <c r="HF498" s="2" t="s">
        <v>3</v>
      </c>
      <c r="HG498" s="2"/>
      <c r="HH498" s="2"/>
      <c r="HI498" s="2"/>
      <c r="HJ498" s="2"/>
      <c r="HK498" s="2"/>
      <c r="HL498" s="2"/>
      <c r="HM498" s="2" t="s">
        <v>3</v>
      </c>
      <c r="HN498" s="2" t="s">
        <v>3</v>
      </c>
      <c r="HO498" s="2" t="s">
        <v>3</v>
      </c>
      <c r="HP498" s="2" t="s">
        <v>3</v>
      </c>
      <c r="HQ498" s="2" t="s">
        <v>3</v>
      </c>
      <c r="HR498" s="2"/>
      <c r="HS498" s="2">
        <v>0</v>
      </c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>
        <v>0</v>
      </c>
      <c r="IL498" s="2"/>
      <c r="IM498" s="2"/>
      <c r="IN498" s="2"/>
      <c r="IO498" s="2"/>
      <c r="IP498" s="2"/>
      <c r="IQ498" s="2"/>
      <c r="IR498" s="2"/>
      <c r="IS498" s="2"/>
      <c r="IT498" s="2"/>
      <c r="IU498" s="2"/>
    </row>
    <row r="499" spans="1:255" x14ac:dyDescent="0.25">
      <c r="A499" s="3">
        <v>18</v>
      </c>
      <c r="B499" s="3">
        <v>1</v>
      </c>
      <c r="C499" s="3">
        <v>297</v>
      </c>
      <c r="E499" s="3" t="s">
        <v>368</v>
      </c>
      <c r="F499" s="3" t="s">
        <v>369</v>
      </c>
      <c r="G499" s="3" t="s">
        <v>370</v>
      </c>
      <c r="H499" s="3" t="s">
        <v>371</v>
      </c>
      <c r="I499" s="3">
        <f>I497*J499</f>
        <v>5253</v>
      </c>
      <c r="J499" s="3">
        <v>102</v>
      </c>
      <c r="K499" s="3">
        <v>102</v>
      </c>
      <c r="O499" s="3">
        <f t="shared" si="389"/>
        <v>68685.600000000006</v>
      </c>
      <c r="P499" s="3">
        <f t="shared" si="390"/>
        <v>68685.600000000006</v>
      </c>
      <c r="Q499" s="3">
        <f t="shared" si="414"/>
        <v>0</v>
      </c>
      <c r="R499" s="3">
        <f t="shared" si="415"/>
        <v>0</v>
      </c>
      <c r="S499" s="3">
        <f t="shared" si="391"/>
        <v>0</v>
      </c>
      <c r="T499" s="3">
        <f t="shared" si="392"/>
        <v>0</v>
      </c>
      <c r="U499" s="3">
        <f t="shared" si="393"/>
        <v>0</v>
      </c>
      <c r="V499" s="3">
        <f t="shared" si="394"/>
        <v>0</v>
      </c>
      <c r="W499" s="3">
        <f t="shared" si="395"/>
        <v>0</v>
      </c>
      <c r="X499" s="3">
        <f t="shared" si="416"/>
        <v>0</v>
      </c>
      <c r="Y499" s="3">
        <f t="shared" si="417"/>
        <v>0</v>
      </c>
      <c r="AA499" s="3">
        <v>57034454</v>
      </c>
      <c r="AB499" s="3">
        <f t="shared" si="396"/>
        <v>3.45</v>
      </c>
      <c r="AC499" s="3">
        <f t="shared" si="418"/>
        <v>3.45</v>
      </c>
      <c r="AD499" s="3">
        <f t="shared" si="419"/>
        <v>0</v>
      </c>
      <c r="AE499" s="3">
        <f t="shared" si="420"/>
        <v>0</v>
      </c>
      <c r="AF499" s="3">
        <f t="shared" si="421"/>
        <v>0</v>
      </c>
      <c r="AG499" s="3">
        <f t="shared" si="397"/>
        <v>0</v>
      </c>
      <c r="AH499" s="3">
        <f t="shared" si="422"/>
        <v>0</v>
      </c>
      <c r="AI499" s="3">
        <f t="shared" si="423"/>
        <v>0</v>
      </c>
      <c r="AJ499" s="3">
        <f t="shared" si="398"/>
        <v>0</v>
      </c>
      <c r="AK499" s="3">
        <v>3.45</v>
      </c>
      <c r="AL499" s="3">
        <v>3.45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90</v>
      </c>
      <c r="AU499" s="3">
        <v>46</v>
      </c>
      <c r="AV499" s="3">
        <v>1</v>
      </c>
      <c r="AW499" s="3">
        <v>1</v>
      </c>
      <c r="AZ499" s="3">
        <v>1</v>
      </c>
      <c r="BA499" s="3">
        <v>1</v>
      </c>
      <c r="BB499" s="3">
        <v>1</v>
      </c>
      <c r="BC499" s="3">
        <v>3.79</v>
      </c>
      <c r="BD499" s="3" t="s">
        <v>3</v>
      </c>
      <c r="BE499" s="3" t="s">
        <v>3</v>
      </c>
      <c r="BF499" s="3" t="s">
        <v>3</v>
      </c>
      <c r="BG499" s="3" t="s">
        <v>3</v>
      </c>
      <c r="BH499" s="3">
        <v>3</v>
      </c>
      <c r="BI499" s="3">
        <v>2</v>
      </c>
      <c r="BJ499" s="3" t="s">
        <v>372</v>
      </c>
      <c r="BM499" s="3">
        <v>68</v>
      </c>
      <c r="BN499" s="3">
        <v>0</v>
      </c>
      <c r="BO499" s="3" t="s">
        <v>369</v>
      </c>
      <c r="BP499" s="3">
        <v>1</v>
      </c>
      <c r="BQ499" s="3">
        <v>40</v>
      </c>
      <c r="BR499" s="3">
        <v>0</v>
      </c>
      <c r="BS499" s="3">
        <v>1</v>
      </c>
      <c r="BT499" s="3">
        <v>1</v>
      </c>
      <c r="BU499" s="3">
        <v>1</v>
      </c>
      <c r="BV499" s="3">
        <v>1</v>
      </c>
      <c r="BW499" s="3">
        <v>1</v>
      </c>
      <c r="BX499" s="3">
        <v>1</v>
      </c>
      <c r="BY499" s="3" t="s">
        <v>3</v>
      </c>
      <c r="BZ499" s="3">
        <v>90</v>
      </c>
      <c r="CA499" s="3">
        <v>46</v>
      </c>
      <c r="CB499" s="3" t="s">
        <v>3</v>
      </c>
      <c r="CE499" s="3">
        <v>1566</v>
      </c>
      <c r="CF499" s="3">
        <v>0</v>
      </c>
      <c r="CG499" s="3">
        <v>0</v>
      </c>
      <c r="CM499" s="3">
        <v>0</v>
      </c>
      <c r="CN499" s="3" t="s">
        <v>615</v>
      </c>
      <c r="CO499" s="3">
        <v>0</v>
      </c>
      <c r="CP499" s="3">
        <f t="shared" si="399"/>
        <v>68685.600000000006</v>
      </c>
      <c r="CQ499" s="3">
        <f t="shared" si="400"/>
        <v>13.08</v>
      </c>
      <c r="CR499" s="3">
        <f t="shared" si="424"/>
        <v>0</v>
      </c>
      <c r="CS499" s="3">
        <f t="shared" si="425"/>
        <v>0</v>
      </c>
      <c r="CT499" s="3">
        <f t="shared" si="401"/>
        <v>0</v>
      </c>
      <c r="CU499" s="3">
        <f t="shared" si="402"/>
        <v>0</v>
      </c>
      <c r="CV499" s="3">
        <f t="shared" si="403"/>
        <v>0</v>
      </c>
      <c r="CW499" s="3">
        <f t="shared" si="404"/>
        <v>0</v>
      </c>
      <c r="CX499" s="3">
        <f t="shared" si="405"/>
        <v>0</v>
      </c>
      <c r="CY499" s="3">
        <f t="shared" si="426"/>
        <v>0</v>
      </c>
      <c r="CZ499" s="3">
        <f t="shared" si="427"/>
        <v>0</v>
      </c>
      <c r="DC499" s="3" t="s">
        <v>3</v>
      </c>
      <c r="DD499" s="3" t="s">
        <v>3</v>
      </c>
      <c r="DE499" s="3" t="s">
        <v>3</v>
      </c>
      <c r="DF499" s="3" t="s">
        <v>3</v>
      </c>
      <c r="DG499" s="3" t="s">
        <v>3</v>
      </c>
      <c r="DH499" s="3" t="s">
        <v>3</v>
      </c>
      <c r="DI499" s="3" t="s">
        <v>3</v>
      </c>
      <c r="DJ499" s="3" t="s">
        <v>3</v>
      </c>
      <c r="DK499" s="3" t="s">
        <v>3</v>
      </c>
      <c r="DL499" s="3" t="s">
        <v>3</v>
      </c>
      <c r="DM499" s="3" t="s">
        <v>3</v>
      </c>
      <c r="DN499" s="3">
        <v>0</v>
      </c>
      <c r="DO499" s="3">
        <v>0</v>
      </c>
      <c r="DP499" s="3">
        <v>1</v>
      </c>
      <c r="DQ499" s="3">
        <v>1</v>
      </c>
      <c r="DU499" s="3">
        <v>1003</v>
      </c>
      <c r="DV499" s="3" t="s">
        <v>371</v>
      </c>
      <c r="DW499" s="3" t="s">
        <v>371</v>
      </c>
      <c r="DX499" s="3">
        <v>1</v>
      </c>
      <c r="DZ499" s="3" t="s">
        <v>3</v>
      </c>
      <c r="EA499" s="3" t="s">
        <v>3</v>
      </c>
      <c r="EB499" s="3" t="s">
        <v>3</v>
      </c>
      <c r="EC499" s="3" t="s">
        <v>3</v>
      </c>
      <c r="EE499" s="3">
        <v>57042958</v>
      </c>
      <c r="EF499" s="3">
        <v>40</v>
      </c>
      <c r="EG499" s="3" t="s">
        <v>30</v>
      </c>
      <c r="EH499" s="3">
        <v>0</v>
      </c>
      <c r="EI499" s="3" t="s">
        <v>3</v>
      </c>
      <c r="EJ499" s="3">
        <v>2</v>
      </c>
      <c r="EK499" s="3">
        <v>68</v>
      </c>
      <c r="EL499" s="3" t="s">
        <v>38</v>
      </c>
      <c r="EM499" s="3" t="s">
        <v>39</v>
      </c>
      <c r="EO499" s="3" t="s">
        <v>109</v>
      </c>
      <c r="EQ499" s="3">
        <v>0</v>
      </c>
      <c r="ER499" s="3">
        <v>3.45</v>
      </c>
      <c r="ES499" s="3">
        <v>3.45</v>
      </c>
      <c r="ET499" s="3">
        <v>0</v>
      </c>
      <c r="EU499" s="3">
        <v>0</v>
      </c>
      <c r="EV499" s="3">
        <v>0</v>
      </c>
      <c r="EW499" s="3">
        <v>0</v>
      </c>
      <c r="EX499" s="3">
        <v>0</v>
      </c>
      <c r="FQ499" s="3">
        <v>0</v>
      </c>
      <c r="FR499" s="3">
        <v>0</v>
      </c>
      <c r="FS499" s="3">
        <v>0</v>
      </c>
      <c r="FX499" s="3">
        <v>90</v>
      </c>
      <c r="FY499" s="3">
        <v>46</v>
      </c>
      <c r="GA499" s="3" t="s">
        <v>3</v>
      </c>
      <c r="GD499" s="3">
        <v>1</v>
      </c>
      <c r="GF499" s="3">
        <v>1194371439</v>
      </c>
      <c r="GG499" s="3">
        <v>2</v>
      </c>
      <c r="GH499" s="3">
        <v>1</v>
      </c>
      <c r="GI499" s="3">
        <v>2</v>
      </c>
      <c r="GJ499" s="3">
        <v>0</v>
      </c>
      <c r="GK499" s="3">
        <v>0</v>
      </c>
      <c r="GL499" s="3">
        <f t="shared" si="406"/>
        <v>0</v>
      </c>
      <c r="GM499" s="3">
        <f t="shared" si="407"/>
        <v>68685.600000000006</v>
      </c>
      <c r="GN499" s="3">
        <f t="shared" si="408"/>
        <v>0</v>
      </c>
      <c r="GO499" s="3">
        <f t="shared" si="409"/>
        <v>68685.600000000006</v>
      </c>
      <c r="GP499" s="3">
        <f t="shared" si="410"/>
        <v>0</v>
      </c>
      <c r="GR499" s="3">
        <v>0</v>
      </c>
      <c r="GS499" s="3">
        <v>3</v>
      </c>
      <c r="GT499" s="3">
        <v>0</v>
      </c>
      <c r="GU499" s="3" t="s">
        <v>3</v>
      </c>
      <c r="GV499" s="3">
        <f t="shared" si="411"/>
        <v>0</v>
      </c>
      <c r="GW499" s="3">
        <v>1</v>
      </c>
      <c r="GX499" s="3">
        <f t="shared" si="412"/>
        <v>0</v>
      </c>
      <c r="HA499" s="3">
        <v>0</v>
      </c>
      <c r="HB499" s="3">
        <v>0</v>
      </c>
      <c r="HC499" s="3">
        <f t="shared" si="413"/>
        <v>0</v>
      </c>
      <c r="HE499" s="3" t="s">
        <v>3</v>
      </c>
      <c r="HF499" s="3" t="s">
        <v>3</v>
      </c>
      <c r="HM499" s="3" t="s">
        <v>3</v>
      </c>
      <c r="HN499" s="3" t="s">
        <v>3</v>
      </c>
      <c r="HO499" s="3" t="s">
        <v>3</v>
      </c>
      <c r="HP499" s="3" t="s">
        <v>3</v>
      </c>
      <c r="HQ499" s="3" t="s">
        <v>3</v>
      </c>
      <c r="HS499" s="3">
        <v>0</v>
      </c>
      <c r="IK499" s="3">
        <v>0</v>
      </c>
    </row>
    <row r="500" spans="1:255" x14ac:dyDescent="0.25">
      <c r="A500" s="2">
        <v>17</v>
      </c>
      <c r="B500" s="2">
        <v>1</v>
      </c>
      <c r="C500" s="2"/>
      <c r="D500" s="2"/>
      <c r="E500" s="2" t="s">
        <v>3</v>
      </c>
      <c r="F500" s="2" t="s">
        <v>373</v>
      </c>
      <c r="G500" s="2" t="s">
        <v>374</v>
      </c>
      <c r="H500" s="2" t="s">
        <v>177</v>
      </c>
      <c r="I500" s="2">
        <v>12900</v>
      </c>
      <c r="J500" s="2">
        <v>0</v>
      </c>
      <c r="K500" s="2">
        <v>12900</v>
      </c>
      <c r="L500" s="2"/>
      <c r="M500" s="2"/>
      <c r="N500" s="2"/>
      <c r="O500" s="2">
        <f t="shared" si="389"/>
        <v>223557</v>
      </c>
      <c r="P500" s="2">
        <f t="shared" si="390"/>
        <v>223557</v>
      </c>
      <c r="Q500" s="2">
        <f t="shared" si="414"/>
        <v>0</v>
      </c>
      <c r="R500" s="2">
        <f t="shared" si="415"/>
        <v>0</v>
      </c>
      <c r="S500" s="2">
        <f t="shared" si="391"/>
        <v>0</v>
      </c>
      <c r="T500" s="2">
        <f t="shared" si="392"/>
        <v>0</v>
      </c>
      <c r="U500" s="2">
        <f t="shared" si="393"/>
        <v>0</v>
      </c>
      <c r="V500" s="2">
        <f t="shared" si="394"/>
        <v>0</v>
      </c>
      <c r="W500" s="2">
        <f t="shared" si="395"/>
        <v>0</v>
      </c>
      <c r="X500" s="2">
        <f t="shared" si="416"/>
        <v>0</v>
      </c>
      <c r="Y500" s="2">
        <f t="shared" si="417"/>
        <v>0</v>
      </c>
      <c r="Z500" s="2"/>
      <c r="AA500" s="2">
        <v>-1</v>
      </c>
      <c r="AB500" s="2">
        <f t="shared" si="396"/>
        <v>17.329999999999998</v>
      </c>
      <c r="AC500" s="2">
        <f t="shared" si="418"/>
        <v>17.329999999999998</v>
      </c>
      <c r="AD500" s="2">
        <f t="shared" si="419"/>
        <v>0</v>
      </c>
      <c r="AE500" s="2">
        <f t="shared" si="420"/>
        <v>0</v>
      </c>
      <c r="AF500" s="2">
        <f t="shared" si="421"/>
        <v>0</v>
      </c>
      <c r="AG500" s="2">
        <f t="shared" si="397"/>
        <v>0</v>
      </c>
      <c r="AH500" s="2">
        <f t="shared" si="422"/>
        <v>0</v>
      </c>
      <c r="AI500" s="2">
        <f t="shared" si="423"/>
        <v>0</v>
      </c>
      <c r="AJ500" s="2">
        <f t="shared" si="398"/>
        <v>0</v>
      </c>
      <c r="AK500" s="2">
        <v>17.329999999999998</v>
      </c>
      <c r="AL500" s="2">
        <v>17.329999999999998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1</v>
      </c>
      <c r="AW500" s="2">
        <v>1</v>
      </c>
      <c r="AX500" s="2"/>
      <c r="AY500" s="2"/>
      <c r="AZ500" s="2">
        <v>1</v>
      </c>
      <c r="BA500" s="2">
        <v>1</v>
      </c>
      <c r="BB500" s="2">
        <v>1</v>
      </c>
      <c r="BC500" s="2">
        <v>1</v>
      </c>
      <c r="BD500" s="2" t="s">
        <v>3</v>
      </c>
      <c r="BE500" s="2" t="s">
        <v>3</v>
      </c>
      <c r="BF500" s="2" t="s">
        <v>3</v>
      </c>
      <c r="BG500" s="2" t="s">
        <v>3</v>
      </c>
      <c r="BH500" s="2">
        <v>3</v>
      </c>
      <c r="BI500" s="2">
        <v>1</v>
      </c>
      <c r="BJ500" s="2" t="s">
        <v>375</v>
      </c>
      <c r="BK500" s="2"/>
      <c r="BL500" s="2"/>
      <c r="BM500" s="2">
        <v>1617</v>
      </c>
      <c r="BN500" s="2">
        <v>0</v>
      </c>
      <c r="BO500" s="2" t="s">
        <v>3</v>
      </c>
      <c r="BP500" s="2">
        <v>0</v>
      </c>
      <c r="BQ500" s="2">
        <v>200</v>
      </c>
      <c r="BR500" s="2">
        <v>0</v>
      </c>
      <c r="BS500" s="2">
        <v>1</v>
      </c>
      <c r="BT500" s="2">
        <v>1</v>
      </c>
      <c r="BU500" s="2">
        <v>1</v>
      </c>
      <c r="BV500" s="2">
        <v>1</v>
      </c>
      <c r="BW500" s="2">
        <v>1</v>
      </c>
      <c r="BX500" s="2">
        <v>1</v>
      </c>
      <c r="BY500" s="2" t="s">
        <v>3</v>
      </c>
      <c r="BZ500" s="2">
        <v>0</v>
      </c>
      <c r="CA500" s="2">
        <v>0</v>
      </c>
      <c r="CB500" s="2" t="s">
        <v>3</v>
      </c>
      <c r="CC500" s="2"/>
      <c r="CD500" s="2"/>
      <c r="CE500" s="2">
        <v>1566</v>
      </c>
      <c r="CF500" s="2">
        <v>0</v>
      </c>
      <c r="CG500" s="2">
        <v>0</v>
      </c>
      <c r="CH500" s="2"/>
      <c r="CI500" s="2"/>
      <c r="CJ500" s="2"/>
      <c r="CK500" s="2"/>
      <c r="CL500" s="2"/>
      <c r="CM500" s="2">
        <v>0</v>
      </c>
      <c r="CN500" s="2" t="s">
        <v>3</v>
      </c>
      <c r="CO500" s="2">
        <v>0</v>
      </c>
      <c r="CP500" s="2">
        <f t="shared" si="399"/>
        <v>223557</v>
      </c>
      <c r="CQ500" s="2">
        <f t="shared" si="400"/>
        <v>17.329999999999998</v>
      </c>
      <c r="CR500" s="2">
        <f t="shared" si="424"/>
        <v>0</v>
      </c>
      <c r="CS500" s="2">
        <f t="shared" si="425"/>
        <v>0</v>
      </c>
      <c r="CT500" s="2">
        <f t="shared" si="401"/>
        <v>0</v>
      </c>
      <c r="CU500" s="2">
        <f t="shared" si="402"/>
        <v>0</v>
      </c>
      <c r="CV500" s="2">
        <f t="shared" si="403"/>
        <v>0</v>
      </c>
      <c r="CW500" s="2">
        <f t="shared" si="404"/>
        <v>0</v>
      </c>
      <c r="CX500" s="2">
        <f t="shared" si="405"/>
        <v>0</v>
      </c>
      <c r="CY500" s="2">
        <f t="shared" si="426"/>
        <v>0</v>
      </c>
      <c r="CZ500" s="2">
        <f t="shared" si="427"/>
        <v>0</v>
      </c>
      <c r="DA500" s="2"/>
      <c r="DB500" s="2"/>
      <c r="DC500" s="2" t="s">
        <v>3</v>
      </c>
      <c r="DD500" s="2" t="s">
        <v>3</v>
      </c>
      <c r="DE500" s="2" t="s">
        <v>3</v>
      </c>
      <c r="DF500" s="2" t="s">
        <v>3</v>
      </c>
      <c r="DG500" s="2" t="s">
        <v>3</v>
      </c>
      <c r="DH500" s="2" t="s">
        <v>3</v>
      </c>
      <c r="DI500" s="2" t="s">
        <v>3</v>
      </c>
      <c r="DJ500" s="2" t="s">
        <v>3</v>
      </c>
      <c r="DK500" s="2" t="s">
        <v>3</v>
      </c>
      <c r="DL500" s="2" t="s">
        <v>3</v>
      </c>
      <c r="DM500" s="2" t="s">
        <v>3</v>
      </c>
      <c r="DN500" s="2">
        <v>0</v>
      </c>
      <c r="DO500" s="2">
        <v>0</v>
      </c>
      <c r="DP500" s="2">
        <v>1</v>
      </c>
      <c r="DQ500" s="2">
        <v>1</v>
      </c>
      <c r="DR500" s="2"/>
      <c r="DS500" s="2"/>
      <c r="DT500" s="2"/>
      <c r="DU500" s="2">
        <v>1010</v>
      </c>
      <c r="DV500" s="2" t="s">
        <v>177</v>
      </c>
      <c r="DW500" s="2" t="s">
        <v>177</v>
      </c>
      <c r="DX500" s="2">
        <v>1</v>
      </c>
      <c r="DY500" s="2"/>
      <c r="DZ500" s="2" t="s">
        <v>3</v>
      </c>
      <c r="EA500" s="2" t="s">
        <v>3</v>
      </c>
      <c r="EB500" s="2" t="s">
        <v>3</v>
      </c>
      <c r="EC500" s="2" t="s">
        <v>3</v>
      </c>
      <c r="ED500" s="2"/>
      <c r="EE500" s="2">
        <v>57042986</v>
      </c>
      <c r="EF500" s="2">
        <v>200</v>
      </c>
      <c r="EG500" s="2" t="s">
        <v>376</v>
      </c>
      <c r="EH500" s="2">
        <v>0</v>
      </c>
      <c r="EI500" s="2" t="s">
        <v>3</v>
      </c>
      <c r="EJ500" s="2">
        <v>1</v>
      </c>
      <c r="EK500" s="2">
        <v>1617</v>
      </c>
      <c r="EL500" s="2" t="s">
        <v>377</v>
      </c>
      <c r="EM500" s="2" t="s">
        <v>378</v>
      </c>
      <c r="EN500" s="2"/>
      <c r="EO500" s="2" t="s">
        <v>3</v>
      </c>
      <c r="EP500" s="2"/>
      <c r="EQ500" s="2">
        <v>1024</v>
      </c>
      <c r="ER500" s="2">
        <v>17.329999999999998</v>
      </c>
      <c r="ES500" s="2">
        <v>17.329999999999998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>
        <v>0</v>
      </c>
      <c r="FR500" s="2">
        <v>0</v>
      </c>
      <c r="FS500" s="2">
        <v>0</v>
      </c>
      <c r="FT500" s="2"/>
      <c r="FU500" s="2"/>
      <c r="FV500" s="2"/>
      <c r="FW500" s="2"/>
      <c r="FX500" s="2">
        <v>0</v>
      </c>
      <c r="FY500" s="2">
        <v>0</v>
      </c>
      <c r="FZ500" s="2"/>
      <c r="GA500" s="2" t="s">
        <v>3</v>
      </c>
      <c r="GB500" s="2"/>
      <c r="GC500" s="2"/>
      <c r="GD500" s="2">
        <v>1</v>
      </c>
      <c r="GE500" s="2"/>
      <c r="GF500" s="2">
        <v>842164957</v>
      </c>
      <c r="GG500" s="2">
        <v>2</v>
      </c>
      <c r="GH500" s="2">
        <v>1</v>
      </c>
      <c r="GI500" s="2">
        <v>-2</v>
      </c>
      <c r="GJ500" s="2">
        <v>0</v>
      </c>
      <c r="GK500" s="2">
        <v>0</v>
      </c>
      <c r="GL500" s="2">
        <f t="shared" si="406"/>
        <v>0</v>
      </c>
      <c r="GM500" s="2">
        <f t="shared" si="407"/>
        <v>223557</v>
      </c>
      <c r="GN500" s="2">
        <f t="shared" si="408"/>
        <v>223557</v>
      </c>
      <c r="GO500" s="2">
        <f t="shared" si="409"/>
        <v>0</v>
      </c>
      <c r="GP500" s="2">
        <f t="shared" si="410"/>
        <v>0</v>
      </c>
      <c r="GQ500" s="2"/>
      <c r="GR500" s="2">
        <v>0</v>
      </c>
      <c r="GS500" s="2">
        <v>3</v>
      </c>
      <c r="GT500" s="2">
        <v>0</v>
      </c>
      <c r="GU500" s="2" t="s">
        <v>3</v>
      </c>
      <c r="GV500" s="2">
        <f t="shared" si="411"/>
        <v>0</v>
      </c>
      <c r="GW500" s="2">
        <v>1</v>
      </c>
      <c r="GX500" s="2">
        <f t="shared" si="412"/>
        <v>0</v>
      </c>
      <c r="GY500" s="2"/>
      <c r="GZ500" s="2"/>
      <c r="HA500" s="2">
        <v>0</v>
      </c>
      <c r="HB500" s="2">
        <v>0</v>
      </c>
      <c r="HC500" s="2">
        <f t="shared" si="413"/>
        <v>0</v>
      </c>
      <c r="HD500" s="2"/>
      <c r="HE500" s="2" t="s">
        <v>3</v>
      </c>
      <c r="HF500" s="2" t="s">
        <v>3</v>
      </c>
      <c r="HG500" s="2"/>
      <c r="HH500" s="2"/>
      <c r="HI500" s="2"/>
      <c r="HJ500" s="2"/>
      <c r="HK500" s="2"/>
      <c r="HL500" s="2"/>
      <c r="HM500" s="2" t="s">
        <v>3</v>
      </c>
      <c r="HN500" s="2" t="s">
        <v>3</v>
      </c>
      <c r="HO500" s="2" t="s">
        <v>3</v>
      </c>
      <c r="HP500" s="2" t="s">
        <v>3</v>
      </c>
      <c r="HQ500" s="2" t="s">
        <v>3</v>
      </c>
      <c r="HR500" s="2"/>
      <c r="HS500" s="2">
        <v>0</v>
      </c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>
        <v>0</v>
      </c>
      <c r="IL500" s="2"/>
      <c r="IM500" s="2"/>
      <c r="IN500" s="2"/>
      <c r="IO500" s="2"/>
      <c r="IP500" s="2"/>
      <c r="IQ500" s="2"/>
      <c r="IR500" s="2"/>
      <c r="IS500" s="2"/>
      <c r="IT500" s="2"/>
      <c r="IU500" s="2"/>
    </row>
    <row r="501" spans="1:255" x14ac:dyDescent="0.25">
      <c r="A501" s="3">
        <v>17</v>
      </c>
      <c r="B501" s="3">
        <v>1</v>
      </c>
      <c r="E501" s="3" t="s">
        <v>3</v>
      </c>
      <c r="F501" s="3" t="s">
        <v>373</v>
      </c>
      <c r="G501" s="3" t="s">
        <v>374</v>
      </c>
      <c r="H501" s="3" t="s">
        <v>177</v>
      </c>
      <c r="I501" s="3">
        <v>12900</v>
      </c>
      <c r="J501" s="3">
        <v>0</v>
      </c>
      <c r="K501" s="3">
        <v>12900</v>
      </c>
      <c r="O501" s="3">
        <f t="shared" si="389"/>
        <v>219085.86</v>
      </c>
      <c r="P501" s="3">
        <f t="shared" si="390"/>
        <v>219085.86</v>
      </c>
      <c r="Q501" s="3">
        <f t="shared" si="414"/>
        <v>0</v>
      </c>
      <c r="R501" s="3">
        <f t="shared" si="415"/>
        <v>0</v>
      </c>
      <c r="S501" s="3">
        <f t="shared" si="391"/>
        <v>0</v>
      </c>
      <c r="T501" s="3">
        <f t="shared" si="392"/>
        <v>0</v>
      </c>
      <c r="U501" s="3">
        <f t="shared" si="393"/>
        <v>0</v>
      </c>
      <c r="V501" s="3">
        <f t="shared" si="394"/>
        <v>0</v>
      </c>
      <c r="W501" s="3">
        <f t="shared" si="395"/>
        <v>0</v>
      </c>
      <c r="X501" s="3">
        <f t="shared" si="416"/>
        <v>0</v>
      </c>
      <c r="Y501" s="3">
        <f t="shared" si="417"/>
        <v>0</v>
      </c>
      <c r="AA501" s="3">
        <v>-1</v>
      </c>
      <c r="AB501" s="3">
        <f t="shared" si="396"/>
        <v>17.329999999999998</v>
      </c>
      <c r="AC501" s="3">
        <f t="shared" si="418"/>
        <v>17.329999999999998</v>
      </c>
      <c r="AD501" s="3">
        <f t="shared" si="419"/>
        <v>0</v>
      </c>
      <c r="AE501" s="3">
        <f t="shared" si="420"/>
        <v>0</v>
      </c>
      <c r="AF501" s="3">
        <f t="shared" si="421"/>
        <v>0</v>
      </c>
      <c r="AG501" s="3">
        <f t="shared" si="397"/>
        <v>0</v>
      </c>
      <c r="AH501" s="3">
        <f t="shared" si="422"/>
        <v>0</v>
      </c>
      <c r="AI501" s="3">
        <f t="shared" si="423"/>
        <v>0</v>
      </c>
      <c r="AJ501" s="3">
        <f t="shared" si="398"/>
        <v>0</v>
      </c>
      <c r="AK501" s="3">
        <v>17.329999999999998</v>
      </c>
      <c r="AL501" s="3">
        <v>17.329999999999998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1</v>
      </c>
      <c r="AW501" s="3">
        <v>1</v>
      </c>
      <c r="AZ501" s="3">
        <v>1</v>
      </c>
      <c r="BA501" s="3">
        <v>1</v>
      </c>
      <c r="BB501" s="3">
        <v>1</v>
      </c>
      <c r="BC501" s="3">
        <v>0.98</v>
      </c>
      <c r="BD501" s="3" t="s">
        <v>3</v>
      </c>
      <c r="BE501" s="3" t="s">
        <v>3</v>
      </c>
      <c r="BF501" s="3" t="s">
        <v>3</v>
      </c>
      <c r="BG501" s="3" t="s">
        <v>3</v>
      </c>
      <c r="BH501" s="3">
        <v>3</v>
      </c>
      <c r="BI501" s="3">
        <v>1</v>
      </c>
      <c r="BJ501" s="3" t="s">
        <v>375</v>
      </c>
      <c r="BM501" s="3">
        <v>1617</v>
      </c>
      <c r="BN501" s="3">
        <v>0</v>
      </c>
      <c r="BO501" s="3" t="s">
        <v>373</v>
      </c>
      <c r="BP501" s="3">
        <v>1</v>
      </c>
      <c r="BQ501" s="3">
        <v>200</v>
      </c>
      <c r="BR501" s="3">
        <v>0</v>
      </c>
      <c r="BS501" s="3">
        <v>1</v>
      </c>
      <c r="BT501" s="3">
        <v>1</v>
      </c>
      <c r="BU501" s="3">
        <v>1</v>
      </c>
      <c r="BV501" s="3">
        <v>1</v>
      </c>
      <c r="BW501" s="3">
        <v>1</v>
      </c>
      <c r="BX501" s="3">
        <v>1</v>
      </c>
      <c r="BY501" s="3" t="s">
        <v>3</v>
      </c>
      <c r="BZ501" s="3">
        <v>0</v>
      </c>
      <c r="CA501" s="3">
        <v>0</v>
      </c>
      <c r="CB501" s="3" t="s">
        <v>3</v>
      </c>
      <c r="CE501" s="3">
        <v>1566</v>
      </c>
      <c r="CF501" s="3">
        <v>0</v>
      </c>
      <c r="CG501" s="3">
        <v>0</v>
      </c>
      <c r="CM501" s="3">
        <v>0</v>
      </c>
      <c r="CN501" s="3" t="s">
        <v>3</v>
      </c>
      <c r="CO501" s="3">
        <v>0</v>
      </c>
      <c r="CP501" s="3">
        <f t="shared" si="399"/>
        <v>219085.86</v>
      </c>
      <c r="CQ501" s="3">
        <f t="shared" si="400"/>
        <v>16.98</v>
      </c>
      <c r="CR501" s="3">
        <f t="shared" si="424"/>
        <v>0</v>
      </c>
      <c r="CS501" s="3">
        <f t="shared" si="425"/>
        <v>0</v>
      </c>
      <c r="CT501" s="3">
        <f t="shared" si="401"/>
        <v>0</v>
      </c>
      <c r="CU501" s="3">
        <f t="shared" si="402"/>
        <v>0</v>
      </c>
      <c r="CV501" s="3">
        <f t="shared" si="403"/>
        <v>0</v>
      </c>
      <c r="CW501" s="3">
        <f t="shared" si="404"/>
        <v>0</v>
      </c>
      <c r="CX501" s="3">
        <f t="shared" si="405"/>
        <v>0</v>
      </c>
      <c r="CY501" s="3">
        <f t="shared" si="426"/>
        <v>0</v>
      </c>
      <c r="CZ501" s="3">
        <f t="shared" si="427"/>
        <v>0</v>
      </c>
      <c r="DC501" s="3" t="s">
        <v>3</v>
      </c>
      <c r="DD501" s="3" t="s">
        <v>3</v>
      </c>
      <c r="DE501" s="3" t="s">
        <v>3</v>
      </c>
      <c r="DF501" s="3" t="s">
        <v>3</v>
      </c>
      <c r="DG501" s="3" t="s">
        <v>3</v>
      </c>
      <c r="DH501" s="3" t="s">
        <v>3</v>
      </c>
      <c r="DI501" s="3" t="s">
        <v>3</v>
      </c>
      <c r="DJ501" s="3" t="s">
        <v>3</v>
      </c>
      <c r="DK501" s="3" t="s">
        <v>3</v>
      </c>
      <c r="DL501" s="3" t="s">
        <v>3</v>
      </c>
      <c r="DM501" s="3" t="s">
        <v>3</v>
      </c>
      <c r="DN501" s="3">
        <v>0</v>
      </c>
      <c r="DO501" s="3">
        <v>0</v>
      </c>
      <c r="DP501" s="3">
        <v>1</v>
      </c>
      <c r="DQ501" s="3">
        <v>1</v>
      </c>
      <c r="DU501" s="3">
        <v>1010</v>
      </c>
      <c r="DV501" s="3" t="s">
        <v>177</v>
      </c>
      <c r="DW501" s="3" t="s">
        <v>177</v>
      </c>
      <c r="DX501" s="3">
        <v>1</v>
      </c>
      <c r="DZ501" s="3" t="s">
        <v>3</v>
      </c>
      <c r="EA501" s="3" t="s">
        <v>3</v>
      </c>
      <c r="EB501" s="3" t="s">
        <v>3</v>
      </c>
      <c r="EC501" s="3" t="s">
        <v>3</v>
      </c>
      <c r="EE501" s="3">
        <v>57042986</v>
      </c>
      <c r="EF501" s="3">
        <v>200</v>
      </c>
      <c r="EG501" s="3" t="s">
        <v>376</v>
      </c>
      <c r="EH501" s="3">
        <v>0</v>
      </c>
      <c r="EI501" s="3" t="s">
        <v>3</v>
      </c>
      <c r="EJ501" s="3">
        <v>1</v>
      </c>
      <c r="EK501" s="3">
        <v>1617</v>
      </c>
      <c r="EL501" s="3" t="s">
        <v>377</v>
      </c>
      <c r="EM501" s="3" t="s">
        <v>378</v>
      </c>
      <c r="EO501" s="3" t="s">
        <v>3</v>
      </c>
      <c r="EQ501" s="3">
        <v>1024</v>
      </c>
      <c r="ER501" s="3">
        <v>17.329999999999998</v>
      </c>
      <c r="ES501" s="3">
        <v>17.329999999999998</v>
      </c>
      <c r="ET501" s="3">
        <v>0</v>
      </c>
      <c r="EU501" s="3">
        <v>0</v>
      </c>
      <c r="EV501" s="3">
        <v>0</v>
      </c>
      <c r="EW501" s="3">
        <v>0</v>
      </c>
      <c r="EX501" s="3">
        <v>0</v>
      </c>
      <c r="EY501" s="3">
        <v>0</v>
      </c>
      <c r="FQ501" s="3">
        <v>0</v>
      </c>
      <c r="FR501" s="3">
        <v>0</v>
      </c>
      <c r="FS501" s="3">
        <v>0</v>
      </c>
      <c r="FX501" s="3">
        <v>0</v>
      </c>
      <c r="FY501" s="3">
        <v>0</v>
      </c>
      <c r="GA501" s="3" t="s">
        <v>3</v>
      </c>
      <c r="GD501" s="3">
        <v>1</v>
      </c>
      <c r="GF501" s="3">
        <v>842164957</v>
      </c>
      <c r="GG501" s="3">
        <v>2</v>
      </c>
      <c r="GH501" s="3">
        <v>1</v>
      </c>
      <c r="GI501" s="3">
        <v>2</v>
      </c>
      <c r="GJ501" s="3">
        <v>0</v>
      </c>
      <c r="GK501" s="3">
        <v>0</v>
      </c>
      <c r="GL501" s="3">
        <f t="shared" si="406"/>
        <v>0</v>
      </c>
      <c r="GM501" s="3">
        <f t="shared" si="407"/>
        <v>219085.86</v>
      </c>
      <c r="GN501" s="3">
        <f t="shared" si="408"/>
        <v>219085.86</v>
      </c>
      <c r="GO501" s="3">
        <f t="shared" si="409"/>
        <v>0</v>
      </c>
      <c r="GP501" s="3">
        <f t="shared" si="410"/>
        <v>0</v>
      </c>
      <c r="GR501" s="3">
        <v>0</v>
      </c>
      <c r="GS501" s="3">
        <v>3</v>
      </c>
      <c r="GT501" s="3">
        <v>0</v>
      </c>
      <c r="GU501" s="3" t="s">
        <v>3</v>
      </c>
      <c r="GV501" s="3">
        <f t="shared" si="411"/>
        <v>0</v>
      </c>
      <c r="GW501" s="3">
        <v>1</v>
      </c>
      <c r="GX501" s="3">
        <f t="shared" si="412"/>
        <v>0</v>
      </c>
      <c r="HA501" s="3">
        <v>0</v>
      </c>
      <c r="HB501" s="3">
        <v>0</v>
      </c>
      <c r="HC501" s="3">
        <f t="shared" si="413"/>
        <v>0</v>
      </c>
      <c r="HE501" s="3" t="s">
        <v>3</v>
      </c>
      <c r="HF501" s="3" t="s">
        <v>3</v>
      </c>
      <c r="HM501" s="3" t="s">
        <v>3</v>
      </c>
      <c r="HN501" s="3" t="s">
        <v>3</v>
      </c>
      <c r="HO501" s="3" t="s">
        <v>3</v>
      </c>
      <c r="HP501" s="3" t="s">
        <v>3</v>
      </c>
      <c r="HQ501" s="3" t="s">
        <v>3</v>
      </c>
      <c r="HS501" s="3">
        <v>0</v>
      </c>
      <c r="IK501" s="3">
        <v>0</v>
      </c>
    </row>
    <row r="502" spans="1:255" x14ac:dyDescent="0.25">
      <c r="A502" s="2">
        <v>17</v>
      </c>
      <c r="B502" s="2">
        <v>1</v>
      </c>
      <c r="C502" s="2"/>
      <c r="D502" s="2"/>
      <c r="E502" s="2" t="s">
        <v>379</v>
      </c>
      <c r="F502" s="2" t="s">
        <v>380</v>
      </c>
      <c r="G502" s="2" t="s">
        <v>381</v>
      </c>
      <c r="H502" s="2" t="s">
        <v>382</v>
      </c>
      <c r="I502" s="2">
        <f>ROUND(12900/1000,9)</f>
        <v>12.9</v>
      </c>
      <c r="J502" s="2">
        <v>0</v>
      </c>
      <c r="K502" s="2">
        <f>ROUND(12900/1000,9)</f>
        <v>12.9</v>
      </c>
      <c r="L502" s="2"/>
      <c r="M502" s="2"/>
      <c r="N502" s="2"/>
      <c r="O502" s="2">
        <f t="shared" si="389"/>
        <v>5839.57</v>
      </c>
      <c r="P502" s="2">
        <f t="shared" si="390"/>
        <v>5839.57</v>
      </c>
      <c r="Q502" s="2">
        <f t="shared" si="414"/>
        <v>0</v>
      </c>
      <c r="R502" s="2">
        <f t="shared" si="415"/>
        <v>0</v>
      </c>
      <c r="S502" s="2">
        <f t="shared" si="391"/>
        <v>0</v>
      </c>
      <c r="T502" s="2">
        <f t="shared" si="392"/>
        <v>0</v>
      </c>
      <c r="U502" s="2">
        <f t="shared" si="393"/>
        <v>0</v>
      </c>
      <c r="V502" s="2">
        <f t="shared" si="394"/>
        <v>0</v>
      </c>
      <c r="W502" s="2">
        <f t="shared" si="395"/>
        <v>0</v>
      </c>
      <c r="X502" s="2">
        <f t="shared" si="416"/>
        <v>0</v>
      </c>
      <c r="Y502" s="2">
        <f t="shared" si="417"/>
        <v>0</v>
      </c>
      <c r="Z502" s="2"/>
      <c r="AA502" s="2">
        <v>57034452</v>
      </c>
      <c r="AB502" s="2">
        <f t="shared" si="396"/>
        <v>452.68</v>
      </c>
      <c r="AC502" s="2">
        <f t="shared" si="418"/>
        <v>452.68</v>
      </c>
      <c r="AD502" s="2">
        <f t="shared" si="419"/>
        <v>0</v>
      </c>
      <c r="AE502" s="2">
        <f t="shared" si="420"/>
        <v>0</v>
      </c>
      <c r="AF502" s="2">
        <f t="shared" si="421"/>
        <v>0</v>
      </c>
      <c r="AG502" s="2">
        <f t="shared" si="397"/>
        <v>0</v>
      </c>
      <c r="AH502" s="2">
        <f t="shared" si="422"/>
        <v>0</v>
      </c>
      <c r="AI502" s="2">
        <f t="shared" si="423"/>
        <v>0</v>
      </c>
      <c r="AJ502" s="2">
        <f t="shared" si="398"/>
        <v>0</v>
      </c>
      <c r="AK502" s="2">
        <v>452.68</v>
      </c>
      <c r="AL502" s="2">
        <v>452.68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1</v>
      </c>
      <c r="AW502" s="2">
        <v>1</v>
      </c>
      <c r="AX502" s="2"/>
      <c r="AY502" s="2"/>
      <c r="AZ502" s="2">
        <v>1</v>
      </c>
      <c r="BA502" s="2">
        <v>1</v>
      </c>
      <c r="BB502" s="2">
        <v>1</v>
      </c>
      <c r="BC502" s="2">
        <v>1</v>
      </c>
      <c r="BD502" s="2" t="s">
        <v>3</v>
      </c>
      <c r="BE502" s="2" t="s">
        <v>3</v>
      </c>
      <c r="BF502" s="2" t="s">
        <v>3</v>
      </c>
      <c r="BG502" s="2" t="s">
        <v>3</v>
      </c>
      <c r="BH502" s="2">
        <v>3</v>
      </c>
      <c r="BI502" s="2">
        <v>2</v>
      </c>
      <c r="BJ502" s="2" t="s">
        <v>383</v>
      </c>
      <c r="BK502" s="2"/>
      <c r="BL502" s="2"/>
      <c r="BM502" s="2">
        <v>1618</v>
      </c>
      <c r="BN502" s="2">
        <v>0</v>
      </c>
      <c r="BO502" s="2" t="s">
        <v>3</v>
      </c>
      <c r="BP502" s="2">
        <v>0</v>
      </c>
      <c r="BQ502" s="2">
        <v>201</v>
      </c>
      <c r="BR502" s="2">
        <v>0</v>
      </c>
      <c r="BS502" s="2">
        <v>1</v>
      </c>
      <c r="BT502" s="2">
        <v>1</v>
      </c>
      <c r="BU502" s="2">
        <v>1</v>
      </c>
      <c r="BV502" s="2">
        <v>1</v>
      </c>
      <c r="BW502" s="2">
        <v>1</v>
      </c>
      <c r="BX502" s="2">
        <v>1</v>
      </c>
      <c r="BY502" s="2" t="s">
        <v>3</v>
      </c>
      <c r="BZ502" s="2">
        <v>0</v>
      </c>
      <c r="CA502" s="2">
        <v>0</v>
      </c>
      <c r="CB502" s="2" t="s">
        <v>3</v>
      </c>
      <c r="CC502" s="2"/>
      <c r="CD502" s="2"/>
      <c r="CE502" s="2">
        <v>1566</v>
      </c>
      <c r="CF502" s="2">
        <v>0</v>
      </c>
      <c r="CG502" s="2">
        <v>0</v>
      </c>
      <c r="CH502" s="2"/>
      <c r="CI502" s="2"/>
      <c r="CJ502" s="2"/>
      <c r="CK502" s="2"/>
      <c r="CL502" s="2"/>
      <c r="CM502" s="2">
        <v>0</v>
      </c>
      <c r="CN502" s="2" t="s">
        <v>3</v>
      </c>
      <c r="CO502" s="2">
        <v>0</v>
      </c>
      <c r="CP502" s="2">
        <f t="shared" si="399"/>
        <v>5839.57</v>
      </c>
      <c r="CQ502" s="2">
        <f t="shared" si="400"/>
        <v>452.68</v>
      </c>
      <c r="CR502" s="2">
        <f t="shared" si="424"/>
        <v>0</v>
      </c>
      <c r="CS502" s="2">
        <f t="shared" si="425"/>
        <v>0</v>
      </c>
      <c r="CT502" s="2">
        <f t="shared" si="401"/>
        <v>0</v>
      </c>
      <c r="CU502" s="2">
        <f t="shared" si="402"/>
        <v>0</v>
      </c>
      <c r="CV502" s="2">
        <f t="shared" si="403"/>
        <v>0</v>
      </c>
      <c r="CW502" s="2">
        <f t="shared" si="404"/>
        <v>0</v>
      </c>
      <c r="CX502" s="2">
        <f t="shared" si="405"/>
        <v>0</v>
      </c>
      <c r="CY502" s="2">
        <f t="shared" si="426"/>
        <v>0</v>
      </c>
      <c r="CZ502" s="2">
        <f t="shared" si="427"/>
        <v>0</v>
      </c>
      <c r="DA502" s="2"/>
      <c r="DB502" s="2"/>
      <c r="DC502" s="2" t="s">
        <v>3</v>
      </c>
      <c r="DD502" s="2" t="s">
        <v>3</v>
      </c>
      <c r="DE502" s="2" t="s">
        <v>3</v>
      </c>
      <c r="DF502" s="2" t="s">
        <v>3</v>
      </c>
      <c r="DG502" s="2" t="s">
        <v>3</v>
      </c>
      <c r="DH502" s="2" t="s">
        <v>3</v>
      </c>
      <c r="DI502" s="2" t="s">
        <v>3</v>
      </c>
      <c r="DJ502" s="2" t="s">
        <v>3</v>
      </c>
      <c r="DK502" s="2" t="s">
        <v>3</v>
      </c>
      <c r="DL502" s="2" t="s">
        <v>3</v>
      </c>
      <c r="DM502" s="2" t="s">
        <v>3</v>
      </c>
      <c r="DN502" s="2">
        <v>0</v>
      </c>
      <c r="DO502" s="2">
        <v>0</v>
      </c>
      <c r="DP502" s="2">
        <v>1</v>
      </c>
      <c r="DQ502" s="2">
        <v>1</v>
      </c>
      <c r="DR502" s="2"/>
      <c r="DS502" s="2"/>
      <c r="DT502" s="2"/>
      <c r="DU502" s="2">
        <v>1010</v>
      </c>
      <c r="DV502" s="2" t="s">
        <v>382</v>
      </c>
      <c r="DW502" s="2" t="s">
        <v>382</v>
      </c>
      <c r="DX502" s="2">
        <v>1000</v>
      </c>
      <c r="DY502" s="2"/>
      <c r="DZ502" s="2" t="s">
        <v>3</v>
      </c>
      <c r="EA502" s="2" t="s">
        <v>3</v>
      </c>
      <c r="EB502" s="2" t="s">
        <v>3</v>
      </c>
      <c r="EC502" s="2" t="s">
        <v>3</v>
      </c>
      <c r="ED502" s="2"/>
      <c r="EE502" s="2">
        <v>57042987</v>
      </c>
      <c r="EF502" s="2">
        <v>201</v>
      </c>
      <c r="EG502" s="2" t="s">
        <v>384</v>
      </c>
      <c r="EH502" s="2">
        <v>0</v>
      </c>
      <c r="EI502" s="2" t="s">
        <v>3</v>
      </c>
      <c r="EJ502" s="2">
        <v>2</v>
      </c>
      <c r="EK502" s="2">
        <v>1618</v>
      </c>
      <c r="EL502" s="2" t="s">
        <v>385</v>
      </c>
      <c r="EM502" s="2" t="s">
        <v>386</v>
      </c>
      <c r="EN502" s="2"/>
      <c r="EO502" s="2" t="s">
        <v>3</v>
      </c>
      <c r="EP502" s="2"/>
      <c r="EQ502" s="2">
        <v>0</v>
      </c>
      <c r="ER502" s="2">
        <v>452.68</v>
      </c>
      <c r="ES502" s="2">
        <v>452.68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>
        <v>0</v>
      </c>
      <c r="FR502" s="2">
        <v>0</v>
      </c>
      <c r="FS502" s="2">
        <v>0</v>
      </c>
      <c r="FT502" s="2"/>
      <c r="FU502" s="2"/>
      <c r="FV502" s="2"/>
      <c r="FW502" s="2"/>
      <c r="FX502" s="2">
        <v>0</v>
      </c>
      <c r="FY502" s="2">
        <v>0</v>
      </c>
      <c r="FZ502" s="2"/>
      <c r="GA502" s="2" t="s">
        <v>3</v>
      </c>
      <c r="GB502" s="2"/>
      <c r="GC502" s="2"/>
      <c r="GD502" s="2">
        <v>1</v>
      </c>
      <c r="GE502" s="2"/>
      <c r="GF502" s="2">
        <v>1149507118</v>
      </c>
      <c r="GG502" s="2">
        <v>2</v>
      </c>
      <c r="GH502" s="2">
        <v>1</v>
      </c>
      <c r="GI502" s="2">
        <v>-2</v>
      </c>
      <c r="GJ502" s="2">
        <v>0</v>
      </c>
      <c r="GK502" s="2">
        <v>0</v>
      </c>
      <c r="GL502" s="2">
        <f t="shared" si="406"/>
        <v>0</v>
      </c>
      <c r="GM502" s="2">
        <f t="shared" si="407"/>
        <v>5839.57</v>
      </c>
      <c r="GN502" s="2">
        <f t="shared" si="408"/>
        <v>0</v>
      </c>
      <c r="GO502" s="2">
        <f t="shared" si="409"/>
        <v>5839.57</v>
      </c>
      <c r="GP502" s="2">
        <f t="shared" si="410"/>
        <v>0</v>
      </c>
      <c r="GQ502" s="2"/>
      <c r="GR502" s="2">
        <v>0</v>
      </c>
      <c r="GS502" s="2">
        <v>3</v>
      </c>
      <c r="GT502" s="2">
        <v>0</v>
      </c>
      <c r="GU502" s="2" t="s">
        <v>3</v>
      </c>
      <c r="GV502" s="2">
        <f t="shared" si="411"/>
        <v>0</v>
      </c>
      <c r="GW502" s="2">
        <v>1</v>
      </c>
      <c r="GX502" s="2">
        <f t="shared" si="412"/>
        <v>0</v>
      </c>
      <c r="GY502" s="2"/>
      <c r="GZ502" s="2"/>
      <c r="HA502" s="2">
        <v>0</v>
      </c>
      <c r="HB502" s="2">
        <v>0</v>
      </c>
      <c r="HC502" s="2">
        <f t="shared" si="413"/>
        <v>0</v>
      </c>
      <c r="HD502" s="2"/>
      <c r="HE502" s="2" t="s">
        <v>3</v>
      </c>
      <c r="HF502" s="2" t="s">
        <v>3</v>
      </c>
      <c r="HG502" s="2"/>
      <c r="HH502" s="2"/>
      <c r="HI502" s="2"/>
      <c r="HJ502" s="2"/>
      <c r="HK502" s="2"/>
      <c r="HL502" s="2"/>
      <c r="HM502" s="2" t="s">
        <v>3</v>
      </c>
      <c r="HN502" s="2" t="s">
        <v>3</v>
      </c>
      <c r="HO502" s="2" t="s">
        <v>3</v>
      </c>
      <c r="HP502" s="2" t="s">
        <v>3</v>
      </c>
      <c r="HQ502" s="2" t="s">
        <v>3</v>
      </c>
      <c r="HR502" s="2"/>
      <c r="HS502" s="2">
        <v>0</v>
      </c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>
        <v>0</v>
      </c>
      <c r="IL502" s="2"/>
      <c r="IM502" s="2"/>
      <c r="IN502" s="2"/>
      <c r="IO502" s="2"/>
      <c r="IP502" s="2"/>
      <c r="IQ502" s="2"/>
      <c r="IR502" s="2"/>
      <c r="IS502" s="2"/>
      <c r="IT502" s="2"/>
      <c r="IU502" s="2"/>
    </row>
    <row r="503" spans="1:255" x14ac:dyDescent="0.25">
      <c r="A503" s="3">
        <v>17</v>
      </c>
      <c r="B503" s="3">
        <v>1</v>
      </c>
      <c r="E503" s="3" t="s">
        <v>379</v>
      </c>
      <c r="F503" s="3" t="s">
        <v>380</v>
      </c>
      <c r="G503" s="3" t="s">
        <v>381</v>
      </c>
      <c r="H503" s="3" t="s">
        <v>382</v>
      </c>
      <c r="I503" s="3">
        <f>ROUND(12900/1000,9)</f>
        <v>12.9</v>
      </c>
      <c r="J503" s="3">
        <v>0</v>
      </c>
      <c r="K503" s="3">
        <f>ROUND(12900/1000,9)</f>
        <v>12.9</v>
      </c>
      <c r="O503" s="3">
        <f t="shared" si="389"/>
        <v>21372.83</v>
      </c>
      <c r="P503" s="3">
        <f t="shared" si="390"/>
        <v>21372.83</v>
      </c>
      <c r="Q503" s="3">
        <f t="shared" si="414"/>
        <v>0</v>
      </c>
      <c r="R503" s="3">
        <f t="shared" si="415"/>
        <v>0</v>
      </c>
      <c r="S503" s="3">
        <f t="shared" si="391"/>
        <v>0</v>
      </c>
      <c r="T503" s="3">
        <f t="shared" si="392"/>
        <v>0</v>
      </c>
      <c r="U503" s="3">
        <f t="shared" si="393"/>
        <v>0</v>
      </c>
      <c r="V503" s="3">
        <f t="shared" si="394"/>
        <v>0</v>
      </c>
      <c r="W503" s="3">
        <f t="shared" si="395"/>
        <v>0</v>
      </c>
      <c r="X503" s="3">
        <f t="shared" si="416"/>
        <v>0</v>
      </c>
      <c r="Y503" s="3">
        <f t="shared" si="417"/>
        <v>0</v>
      </c>
      <c r="AA503" s="3">
        <v>57034454</v>
      </c>
      <c r="AB503" s="3">
        <f t="shared" si="396"/>
        <v>452.68</v>
      </c>
      <c r="AC503" s="3">
        <f t="shared" si="418"/>
        <v>452.68</v>
      </c>
      <c r="AD503" s="3">
        <f t="shared" si="419"/>
        <v>0</v>
      </c>
      <c r="AE503" s="3">
        <f t="shared" si="420"/>
        <v>0</v>
      </c>
      <c r="AF503" s="3">
        <f t="shared" si="421"/>
        <v>0</v>
      </c>
      <c r="AG503" s="3">
        <f t="shared" si="397"/>
        <v>0</v>
      </c>
      <c r="AH503" s="3">
        <f t="shared" si="422"/>
        <v>0</v>
      </c>
      <c r="AI503" s="3">
        <f t="shared" si="423"/>
        <v>0</v>
      </c>
      <c r="AJ503" s="3">
        <f t="shared" si="398"/>
        <v>0</v>
      </c>
      <c r="AK503" s="3">
        <v>452.68</v>
      </c>
      <c r="AL503" s="3">
        <v>452.68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1</v>
      </c>
      <c r="AW503" s="3">
        <v>1</v>
      </c>
      <c r="AZ503" s="3">
        <v>1</v>
      </c>
      <c r="BA503" s="3">
        <v>1</v>
      </c>
      <c r="BB503" s="3">
        <v>1</v>
      </c>
      <c r="BC503" s="3">
        <v>3.66</v>
      </c>
      <c r="BD503" s="3" t="s">
        <v>3</v>
      </c>
      <c r="BE503" s="3" t="s">
        <v>3</v>
      </c>
      <c r="BF503" s="3" t="s">
        <v>3</v>
      </c>
      <c r="BG503" s="3" t="s">
        <v>3</v>
      </c>
      <c r="BH503" s="3">
        <v>3</v>
      </c>
      <c r="BI503" s="3">
        <v>2</v>
      </c>
      <c r="BJ503" s="3" t="s">
        <v>383</v>
      </c>
      <c r="BM503" s="3">
        <v>1618</v>
      </c>
      <c r="BN503" s="3">
        <v>0</v>
      </c>
      <c r="BO503" s="3" t="s">
        <v>380</v>
      </c>
      <c r="BP503" s="3">
        <v>1</v>
      </c>
      <c r="BQ503" s="3">
        <v>201</v>
      </c>
      <c r="BR503" s="3">
        <v>0</v>
      </c>
      <c r="BS503" s="3">
        <v>1</v>
      </c>
      <c r="BT503" s="3">
        <v>1</v>
      </c>
      <c r="BU503" s="3">
        <v>1</v>
      </c>
      <c r="BV503" s="3">
        <v>1</v>
      </c>
      <c r="BW503" s="3">
        <v>1</v>
      </c>
      <c r="BX503" s="3">
        <v>1</v>
      </c>
      <c r="BY503" s="3" t="s">
        <v>3</v>
      </c>
      <c r="BZ503" s="3">
        <v>0</v>
      </c>
      <c r="CA503" s="3">
        <v>0</v>
      </c>
      <c r="CB503" s="3" t="s">
        <v>3</v>
      </c>
      <c r="CE503" s="3">
        <v>1566</v>
      </c>
      <c r="CF503" s="3">
        <v>0</v>
      </c>
      <c r="CG503" s="3">
        <v>0</v>
      </c>
      <c r="CM503" s="3">
        <v>0</v>
      </c>
      <c r="CN503" s="3" t="s">
        <v>3</v>
      </c>
      <c r="CO503" s="3">
        <v>0</v>
      </c>
      <c r="CP503" s="3">
        <f t="shared" si="399"/>
        <v>21372.83</v>
      </c>
      <c r="CQ503" s="3">
        <f t="shared" si="400"/>
        <v>1656.81</v>
      </c>
      <c r="CR503" s="3">
        <f t="shared" si="424"/>
        <v>0</v>
      </c>
      <c r="CS503" s="3">
        <f t="shared" si="425"/>
        <v>0</v>
      </c>
      <c r="CT503" s="3">
        <f t="shared" si="401"/>
        <v>0</v>
      </c>
      <c r="CU503" s="3">
        <f t="shared" si="402"/>
        <v>0</v>
      </c>
      <c r="CV503" s="3">
        <f t="shared" si="403"/>
        <v>0</v>
      </c>
      <c r="CW503" s="3">
        <f t="shared" si="404"/>
        <v>0</v>
      </c>
      <c r="CX503" s="3">
        <f t="shared" si="405"/>
        <v>0</v>
      </c>
      <c r="CY503" s="3">
        <f t="shared" si="426"/>
        <v>0</v>
      </c>
      <c r="CZ503" s="3">
        <f t="shared" si="427"/>
        <v>0</v>
      </c>
      <c r="DC503" s="3" t="s">
        <v>3</v>
      </c>
      <c r="DD503" s="3" t="s">
        <v>3</v>
      </c>
      <c r="DE503" s="3" t="s">
        <v>3</v>
      </c>
      <c r="DF503" s="3" t="s">
        <v>3</v>
      </c>
      <c r="DG503" s="3" t="s">
        <v>3</v>
      </c>
      <c r="DH503" s="3" t="s">
        <v>3</v>
      </c>
      <c r="DI503" s="3" t="s">
        <v>3</v>
      </c>
      <c r="DJ503" s="3" t="s">
        <v>3</v>
      </c>
      <c r="DK503" s="3" t="s">
        <v>3</v>
      </c>
      <c r="DL503" s="3" t="s">
        <v>3</v>
      </c>
      <c r="DM503" s="3" t="s">
        <v>3</v>
      </c>
      <c r="DN503" s="3">
        <v>0</v>
      </c>
      <c r="DO503" s="3">
        <v>0</v>
      </c>
      <c r="DP503" s="3">
        <v>1</v>
      </c>
      <c r="DQ503" s="3">
        <v>1</v>
      </c>
      <c r="DU503" s="3">
        <v>1010</v>
      </c>
      <c r="DV503" s="3" t="s">
        <v>382</v>
      </c>
      <c r="DW503" s="3" t="s">
        <v>382</v>
      </c>
      <c r="DX503" s="3">
        <v>1000</v>
      </c>
      <c r="DZ503" s="3" t="s">
        <v>3</v>
      </c>
      <c r="EA503" s="3" t="s">
        <v>3</v>
      </c>
      <c r="EB503" s="3" t="s">
        <v>3</v>
      </c>
      <c r="EC503" s="3" t="s">
        <v>3</v>
      </c>
      <c r="EE503" s="3">
        <v>57042987</v>
      </c>
      <c r="EF503" s="3">
        <v>201</v>
      </c>
      <c r="EG503" s="3" t="s">
        <v>384</v>
      </c>
      <c r="EH503" s="3">
        <v>0</v>
      </c>
      <c r="EI503" s="3" t="s">
        <v>3</v>
      </c>
      <c r="EJ503" s="3">
        <v>2</v>
      </c>
      <c r="EK503" s="3">
        <v>1618</v>
      </c>
      <c r="EL503" s="3" t="s">
        <v>385</v>
      </c>
      <c r="EM503" s="3" t="s">
        <v>386</v>
      </c>
      <c r="EO503" s="3" t="s">
        <v>3</v>
      </c>
      <c r="EQ503" s="3">
        <v>0</v>
      </c>
      <c r="ER503" s="3">
        <v>452.68</v>
      </c>
      <c r="ES503" s="3">
        <v>452.68</v>
      </c>
      <c r="ET503" s="3">
        <v>0</v>
      </c>
      <c r="EU503" s="3">
        <v>0</v>
      </c>
      <c r="EV503" s="3">
        <v>0</v>
      </c>
      <c r="EW503" s="3">
        <v>0</v>
      </c>
      <c r="EX503" s="3">
        <v>0</v>
      </c>
      <c r="EY503" s="3">
        <v>0</v>
      </c>
      <c r="FQ503" s="3">
        <v>0</v>
      </c>
      <c r="FR503" s="3">
        <v>0</v>
      </c>
      <c r="FS503" s="3">
        <v>0</v>
      </c>
      <c r="FX503" s="3">
        <v>0</v>
      </c>
      <c r="FY503" s="3">
        <v>0</v>
      </c>
      <c r="GA503" s="3" t="s">
        <v>3</v>
      </c>
      <c r="GD503" s="3">
        <v>1</v>
      </c>
      <c r="GF503" s="3">
        <v>1149507118</v>
      </c>
      <c r="GG503" s="3">
        <v>2</v>
      </c>
      <c r="GH503" s="3">
        <v>1</v>
      </c>
      <c r="GI503" s="3">
        <v>2</v>
      </c>
      <c r="GJ503" s="3">
        <v>0</v>
      </c>
      <c r="GK503" s="3">
        <v>0</v>
      </c>
      <c r="GL503" s="3">
        <f t="shared" si="406"/>
        <v>0</v>
      </c>
      <c r="GM503" s="3">
        <f t="shared" si="407"/>
        <v>21372.83</v>
      </c>
      <c r="GN503" s="3">
        <f t="shared" si="408"/>
        <v>0</v>
      </c>
      <c r="GO503" s="3">
        <f t="shared" si="409"/>
        <v>21372.83</v>
      </c>
      <c r="GP503" s="3">
        <f t="shared" si="410"/>
        <v>0</v>
      </c>
      <c r="GR503" s="3">
        <v>0</v>
      </c>
      <c r="GS503" s="3">
        <v>3</v>
      </c>
      <c r="GT503" s="3">
        <v>0</v>
      </c>
      <c r="GU503" s="3" t="s">
        <v>3</v>
      </c>
      <c r="GV503" s="3">
        <f t="shared" si="411"/>
        <v>0</v>
      </c>
      <c r="GW503" s="3">
        <v>1</v>
      </c>
      <c r="GX503" s="3">
        <f t="shared" si="412"/>
        <v>0</v>
      </c>
      <c r="HA503" s="3">
        <v>0</v>
      </c>
      <c r="HB503" s="3">
        <v>0</v>
      </c>
      <c r="HC503" s="3">
        <f t="shared" si="413"/>
        <v>0</v>
      </c>
      <c r="HE503" s="3" t="s">
        <v>3</v>
      </c>
      <c r="HF503" s="3" t="s">
        <v>3</v>
      </c>
      <c r="HM503" s="3" t="s">
        <v>3</v>
      </c>
      <c r="HN503" s="3" t="s">
        <v>3</v>
      </c>
      <c r="HO503" s="3" t="s">
        <v>3</v>
      </c>
      <c r="HP503" s="3" t="s">
        <v>3</v>
      </c>
      <c r="HQ503" s="3" t="s">
        <v>3</v>
      </c>
      <c r="HS503" s="3">
        <v>0</v>
      </c>
      <c r="IK503" s="3">
        <v>0</v>
      </c>
    </row>
    <row r="504" spans="1:255" x14ac:dyDescent="0.25">
      <c r="A504" s="2">
        <v>17</v>
      </c>
      <c r="B504" s="2">
        <v>1</v>
      </c>
      <c r="C504" s="2"/>
      <c r="D504" s="2"/>
      <c r="E504" s="2" t="s">
        <v>387</v>
      </c>
      <c r="F504" s="2" t="s">
        <v>388</v>
      </c>
      <c r="G504" s="2" t="s">
        <v>389</v>
      </c>
      <c r="H504" s="2" t="s">
        <v>390</v>
      </c>
      <c r="I504" s="2">
        <f>ROUND(4750*1.02,9)</f>
        <v>4845</v>
      </c>
      <c r="J504" s="2">
        <v>0</v>
      </c>
      <c r="K504" s="2">
        <f>ROUND(4750*1.02,9)</f>
        <v>4845</v>
      </c>
      <c r="L504" s="2"/>
      <c r="M504" s="2"/>
      <c r="N504" s="2"/>
      <c r="O504" s="2">
        <f t="shared" si="389"/>
        <v>46463.55</v>
      </c>
      <c r="P504" s="2">
        <f t="shared" si="390"/>
        <v>46463.55</v>
      </c>
      <c r="Q504" s="2">
        <f t="shared" si="414"/>
        <v>0</v>
      </c>
      <c r="R504" s="2">
        <f t="shared" si="415"/>
        <v>0</v>
      </c>
      <c r="S504" s="2">
        <f t="shared" si="391"/>
        <v>0</v>
      </c>
      <c r="T504" s="2">
        <f t="shared" si="392"/>
        <v>0</v>
      </c>
      <c r="U504" s="2">
        <f t="shared" si="393"/>
        <v>0</v>
      </c>
      <c r="V504" s="2">
        <f t="shared" si="394"/>
        <v>0</v>
      </c>
      <c r="W504" s="2">
        <f t="shared" si="395"/>
        <v>0</v>
      </c>
      <c r="X504" s="2">
        <f t="shared" si="416"/>
        <v>0</v>
      </c>
      <c r="Y504" s="2">
        <f t="shared" si="417"/>
        <v>0</v>
      </c>
      <c r="Z504" s="2"/>
      <c r="AA504" s="2">
        <v>57034452</v>
      </c>
      <c r="AB504" s="2">
        <f t="shared" si="396"/>
        <v>9.59</v>
      </c>
      <c r="AC504" s="2">
        <f t="shared" si="418"/>
        <v>9.59</v>
      </c>
      <c r="AD504" s="2">
        <f t="shared" si="419"/>
        <v>0</v>
      </c>
      <c r="AE504" s="2">
        <f t="shared" si="420"/>
        <v>0</v>
      </c>
      <c r="AF504" s="2">
        <f t="shared" si="421"/>
        <v>0</v>
      </c>
      <c r="AG504" s="2">
        <f t="shared" si="397"/>
        <v>0</v>
      </c>
      <c r="AH504" s="2">
        <f t="shared" si="422"/>
        <v>0</v>
      </c>
      <c r="AI504" s="2">
        <f t="shared" si="423"/>
        <v>0</v>
      </c>
      <c r="AJ504" s="2">
        <f t="shared" si="398"/>
        <v>0</v>
      </c>
      <c r="AK504" s="2">
        <v>9.59</v>
      </c>
      <c r="AL504" s="2">
        <v>9.59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97</v>
      </c>
      <c r="AU504" s="2">
        <v>51</v>
      </c>
      <c r="AV504" s="2">
        <v>1</v>
      </c>
      <c r="AW504" s="2">
        <v>1</v>
      </c>
      <c r="AX504" s="2"/>
      <c r="AY504" s="2"/>
      <c r="AZ504" s="2">
        <v>1</v>
      </c>
      <c r="BA504" s="2">
        <v>1</v>
      </c>
      <c r="BB504" s="2">
        <v>1</v>
      </c>
      <c r="BC504" s="2">
        <v>1</v>
      </c>
      <c r="BD504" s="2" t="s">
        <v>3</v>
      </c>
      <c r="BE504" s="2" t="s">
        <v>3</v>
      </c>
      <c r="BF504" s="2" t="s">
        <v>3</v>
      </c>
      <c r="BG504" s="2" t="s">
        <v>3</v>
      </c>
      <c r="BH504" s="2">
        <v>3</v>
      </c>
      <c r="BI504" s="2">
        <v>2</v>
      </c>
      <c r="BJ504" s="2" t="s">
        <v>3</v>
      </c>
      <c r="BK504" s="2"/>
      <c r="BL504" s="2"/>
      <c r="BM504" s="2">
        <v>67</v>
      </c>
      <c r="BN504" s="2">
        <v>0</v>
      </c>
      <c r="BO504" s="2" t="s">
        <v>3</v>
      </c>
      <c r="BP504" s="2">
        <v>0</v>
      </c>
      <c r="BQ504" s="2">
        <v>40</v>
      </c>
      <c r="BR504" s="2">
        <v>0</v>
      </c>
      <c r="BS504" s="2">
        <v>1</v>
      </c>
      <c r="BT504" s="2">
        <v>1</v>
      </c>
      <c r="BU504" s="2">
        <v>1</v>
      </c>
      <c r="BV504" s="2">
        <v>1</v>
      </c>
      <c r="BW504" s="2">
        <v>1</v>
      </c>
      <c r="BX504" s="2">
        <v>1</v>
      </c>
      <c r="BY504" s="2" t="s">
        <v>3</v>
      </c>
      <c r="BZ504" s="2">
        <v>97</v>
      </c>
      <c r="CA504" s="2">
        <v>51</v>
      </c>
      <c r="CB504" s="2" t="s">
        <v>3</v>
      </c>
      <c r="CC504" s="2"/>
      <c r="CD504" s="2"/>
      <c r="CE504" s="2">
        <v>1566</v>
      </c>
      <c r="CF504" s="2">
        <v>0</v>
      </c>
      <c r="CG504" s="2">
        <v>0</v>
      </c>
      <c r="CH504" s="2"/>
      <c r="CI504" s="2"/>
      <c r="CJ504" s="2"/>
      <c r="CK504" s="2"/>
      <c r="CL504" s="2"/>
      <c r="CM504" s="2">
        <v>0</v>
      </c>
      <c r="CN504" s="2" t="s">
        <v>615</v>
      </c>
      <c r="CO504" s="2">
        <v>0</v>
      </c>
      <c r="CP504" s="2">
        <f t="shared" si="399"/>
        <v>46463.55</v>
      </c>
      <c r="CQ504" s="2">
        <f t="shared" si="400"/>
        <v>9.59</v>
      </c>
      <c r="CR504" s="2">
        <f t="shared" si="424"/>
        <v>0</v>
      </c>
      <c r="CS504" s="2">
        <f t="shared" si="425"/>
        <v>0</v>
      </c>
      <c r="CT504" s="2">
        <f t="shared" si="401"/>
        <v>0</v>
      </c>
      <c r="CU504" s="2">
        <f t="shared" si="402"/>
        <v>0</v>
      </c>
      <c r="CV504" s="2">
        <f t="shared" si="403"/>
        <v>0</v>
      </c>
      <c r="CW504" s="2">
        <f t="shared" si="404"/>
        <v>0</v>
      </c>
      <c r="CX504" s="2">
        <f t="shared" si="405"/>
        <v>0</v>
      </c>
      <c r="CY504" s="2">
        <f t="shared" si="426"/>
        <v>0</v>
      </c>
      <c r="CZ504" s="2">
        <f t="shared" si="427"/>
        <v>0</v>
      </c>
      <c r="DA504" s="2"/>
      <c r="DB504" s="2"/>
      <c r="DC504" s="2" t="s">
        <v>3</v>
      </c>
      <c r="DD504" s="2" t="s">
        <v>3</v>
      </c>
      <c r="DE504" s="2" t="s">
        <v>3</v>
      </c>
      <c r="DF504" s="2" t="s">
        <v>3</v>
      </c>
      <c r="DG504" s="2" t="s">
        <v>3</v>
      </c>
      <c r="DH504" s="2" t="s">
        <v>3</v>
      </c>
      <c r="DI504" s="2" t="s">
        <v>3</v>
      </c>
      <c r="DJ504" s="2" t="s">
        <v>3</v>
      </c>
      <c r="DK504" s="2" t="s">
        <v>3</v>
      </c>
      <c r="DL504" s="2" t="s">
        <v>3</v>
      </c>
      <c r="DM504" s="2" t="s">
        <v>3</v>
      </c>
      <c r="DN504" s="2">
        <v>0</v>
      </c>
      <c r="DO504" s="2">
        <v>0</v>
      </c>
      <c r="DP504" s="2">
        <v>1</v>
      </c>
      <c r="DQ504" s="2">
        <v>1</v>
      </c>
      <c r="DR504" s="2"/>
      <c r="DS504" s="2"/>
      <c r="DT504" s="2"/>
      <c r="DU504" s="2">
        <v>1013</v>
      </c>
      <c r="DV504" s="2" t="s">
        <v>390</v>
      </c>
      <c r="DW504" s="2" t="s">
        <v>390</v>
      </c>
      <c r="DX504" s="2">
        <v>1</v>
      </c>
      <c r="DY504" s="2"/>
      <c r="DZ504" s="2" t="s">
        <v>3</v>
      </c>
      <c r="EA504" s="2" t="s">
        <v>3</v>
      </c>
      <c r="EB504" s="2" t="s">
        <v>3</v>
      </c>
      <c r="EC504" s="2" t="s">
        <v>3</v>
      </c>
      <c r="ED504" s="2"/>
      <c r="EE504" s="2">
        <v>57042957</v>
      </c>
      <c r="EF504" s="2">
        <v>40</v>
      </c>
      <c r="EG504" s="2" t="s">
        <v>30</v>
      </c>
      <c r="EH504" s="2">
        <v>0</v>
      </c>
      <c r="EI504" s="2" t="s">
        <v>3</v>
      </c>
      <c r="EJ504" s="2">
        <v>2</v>
      </c>
      <c r="EK504" s="2">
        <v>67</v>
      </c>
      <c r="EL504" s="2" t="s">
        <v>80</v>
      </c>
      <c r="EM504" s="2" t="s">
        <v>81</v>
      </c>
      <c r="EN504" s="2"/>
      <c r="EO504" s="2" t="s">
        <v>109</v>
      </c>
      <c r="EP504" s="2"/>
      <c r="EQ504" s="2">
        <v>2097152</v>
      </c>
      <c r="ER504" s="2">
        <v>0</v>
      </c>
      <c r="ES504" s="2">
        <v>9.59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>
        <v>0</v>
      </c>
      <c r="FR504" s="2">
        <v>0</v>
      </c>
      <c r="FS504" s="2">
        <v>0</v>
      </c>
      <c r="FT504" s="2"/>
      <c r="FU504" s="2"/>
      <c r="FV504" s="2"/>
      <c r="FW504" s="2"/>
      <c r="FX504" s="2">
        <v>97</v>
      </c>
      <c r="FY504" s="2">
        <v>51</v>
      </c>
      <c r="FZ504" s="2"/>
      <c r="GA504" s="2" t="s">
        <v>391</v>
      </c>
      <c r="GB504" s="2"/>
      <c r="GC504" s="2"/>
      <c r="GD504" s="2">
        <v>1</v>
      </c>
      <c r="GE504" s="2"/>
      <c r="GF504" s="2">
        <v>-820338689</v>
      </c>
      <c r="GG504" s="2">
        <v>2</v>
      </c>
      <c r="GH504" s="2">
        <v>4</v>
      </c>
      <c r="GI504" s="2">
        <v>-2</v>
      </c>
      <c r="GJ504" s="2">
        <v>0</v>
      </c>
      <c r="GK504" s="2">
        <v>0</v>
      </c>
      <c r="GL504" s="2">
        <f t="shared" si="406"/>
        <v>0</v>
      </c>
      <c r="GM504" s="2">
        <f t="shared" si="407"/>
        <v>46463.55</v>
      </c>
      <c r="GN504" s="2">
        <f t="shared" si="408"/>
        <v>0</v>
      </c>
      <c r="GO504" s="2">
        <f t="shared" si="409"/>
        <v>46463.55</v>
      </c>
      <c r="GP504" s="2">
        <f t="shared" si="410"/>
        <v>0</v>
      </c>
      <c r="GQ504" s="2"/>
      <c r="GR504" s="2">
        <v>0</v>
      </c>
      <c r="GS504" s="2">
        <v>2</v>
      </c>
      <c r="GT504" s="2">
        <v>0</v>
      </c>
      <c r="GU504" s="2" t="s">
        <v>3</v>
      </c>
      <c r="GV504" s="2">
        <f t="shared" si="411"/>
        <v>0</v>
      </c>
      <c r="GW504" s="2">
        <v>1</v>
      </c>
      <c r="GX504" s="2">
        <f t="shared" si="412"/>
        <v>0</v>
      </c>
      <c r="GY504" s="2"/>
      <c r="GZ504" s="2"/>
      <c r="HA504" s="2">
        <v>0</v>
      </c>
      <c r="HB504" s="2">
        <v>0</v>
      </c>
      <c r="HC504" s="2">
        <f t="shared" si="413"/>
        <v>0</v>
      </c>
      <c r="HD504" s="2"/>
      <c r="HE504" s="2" t="s">
        <v>347</v>
      </c>
      <c r="HF504" s="2" t="s">
        <v>34</v>
      </c>
      <c r="HG504" s="2"/>
      <c r="HH504" s="2"/>
      <c r="HI504" s="2"/>
      <c r="HJ504" s="2"/>
      <c r="HK504" s="2"/>
      <c r="HL504" s="2"/>
      <c r="HM504" s="2" t="s">
        <v>3</v>
      </c>
      <c r="HN504" s="2" t="s">
        <v>3</v>
      </c>
      <c r="HO504" s="2" t="s">
        <v>3</v>
      </c>
      <c r="HP504" s="2" t="s">
        <v>3</v>
      </c>
      <c r="HQ504" s="2" t="s">
        <v>3</v>
      </c>
      <c r="HR504" s="2"/>
      <c r="HS504" s="2">
        <v>0</v>
      </c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>
        <v>0</v>
      </c>
      <c r="IL504" s="2"/>
      <c r="IM504" s="2"/>
      <c r="IN504" s="2"/>
      <c r="IO504" s="2"/>
      <c r="IP504" s="2"/>
      <c r="IQ504" s="2"/>
      <c r="IR504" s="2"/>
      <c r="IS504" s="2"/>
      <c r="IT504" s="2"/>
      <c r="IU504" s="2"/>
    </row>
    <row r="505" spans="1:255" x14ac:dyDescent="0.25">
      <c r="A505" s="3">
        <v>17</v>
      </c>
      <c r="B505" s="3">
        <v>1</v>
      </c>
      <c r="E505" s="3" t="s">
        <v>387</v>
      </c>
      <c r="F505" s="3" t="s">
        <v>388</v>
      </c>
      <c r="G505" s="3" t="s">
        <v>389</v>
      </c>
      <c r="H505" s="3" t="s">
        <v>390</v>
      </c>
      <c r="I505" s="3">
        <f>ROUND(4750*1.02,9)</f>
        <v>4845</v>
      </c>
      <c r="J505" s="3">
        <v>0</v>
      </c>
      <c r="K505" s="3">
        <f>ROUND(4750*1.02,9)</f>
        <v>4845</v>
      </c>
      <c r="O505" s="3">
        <f t="shared" si="389"/>
        <v>457201.33</v>
      </c>
      <c r="P505" s="3">
        <f t="shared" si="390"/>
        <v>457201.33</v>
      </c>
      <c r="Q505" s="3">
        <f t="shared" si="414"/>
        <v>0</v>
      </c>
      <c r="R505" s="3">
        <f t="shared" si="415"/>
        <v>0</v>
      </c>
      <c r="S505" s="3">
        <f t="shared" si="391"/>
        <v>0</v>
      </c>
      <c r="T505" s="3">
        <f t="shared" si="392"/>
        <v>0</v>
      </c>
      <c r="U505" s="3">
        <f t="shared" si="393"/>
        <v>0</v>
      </c>
      <c r="V505" s="3">
        <f t="shared" si="394"/>
        <v>0</v>
      </c>
      <c r="W505" s="3">
        <f t="shared" si="395"/>
        <v>0</v>
      </c>
      <c r="X505" s="3">
        <f t="shared" si="416"/>
        <v>0</v>
      </c>
      <c r="Y505" s="3">
        <f t="shared" si="417"/>
        <v>0</v>
      </c>
      <c r="AA505" s="3">
        <v>57034454</v>
      </c>
      <c r="AB505" s="3">
        <f t="shared" si="396"/>
        <v>9.59</v>
      </c>
      <c r="AC505" s="3">
        <f t="shared" si="418"/>
        <v>9.59</v>
      </c>
      <c r="AD505" s="3">
        <f t="shared" si="419"/>
        <v>0</v>
      </c>
      <c r="AE505" s="3">
        <f t="shared" si="420"/>
        <v>0</v>
      </c>
      <c r="AF505" s="3">
        <f t="shared" si="421"/>
        <v>0</v>
      </c>
      <c r="AG505" s="3">
        <f t="shared" si="397"/>
        <v>0</v>
      </c>
      <c r="AH505" s="3">
        <f t="shared" si="422"/>
        <v>0</v>
      </c>
      <c r="AI505" s="3">
        <f t="shared" si="423"/>
        <v>0</v>
      </c>
      <c r="AJ505" s="3">
        <f t="shared" si="398"/>
        <v>0</v>
      </c>
      <c r="AK505" s="3">
        <v>9.59</v>
      </c>
      <c r="AL505" s="3">
        <v>9.59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97</v>
      </c>
      <c r="AU505" s="3">
        <v>51</v>
      </c>
      <c r="AV505" s="3">
        <v>1</v>
      </c>
      <c r="AW505" s="3">
        <v>1</v>
      </c>
      <c r="AZ505" s="3">
        <v>1</v>
      </c>
      <c r="BA505" s="3">
        <v>1</v>
      </c>
      <c r="BB505" s="3">
        <v>1</v>
      </c>
      <c r="BC505" s="3">
        <v>9.84</v>
      </c>
      <c r="BD505" s="3" t="s">
        <v>3</v>
      </c>
      <c r="BE505" s="3" t="s">
        <v>3</v>
      </c>
      <c r="BF505" s="3" t="s">
        <v>3</v>
      </c>
      <c r="BG505" s="3" t="s">
        <v>3</v>
      </c>
      <c r="BH505" s="3">
        <v>3</v>
      </c>
      <c r="BI505" s="3">
        <v>2</v>
      </c>
      <c r="BJ505" s="3" t="s">
        <v>3</v>
      </c>
      <c r="BM505" s="3">
        <v>67</v>
      </c>
      <c r="BN505" s="3">
        <v>0</v>
      </c>
      <c r="BO505" s="3" t="s">
        <v>3</v>
      </c>
      <c r="BP505" s="3">
        <v>0</v>
      </c>
      <c r="BQ505" s="3">
        <v>40</v>
      </c>
      <c r="BR505" s="3">
        <v>0</v>
      </c>
      <c r="BS505" s="3">
        <v>1</v>
      </c>
      <c r="BT505" s="3">
        <v>1</v>
      </c>
      <c r="BU505" s="3">
        <v>1</v>
      </c>
      <c r="BV505" s="3">
        <v>1</v>
      </c>
      <c r="BW505" s="3">
        <v>1</v>
      </c>
      <c r="BX505" s="3">
        <v>1</v>
      </c>
      <c r="BY505" s="3" t="s">
        <v>3</v>
      </c>
      <c r="BZ505" s="3">
        <v>97</v>
      </c>
      <c r="CA505" s="3">
        <v>51</v>
      </c>
      <c r="CB505" s="3" t="s">
        <v>3</v>
      </c>
      <c r="CE505" s="3">
        <v>1566</v>
      </c>
      <c r="CF505" s="3">
        <v>0</v>
      </c>
      <c r="CG505" s="3">
        <v>0</v>
      </c>
      <c r="CM505" s="3">
        <v>0</v>
      </c>
      <c r="CN505" s="3" t="s">
        <v>615</v>
      </c>
      <c r="CO505" s="3">
        <v>0</v>
      </c>
      <c r="CP505" s="3">
        <f t="shared" si="399"/>
        <v>457201.33</v>
      </c>
      <c r="CQ505" s="3">
        <f t="shared" si="400"/>
        <v>94.37</v>
      </c>
      <c r="CR505" s="3">
        <f t="shared" si="424"/>
        <v>0</v>
      </c>
      <c r="CS505" s="3">
        <f t="shared" si="425"/>
        <v>0</v>
      </c>
      <c r="CT505" s="3">
        <f t="shared" si="401"/>
        <v>0</v>
      </c>
      <c r="CU505" s="3">
        <f t="shared" si="402"/>
        <v>0</v>
      </c>
      <c r="CV505" s="3">
        <f t="shared" si="403"/>
        <v>0</v>
      </c>
      <c r="CW505" s="3">
        <f t="shared" si="404"/>
        <v>0</v>
      </c>
      <c r="CX505" s="3">
        <f t="shared" si="405"/>
        <v>0</v>
      </c>
      <c r="CY505" s="3">
        <f t="shared" si="426"/>
        <v>0</v>
      </c>
      <c r="CZ505" s="3">
        <f t="shared" si="427"/>
        <v>0</v>
      </c>
      <c r="DC505" s="3" t="s">
        <v>3</v>
      </c>
      <c r="DD505" s="3" t="s">
        <v>3</v>
      </c>
      <c r="DE505" s="3" t="s">
        <v>3</v>
      </c>
      <c r="DF505" s="3" t="s">
        <v>3</v>
      </c>
      <c r="DG505" s="3" t="s">
        <v>3</v>
      </c>
      <c r="DH505" s="3" t="s">
        <v>3</v>
      </c>
      <c r="DI505" s="3" t="s">
        <v>3</v>
      </c>
      <c r="DJ505" s="3" t="s">
        <v>3</v>
      </c>
      <c r="DK505" s="3" t="s">
        <v>3</v>
      </c>
      <c r="DL505" s="3" t="s">
        <v>3</v>
      </c>
      <c r="DM505" s="3" t="s">
        <v>3</v>
      </c>
      <c r="DN505" s="3">
        <v>0</v>
      </c>
      <c r="DO505" s="3">
        <v>0</v>
      </c>
      <c r="DP505" s="3">
        <v>1</v>
      </c>
      <c r="DQ505" s="3">
        <v>1</v>
      </c>
      <c r="DU505" s="3">
        <v>1013</v>
      </c>
      <c r="DV505" s="3" t="s">
        <v>390</v>
      </c>
      <c r="DW505" s="3" t="s">
        <v>390</v>
      </c>
      <c r="DX505" s="3">
        <v>1</v>
      </c>
      <c r="DZ505" s="3" t="s">
        <v>3</v>
      </c>
      <c r="EA505" s="3" t="s">
        <v>3</v>
      </c>
      <c r="EB505" s="3" t="s">
        <v>3</v>
      </c>
      <c r="EC505" s="3" t="s">
        <v>3</v>
      </c>
      <c r="EE505" s="3">
        <v>57042957</v>
      </c>
      <c r="EF505" s="3">
        <v>40</v>
      </c>
      <c r="EG505" s="3" t="s">
        <v>30</v>
      </c>
      <c r="EH505" s="3">
        <v>0</v>
      </c>
      <c r="EI505" s="3" t="s">
        <v>3</v>
      </c>
      <c r="EJ505" s="3">
        <v>2</v>
      </c>
      <c r="EK505" s="3">
        <v>67</v>
      </c>
      <c r="EL505" s="3" t="s">
        <v>80</v>
      </c>
      <c r="EM505" s="3" t="s">
        <v>81</v>
      </c>
      <c r="EO505" s="3" t="s">
        <v>109</v>
      </c>
      <c r="EQ505" s="3">
        <v>2097152</v>
      </c>
      <c r="ER505" s="3">
        <v>9.59</v>
      </c>
      <c r="ES505" s="3">
        <v>9.59</v>
      </c>
      <c r="ET505" s="3">
        <v>0</v>
      </c>
      <c r="EU505" s="3">
        <v>0</v>
      </c>
      <c r="EV505" s="3">
        <v>0</v>
      </c>
      <c r="EW505" s="3">
        <v>0</v>
      </c>
      <c r="EX505" s="3">
        <v>0</v>
      </c>
      <c r="EY505" s="3">
        <v>0</v>
      </c>
      <c r="EZ505" s="3">
        <v>5</v>
      </c>
      <c r="FC505" s="3">
        <v>1</v>
      </c>
      <c r="FD505" s="3">
        <v>18</v>
      </c>
      <c r="FF505" s="3">
        <v>112.8</v>
      </c>
      <c r="FQ505" s="3">
        <v>0</v>
      </c>
      <c r="FR505" s="3">
        <v>0</v>
      </c>
      <c r="FS505" s="3">
        <v>0</v>
      </c>
      <c r="FX505" s="3">
        <v>97</v>
      </c>
      <c r="FY505" s="3">
        <v>51</v>
      </c>
      <c r="GA505" s="3" t="s">
        <v>391</v>
      </c>
      <c r="GD505" s="3">
        <v>1</v>
      </c>
      <c r="GF505" s="3">
        <v>-820338689</v>
      </c>
      <c r="GG505" s="3">
        <v>2</v>
      </c>
      <c r="GH505" s="3">
        <v>3</v>
      </c>
      <c r="GI505" s="3">
        <v>5</v>
      </c>
      <c r="GJ505" s="3">
        <v>0</v>
      </c>
      <c r="GK505" s="3">
        <v>0</v>
      </c>
      <c r="GL505" s="3">
        <f t="shared" si="406"/>
        <v>0</v>
      </c>
      <c r="GM505" s="3">
        <f t="shared" si="407"/>
        <v>457201.33</v>
      </c>
      <c r="GN505" s="3">
        <f t="shared" si="408"/>
        <v>0</v>
      </c>
      <c r="GO505" s="3">
        <f t="shared" si="409"/>
        <v>457201.33</v>
      </c>
      <c r="GP505" s="3">
        <f t="shared" si="410"/>
        <v>0</v>
      </c>
      <c r="GR505" s="3">
        <v>1</v>
      </c>
      <c r="GS505" s="3">
        <v>1</v>
      </c>
      <c r="GT505" s="3">
        <v>0</v>
      </c>
      <c r="GU505" s="3" t="s">
        <v>3</v>
      </c>
      <c r="GV505" s="3">
        <f t="shared" si="411"/>
        <v>0</v>
      </c>
      <c r="GW505" s="3">
        <v>1</v>
      </c>
      <c r="GX505" s="3">
        <f t="shared" si="412"/>
        <v>0</v>
      </c>
      <c r="HA505" s="3">
        <v>0</v>
      </c>
      <c r="HB505" s="3">
        <v>0</v>
      </c>
      <c r="HC505" s="3">
        <f t="shared" si="413"/>
        <v>0</v>
      </c>
      <c r="HE505" s="3" t="s">
        <v>347</v>
      </c>
      <c r="HF505" s="3" t="s">
        <v>34</v>
      </c>
      <c r="HM505" s="3" t="s">
        <v>3</v>
      </c>
      <c r="HN505" s="3" t="s">
        <v>3</v>
      </c>
      <c r="HO505" s="3" t="s">
        <v>3</v>
      </c>
      <c r="HP505" s="3" t="s">
        <v>3</v>
      </c>
      <c r="HQ505" s="3" t="s">
        <v>3</v>
      </c>
      <c r="HS505" s="3">
        <v>0</v>
      </c>
      <c r="IK505" s="3">
        <v>0</v>
      </c>
    </row>
    <row r="506" spans="1:255" x14ac:dyDescent="0.25">
      <c r="A506" s="2">
        <v>17</v>
      </c>
      <c r="B506" s="2">
        <v>1</v>
      </c>
      <c r="C506" s="2"/>
      <c r="D506" s="2"/>
      <c r="E506" s="2" t="s">
        <v>392</v>
      </c>
      <c r="F506" s="2" t="s">
        <v>393</v>
      </c>
      <c r="G506" s="2" t="s">
        <v>394</v>
      </c>
      <c r="H506" s="2" t="s">
        <v>390</v>
      </c>
      <c r="I506" s="2">
        <f t="shared" ref="I506:I513" si="428">ROUND(100*1.02,9)</f>
        <v>102</v>
      </c>
      <c r="J506" s="2">
        <v>0</v>
      </c>
      <c r="K506" s="2">
        <f t="shared" ref="K506:K513" si="429">ROUND(100*1.02,9)</f>
        <v>102</v>
      </c>
      <c r="L506" s="2"/>
      <c r="M506" s="2"/>
      <c r="N506" s="2"/>
      <c r="O506" s="2">
        <f t="shared" si="389"/>
        <v>2694.84</v>
      </c>
      <c r="P506" s="2">
        <f t="shared" si="390"/>
        <v>2694.84</v>
      </c>
      <c r="Q506" s="2">
        <f t="shared" si="414"/>
        <v>0</v>
      </c>
      <c r="R506" s="2">
        <f t="shared" si="415"/>
        <v>0</v>
      </c>
      <c r="S506" s="2">
        <f t="shared" si="391"/>
        <v>0</v>
      </c>
      <c r="T506" s="2">
        <f t="shared" si="392"/>
        <v>0</v>
      </c>
      <c r="U506" s="2">
        <f t="shared" si="393"/>
        <v>0</v>
      </c>
      <c r="V506" s="2">
        <f t="shared" si="394"/>
        <v>0</v>
      </c>
      <c r="W506" s="2">
        <f t="shared" si="395"/>
        <v>0</v>
      </c>
      <c r="X506" s="2">
        <f t="shared" si="416"/>
        <v>0</v>
      </c>
      <c r="Y506" s="2">
        <f t="shared" si="417"/>
        <v>0</v>
      </c>
      <c r="Z506" s="2"/>
      <c r="AA506" s="2">
        <v>57034452</v>
      </c>
      <c r="AB506" s="2">
        <f t="shared" si="396"/>
        <v>26.42</v>
      </c>
      <c r="AC506" s="2">
        <f t="shared" si="418"/>
        <v>26.42</v>
      </c>
      <c r="AD506" s="2">
        <f t="shared" si="419"/>
        <v>0</v>
      </c>
      <c r="AE506" s="2">
        <f t="shared" si="420"/>
        <v>0</v>
      </c>
      <c r="AF506" s="2">
        <f t="shared" si="421"/>
        <v>0</v>
      </c>
      <c r="AG506" s="2">
        <f t="shared" si="397"/>
        <v>0</v>
      </c>
      <c r="AH506" s="2">
        <f t="shared" si="422"/>
        <v>0</v>
      </c>
      <c r="AI506" s="2">
        <f t="shared" si="423"/>
        <v>0</v>
      </c>
      <c r="AJ506" s="2">
        <f t="shared" si="398"/>
        <v>0</v>
      </c>
      <c r="AK506" s="2">
        <v>26.419999999999998</v>
      </c>
      <c r="AL506" s="2">
        <v>26.419999999999998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97</v>
      </c>
      <c r="AU506" s="2">
        <v>51</v>
      </c>
      <c r="AV506" s="2">
        <v>1</v>
      </c>
      <c r="AW506" s="2">
        <v>1</v>
      </c>
      <c r="AX506" s="2"/>
      <c r="AY506" s="2"/>
      <c r="AZ506" s="2">
        <v>1</v>
      </c>
      <c r="BA506" s="2">
        <v>1</v>
      </c>
      <c r="BB506" s="2">
        <v>1</v>
      </c>
      <c r="BC506" s="2">
        <v>1</v>
      </c>
      <c r="BD506" s="2" t="s">
        <v>3</v>
      </c>
      <c r="BE506" s="2" t="s">
        <v>3</v>
      </c>
      <c r="BF506" s="2" t="s">
        <v>3</v>
      </c>
      <c r="BG506" s="2" t="s">
        <v>3</v>
      </c>
      <c r="BH506" s="2">
        <v>3</v>
      </c>
      <c r="BI506" s="2">
        <v>2</v>
      </c>
      <c r="BJ506" s="2" t="s">
        <v>3</v>
      </c>
      <c r="BK506" s="2"/>
      <c r="BL506" s="2"/>
      <c r="BM506" s="2">
        <v>67</v>
      </c>
      <c r="BN506" s="2">
        <v>0</v>
      </c>
      <c r="BO506" s="2" t="s">
        <v>3</v>
      </c>
      <c r="BP506" s="2">
        <v>0</v>
      </c>
      <c r="BQ506" s="2">
        <v>40</v>
      </c>
      <c r="BR506" s="2">
        <v>0</v>
      </c>
      <c r="BS506" s="2">
        <v>1</v>
      </c>
      <c r="BT506" s="2">
        <v>1</v>
      </c>
      <c r="BU506" s="2">
        <v>1</v>
      </c>
      <c r="BV506" s="2">
        <v>1</v>
      </c>
      <c r="BW506" s="2">
        <v>1</v>
      </c>
      <c r="BX506" s="2">
        <v>1</v>
      </c>
      <c r="BY506" s="2" t="s">
        <v>3</v>
      </c>
      <c r="BZ506" s="2">
        <v>97</v>
      </c>
      <c r="CA506" s="2">
        <v>51</v>
      </c>
      <c r="CB506" s="2" t="s">
        <v>3</v>
      </c>
      <c r="CC506" s="2"/>
      <c r="CD506" s="2"/>
      <c r="CE506" s="2">
        <v>1566</v>
      </c>
      <c r="CF506" s="2">
        <v>0</v>
      </c>
      <c r="CG506" s="2">
        <v>0</v>
      </c>
      <c r="CH506" s="2"/>
      <c r="CI506" s="2"/>
      <c r="CJ506" s="2"/>
      <c r="CK506" s="2"/>
      <c r="CL506" s="2"/>
      <c r="CM506" s="2">
        <v>0</v>
      </c>
      <c r="CN506" s="2" t="s">
        <v>615</v>
      </c>
      <c r="CO506" s="2">
        <v>0</v>
      </c>
      <c r="CP506" s="2">
        <f t="shared" si="399"/>
        <v>2694.84</v>
      </c>
      <c r="CQ506" s="2">
        <f t="shared" si="400"/>
        <v>26.42</v>
      </c>
      <c r="CR506" s="2">
        <f t="shared" si="424"/>
        <v>0</v>
      </c>
      <c r="CS506" s="2">
        <f t="shared" si="425"/>
        <v>0</v>
      </c>
      <c r="CT506" s="2">
        <f t="shared" si="401"/>
        <v>0</v>
      </c>
      <c r="CU506" s="2">
        <f t="shared" si="402"/>
        <v>0</v>
      </c>
      <c r="CV506" s="2">
        <f t="shared" si="403"/>
        <v>0</v>
      </c>
      <c r="CW506" s="2">
        <f t="shared" si="404"/>
        <v>0</v>
      </c>
      <c r="CX506" s="2">
        <f t="shared" si="405"/>
        <v>0</v>
      </c>
      <c r="CY506" s="2">
        <f t="shared" si="426"/>
        <v>0</v>
      </c>
      <c r="CZ506" s="2">
        <f t="shared" si="427"/>
        <v>0</v>
      </c>
      <c r="DA506" s="2"/>
      <c r="DB506" s="2"/>
      <c r="DC506" s="2" t="s">
        <v>3</v>
      </c>
      <c r="DD506" s="2" t="s">
        <v>3</v>
      </c>
      <c r="DE506" s="2" t="s">
        <v>3</v>
      </c>
      <c r="DF506" s="2" t="s">
        <v>3</v>
      </c>
      <c r="DG506" s="2" t="s">
        <v>3</v>
      </c>
      <c r="DH506" s="2" t="s">
        <v>3</v>
      </c>
      <c r="DI506" s="2" t="s">
        <v>3</v>
      </c>
      <c r="DJ506" s="2" t="s">
        <v>3</v>
      </c>
      <c r="DK506" s="2" t="s">
        <v>3</v>
      </c>
      <c r="DL506" s="2" t="s">
        <v>3</v>
      </c>
      <c r="DM506" s="2" t="s">
        <v>3</v>
      </c>
      <c r="DN506" s="2">
        <v>0</v>
      </c>
      <c r="DO506" s="2">
        <v>0</v>
      </c>
      <c r="DP506" s="2">
        <v>1</v>
      </c>
      <c r="DQ506" s="2">
        <v>1</v>
      </c>
      <c r="DR506" s="2"/>
      <c r="DS506" s="2"/>
      <c r="DT506" s="2"/>
      <c r="DU506" s="2">
        <v>1013</v>
      </c>
      <c r="DV506" s="2" t="s">
        <v>390</v>
      </c>
      <c r="DW506" s="2" t="s">
        <v>390</v>
      </c>
      <c r="DX506" s="2">
        <v>1</v>
      </c>
      <c r="DY506" s="2"/>
      <c r="DZ506" s="2" t="s">
        <v>3</v>
      </c>
      <c r="EA506" s="2" t="s">
        <v>3</v>
      </c>
      <c r="EB506" s="2" t="s">
        <v>3</v>
      </c>
      <c r="EC506" s="2" t="s">
        <v>3</v>
      </c>
      <c r="ED506" s="2"/>
      <c r="EE506" s="2">
        <v>57042957</v>
      </c>
      <c r="EF506" s="2">
        <v>40</v>
      </c>
      <c r="EG506" s="2" t="s">
        <v>30</v>
      </c>
      <c r="EH506" s="2">
        <v>0</v>
      </c>
      <c r="EI506" s="2" t="s">
        <v>3</v>
      </c>
      <c r="EJ506" s="2">
        <v>2</v>
      </c>
      <c r="EK506" s="2">
        <v>67</v>
      </c>
      <c r="EL506" s="2" t="s">
        <v>80</v>
      </c>
      <c r="EM506" s="2" t="s">
        <v>81</v>
      </c>
      <c r="EN506" s="2"/>
      <c r="EO506" s="2" t="s">
        <v>109</v>
      </c>
      <c r="EP506" s="2"/>
      <c r="EQ506" s="2">
        <v>2097152</v>
      </c>
      <c r="ER506" s="2">
        <v>0</v>
      </c>
      <c r="ES506" s="2">
        <v>26.419999999999998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>
        <v>0</v>
      </c>
      <c r="FR506" s="2">
        <v>0</v>
      </c>
      <c r="FS506" s="2">
        <v>0</v>
      </c>
      <c r="FT506" s="2"/>
      <c r="FU506" s="2"/>
      <c r="FV506" s="2"/>
      <c r="FW506" s="2"/>
      <c r="FX506" s="2">
        <v>97</v>
      </c>
      <c r="FY506" s="2">
        <v>51</v>
      </c>
      <c r="FZ506" s="2"/>
      <c r="GA506" s="2" t="s">
        <v>395</v>
      </c>
      <c r="GB506" s="2"/>
      <c r="GC506" s="2"/>
      <c r="GD506" s="2">
        <v>1</v>
      </c>
      <c r="GE506" s="2"/>
      <c r="GF506" s="2">
        <v>-573236397</v>
      </c>
      <c r="GG506" s="2">
        <v>2</v>
      </c>
      <c r="GH506" s="2">
        <v>4</v>
      </c>
      <c r="GI506" s="2">
        <v>-2</v>
      </c>
      <c r="GJ506" s="2">
        <v>0</v>
      </c>
      <c r="GK506" s="2">
        <v>0</v>
      </c>
      <c r="GL506" s="2">
        <f t="shared" si="406"/>
        <v>0</v>
      </c>
      <c r="GM506" s="2">
        <f t="shared" si="407"/>
        <v>2694.84</v>
      </c>
      <c r="GN506" s="2">
        <f t="shared" si="408"/>
        <v>0</v>
      </c>
      <c r="GO506" s="2">
        <f t="shared" si="409"/>
        <v>2694.84</v>
      </c>
      <c r="GP506" s="2">
        <f t="shared" si="410"/>
        <v>0</v>
      </c>
      <c r="GQ506" s="2"/>
      <c r="GR506" s="2">
        <v>0</v>
      </c>
      <c r="GS506" s="2">
        <v>2</v>
      </c>
      <c r="GT506" s="2">
        <v>0</v>
      </c>
      <c r="GU506" s="2" t="s">
        <v>3</v>
      </c>
      <c r="GV506" s="2">
        <f t="shared" si="411"/>
        <v>0</v>
      </c>
      <c r="GW506" s="2">
        <v>1</v>
      </c>
      <c r="GX506" s="2">
        <f t="shared" si="412"/>
        <v>0</v>
      </c>
      <c r="GY506" s="2"/>
      <c r="GZ506" s="2"/>
      <c r="HA506" s="2">
        <v>0</v>
      </c>
      <c r="HB506" s="2">
        <v>0</v>
      </c>
      <c r="HC506" s="2">
        <f t="shared" si="413"/>
        <v>0</v>
      </c>
      <c r="HD506" s="2"/>
      <c r="HE506" s="2" t="s">
        <v>347</v>
      </c>
      <c r="HF506" s="2" t="s">
        <v>34</v>
      </c>
      <c r="HG506" s="2"/>
      <c r="HH506" s="2"/>
      <c r="HI506" s="2"/>
      <c r="HJ506" s="2"/>
      <c r="HK506" s="2"/>
      <c r="HL506" s="2"/>
      <c r="HM506" s="2" t="s">
        <v>3</v>
      </c>
      <c r="HN506" s="2" t="s">
        <v>3</v>
      </c>
      <c r="HO506" s="2" t="s">
        <v>3</v>
      </c>
      <c r="HP506" s="2" t="s">
        <v>3</v>
      </c>
      <c r="HQ506" s="2" t="s">
        <v>3</v>
      </c>
      <c r="HR506" s="2"/>
      <c r="HS506" s="2">
        <v>0</v>
      </c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>
        <v>0</v>
      </c>
      <c r="IL506" s="2"/>
      <c r="IM506" s="2"/>
      <c r="IN506" s="2"/>
      <c r="IO506" s="2"/>
      <c r="IP506" s="2"/>
      <c r="IQ506" s="2"/>
      <c r="IR506" s="2"/>
      <c r="IS506" s="2"/>
      <c r="IT506" s="2"/>
      <c r="IU506" s="2"/>
    </row>
    <row r="507" spans="1:255" x14ac:dyDescent="0.25">
      <c r="A507" s="3">
        <v>17</v>
      </c>
      <c r="B507" s="3">
        <v>1</v>
      </c>
      <c r="E507" s="3" t="s">
        <v>392</v>
      </c>
      <c r="F507" s="3" t="s">
        <v>393</v>
      </c>
      <c r="G507" s="3" t="s">
        <v>394</v>
      </c>
      <c r="H507" s="3" t="s">
        <v>390</v>
      </c>
      <c r="I507" s="3">
        <f t="shared" si="428"/>
        <v>102</v>
      </c>
      <c r="J507" s="3">
        <v>0</v>
      </c>
      <c r="K507" s="3">
        <f t="shared" si="429"/>
        <v>102</v>
      </c>
      <c r="O507" s="3">
        <f t="shared" si="389"/>
        <v>26517.23</v>
      </c>
      <c r="P507" s="3">
        <f t="shared" si="390"/>
        <v>26517.23</v>
      </c>
      <c r="Q507" s="3">
        <f t="shared" si="414"/>
        <v>0</v>
      </c>
      <c r="R507" s="3">
        <f t="shared" si="415"/>
        <v>0</v>
      </c>
      <c r="S507" s="3">
        <f t="shared" si="391"/>
        <v>0</v>
      </c>
      <c r="T507" s="3">
        <f t="shared" si="392"/>
        <v>0</v>
      </c>
      <c r="U507" s="3">
        <f t="shared" si="393"/>
        <v>0</v>
      </c>
      <c r="V507" s="3">
        <f t="shared" si="394"/>
        <v>0</v>
      </c>
      <c r="W507" s="3">
        <f t="shared" si="395"/>
        <v>0</v>
      </c>
      <c r="X507" s="3">
        <f t="shared" si="416"/>
        <v>0</v>
      </c>
      <c r="Y507" s="3">
        <f t="shared" si="417"/>
        <v>0</v>
      </c>
      <c r="AA507" s="3">
        <v>57034454</v>
      </c>
      <c r="AB507" s="3">
        <f t="shared" si="396"/>
        <v>26.42</v>
      </c>
      <c r="AC507" s="3">
        <f t="shared" si="418"/>
        <v>26.42</v>
      </c>
      <c r="AD507" s="3">
        <f t="shared" si="419"/>
        <v>0</v>
      </c>
      <c r="AE507" s="3">
        <f t="shared" si="420"/>
        <v>0</v>
      </c>
      <c r="AF507" s="3">
        <f t="shared" si="421"/>
        <v>0</v>
      </c>
      <c r="AG507" s="3">
        <f t="shared" si="397"/>
        <v>0</v>
      </c>
      <c r="AH507" s="3">
        <f t="shared" si="422"/>
        <v>0</v>
      </c>
      <c r="AI507" s="3">
        <f t="shared" si="423"/>
        <v>0</v>
      </c>
      <c r="AJ507" s="3">
        <f t="shared" si="398"/>
        <v>0</v>
      </c>
      <c r="AK507" s="3">
        <v>26.419999999999998</v>
      </c>
      <c r="AL507" s="3">
        <v>26.419999999999998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97</v>
      </c>
      <c r="AU507" s="3">
        <v>51</v>
      </c>
      <c r="AV507" s="3">
        <v>1</v>
      </c>
      <c r="AW507" s="3">
        <v>1</v>
      </c>
      <c r="AZ507" s="3">
        <v>1</v>
      </c>
      <c r="BA507" s="3">
        <v>1</v>
      </c>
      <c r="BB507" s="3">
        <v>1</v>
      </c>
      <c r="BC507" s="3">
        <v>9.84</v>
      </c>
      <c r="BD507" s="3" t="s">
        <v>3</v>
      </c>
      <c r="BE507" s="3" t="s">
        <v>3</v>
      </c>
      <c r="BF507" s="3" t="s">
        <v>3</v>
      </c>
      <c r="BG507" s="3" t="s">
        <v>3</v>
      </c>
      <c r="BH507" s="3">
        <v>3</v>
      </c>
      <c r="BI507" s="3">
        <v>2</v>
      </c>
      <c r="BJ507" s="3" t="s">
        <v>3</v>
      </c>
      <c r="BM507" s="3">
        <v>67</v>
      </c>
      <c r="BN507" s="3">
        <v>0</v>
      </c>
      <c r="BO507" s="3" t="s">
        <v>3</v>
      </c>
      <c r="BP507" s="3">
        <v>0</v>
      </c>
      <c r="BQ507" s="3">
        <v>40</v>
      </c>
      <c r="BR507" s="3">
        <v>0</v>
      </c>
      <c r="BS507" s="3">
        <v>1</v>
      </c>
      <c r="BT507" s="3">
        <v>1</v>
      </c>
      <c r="BU507" s="3">
        <v>1</v>
      </c>
      <c r="BV507" s="3">
        <v>1</v>
      </c>
      <c r="BW507" s="3">
        <v>1</v>
      </c>
      <c r="BX507" s="3">
        <v>1</v>
      </c>
      <c r="BY507" s="3" t="s">
        <v>3</v>
      </c>
      <c r="BZ507" s="3">
        <v>97</v>
      </c>
      <c r="CA507" s="3">
        <v>51</v>
      </c>
      <c r="CB507" s="3" t="s">
        <v>3</v>
      </c>
      <c r="CE507" s="3">
        <v>1566</v>
      </c>
      <c r="CF507" s="3">
        <v>0</v>
      </c>
      <c r="CG507" s="3">
        <v>0</v>
      </c>
      <c r="CM507" s="3">
        <v>0</v>
      </c>
      <c r="CN507" s="3" t="s">
        <v>615</v>
      </c>
      <c r="CO507" s="3">
        <v>0</v>
      </c>
      <c r="CP507" s="3">
        <f t="shared" si="399"/>
        <v>26517.23</v>
      </c>
      <c r="CQ507" s="3">
        <f t="shared" si="400"/>
        <v>259.97000000000003</v>
      </c>
      <c r="CR507" s="3">
        <f t="shared" si="424"/>
        <v>0</v>
      </c>
      <c r="CS507" s="3">
        <f t="shared" si="425"/>
        <v>0</v>
      </c>
      <c r="CT507" s="3">
        <f t="shared" si="401"/>
        <v>0</v>
      </c>
      <c r="CU507" s="3">
        <f t="shared" si="402"/>
        <v>0</v>
      </c>
      <c r="CV507" s="3">
        <f t="shared" si="403"/>
        <v>0</v>
      </c>
      <c r="CW507" s="3">
        <f t="shared" si="404"/>
        <v>0</v>
      </c>
      <c r="CX507" s="3">
        <f t="shared" si="405"/>
        <v>0</v>
      </c>
      <c r="CY507" s="3">
        <f t="shared" si="426"/>
        <v>0</v>
      </c>
      <c r="CZ507" s="3">
        <f t="shared" si="427"/>
        <v>0</v>
      </c>
      <c r="DC507" s="3" t="s">
        <v>3</v>
      </c>
      <c r="DD507" s="3" t="s">
        <v>3</v>
      </c>
      <c r="DE507" s="3" t="s">
        <v>3</v>
      </c>
      <c r="DF507" s="3" t="s">
        <v>3</v>
      </c>
      <c r="DG507" s="3" t="s">
        <v>3</v>
      </c>
      <c r="DH507" s="3" t="s">
        <v>3</v>
      </c>
      <c r="DI507" s="3" t="s">
        <v>3</v>
      </c>
      <c r="DJ507" s="3" t="s">
        <v>3</v>
      </c>
      <c r="DK507" s="3" t="s">
        <v>3</v>
      </c>
      <c r="DL507" s="3" t="s">
        <v>3</v>
      </c>
      <c r="DM507" s="3" t="s">
        <v>3</v>
      </c>
      <c r="DN507" s="3">
        <v>0</v>
      </c>
      <c r="DO507" s="3">
        <v>0</v>
      </c>
      <c r="DP507" s="3">
        <v>1</v>
      </c>
      <c r="DQ507" s="3">
        <v>1</v>
      </c>
      <c r="DU507" s="3">
        <v>1013</v>
      </c>
      <c r="DV507" s="3" t="s">
        <v>390</v>
      </c>
      <c r="DW507" s="3" t="s">
        <v>390</v>
      </c>
      <c r="DX507" s="3">
        <v>1</v>
      </c>
      <c r="DZ507" s="3" t="s">
        <v>3</v>
      </c>
      <c r="EA507" s="3" t="s">
        <v>3</v>
      </c>
      <c r="EB507" s="3" t="s">
        <v>3</v>
      </c>
      <c r="EC507" s="3" t="s">
        <v>3</v>
      </c>
      <c r="EE507" s="3">
        <v>57042957</v>
      </c>
      <c r="EF507" s="3">
        <v>40</v>
      </c>
      <c r="EG507" s="3" t="s">
        <v>30</v>
      </c>
      <c r="EH507" s="3">
        <v>0</v>
      </c>
      <c r="EI507" s="3" t="s">
        <v>3</v>
      </c>
      <c r="EJ507" s="3">
        <v>2</v>
      </c>
      <c r="EK507" s="3">
        <v>67</v>
      </c>
      <c r="EL507" s="3" t="s">
        <v>80</v>
      </c>
      <c r="EM507" s="3" t="s">
        <v>81</v>
      </c>
      <c r="EO507" s="3" t="s">
        <v>109</v>
      </c>
      <c r="EQ507" s="3">
        <v>2097152</v>
      </c>
      <c r="ER507" s="3">
        <v>26.419999999999998</v>
      </c>
      <c r="ES507" s="3">
        <v>26.419999999999998</v>
      </c>
      <c r="ET507" s="3">
        <v>0</v>
      </c>
      <c r="EU507" s="3">
        <v>0</v>
      </c>
      <c r="EV507" s="3">
        <v>0</v>
      </c>
      <c r="EW507" s="3">
        <v>0</v>
      </c>
      <c r="EX507" s="3">
        <v>0</v>
      </c>
      <c r="EY507" s="3">
        <v>0</v>
      </c>
      <c r="EZ507" s="3">
        <v>5</v>
      </c>
      <c r="FC507" s="3">
        <v>1</v>
      </c>
      <c r="FD507" s="3">
        <v>18</v>
      </c>
      <c r="FF507" s="3">
        <v>310.89999999999998</v>
      </c>
      <c r="FQ507" s="3">
        <v>0</v>
      </c>
      <c r="FR507" s="3">
        <v>0</v>
      </c>
      <c r="FS507" s="3">
        <v>0</v>
      </c>
      <c r="FX507" s="3">
        <v>97</v>
      </c>
      <c r="FY507" s="3">
        <v>51</v>
      </c>
      <c r="GA507" s="3" t="s">
        <v>395</v>
      </c>
      <c r="GD507" s="3">
        <v>1</v>
      </c>
      <c r="GF507" s="3">
        <v>-573236397</v>
      </c>
      <c r="GG507" s="3">
        <v>2</v>
      </c>
      <c r="GH507" s="3">
        <v>3</v>
      </c>
      <c r="GI507" s="3">
        <v>5</v>
      </c>
      <c r="GJ507" s="3">
        <v>0</v>
      </c>
      <c r="GK507" s="3">
        <v>0</v>
      </c>
      <c r="GL507" s="3">
        <f t="shared" si="406"/>
        <v>0</v>
      </c>
      <c r="GM507" s="3">
        <f t="shared" si="407"/>
        <v>26517.23</v>
      </c>
      <c r="GN507" s="3">
        <f t="shared" si="408"/>
        <v>0</v>
      </c>
      <c r="GO507" s="3">
        <f t="shared" si="409"/>
        <v>26517.23</v>
      </c>
      <c r="GP507" s="3">
        <f t="shared" si="410"/>
        <v>0</v>
      </c>
      <c r="GR507" s="3">
        <v>1</v>
      </c>
      <c r="GS507" s="3">
        <v>1</v>
      </c>
      <c r="GT507" s="3">
        <v>0</v>
      </c>
      <c r="GU507" s="3" t="s">
        <v>3</v>
      </c>
      <c r="GV507" s="3">
        <f t="shared" si="411"/>
        <v>0</v>
      </c>
      <c r="GW507" s="3">
        <v>1</v>
      </c>
      <c r="GX507" s="3">
        <f t="shared" si="412"/>
        <v>0</v>
      </c>
      <c r="HA507" s="3">
        <v>0</v>
      </c>
      <c r="HB507" s="3">
        <v>0</v>
      </c>
      <c r="HC507" s="3">
        <f t="shared" si="413"/>
        <v>0</v>
      </c>
      <c r="HE507" s="3" t="s">
        <v>347</v>
      </c>
      <c r="HF507" s="3" t="s">
        <v>34</v>
      </c>
      <c r="HM507" s="3" t="s">
        <v>3</v>
      </c>
      <c r="HN507" s="3" t="s">
        <v>3</v>
      </c>
      <c r="HO507" s="3" t="s">
        <v>3</v>
      </c>
      <c r="HP507" s="3" t="s">
        <v>3</v>
      </c>
      <c r="HQ507" s="3" t="s">
        <v>3</v>
      </c>
      <c r="HS507" s="3">
        <v>0</v>
      </c>
      <c r="IK507" s="3">
        <v>0</v>
      </c>
    </row>
    <row r="508" spans="1:255" x14ac:dyDescent="0.25">
      <c r="A508" s="2">
        <v>17</v>
      </c>
      <c r="B508" s="2">
        <v>1</v>
      </c>
      <c r="C508" s="2"/>
      <c r="D508" s="2"/>
      <c r="E508" s="2" t="s">
        <v>396</v>
      </c>
      <c r="F508" s="2" t="s">
        <v>397</v>
      </c>
      <c r="G508" s="2" t="s">
        <v>398</v>
      </c>
      <c r="H508" s="2" t="s">
        <v>390</v>
      </c>
      <c r="I508" s="2">
        <f t="shared" si="428"/>
        <v>102</v>
      </c>
      <c r="J508" s="2">
        <v>0</v>
      </c>
      <c r="K508" s="2">
        <f t="shared" si="429"/>
        <v>102</v>
      </c>
      <c r="L508" s="2"/>
      <c r="M508" s="2"/>
      <c r="N508" s="2"/>
      <c r="O508" s="2">
        <f t="shared" si="389"/>
        <v>2277.66</v>
      </c>
      <c r="P508" s="2">
        <f t="shared" si="390"/>
        <v>2277.66</v>
      </c>
      <c r="Q508" s="2">
        <f t="shared" si="414"/>
        <v>0</v>
      </c>
      <c r="R508" s="2">
        <f t="shared" si="415"/>
        <v>0</v>
      </c>
      <c r="S508" s="2">
        <f t="shared" si="391"/>
        <v>0</v>
      </c>
      <c r="T508" s="2">
        <f t="shared" si="392"/>
        <v>0</v>
      </c>
      <c r="U508" s="2">
        <f t="shared" si="393"/>
        <v>0</v>
      </c>
      <c r="V508" s="2">
        <f t="shared" si="394"/>
        <v>0</v>
      </c>
      <c r="W508" s="2">
        <f t="shared" si="395"/>
        <v>0</v>
      </c>
      <c r="X508" s="2">
        <f t="shared" si="416"/>
        <v>0</v>
      </c>
      <c r="Y508" s="2">
        <f t="shared" si="417"/>
        <v>0</v>
      </c>
      <c r="Z508" s="2"/>
      <c r="AA508" s="2">
        <v>57034452</v>
      </c>
      <c r="AB508" s="2">
        <f t="shared" si="396"/>
        <v>22.33</v>
      </c>
      <c r="AC508" s="2">
        <f t="shared" si="418"/>
        <v>22.33</v>
      </c>
      <c r="AD508" s="2">
        <f t="shared" si="419"/>
        <v>0</v>
      </c>
      <c r="AE508" s="2">
        <f t="shared" si="420"/>
        <v>0</v>
      </c>
      <c r="AF508" s="2">
        <f t="shared" si="421"/>
        <v>0</v>
      </c>
      <c r="AG508" s="2">
        <f t="shared" si="397"/>
        <v>0</v>
      </c>
      <c r="AH508" s="2">
        <f t="shared" si="422"/>
        <v>0</v>
      </c>
      <c r="AI508" s="2">
        <f t="shared" si="423"/>
        <v>0</v>
      </c>
      <c r="AJ508" s="2">
        <f t="shared" si="398"/>
        <v>0</v>
      </c>
      <c r="AK508" s="2">
        <v>22.330000000000002</v>
      </c>
      <c r="AL508" s="2">
        <v>22.330000000000002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97</v>
      </c>
      <c r="AU508" s="2">
        <v>51</v>
      </c>
      <c r="AV508" s="2">
        <v>1</v>
      </c>
      <c r="AW508" s="2">
        <v>1</v>
      </c>
      <c r="AX508" s="2"/>
      <c r="AY508" s="2"/>
      <c r="AZ508" s="2">
        <v>1</v>
      </c>
      <c r="BA508" s="2">
        <v>1</v>
      </c>
      <c r="BB508" s="2">
        <v>1</v>
      </c>
      <c r="BC508" s="2">
        <v>1</v>
      </c>
      <c r="BD508" s="2" t="s">
        <v>3</v>
      </c>
      <c r="BE508" s="2" t="s">
        <v>3</v>
      </c>
      <c r="BF508" s="2" t="s">
        <v>3</v>
      </c>
      <c r="BG508" s="2" t="s">
        <v>3</v>
      </c>
      <c r="BH508" s="2">
        <v>3</v>
      </c>
      <c r="BI508" s="2">
        <v>2</v>
      </c>
      <c r="BJ508" s="2" t="s">
        <v>3</v>
      </c>
      <c r="BK508" s="2"/>
      <c r="BL508" s="2"/>
      <c r="BM508" s="2">
        <v>67</v>
      </c>
      <c r="BN508" s="2">
        <v>0</v>
      </c>
      <c r="BO508" s="2" t="s">
        <v>3</v>
      </c>
      <c r="BP508" s="2">
        <v>0</v>
      </c>
      <c r="BQ508" s="2">
        <v>40</v>
      </c>
      <c r="BR508" s="2">
        <v>0</v>
      </c>
      <c r="BS508" s="2">
        <v>1</v>
      </c>
      <c r="BT508" s="2">
        <v>1</v>
      </c>
      <c r="BU508" s="2">
        <v>1</v>
      </c>
      <c r="BV508" s="2">
        <v>1</v>
      </c>
      <c r="BW508" s="2">
        <v>1</v>
      </c>
      <c r="BX508" s="2">
        <v>1</v>
      </c>
      <c r="BY508" s="2" t="s">
        <v>3</v>
      </c>
      <c r="BZ508" s="2">
        <v>97</v>
      </c>
      <c r="CA508" s="2">
        <v>51</v>
      </c>
      <c r="CB508" s="2" t="s">
        <v>3</v>
      </c>
      <c r="CC508" s="2"/>
      <c r="CD508" s="2"/>
      <c r="CE508" s="2">
        <v>1566</v>
      </c>
      <c r="CF508" s="2">
        <v>0</v>
      </c>
      <c r="CG508" s="2">
        <v>0</v>
      </c>
      <c r="CH508" s="2"/>
      <c r="CI508" s="2"/>
      <c r="CJ508" s="2"/>
      <c r="CK508" s="2"/>
      <c r="CL508" s="2"/>
      <c r="CM508" s="2">
        <v>0</v>
      </c>
      <c r="CN508" s="2" t="s">
        <v>615</v>
      </c>
      <c r="CO508" s="2">
        <v>0</v>
      </c>
      <c r="CP508" s="2">
        <f t="shared" si="399"/>
        <v>2277.66</v>
      </c>
      <c r="CQ508" s="2">
        <f t="shared" si="400"/>
        <v>22.33</v>
      </c>
      <c r="CR508" s="2">
        <f t="shared" si="424"/>
        <v>0</v>
      </c>
      <c r="CS508" s="2">
        <f t="shared" si="425"/>
        <v>0</v>
      </c>
      <c r="CT508" s="2">
        <f t="shared" si="401"/>
        <v>0</v>
      </c>
      <c r="CU508" s="2">
        <f t="shared" si="402"/>
        <v>0</v>
      </c>
      <c r="CV508" s="2">
        <f t="shared" si="403"/>
        <v>0</v>
      </c>
      <c r="CW508" s="2">
        <f t="shared" si="404"/>
        <v>0</v>
      </c>
      <c r="CX508" s="2">
        <f t="shared" si="405"/>
        <v>0</v>
      </c>
      <c r="CY508" s="2">
        <f t="shared" si="426"/>
        <v>0</v>
      </c>
      <c r="CZ508" s="2">
        <f t="shared" si="427"/>
        <v>0</v>
      </c>
      <c r="DA508" s="2"/>
      <c r="DB508" s="2"/>
      <c r="DC508" s="2" t="s">
        <v>3</v>
      </c>
      <c r="DD508" s="2" t="s">
        <v>3</v>
      </c>
      <c r="DE508" s="2" t="s">
        <v>3</v>
      </c>
      <c r="DF508" s="2" t="s">
        <v>3</v>
      </c>
      <c r="DG508" s="2" t="s">
        <v>3</v>
      </c>
      <c r="DH508" s="2" t="s">
        <v>3</v>
      </c>
      <c r="DI508" s="2" t="s">
        <v>3</v>
      </c>
      <c r="DJ508" s="2" t="s">
        <v>3</v>
      </c>
      <c r="DK508" s="2" t="s">
        <v>3</v>
      </c>
      <c r="DL508" s="2" t="s">
        <v>3</v>
      </c>
      <c r="DM508" s="2" t="s">
        <v>3</v>
      </c>
      <c r="DN508" s="2">
        <v>0</v>
      </c>
      <c r="DO508" s="2">
        <v>0</v>
      </c>
      <c r="DP508" s="2">
        <v>1</v>
      </c>
      <c r="DQ508" s="2">
        <v>1</v>
      </c>
      <c r="DR508" s="2"/>
      <c r="DS508" s="2"/>
      <c r="DT508" s="2"/>
      <c r="DU508" s="2">
        <v>1013</v>
      </c>
      <c r="DV508" s="2" t="s">
        <v>390</v>
      </c>
      <c r="DW508" s="2" t="s">
        <v>390</v>
      </c>
      <c r="DX508" s="2">
        <v>1</v>
      </c>
      <c r="DY508" s="2"/>
      <c r="DZ508" s="2" t="s">
        <v>3</v>
      </c>
      <c r="EA508" s="2" t="s">
        <v>3</v>
      </c>
      <c r="EB508" s="2" t="s">
        <v>3</v>
      </c>
      <c r="EC508" s="2" t="s">
        <v>3</v>
      </c>
      <c r="ED508" s="2"/>
      <c r="EE508" s="2">
        <v>57042957</v>
      </c>
      <c r="EF508" s="2">
        <v>40</v>
      </c>
      <c r="EG508" s="2" t="s">
        <v>30</v>
      </c>
      <c r="EH508" s="2">
        <v>0</v>
      </c>
      <c r="EI508" s="2" t="s">
        <v>3</v>
      </c>
      <c r="EJ508" s="2">
        <v>2</v>
      </c>
      <c r="EK508" s="2">
        <v>67</v>
      </c>
      <c r="EL508" s="2" t="s">
        <v>80</v>
      </c>
      <c r="EM508" s="2" t="s">
        <v>81</v>
      </c>
      <c r="EN508" s="2"/>
      <c r="EO508" s="2" t="s">
        <v>109</v>
      </c>
      <c r="EP508" s="2"/>
      <c r="EQ508" s="2">
        <v>2097152</v>
      </c>
      <c r="ER508" s="2">
        <v>0</v>
      </c>
      <c r="ES508" s="2">
        <v>22.330000000000002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>
        <v>0</v>
      </c>
      <c r="FR508" s="2">
        <v>0</v>
      </c>
      <c r="FS508" s="2">
        <v>0</v>
      </c>
      <c r="FT508" s="2"/>
      <c r="FU508" s="2"/>
      <c r="FV508" s="2"/>
      <c r="FW508" s="2"/>
      <c r="FX508" s="2">
        <v>97</v>
      </c>
      <c r="FY508" s="2">
        <v>51</v>
      </c>
      <c r="FZ508" s="2"/>
      <c r="GA508" s="2" t="s">
        <v>399</v>
      </c>
      <c r="GB508" s="2"/>
      <c r="GC508" s="2"/>
      <c r="GD508" s="2">
        <v>1</v>
      </c>
      <c r="GE508" s="2"/>
      <c r="GF508" s="2">
        <v>289316724</v>
      </c>
      <c r="GG508" s="2">
        <v>2</v>
      </c>
      <c r="GH508" s="2">
        <v>4</v>
      </c>
      <c r="GI508" s="2">
        <v>-2</v>
      </c>
      <c r="GJ508" s="2">
        <v>0</v>
      </c>
      <c r="GK508" s="2">
        <v>0</v>
      </c>
      <c r="GL508" s="2">
        <f t="shared" si="406"/>
        <v>0</v>
      </c>
      <c r="GM508" s="2">
        <f t="shared" si="407"/>
        <v>2277.66</v>
      </c>
      <c r="GN508" s="2">
        <f t="shared" si="408"/>
        <v>0</v>
      </c>
      <c r="GO508" s="2">
        <f t="shared" si="409"/>
        <v>2277.66</v>
      </c>
      <c r="GP508" s="2">
        <f t="shared" si="410"/>
        <v>0</v>
      </c>
      <c r="GQ508" s="2"/>
      <c r="GR508" s="2">
        <v>0</v>
      </c>
      <c r="GS508" s="2">
        <v>2</v>
      </c>
      <c r="GT508" s="2">
        <v>0</v>
      </c>
      <c r="GU508" s="2" t="s">
        <v>3</v>
      </c>
      <c r="GV508" s="2">
        <f t="shared" si="411"/>
        <v>0</v>
      </c>
      <c r="GW508" s="2">
        <v>1</v>
      </c>
      <c r="GX508" s="2">
        <f t="shared" si="412"/>
        <v>0</v>
      </c>
      <c r="GY508" s="2"/>
      <c r="GZ508" s="2"/>
      <c r="HA508" s="2">
        <v>0</v>
      </c>
      <c r="HB508" s="2">
        <v>0</v>
      </c>
      <c r="HC508" s="2">
        <f t="shared" si="413"/>
        <v>0</v>
      </c>
      <c r="HD508" s="2"/>
      <c r="HE508" s="2" t="s">
        <v>347</v>
      </c>
      <c r="HF508" s="2" t="s">
        <v>34</v>
      </c>
      <c r="HG508" s="2"/>
      <c r="HH508" s="2"/>
      <c r="HI508" s="2"/>
      <c r="HJ508" s="2"/>
      <c r="HK508" s="2"/>
      <c r="HL508" s="2"/>
      <c r="HM508" s="2" t="s">
        <v>3</v>
      </c>
      <c r="HN508" s="2" t="s">
        <v>3</v>
      </c>
      <c r="HO508" s="2" t="s">
        <v>3</v>
      </c>
      <c r="HP508" s="2" t="s">
        <v>3</v>
      </c>
      <c r="HQ508" s="2" t="s">
        <v>3</v>
      </c>
      <c r="HR508" s="2"/>
      <c r="HS508" s="2">
        <v>0</v>
      </c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>
        <v>0</v>
      </c>
      <c r="IL508" s="2"/>
      <c r="IM508" s="2"/>
      <c r="IN508" s="2"/>
      <c r="IO508" s="2"/>
      <c r="IP508" s="2"/>
      <c r="IQ508" s="2"/>
      <c r="IR508" s="2"/>
      <c r="IS508" s="2"/>
      <c r="IT508" s="2"/>
      <c r="IU508" s="2"/>
    </row>
    <row r="509" spans="1:255" x14ac:dyDescent="0.25">
      <c r="A509" s="3">
        <v>17</v>
      </c>
      <c r="B509" s="3">
        <v>1</v>
      </c>
      <c r="E509" s="3" t="s">
        <v>396</v>
      </c>
      <c r="F509" s="3" t="s">
        <v>397</v>
      </c>
      <c r="G509" s="3" t="s">
        <v>398</v>
      </c>
      <c r="H509" s="3" t="s">
        <v>390</v>
      </c>
      <c r="I509" s="3">
        <f t="shared" si="428"/>
        <v>102</v>
      </c>
      <c r="J509" s="3">
        <v>0</v>
      </c>
      <c r="K509" s="3">
        <f t="shared" si="429"/>
        <v>102</v>
      </c>
      <c r="O509" s="3">
        <f t="shared" si="389"/>
        <v>22412.17</v>
      </c>
      <c r="P509" s="3">
        <f t="shared" si="390"/>
        <v>22412.17</v>
      </c>
      <c r="Q509" s="3">
        <f t="shared" si="414"/>
        <v>0</v>
      </c>
      <c r="R509" s="3">
        <f t="shared" si="415"/>
        <v>0</v>
      </c>
      <c r="S509" s="3">
        <f t="shared" si="391"/>
        <v>0</v>
      </c>
      <c r="T509" s="3">
        <f t="shared" si="392"/>
        <v>0</v>
      </c>
      <c r="U509" s="3">
        <f t="shared" si="393"/>
        <v>0</v>
      </c>
      <c r="V509" s="3">
        <f t="shared" si="394"/>
        <v>0</v>
      </c>
      <c r="W509" s="3">
        <f t="shared" si="395"/>
        <v>0</v>
      </c>
      <c r="X509" s="3">
        <f t="shared" si="416"/>
        <v>0</v>
      </c>
      <c r="Y509" s="3">
        <f t="shared" si="417"/>
        <v>0</v>
      </c>
      <c r="AA509" s="3">
        <v>57034454</v>
      </c>
      <c r="AB509" s="3">
        <f t="shared" si="396"/>
        <v>22.33</v>
      </c>
      <c r="AC509" s="3">
        <f t="shared" si="418"/>
        <v>22.33</v>
      </c>
      <c r="AD509" s="3">
        <f t="shared" si="419"/>
        <v>0</v>
      </c>
      <c r="AE509" s="3">
        <f t="shared" si="420"/>
        <v>0</v>
      </c>
      <c r="AF509" s="3">
        <f t="shared" si="421"/>
        <v>0</v>
      </c>
      <c r="AG509" s="3">
        <f t="shared" si="397"/>
        <v>0</v>
      </c>
      <c r="AH509" s="3">
        <f t="shared" si="422"/>
        <v>0</v>
      </c>
      <c r="AI509" s="3">
        <f t="shared" si="423"/>
        <v>0</v>
      </c>
      <c r="AJ509" s="3">
        <f t="shared" si="398"/>
        <v>0</v>
      </c>
      <c r="AK509" s="3">
        <v>22.330000000000002</v>
      </c>
      <c r="AL509" s="3">
        <v>22.330000000000002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97</v>
      </c>
      <c r="AU509" s="3">
        <v>51</v>
      </c>
      <c r="AV509" s="3">
        <v>1</v>
      </c>
      <c r="AW509" s="3">
        <v>1</v>
      </c>
      <c r="AZ509" s="3">
        <v>1</v>
      </c>
      <c r="BA509" s="3">
        <v>1</v>
      </c>
      <c r="BB509" s="3">
        <v>1</v>
      </c>
      <c r="BC509" s="3">
        <v>9.84</v>
      </c>
      <c r="BD509" s="3" t="s">
        <v>3</v>
      </c>
      <c r="BE509" s="3" t="s">
        <v>3</v>
      </c>
      <c r="BF509" s="3" t="s">
        <v>3</v>
      </c>
      <c r="BG509" s="3" t="s">
        <v>3</v>
      </c>
      <c r="BH509" s="3">
        <v>3</v>
      </c>
      <c r="BI509" s="3">
        <v>2</v>
      </c>
      <c r="BJ509" s="3" t="s">
        <v>3</v>
      </c>
      <c r="BM509" s="3">
        <v>67</v>
      </c>
      <c r="BN509" s="3">
        <v>0</v>
      </c>
      <c r="BO509" s="3" t="s">
        <v>3</v>
      </c>
      <c r="BP509" s="3">
        <v>0</v>
      </c>
      <c r="BQ509" s="3">
        <v>40</v>
      </c>
      <c r="BR509" s="3">
        <v>0</v>
      </c>
      <c r="BS509" s="3">
        <v>1</v>
      </c>
      <c r="BT509" s="3">
        <v>1</v>
      </c>
      <c r="BU509" s="3">
        <v>1</v>
      </c>
      <c r="BV509" s="3">
        <v>1</v>
      </c>
      <c r="BW509" s="3">
        <v>1</v>
      </c>
      <c r="BX509" s="3">
        <v>1</v>
      </c>
      <c r="BY509" s="3" t="s">
        <v>3</v>
      </c>
      <c r="BZ509" s="3">
        <v>97</v>
      </c>
      <c r="CA509" s="3">
        <v>51</v>
      </c>
      <c r="CB509" s="3" t="s">
        <v>3</v>
      </c>
      <c r="CE509" s="3">
        <v>1566</v>
      </c>
      <c r="CF509" s="3">
        <v>0</v>
      </c>
      <c r="CG509" s="3">
        <v>0</v>
      </c>
      <c r="CM509" s="3">
        <v>0</v>
      </c>
      <c r="CN509" s="3" t="s">
        <v>615</v>
      </c>
      <c r="CO509" s="3">
        <v>0</v>
      </c>
      <c r="CP509" s="3">
        <f t="shared" si="399"/>
        <v>22412.17</v>
      </c>
      <c r="CQ509" s="3">
        <f t="shared" si="400"/>
        <v>219.73</v>
      </c>
      <c r="CR509" s="3">
        <f t="shared" si="424"/>
        <v>0</v>
      </c>
      <c r="CS509" s="3">
        <f t="shared" si="425"/>
        <v>0</v>
      </c>
      <c r="CT509" s="3">
        <f t="shared" si="401"/>
        <v>0</v>
      </c>
      <c r="CU509" s="3">
        <f t="shared" si="402"/>
        <v>0</v>
      </c>
      <c r="CV509" s="3">
        <f t="shared" si="403"/>
        <v>0</v>
      </c>
      <c r="CW509" s="3">
        <f t="shared" si="404"/>
        <v>0</v>
      </c>
      <c r="CX509" s="3">
        <f t="shared" si="405"/>
        <v>0</v>
      </c>
      <c r="CY509" s="3">
        <f t="shared" si="426"/>
        <v>0</v>
      </c>
      <c r="CZ509" s="3">
        <f t="shared" si="427"/>
        <v>0</v>
      </c>
      <c r="DC509" s="3" t="s">
        <v>3</v>
      </c>
      <c r="DD509" s="3" t="s">
        <v>3</v>
      </c>
      <c r="DE509" s="3" t="s">
        <v>3</v>
      </c>
      <c r="DF509" s="3" t="s">
        <v>3</v>
      </c>
      <c r="DG509" s="3" t="s">
        <v>3</v>
      </c>
      <c r="DH509" s="3" t="s">
        <v>3</v>
      </c>
      <c r="DI509" s="3" t="s">
        <v>3</v>
      </c>
      <c r="DJ509" s="3" t="s">
        <v>3</v>
      </c>
      <c r="DK509" s="3" t="s">
        <v>3</v>
      </c>
      <c r="DL509" s="3" t="s">
        <v>3</v>
      </c>
      <c r="DM509" s="3" t="s">
        <v>3</v>
      </c>
      <c r="DN509" s="3">
        <v>0</v>
      </c>
      <c r="DO509" s="3">
        <v>0</v>
      </c>
      <c r="DP509" s="3">
        <v>1</v>
      </c>
      <c r="DQ509" s="3">
        <v>1</v>
      </c>
      <c r="DU509" s="3">
        <v>1013</v>
      </c>
      <c r="DV509" s="3" t="s">
        <v>390</v>
      </c>
      <c r="DW509" s="3" t="s">
        <v>390</v>
      </c>
      <c r="DX509" s="3">
        <v>1</v>
      </c>
      <c r="DZ509" s="3" t="s">
        <v>3</v>
      </c>
      <c r="EA509" s="3" t="s">
        <v>3</v>
      </c>
      <c r="EB509" s="3" t="s">
        <v>3</v>
      </c>
      <c r="EC509" s="3" t="s">
        <v>3</v>
      </c>
      <c r="EE509" s="3">
        <v>57042957</v>
      </c>
      <c r="EF509" s="3">
        <v>40</v>
      </c>
      <c r="EG509" s="3" t="s">
        <v>30</v>
      </c>
      <c r="EH509" s="3">
        <v>0</v>
      </c>
      <c r="EI509" s="3" t="s">
        <v>3</v>
      </c>
      <c r="EJ509" s="3">
        <v>2</v>
      </c>
      <c r="EK509" s="3">
        <v>67</v>
      </c>
      <c r="EL509" s="3" t="s">
        <v>80</v>
      </c>
      <c r="EM509" s="3" t="s">
        <v>81</v>
      </c>
      <c r="EO509" s="3" t="s">
        <v>109</v>
      </c>
      <c r="EQ509" s="3">
        <v>2097152</v>
      </c>
      <c r="ER509" s="3">
        <v>22.330000000000002</v>
      </c>
      <c r="ES509" s="3">
        <v>22.330000000000002</v>
      </c>
      <c r="ET509" s="3">
        <v>0</v>
      </c>
      <c r="EU509" s="3">
        <v>0</v>
      </c>
      <c r="EV509" s="3">
        <v>0</v>
      </c>
      <c r="EW509" s="3">
        <v>0</v>
      </c>
      <c r="EX509" s="3">
        <v>0</v>
      </c>
      <c r="EY509" s="3">
        <v>0</v>
      </c>
      <c r="EZ509" s="3">
        <v>5</v>
      </c>
      <c r="FC509" s="3">
        <v>1</v>
      </c>
      <c r="FD509" s="3">
        <v>18</v>
      </c>
      <c r="FF509" s="3">
        <v>262.8</v>
      </c>
      <c r="FQ509" s="3">
        <v>0</v>
      </c>
      <c r="FR509" s="3">
        <v>0</v>
      </c>
      <c r="FS509" s="3">
        <v>0</v>
      </c>
      <c r="FX509" s="3">
        <v>97</v>
      </c>
      <c r="FY509" s="3">
        <v>51</v>
      </c>
      <c r="GA509" s="3" t="s">
        <v>399</v>
      </c>
      <c r="GD509" s="3">
        <v>1</v>
      </c>
      <c r="GF509" s="3">
        <v>289316724</v>
      </c>
      <c r="GG509" s="3">
        <v>2</v>
      </c>
      <c r="GH509" s="3">
        <v>3</v>
      </c>
      <c r="GI509" s="3">
        <v>5</v>
      </c>
      <c r="GJ509" s="3">
        <v>0</v>
      </c>
      <c r="GK509" s="3">
        <v>0</v>
      </c>
      <c r="GL509" s="3">
        <f t="shared" si="406"/>
        <v>0</v>
      </c>
      <c r="GM509" s="3">
        <f t="shared" si="407"/>
        <v>22412.17</v>
      </c>
      <c r="GN509" s="3">
        <f t="shared" si="408"/>
        <v>0</v>
      </c>
      <c r="GO509" s="3">
        <f t="shared" si="409"/>
        <v>22412.17</v>
      </c>
      <c r="GP509" s="3">
        <f t="shared" si="410"/>
        <v>0</v>
      </c>
      <c r="GR509" s="3">
        <v>1</v>
      </c>
      <c r="GS509" s="3">
        <v>1</v>
      </c>
      <c r="GT509" s="3">
        <v>0</v>
      </c>
      <c r="GU509" s="3" t="s">
        <v>3</v>
      </c>
      <c r="GV509" s="3">
        <f t="shared" si="411"/>
        <v>0</v>
      </c>
      <c r="GW509" s="3">
        <v>1</v>
      </c>
      <c r="GX509" s="3">
        <f t="shared" si="412"/>
        <v>0</v>
      </c>
      <c r="HA509" s="3">
        <v>0</v>
      </c>
      <c r="HB509" s="3">
        <v>0</v>
      </c>
      <c r="HC509" s="3">
        <f t="shared" si="413"/>
        <v>0</v>
      </c>
      <c r="HE509" s="3" t="s">
        <v>347</v>
      </c>
      <c r="HF509" s="3" t="s">
        <v>34</v>
      </c>
      <c r="HM509" s="3" t="s">
        <v>3</v>
      </c>
      <c r="HN509" s="3" t="s">
        <v>3</v>
      </c>
      <c r="HO509" s="3" t="s">
        <v>3</v>
      </c>
      <c r="HP509" s="3" t="s">
        <v>3</v>
      </c>
      <c r="HQ509" s="3" t="s">
        <v>3</v>
      </c>
      <c r="HS509" s="3">
        <v>0</v>
      </c>
      <c r="IK509" s="3">
        <v>0</v>
      </c>
    </row>
    <row r="510" spans="1:255" x14ac:dyDescent="0.25">
      <c r="A510" s="2">
        <v>17</v>
      </c>
      <c r="B510" s="2">
        <v>1</v>
      </c>
      <c r="C510" s="2"/>
      <c r="D510" s="2"/>
      <c r="E510" s="2" t="s">
        <v>400</v>
      </c>
      <c r="F510" s="2" t="s">
        <v>401</v>
      </c>
      <c r="G510" s="2" t="s">
        <v>402</v>
      </c>
      <c r="H510" s="2" t="s">
        <v>390</v>
      </c>
      <c r="I510" s="2">
        <f t="shared" si="428"/>
        <v>102</v>
      </c>
      <c r="J510" s="2">
        <v>0</v>
      </c>
      <c r="K510" s="2">
        <f t="shared" si="429"/>
        <v>102</v>
      </c>
      <c r="L510" s="2"/>
      <c r="M510" s="2"/>
      <c r="N510" s="2"/>
      <c r="O510" s="2">
        <f t="shared" si="389"/>
        <v>1902.3</v>
      </c>
      <c r="P510" s="2">
        <f t="shared" si="390"/>
        <v>1902.3</v>
      </c>
      <c r="Q510" s="2">
        <f t="shared" si="414"/>
        <v>0</v>
      </c>
      <c r="R510" s="2">
        <f t="shared" si="415"/>
        <v>0</v>
      </c>
      <c r="S510" s="2">
        <f t="shared" si="391"/>
        <v>0</v>
      </c>
      <c r="T510" s="2">
        <f t="shared" si="392"/>
        <v>0</v>
      </c>
      <c r="U510" s="2">
        <f t="shared" si="393"/>
        <v>0</v>
      </c>
      <c r="V510" s="2">
        <f t="shared" si="394"/>
        <v>0</v>
      </c>
      <c r="W510" s="2">
        <f t="shared" si="395"/>
        <v>0</v>
      </c>
      <c r="X510" s="2">
        <f t="shared" si="416"/>
        <v>0</v>
      </c>
      <c r="Y510" s="2">
        <f t="shared" si="417"/>
        <v>0</v>
      </c>
      <c r="Z510" s="2"/>
      <c r="AA510" s="2">
        <v>57034452</v>
      </c>
      <c r="AB510" s="2">
        <f t="shared" si="396"/>
        <v>18.649999999999999</v>
      </c>
      <c r="AC510" s="2">
        <f t="shared" si="418"/>
        <v>18.649999999999999</v>
      </c>
      <c r="AD510" s="2">
        <f t="shared" si="419"/>
        <v>0</v>
      </c>
      <c r="AE510" s="2">
        <f t="shared" si="420"/>
        <v>0</v>
      </c>
      <c r="AF510" s="2">
        <f t="shared" si="421"/>
        <v>0</v>
      </c>
      <c r="AG510" s="2">
        <f t="shared" si="397"/>
        <v>0</v>
      </c>
      <c r="AH510" s="2">
        <f t="shared" si="422"/>
        <v>0</v>
      </c>
      <c r="AI510" s="2">
        <f t="shared" si="423"/>
        <v>0</v>
      </c>
      <c r="AJ510" s="2">
        <f t="shared" si="398"/>
        <v>0</v>
      </c>
      <c r="AK510" s="2">
        <v>18.650000000000002</v>
      </c>
      <c r="AL510" s="2">
        <v>18.650000000000002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97</v>
      </c>
      <c r="AU510" s="2">
        <v>51</v>
      </c>
      <c r="AV510" s="2">
        <v>1</v>
      </c>
      <c r="AW510" s="2">
        <v>1</v>
      </c>
      <c r="AX510" s="2"/>
      <c r="AY510" s="2"/>
      <c r="AZ510" s="2">
        <v>1</v>
      </c>
      <c r="BA510" s="2">
        <v>1</v>
      </c>
      <c r="BB510" s="2">
        <v>1</v>
      </c>
      <c r="BC510" s="2">
        <v>1</v>
      </c>
      <c r="BD510" s="2" t="s">
        <v>3</v>
      </c>
      <c r="BE510" s="2" t="s">
        <v>3</v>
      </c>
      <c r="BF510" s="2" t="s">
        <v>3</v>
      </c>
      <c r="BG510" s="2" t="s">
        <v>3</v>
      </c>
      <c r="BH510" s="2">
        <v>3</v>
      </c>
      <c r="BI510" s="2">
        <v>2</v>
      </c>
      <c r="BJ510" s="2" t="s">
        <v>3</v>
      </c>
      <c r="BK510" s="2"/>
      <c r="BL510" s="2"/>
      <c r="BM510" s="2">
        <v>67</v>
      </c>
      <c r="BN510" s="2">
        <v>0</v>
      </c>
      <c r="BO510" s="2" t="s">
        <v>3</v>
      </c>
      <c r="BP510" s="2">
        <v>0</v>
      </c>
      <c r="BQ510" s="2">
        <v>40</v>
      </c>
      <c r="BR510" s="2">
        <v>0</v>
      </c>
      <c r="BS510" s="2">
        <v>1</v>
      </c>
      <c r="BT510" s="2">
        <v>1</v>
      </c>
      <c r="BU510" s="2">
        <v>1</v>
      </c>
      <c r="BV510" s="2">
        <v>1</v>
      </c>
      <c r="BW510" s="2">
        <v>1</v>
      </c>
      <c r="BX510" s="2">
        <v>1</v>
      </c>
      <c r="BY510" s="2" t="s">
        <v>3</v>
      </c>
      <c r="BZ510" s="2">
        <v>97</v>
      </c>
      <c r="CA510" s="2">
        <v>51</v>
      </c>
      <c r="CB510" s="2" t="s">
        <v>3</v>
      </c>
      <c r="CC510" s="2"/>
      <c r="CD510" s="2"/>
      <c r="CE510" s="2">
        <v>1566</v>
      </c>
      <c r="CF510" s="2">
        <v>0</v>
      </c>
      <c r="CG510" s="2">
        <v>0</v>
      </c>
      <c r="CH510" s="2"/>
      <c r="CI510" s="2"/>
      <c r="CJ510" s="2"/>
      <c r="CK510" s="2"/>
      <c r="CL510" s="2"/>
      <c r="CM510" s="2">
        <v>0</v>
      </c>
      <c r="CN510" s="2" t="s">
        <v>615</v>
      </c>
      <c r="CO510" s="2">
        <v>0</v>
      </c>
      <c r="CP510" s="2">
        <f t="shared" si="399"/>
        <v>1902.3</v>
      </c>
      <c r="CQ510" s="2">
        <f t="shared" si="400"/>
        <v>18.649999999999999</v>
      </c>
      <c r="CR510" s="2">
        <f t="shared" si="424"/>
        <v>0</v>
      </c>
      <c r="CS510" s="2">
        <f t="shared" si="425"/>
        <v>0</v>
      </c>
      <c r="CT510" s="2">
        <f t="shared" si="401"/>
        <v>0</v>
      </c>
      <c r="CU510" s="2">
        <f t="shared" si="402"/>
        <v>0</v>
      </c>
      <c r="CV510" s="2">
        <f t="shared" si="403"/>
        <v>0</v>
      </c>
      <c r="CW510" s="2">
        <f t="shared" si="404"/>
        <v>0</v>
      </c>
      <c r="CX510" s="2">
        <f t="shared" si="405"/>
        <v>0</v>
      </c>
      <c r="CY510" s="2">
        <f t="shared" si="426"/>
        <v>0</v>
      </c>
      <c r="CZ510" s="2">
        <f t="shared" si="427"/>
        <v>0</v>
      </c>
      <c r="DA510" s="2"/>
      <c r="DB510" s="2"/>
      <c r="DC510" s="2" t="s">
        <v>3</v>
      </c>
      <c r="DD510" s="2" t="s">
        <v>3</v>
      </c>
      <c r="DE510" s="2" t="s">
        <v>3</v>
      </c>
      <c r="DF510" s="2" t="s">
        <v>3</v>
      </c>
      <c r="DG510" s="2" t="s">
        <v>3</v>
      </c>
      <c r="DH510" s="2" t="s">
        <v>3</v>
      </c>
      <c r="DI510" s="2" t="s">
        <v>3</v>
      </c>
      <c r="DJ510" s="2" t="s">
        <v>3</v>
      </c>
      <c r="DK510" s="2" t="s">
        <v>3</v>
      </c>
      <c r="DL510" s="2" t="s">
        <v>3</v>
      </c>
      <c r="DM510" s="2" t="s">
        <v>3</v>
      </c>
      <c r="DN510" s="2">
        <v>0</v>
      </c>
      <c r="DO510" s="2">
        <v>0</v>
      </c>
      <c r="DP510" s="2">
        <v>1</v>
      </c>
      <c r="DQ510" s="2">
        <v>1</v>
      </c>
      <c r="DR510" s="2"/>
      <c r="DS510" s="2"/>
      <c r="DT510" s="2"/>
      <c r="DU510" s="2">
        <v>1013</v>
      </c>
      <c r="DV510" s="2" t="s">
        <v>390</v>
      </c>
      <c r="DW510" s="2" t="s">
        <v>390</v>
      </c>
      <c r="DX510" s="2">
        <v>1</v>
      </c>
      <c r="DY510" s="2"/>
      <c r="DZ510" s="2" t="s">
        <v>3</v>
      </c>
      <c r="EA510" s="2" t="s">
        <v>3</v>
      </c>
      <c r="EB510" s="2" t="s">
        <v>3</v>
      </c>
      <c r="EC510" s="2" t="s">
        <v>3</v>
      </c>
      <c r="ED510" s="2"/>
      <c r="EE510" s="2">
        <v>57042957</v>
      </c>
      <c r="EF510" s="2">
        <v>40</v>
      </c>
      <c r="EG510" s="2" t="s">
        <v>30</v>
      </c>
      <c r="EH510" s="2">
        <v>0</v>
      </c>
      <c r="EI510" s="2" t="s">
        <v>3</v>
      </c>
      <c r="EJ510" s="2">
        <v>2</v>
      </c>
      <c r="EK510" s="2">
        <v>67</v>
      </c>
      <c r="EL510" s="2" t="s">
        <v>80</v>
      </c>
      <c r="EM510" s="2" t="s">
        <v>81</v>
      </c>
      <c r="EN510" s="2"/>
      <c r="EO510" s="2" t="s">
        <v>109</v>
      </c>
      <c r="EP510" s="2"/>
      <c r="EQ510" s="2">
        <v>2097152</v>
      </c>
      <c r="ER510" s="2">
        <v>0</v>
      </c>
      <c r="ES510" s="2">
        <v>18.650000000000002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>
        <v>0</v>
      </c>
      <c r="FR510" s="2">
        <v>0</v>
      </c>
      <c r="FS510" s="2">
        <v>0</v>
      </c>
      <c r="FT510" s="2"/>
      <c r="FU510" s="2"/>
      <c r="FV510" s="2"/>
      <c r="FW510" s="2"/>
      <c r="FX510" s="2">
        <v>97</v>
      </c>
      <c r="FY510" s="2">
        <v>51</v>
      </c>
      <c r="FZ510" s="2"/>
      <c r="GA510" s="2" t="s">
        <v>403</v>
      </c>
      <c r="GB510" s="2"/>
      <c r="GC510" s="2"/>
      <c r="GD510" s="2">
        <v>1</v>
      </c>
      <c r="GE510" s="2"/>
      <c r="GF510" s="2">
        <v>-1347352361</v>
      </c>
      <c r="GG510" s="2">
        <v>2</v>
      </c>
      <c r="GH510" s="2">
        <v>4</v>
      </c>
      <c r="GI510" s="2">
        <v>-2</v>
      </c>
      <c r="GJ510" s="2">
        <v>0</v>
      </c>
      <c r="GK510" s="2">
        <v>0</v>
      </c>
      <c r="GL510" s="2">
        <f t="shared" si="406"/>
        <v>0</v>
      </c>
      <c r="GM510" s="2">
        <f t="shared" si="407"/>
        <v>1902.3</v>
      </c>
      <c r="GN510" s="2">
        <f t="shared" si="408"/>
        <v>0</v>
      </c>
      <c r="GO510" s="2">
        <f t="shared" si="409"/>
        <v>1902.3</v>
      </c>
      <c r="GP510" s="2">
        <f t="shared" si="410"/>
        <v>0</v>
      </c>
      <c r="GQ510" s="2"/>
      <c r="GR510" s="2">
        <v>0</v>
      </c>
      <c r="GS510" s="2">
        <v>2</v>
      </c>
      <c r="GT510" s="2">
        <v>0</v>
      </c>
      <c r="GU510" s="2" t="s">
        <v>3</v>
      </c>
      <c r="GV510" s="2">
        <f t="shared" si="411"/>
        <v>0</v>
      </c>
      <c r="GW510" s="2">
        <v>1</v>
      </c>
      <c r="GX510" s="2">
        <f t="shared" si="412"/>
        <v>0</v>
      </c>
      <c r="GY510" s="2"/>
      <c r="GZ510" s="2"/>
      <c r="HA510" s="2">
        <v>0</v>
      </c>
      <c r="HB510" s="2">
        <v>0</v>
      </c>
      <c r="HC510" s="2">
        <f t="shared" si="413"/>
        <v>0</v>
      </c>
      <c r="HD510" s="2"/>
      <c r="HE510" s="2" t="s">
        <v>347</v>
      </c>
      <c r="HF510" s="2" t="s">
        <v>34</v>
      </c>
      <c r="HG510" s="2"/>
      <c r="HH510" s="2"/>
      <c r="HI510" s="2"/>
      <c r="HJ510" s="2"/>
      <c r="HK510" s="2"/>
      <c r="HL510" s="2"/>
      <c r="HM510" s="2" t="s">
        <v>3</v>
      </c>
      <c r="HN510" s="2" t="s">
        <v>3</v>
      </c>
      <c r="HO510" s="2" t="s">
        <v>3</v>
      </c>
      <c r="HP510" s="2" t="s">
        <v>3</v>
      </c>
      <c r="HQ510" s="2" t="s">
        <v>3</v>
      </c>
      <c r="HR510" s="2"/>
      <c r="HS510" s="2">
        <v>0</v>
      </c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>
        <v>0</v>
      </c>
      <c r="IL510" s="2"/>
      <c r="IM510" s="2"/>
      <c r="IN510" s="2"/>
      <c r="IO510" s="2"/>
      <c r="IP510" s="2"/>
      <c r="IQ510" s="2"/>
      <c r="IR510" s="2"/>
      <c r="IS510" s="2"/>
      <c r="IT510" s="2"/>
      <c r="IU510" s="2"/>
    </row>
    <row r="511" spans="1:255" x14ac:dyDescent="0.25">
      <c r="A511" s="3">
        <v>17</v>
      </c>
      <c r="B511" s="3">
        <v>1</v>
      </c>
      <c r="E511" s="3" t="s">
        <v>400</v>
      </c>
      <c r="F511" s="3" t="s">
        <v>401</v>
      </c>
      <c r="G511" s="3" t="s">
        <v>402</v>
      </c>
      <c r="H511" s="3" t="s">
        <v>390</v>
      </c>
      <c r="I511" s="3">
        <f t="shared" si="428"/>
        <v>102</v>
      </c>
      <c r="J511" s="3">
        <v>0</v>
      </c>
      <c r="K511" s="3">
        <f t="shared" si="429"/>
        <v>102</v>
      </c>
      <c r="O511" s="3">
        <f t="shared" si="389"/>
        <v>18718.63</v>
      </c>
      <c r="P511" s="3">
        <f t="shared" si="390"/>
        <v>18718.63</v>
      </c>
      <c r="Q511" s="3">
        <f t="shared" si="414"/>
        <v>0</v>
      </c>
      <c r="R511" s="3">
        <f t="shared" si="415"/>
        <v>0</v>
      </c>
      <c r="S511" s="3">
        <f t="shared" si="391"/>
        <v>0</v>
      </c>
      <c r="T511" s="3">
        <f t="shared" si="392"/>
        <v>0</v>
      </c>
      <c r="U511" s="3">
        <f t="shared" si="393"/>
        <v>0</v>
      </c>
      <c r="V511" s="3">
        <f t="shared" si="394"/>
        <v>0</v>
      </c>
      <c r="W511" s="3">
        <f t="shared" si="395"/>
        <v>0</v>
      </c>
      <c r="X511" s="3">
        <f t="shared" si="416"/>
        <v>0</v>
      </c>
      <c r="Y511" s="3">
        <f t="shared" si="417"/>
        <v>0</v>
      </c>
      <c r="AA511" s="3">
        <v>57034454</v>
      </c>
      <c r="AB511" s="3">
        <f t="shared" si="396"/>
        <v>18.649999999999999</v>
      </c>
      <c r="AC511" s="3">
        <f t="shared" si="418"/>
        <v>18.649999999999999</v>
      </c>
      <c r="AD511" s="3">
        <f t="shared" si="419"/>
        <v>0</v>
      </c>
      <c r="AE511" s="3">
        <f t="shared" si="420"/>
        <v>0</v>
      </c>
      <c r="AF511" s="3">
        <f t="shared" si="421"/>
        <v>0</v>
      </c>
      <c r="AG511" s="3">
        <f t="shared" si="397"/>
        <v>0</v>
      </c>
      <c r="AH511" s="3">
        <f t="shared" si="422"/>
        <v>0</v>
      </c>
      <c r="AI511" s="3">
        <f t="shared" si="423"/>
        <v>0</v>
      </c>
      <c r="AJ511" s="3">
        <f t="shared" si="398"/>
        <v>0</v>
      </c>
      <c r="AK511" s="3">
        <v>18.650000000000002</v>
      </c>
      <c r="AL511" s="3">
        <v>18.650000000000002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97</v>
      </c>
      <c r="AU511" s="3">
        <v>51</v>
      </c>
      <c r="AV511" s="3">
        <v>1</v>
      </c>
      <c r="AW511" s="3">
        <v>1</v>
      </c>
      <c r="AZ511" s="3">
        <v>1</v>
      </c>
      <c r="BA511" s="3">
        <v>1</v>
      </c>
      <c r="BB511" s="3">
        <v>1</v>
      </c>
      <c r="BC511" s="3">
        <v>9.84</v>
      </c>
      <c r="BD511" s="3" t="s">
        <v>3</v>
      </c>
      <c r="BE511" s="3" t="s">
        <v>3</v>
      </c>
      <c r="BF511" s="3" t="s">
        <v>3</v>
      </c>
      <c r="BG511" s="3" t="s">
        <v>3</v>
      </c>
      <c r="BH511" s="3">
        <v>3</v>
      </c>
      <c r="BI511" s="3">
        <v>2</v>
      </c>
      <c r="BJ511" s="3" t="s">
        <v>3</v>
      </c>
      <c r="BM511" s="3">
        <v>67</v>
      </c>
      <c r="BN511" s="3">
        <v>0</v>
      </c>
      <c r="BO511" s="3" t="s">
        <v>3</v>
      </c>
      <c r="BP511" s="3">
        <v>0</v>
      </c>
      <c r="BQ511" s="3">
        <v>40</v>
      </c>
      <c r="BR511" s="3">
        <v>0</v>
      </c>
      <c r="BS511" s="3">
        <v>1</v>
      </c>
      <c r="BT511" s="3">
        <v>1</v>
      </c>
      <c r="BU511" s="3">
        <v>1</v>
      </c>
      <c r="BV511" s="3">
        <v>1</v>
      </c>
      <c r="BW511" s="3">
        <v>1</v>
      </c>
      <c r="BX511" s="3">
        <v>1</v>
      </c>
      <c r="BY511" s="3" t="s">
        <v>3</v>
      </c>
      <c r="BZ511" s="3">
        <v>97</v>
      </c>
      <c r="CA511" s="3">
        <v>51</v>
      </c>
      <c r="CB511" s="3" t="s">
        <v>3</v>
      </c>
      <c r="CE511" s="3">
        <v>1566</v>
      </c>
      <c r="CF511" s="3">
        <v>0</v>
      </c>
      <c r="CG511" s="3">
        <v>0</v>
      </c>
      <c r="CM511" s="3">
        <v>0</v>
      </c>
      <c r="CN511" s="3" t="s">
        <v>615</v>
      </c>
      <c r="CO511" s="3">
        <v>0</v>
      </c>
      <c r="CP511" s="3">
        <f t="shared" si="399"/>
        <v>18718.63</v>
      </c>
      <c r="CQ511" s="3">
        <f t="shared" si="400"/>
        <v>183.52</v>
      </c>
      <c r="CR511" s="3">
        <f t="shared" si="424"/>
        <v>0</v>
      </c>
      <c r="CS511" s="3">
        <f t="shared" si="425"/>
        <v>0</v>
      </c>
      <c r="CT511" s="3">
        <f t="shared" si="401"/>
        <v>0</v>
      </c>
      <c r="CU511" s="3">
        <f t="shared" si="402"/>
        <v>0</v>
      </c>
      <c r="CV511" s="3">
        <f t="shared" si="403"/>
        <v>0</v>
      </c>
      <c r="CW511" s="3">
        <f t="shared" si="404"/>
        <v>0</v>
      </c>
      <c r="CX511" s="3">
        <f t="shared" si="405"/>
        <v>0</v>
      </c>
      <c r="CY511" s="3">
        <f t="shared" si="426"/>
        <v>0</v>
      </c>
      <c r="CZ511" s="3">
        <f t="shared" si="427"/>
        <v>0</v>
      </c>
      <c r="DC511" s="3" t="s">
        <v>3</v>
      </c>
      <c r="DD511" s="3" t="s">
        <v>3</v>
      </c>
      <c r="DE511" s="3" t="s">
        <v>3</v>
      </c>
      <c r="DF511" s="3" t="s">
        <v>3</v>
      </c>
      <c r="DG511" s="3" t="s">
        <v>3</v>
      </c>
      <c r="DH511" s="3" t="s">
        <v>3</v>
      </c>
      <c r="DI511" s="3" t="s">
        <v>3</v>
      </c>
      <c r="DJ511" s="3" t="s">
        <v>3</v>
      </c>
      <c r="DK511" s="3" t="s">
        <v>3</v>
      </c>
      <c r="DL511" s="3" t="s">
        <v>3</v>
      </c>
      <c r="DM511" s="3" t="s">
        <v>3</v>
      </c>
      <c r="DN511" s="3">
        <v>0</v>
      </c>
      <c r="DO511" s="3">
        <v>0</v>
      </c>
      <c r="DP511" s="3">
        <v>1</v>
      </c>
      <c r="DQ511" s="3">
        <v>1</v>
      </c>
      <c r="DU511" s="3">
        <v>1013</v>
      </c>
      <c r="DV511" s="3" t="s">
        <v>390</v>
      </c>
      <c r="DW511" s="3" t="s">
        <v>390</v>
      </c>
      <c r="DX511" s="3">
        <v>1</v>
      </c>
      <c r="DZ511" s="3" t="s">
        <v>3</v>
      </c>
      <c r="EA511" s="3" t="s">
        <v>3</v>
      </c>
      <c r="EB511" s="3" t="s">
        <v>3</v>
      </c>
      <c r="EC511" s="3" t="s">
        <v>3</v>
      </c>
      <c r="EE511" s="3">
        <v>57042957</v>
      </c>
      <c r="EF511" s="3">
        <v>40</v>
      </c>
      <c r="EG511" s="3" t="s">
        <v>30</v>
      </c>
      <c r="EH511" s="3">
        <v>0</v>
      </c>
      <c r="EI511" s="3" t="s">
        <v>3</v>
      </c>
      <c r="EJ511" s="3">
        <v>2</v>
      </c>
      <c r="EK511" s="3">
        <v>67</v>
      </c>
      <c r="EL511" s="3" t="s">
        <v>80</v>
      </c>
      <c r="EM511" s="3" t="s">
        <v>81</v>
      </c>
      <c r="EO511" s="3" t="s">
        <v>109</v>
      </c>
      <c r="EQ511" s="3">
        <v>2097152</v>
      </c>
      <c r="ER511" s="3">
        <v>18.650000000000002</v>
      </c>
      <c r="ES511" s="3">
        <v>18.650000000000002</v>
      </c>
      <c r="ET511" s="3">
        <v>0</v>
      </c>
      <c r="EU511" s="3">
        <v>0</v>
      </c>
      <c r="EV511" s="3">
        <v>0</v>
      </c>
      <c r="EW511" s="3">
        <v>0</v>
      </c>
      <c r="EX511" s="3">
        <v>0</v>
      </c>
      <c r="EY511" s="3">
        <v>0</v>
      </c>
      <c r="EZ511" s="3">
        <v>5</v>
      </c>
      <c r="FC511" s="3">
        <v>1</v>
      </c>
      <c r="FD511" s="3">
        <v>18</v>
      </c>
      <c r="FF511" s="3">
        <v>219.5</v>
      </c>
      <c r="FQ511" s="3">
        <v>0</v>
      </c>
      <c r="FR511" s="3">
        <v>0</v>
      </c>
      <c r="FS511" s="3">
        <v>0</v>
      </c>
      <c r="FX511" s="3">
        <v>97</v>
      </c>
      <c r="FY511" s="3">
        <v>51</v>
      </c>
      <c r="GA511" s="3" t="s">
        <v>403</v>
      </c>
      <c r="GD511" s="3">
        <v>1</v>
      </c>
      <c r="GF511" s="3">
        <v>-1347352361</v>
      </c>
      <c r="GG511" s="3">
        <v>2</v>
      </c>
      <c r="GH511" s="3">
        <v>3</v>
      </c>
      <c r="GI511" s="3">
        <v>5</v>
      </c>
      <c r="GJ511" s="3">
        <v>0</v>
      </c>
      <c r="GK511" s="3">
        <v>0</v>
      </c>
      <c r="GL511" s="3">
        <f t="shared" si="406"/>
        <v>0</v>
      </c>
      <c r="GM511" s="3">
        <f t="shared" si="407"/>
        <v>18718.63</v>
      </c>
      <c r="GN511" s="3">
        <f t="shared" si="408"/>
        <v>0</v>
      </c>
      <c r="GO511" s="3">
        <f t="shared" si="409"/>
        <v>18718.63</v>
      </c>
      <c r="GP511" s="3">
        <f t="shared" si="410"/>
        <v>0</v>
      </c>
      <c r="GR511" s="3">
        <v>1</v>
      </c>
      <c r="GS511" s="3">
        <v>1</v>
      </c>
      <c r="GT511" s="3">
        <v>0</v>
      </c>
      <c r="GU511" s="3" t="s">
        <v>3</v>
      </c>
      <c r="GV511" s="3">
        <f t="shared" si="411"/>
        <v>0</v>
      </c>
      <c r="GW511" s="3">
        <v>1</v>
      </c>
      <c r="GX511" s="3">
        <f t="shared" si="412"/>
        <v>0</v>
      </c>
      <c r="HA511" s="3">
        <v>0</v>
      </c>
      <c r="HB511" s="3">
        <v>0</v>
      </c>
      <c r="HC511" s="3">
        <f t="shared" si="413"/>
        <v>0</v>
      </c>
      <c r="HE511" s="3" t="s">
        <v>347</v>
      </c>
      <c r="HF511" s="3" t="s">
        <v>34</v>
      </c>
      <c r="HM511" s="3" t="s">
        <v>3</v>
      </c>
      <c r="HN511" s="3" t="s">
        <v>3</v>
      </c>
      <c r="HO511" s="3" t="s">
        <v>3</v>
      </c>
      <c r="HP511" s="3" t="s">
        <v>3</v>
      </c>
      <c r="HQ511" s="3" t="s">
        <v>3</v>
      </c>
      <c r="HS511" s="3">
        <v>0</v>
      </c>
      <c r="IK511" s="3">
        <v>0</v>
      </c>
    </row>
    <row r="512" spans="1:255" x14ac:dyDescent="0.25">
      <c r="A512" s="2">
        <v>17</v>
      </c>
      <c r="B512" s="2">
        <v>1</v>
      </c>
      <c r="C512" s="2"/>
      <c r="D512" s="2"/>
      <c r="E512" s="2" t="s">
        <v>404</v>
      </c>
      <c r="F512" s="2" t="s">
        <v>405</v>
      </c>
      <c r="G512" s="2" t="s">
        <v>406</v>
      </c>
      <c r="H512" s="2" t="s">
        <v>390</v>
      </c>
      <c r="I512" s="2">
        <f t="shared" si="428"/>
        <v>102</v>
      </c>
      <c r="J512" s="2">
        <v>0</v>
      </c>
      <c r="K512" s="2">
        <f t="shared" si="429"/>
        <v>102</v>
      </c>
      <c r="L512" s="2"/>
      <c r="M512" s="2"/>
      <c r="N512" s="2"/>
      <c r="O512" s="2">
        <f t="shared" si="389"/>
        <v>2147.1</v>
      </c>
      <c r="P512" s="2">
        <f t="shared" si="390"/>
        <v>2147.1</v>
      </c>
      <c r="Q512" s="2">
        <f t="shared" si="414"/>
        <v>0</v>
      </c>
      <c r="R512" s="2">
        <f t="shared" si="415"/>
        <v>0</v>
      </c>
      <c r="S512" s="2">
        <f t="shared" si="391"/>
        <v>0</v>
      </c>
      <c r="T512" s="2">
        <f t="shared" si="392"/>
        <v>0</v>
      </c>
      <c r="U512" s="2">
        <f t="shared" si="393"/>
        <v>0</v>
      </c>
      <c r="V512" s="2">
        <f t="shared" si="394"/>
        <v>0</v>
      </c>
      <c r="W512" s="2">
        <f t="shared" si="395"/>
        <v>0</v>
      </c>
      <c r="X512" s="2">
        <f t="shared" si="416"/>
        <v>0</v>
      </c>
      <c r="Y512" s="2">
        <f t="shared" si="417"/>
        <v>0</v>
      </c>
      <c r="Z512" s="2"/>
      <c r="AA512" s="2">
        <v>57034452</v>
      </c>
      <c r="AB512" s="2">
        <f t="shared" si="396"/>
        <v>21.05</v>
      </c>
      <c r="AC512" s="2">
        <f t="shared" si="418"/>
        <v>21.05</v>
      </c>
      <c r="AD512" s="2">
        <f t="shared" si="419"/>
        <v>0</v>
      </c>
      <c r="AE512" s="2">
        <f t="shared" si="420"/>
        <v>0</v>
      </c>
      <c r="AF512" s="2">
        <f t="shared" si="421"/>
        <v>0</v>
      </c>
      <c r="AG512" s="2">
        <f t="shared" si="397"/>
        <v>0</v>
      </c>
      <c r="AH512" s="2">
        <f t="shared" si="422"/>
        <v>0</v>
      </c>
      <c r="AI512" s="2">
        <f t="shared" si="423"/>
        <v>0</v>
      </c>
      <c r="AJ512" s="2">
        <f t="shared" si="398"/>
        <v>0</v>
      </c>
      <c r="AK512" s="2">
        <v>21.05</v>
      </c>
      <c r="AL512" s="2">
        <v>21.05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97</v>
      </c>
      <c r="AU512" s="2">
        <v>51</v>
      </c>
      <c r="AV512" s="2">
        <v>1</v>
      </c>
      <c r="AW512" s="2">
        <v>1</v>
      </c>
      <c r="AX512" s="2"/>
      <c r="AY512" s="2"/>
      <c r="AZ512" s="2">
        <v>1</v>
      </c>
      <c r="BA512" s="2">
        <v>1</v>
      </c>
      <c r="BB512" s="2">
        <v>1</v>
      </c>
      <c r="BC512" s="2">
        <v>1</v>
      </c>
      <c r="BD512" s="2" t="s">
        <v>3</v>
      </c>
      <c r="BE512" s="2" t="s">
        <v>3</v>
      </c>
      <c r="BF512" s="2" t="s">
        <v>3</v>
      </c>
      <c r="BG512" s="2" t="s">
        <v>3</v>
      </c>
      <c r="BH512" s="2">
        <v>3</v>
      </c>
      <c r="BI512" s="2">
        <v>2</v>
      </c>
      <c r="BJ512" s="2" t="s">
        <v>3</v>
      </c>
      <c r="BK512" s="2"/>
      <c r="BL512" s="2"/>
      <c r="BM512" s="2">
        <v>67</v>
      </c>
      <c r="BN512" s="2">
        <v>0</v>
      </c>
      <c r="BO512" s="2" t="s">
        <v>3</v>
      </c>
      <c r="BP512" s="2">
        <v>0</v>
      </c>
      <c r="BQ512" s="2">
        <v>40</v>
      </c>
      <c r="BR512" s="2">
        <v>0</v>
      </c>
      <c r="BS512" s="2">
        <v>1</v>
      </c>
      <c r="BT512" s="2">
        <v>1</v>
      </c>
      <c r="BU512" s="2">
        <v>1</v>
      </c>
      <c r="BV512" s="2">
        <v>1</v>
      </c>
      <c r="BW512" s="2">
        <v>1</v>
      </c>
      <c r="BX512" s="2">
        <v>1</v>
      </c>
      <c r="BY512" s="2" t="s">
        <v>3</v>
      </c>
      <c r="BZ512" s="2">
        <v>97</v>
      </c>
      <c r="CA512" s="2">
        <v>51</v>
      </c>
      <c r="CB512" s="2" t="s">
        <v>3</v>
      </c>
      <c r="CC512" s="2"/>
      <c r="CD512" s="2"/>
      <c r="CE512" s="2">
        <v>1566</v>
      </c>
      <c r="CF512" s="2">
        <v>0</v>
      </c>
      <c r="CG512" s="2">
        <v>0</v>
      </c>
      <c r="CH512" s="2"/>
      <c r="CI512" s="2"/>
      <c r="CJ512" s="2"/>
      <c r="CK512" s="2"/>
      <c r="CL512" s="2"/>
      <c r="CM512" s="2">
        <v>0</v>
      </c>
      <c r="CN512" s="2" t="s">
        <v>615</v>
      </c>
      <c r="CO512" s="2">
        <v>0</v>
      </c>
      <c r="CP512" s="2">
        <f t="shared" si="399"/>
        <v>2147.1</v>
      </c>
      <c r="CQ512" s="2">
        <f t="shared" si="400"/>
        <v>21.05</v>
      </c>
      <c r="CR512" s="2">
        <f t="shared" si="424"/>
        <v>0</v>
      </c>
      <c r="CS512" s="2">
        <f t="shared" si="425"/>
        <v>0</v>
      </c>
      <c r="CT512" s="2">
        <f t="shared" si="401"/>
        <v>0</v>
      </c>
      <c r="CU512" s="2">
        <f t="shared" si="402"/>
        <v>0</v>
      </c>
      <c r="CV512" s="2">
        <f t="shared" si="403"/>
        <v>0</v>
      </c>
      <c r="CW512" s="2">
        <f t="shared" si="404"/>
        <v>0</v>
      </c>
      <c r="CX512" s="2">
        <f t="shared" si="405"/>
        <v>0</v>
      </c>
      <c r="CY512" s="2">
        <f t="shared" si="426"/>
        <v>0</v>
      </c>
      <c r="CZ512" s="2">
        <f t="shared" si="427"/>
        <v>0</v>
      </c>
      <c r="DA512" s="2"/>
      <c r="DB512" s="2"/>
      <c r="DC512" s="2" t="s">
        <v>3</v>
      </c>
      <c r="DD512" s="2" t="s">
        <v>3</v>
      </c>
      <c r="DE512" s="2" t="s">
        <v>3</v>
      </c>
      <c r="DF512" s="2" t="s">
        <v>3</v>
      </c>
      <c r="DG512" s="2" t="s">
        <v>3</v>
      </c>
      <c r="DH512" s="2" t="s">
        <v>3</v>
      </c>
      <c r="DI512" s="2" t="s">
        <v>3</v>
      </c>
      <c r="DJ512" s="2" t="s">
        <v>3</v>
      </c>
      <c r="DK512" s="2" t="s">
        <v>3</v>
      </c>
      <c r="DL512" s="2" t="s">
        <v>3</v>
      </c>
      <c r="DM512" s="2" t="s">
        <v>3</v>
      </c>
      <c r="DN512" s="2">
        <v>0</v>
      </c>
      <c r="DO512" s="2">
        <v>0</v>
      </c>
      <c r="DP512" s="2">
        <v>1</v>
      </c>
      <c r="DQ512" s="2">
        <v>1</v>
      </c>
      <c r="DR512" s="2"/>
      <c r="DS512" s="2"/>
      <c r="DT512" s="2"/>
      <c r="DU512" s="2">
        <v>1013</v>
      </c>
      <c r="DV512" s="2" t="s">
        <v>390</v>
      </c>
      <c r="DW512" s="2" t="s">
        <v>390</v>
      </c>
      <c r="DX512" s="2">
        <v>1</v>
      </c>
      <c r="DY512" s="2"/>
      <c r="DZ512" s="2" t="s">
        <v>3</v>
      </c>
      <c r="EA512" s="2" t="s">
        <v>3</v>
      </c>
      <c r="EB512" s="2" t="s">
        <v>3</v>
      </c>
      <c r="EC512" s="2" t="s">
        <v>3</v>
      </c>
      <c r="ED512" s="2"/>
      <c r="EE512" s="2">
        <v>57042957</v>
      </c>
      <c r="EF512" s="2">
        <v>40</v>
      </c>
      <c r="EG512" s="2" t="s">
        <v>30</v>
      </c>
      <c r="EH512" s="2">
        <v>0</v>
      </c>
      <c r="EI512" s="2" t="s">
        <v>3</v>
      </c>
      <c r="EJ512" s="2">
        <v>2</v>
      </c>
      <c r="EK512" s="2">
        <v>67</v>
      </c>
      <c r="EL512" s="2" t="s">
        <v>80</v>
      </c>
      <c r="EM512" s="2" t="s">
        <v>81</v>
      </c>
      <c r="EN512" s="2"/>
      <c r="EO512" s="2" t="s">
        <v>109</v>
      </c>
      <c r="EP512" s="2"/>
      <c r="EQ512" s="2">
        <v>2097152</v>
      </c>
      <c r="ER512" s="2">
        <v>0</v>
      </c>
      <c r="ES512" s="2">
        <v>21.05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>
        <v>0</v>
      </c>
      <c r="FR512" s="2">
        <v>0</v>
      </c>
      <c r="FS512" s="2">
        <v>0</v>
      </c>
      <c r="FT512" s="2"/>
      <c r="FU512" s="2"/>
      <c r="FV512" s="2"/>
      <c r="FW512" s="2"/>
      <c r="FX512" s="2">
        <v>97</v>
      </c>
      <c r="FY512" s="2">
        <v>51</v>
      </c>
      <c r="FZ512" s="2"/>
      <c r="GA512" s="2" t="s">
        <v>407</v>
      </c>
      <c r="GB512" s="2"/>
      <c r="GC512" s="2"/>
      <c r="GD512" s="2">
        <v>1</v>
      </c>
      <c r="GE512" s="2"/>
      <c r="GF512" s="2">
        <v>-1270377880</v>
      </c>
      <c r="GG512" s="2">
        <v>2</v>
      </c>
      <c r="GH512" s="2">
        <v>4</v>
      </c>
      <c r="GI512" s="2">
        <v>-2</v>
      </c>
      <c r="GJ512" s="2">
        <v>0</v>
      </c>
      <c r="GK512" s="2">
        <v>0</v>
      </c>
      <c r="GL512" s="2">
        <f t="shared" si="406"/>
        <v>0</v>
      </c>
      <c r="GM512" s="2">
        <f t="shared" si="407"/>
        <v>2147.1</v>
      </c>
      <c r="GN512" s="2">
        <f t="shared" si="408"/>
        <v>0</v>
      </c>
      <c r="GO512" s="2">
        <f t="shared" si="409"/>
        <v>2147.1</v>
      </c>
      <c r="GP512" s="2">
        <f t="shared" si="410"/>
        <v>0</v>
      </c>
      <c r="GQ512" s="2"/>
      <c r="GR512" s="2">
        <v>0</v>
      </c>
      <c r="GS512" s="2">
        <v>2</v>
      </c>
      <c r="GT512" s="2">
        <v>0</v>
      </c>
      <c r="GU512" s="2" t="s">
        <v>3</v>
      </c>
      <c r="GV512" s="2">
        <f t="shared" si="411"/>
        <v>0</v>
      </c>
      <c r="GW512" s="2">
        <v>1</v>
      </c>
      <c r="GX512" s="2">
        <f t="shared" si="412"/>
        <v>0</v>
      </c>
      <c r="GY512" s="2"/>
      <c r="GZ512" s="2"/>
      <c r="HA512" s="2">
        <v>0</v>
      </c>
      <c r="HB512" s="2">
        <v>0</v>
      </c>
      <c r="HC512" s="2">
        <f t="shared" si="413"/>
        <v>0</v>
      </c>
      <c r="HD512" s="2"/>
      <c r="HE512" s="2" t="s">
        <v>347</v>
      </c>
      <c r="HF512" s="2" t="s">
        <v>34</v>
      </c>
      <c r="HG512" s="2"/>
      <c r="HH512" s="2"/>
      <c r="HI512" s="2"/>
      <c r="HJ512" s="2"/>
      <c r="HK512" s="2"/>
      <c r="HL512" s="2"/>
      <c r="HM512" s="2" t="s">
        <v>3</v>
      </c>
      <c r="HN512" s="2" t="s">
        <v>3</v>
      </c>
      <c r="HO512" s="2" t="s">
        <v>3</v>
      </c>
      <c r="HP512" s="2" t="s">
        <v>3</v>
      </c>
      <c r="HQ512" s="2" t="s">
        <v>3</v>
      </c>
      <c r="HR512" s="2"/>
      <c r="HS512" s="2">
        <v>0</v>
      </c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>
        <v>0</v>
      </c>
      <c r="IL512" s="2"/>
      <c r="IM512" s="2"/>
      <c r="IN512" s="2"/>
      <c r="IO512" s="2"/>
      <c r="IP512" s="2"/>
      <c r="IQ512" s="2"/>
      <c r="IR512" s="2"/>
      <c r="IS512" s="2"/>
      <c r="IT512" s="2"/>
      <c r="IU512" s="2"/>
    </row>
    <row r="513" spans="1:255" x14ac:dyDescent="0.25">
      <c r="A513" s="3">
        <v>17</v>
      </c>
      <c r="B513" s="3">
        <v>1</v>
      </c>
      <c r="E513" s="3" t="s">
        <v>404</v>
      </c>
      <c r="F513" s="3" t="s">
        <v>405</v>
      </c>
      <c r="G513" s="3" t="s">
        <v>406</v>
      </c>
      <c r="H513" s="3" t="s">
        <v>390</v>
      </c>
      <c r="I513" s="3">
        <f t="shared" si="428"/>
        <v>102</v>
      </c>
      <c r="J513" s="3">
        <v>0</v>
      </c>
      <c r="K513" s="3">
        <f t="shared" si="429"/>
        <v>102</v>
      </c>
      <c r="O513" s="3">
        <f t="shared" si="389"/>
        <v>21127.46</v>
      </c>
      <c r="P513" s="3">
        <f t="shared" si="390"/>
        <v>21127.46</v>
      </c>
      <c r="Q513" s="3">
        <f t="shared" si="414"/>
        <v>0</v>
      </c>
      <c r="R513" s="3">
        <f t="shared" si="415"/>
        <v>0</v>
      </c>
      <c r="S513" s="3">
        <f t="shared" si="391"/>
        <v>0</v>
      </c>
      <c r="T513" s="3">
        <f t="shared" si="392"/>
        <v>0</v>
      </c>
      <c r="U513" s="3">
        <f t="shared" si="393"/>
        <v>0</v>
      </c>
      <c r="V513" s="3">
        <f t="shared" si="394"/>
        <v>0</v>
      </c>
      <c r="W513" s="3">
        <f t="shared" si="395"/>
        <v>0</v>
      </c>
      <c r="X513" s="3">
        <f t="shared" si="416"/>
        <v>0</v>
      </c>
      <c r="Y513" s="3">
        <f t="shared" si="417"/>
        <v>0</v>
      </c>
      <c r="AA513" s="3">
        <v>57034454</v>
      </c>
      <c r="AB513" s="3">
        <f t="shared" si="396"/>
        <v>21.05</v>
      </c>
      <c r="AC513" s="3">
        <f t="shared" si="418"/>
        <v>21.05</v>
      </c>
      <c r="AD513" s="3">
        <f t="shared" si="419"/>
        <v>0</v>
      </c>
      <c r="AE513" s="3">
        <f t="shared" si="420"/>
        <v>0</v>
      </c>
      <c r="AF513" s="3">
        <f t="shared" si="421"/>
        <v>0</v>
      </c>
      <c r="AG513" s="3">
        <f t="shared" si="397"/>
        <v>0</v>
      </c>
      <c r="AH513" s="3">
        <f t="shared" si="422"/>
        <v>0</v>
      </c>
      <c r="AI513" s="3">
        <f t="shared" si="423"/>
        <v>0</v>
      </c>
      <c r="AJ513" s="3">
        <f t="shared" si="398"/>
        <v>0</v>
      </c>
      <c r="AK513" s="3">
        <v>21.05</v>
      </c>
      <c r="AL513" s="3">
        <v>21.05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97</v>
      </c>
      <c r="AU513" s="3">
        <v>51</v>
      </c>
      <c r="AV513" s="3">
        <v>1</v>
      </c>
      <c r="AW513" s="3">
        <v>1</v>
      </c>
      <c r="AZ513" s="3">
        <v>1</v>
      </c>
      <c r="BA513" s="3">
        <v>1</v>
      </c>
      <c r="BB513" s="3">
        <v>1</v>
      </c>
      <c r="BC513" s="3">
        <v>9.84</v>
      </c>
      <c r="BD513" s="3" t="s">
        <v>3</v>
      </c>
      <c r="BE513" s="3" t="s">
        <v>3</v>
      </c>
      <c r="BF513" s="3" t="s">
        <v>3</v>
      </c>
      <c r="BG513" s="3" t="s">
        <v>3</v>
      </c>
      <c r="BH513" s="3">
        <v>3</v>
      </c>
      <c r="BI513" s="3">
        <v>2</v>
      </c>
      <c r="BJ513" s="3" t="s">
        <v>3</v>
      </c>
      <c r="BM513" s="3">
        <v>67</v>
      </c>
      <c r="BN513" s="3">
        <v>0</v>
      </c>
      <c r="BO513" s="3" t="s">
        <v>3</v>
      </c>
      <c r="BP513" s="3">
        <v>0</v>
      </c>
      <c r="BQ513" s="3">
        <v>40</v>
      </c>
      <c r="BR513" s="3">
        <v>0</v>
      </c>
      <c r="BS513" s="3">
        <v>1</v>
      </c>
      <c r="BT513" s="3">
        <v>1</v>
      </c>
      <c r="BU513" s="3">
        <v>1</v>
      </c>
      <c r="BV513" s="3">
        <v>1</v>
      </c>
      <c r="BW513" s="3">
        <v>1</v>
      </c>
      <c r="BX513" s="3">
        <v>1</v>
      </c>
      <c r="BY513" s="3" t="s">
        <v>3</v>
      </c>
      <c r="BZ513" s="3">
        <v>97</v>
      </c>
      <c r="CA513" s="3">
        <v>51</v>
      </c>
      <c r="CB513" s="3" t="s">
        <v>3</v>
      </c>
      <c r="CE513" s="3">
        <v>1566</v>
      </c>
      <c r="CF513" s="3">
        <v>0</v>
      </c>
      <c r="CG513" s="3">
        <v>0</v>
      </c>
      <c r="CM513" s="3">
        <v>0</v>
      </c>
      <c r="CN513" s="3" t="s">
        <v>615</v>
      </c>
      <c r="CO513" s="3">
        <v>0</v>
      </c>
      <c r="CP513" s="3">
        <f t="shared" si="399"/>
        <v>21127.46</v>
      </c>
      <c r="CQ513" s="3">
        <f t="shared" si="400"/>
        <v>207.13</v>
      </c>
      <c r="CR513" s="3">
        <f t="shared" si="424"/>
        <v>0</v>
      </c>
      <c r="CS513" s="3">
        <f t="shared" si="425"/>
        <v>0</v>
      </c>
      <c r="CT513" s="3">
        <f t="shared" si="401"/>
        <v>0</v>
      </c>
      <c r="CU513" s="3">
        <f t="shared" si="402"/>
        <v>0</v>
      </c>
      <c r="CV513" s="3">
        <f t="shared" si="403"/>
        <v>0</v>
      </c>
      <c r="CW513" s="3">
        <f t="shared" si="404"/>
        <v>0</v>
      </c>
      <c r="CX513" s="3">
        <f t="shared" si="405"/>
        <v>0</v>
      </c>
      <c r="CY513" s="3">
        <f t="shared" si="426"/>
        <v>0</v>
      </c>
      <c r="CZ513" s="3">
        <f t="shared" si="427"/>
        <v>0</v>
      </c>
      <c r="DC513" s="3" t="s">
        <v>3</v>
      </c>
      <c r="DD513" s="3" t="s">
        <v>3</v>
      </c>
      <c r="DE513" s="3" t="s">
        <v>3</v>
      </c>
      <c r="DF513" s="3" t="s">
        <v>3</v>
      </c>
      <c r="DG513" s="3" t="s">
        <v>3</v>
      </c>
      <c r="DH513" s="3" t="s">
        <v>3</v>
      </c>
      <c r="DI513" s="3" t="s">
        <v>3</v>
      </c>
      <c r="DJ513" s="3" t="s">
        <v>3</v>
      </c>
      <c r="DK513" s="3" t="s">
        <v>3</v>
      </c>
      <c r="DL513" s="3" t="s">
        <v>3</v>
      </c>
      <c r="DM513" s="3" t="s">
        <v>3</v>
      </c>
      <c r="DN513" s="3">
        <v>0</v>
      </c>
      <c r="DO513" s="3">
        <v>0</v>
      </c>
      <c r="DP513" s="3">
        <v>1</v>
      </c>
      <c r="DQ513" s="3">
        <v>1</v>
      </c>
      <c r="DU513" s="3">
        <v>1013</v>
      </c>
      <c r="DV513" s="3" t="s">
        <v>390</v>
      </c>
      <c r="DW513" s="3" t="s">
        <v>390</v>
      </c>
      <c r="DX513" s="3">
        <v>1</v>
      </c>
      <c r="DZ513" s="3" t="s">
        <v>3</v>
      </c>
      <c r="EA513" s="3" t="s">
        <v>3</v>
      </c>
      <c r="EB513" s="3" t="s">
        <v>3</v>
      </c>
      <c r="EC513" s="3" t="s">
        <v>3</v>
      </c>
      <c r="EE513" s="3">
        <v>57042957</v>
      </c>
      <c r="EF513" s="3">
        <v>40</v>
      </c>
      <c r="EG513" s="3" t="s">
        <v>30</v>
      </c>
      <c r="EH513" s="3">
        <v>0</v>
      </c>
      <c r="EI513" s="3" t="s">
        <v>3</v>
      </c>
      <c r="EJ513" s="3">
        <v>2</v>
      </c>
      <c r="EK513" s="3">
        <v>67</v>
      </c>
      <c r="EL513" s="3" t="s">
        <v>80</v>
      </c>
      <c r="EM513" s="3" t="s">
        <v>81</v>
      </c>
      <c r="EO513" s="3" t="s">
        <v>109</v>
      </c>
      <c r="EQ513" s="3">
        <v>2097152</v>
      </c>
      <c r="ER513" s="3">
        <v>21.05</v>
      </c>
      <c r="ES513" s="3">
        <v>21.05</v>
      </c>
      <c r="ET513" s="3">
        <v>0</v>
      </c>
      <c r="EU513" s="3">
        <v>0</v>
      </c>
      <c r="EV513" s="3">
        <v>0</v>
      </c>
      <c r="EW513" s="3">
        <v>0</v>
      </c>
      <c r="EX513" s="3">
        <v>0</v>
      </c>
      <c r="EY513" s="3">
        <v>0</v>
      </c>
      <c r="EZ513" s="3">
        <v>5</v>
      </c>
      <c r="FC513" s="3">
        <v>1</v>
      </c>
      <c r="FD513" s="3">
        <v>18</v>
      </c>
      <c r="FF513" s="3">
        <v>247.8</v>
      </c>
      <c r="FQ513" s="3">
        <v>0</v>
      </c>
      <c r="FR513" s="3">
        <v>0</v>
      </c>
      <c r="FS513" s="3">
        <v>0</v>
      </c>
      <c r="FX513" s="3">
        <v>97</v>
      </c>
      <c r="FY513" s="3">
        <v>51</v>
      </c>
      <c r="GA513" s="3" t="s">
        <v>407</v>
      </c>
      <c r="GD513" s="3">
        <v>1</v>
      </c>
      <c r="GF513" s="3">
        <v>-1270377880</v>
      </c>
      <c r="GG513" s="3">
        <v>2</v>
      </c>
      <c r="GH513" s="3">
        <v>3</v>
      </c>
      <c r="GI513" s="3">
        <v>5</v>
      </c>
      <c r="GJ513" s="3">
        <v>0</v>
      </c>
      <c r="GK513" s="3">
        <v>0</v>
      </c>
      <c r="GL513" s="3">
        <f t="shared" si="406"/>
        <v>0</v>
      </c>
      <c r="GM513" s="3">
        <f t="shared" si="407"/>
        <v>21127.46</v>
      </c>
      <c r="GN513" s="3">
        <f t="shared" si="408"/>
        <v>0</v>
      </c>
      <c r="GO513" s="3">
        <f t="shared" si="409"/>
        <v>21127.46</v>
      </c>
      <c r="GP513" s="3">
        <f t="shared" si="410"/>
        <v>0</v>
      </c>
      <c r="GR513" s="3">
        <v>1</v>
      </c>
      <c r="GS513" s="3">
        <v>1</v>
      </c>
      <c r="GT513" s="3">
        <v>0</v>
      </c>
      <c r="GU513" s="3" t="s">
        <v>3</v>
      </c>
      <c r="GV513" s="3">
        <f t="shared" si="411"/>
        <v>0</v>
      </c>
      <c r="GW513" s="3">
        <v>1</v>
      </c>
      <c r="GX513" s="3">
        <f t="shared" si="412"/>
        <v>0</v>
      </c>
      <c r="HA513" s="3">
        <v>0</v>
      </c>
      <c r="HB513" s="3">
        <v>0</v>
      </c>
      <c r="HC513" s="3">
        <f t="shared" si="413"/>
        <v>0</v>
      </c>
      <c r="HE513" s="3" t="s">
        <v>347</v>
      </c>
      <c r="HF513" s="3" t="s">
        <v>34</v>
      </c>
      <c r="HM513" s="3" t="s">
        <v>3</v>
      </c>
      <c r="HN513" s="3" t="s">
        <v>3</v>
      </c>
      <c r="HO513" s="3" t="s">
        <v>3</v>
      </c>
      <c r="HP513" s="3" t="s">
        <v>3</v>
      </c>
      <c r="HQ513" s="3" t="s">
        <v>3</v>
      </c>
      <c r="HS513" s="3">
        <v>0</v>
      </c>
      <c r="IK513" s="3">
        <v>0</v>
      </c>
    </row>
    <row r="514" spans="1:255" x14ac:dyDescent="0.25">
      <c r="A514" s="2">
        <v>17</v>
      </c>
      <c r="B514" s="2">
        <v>1</v>
      </c>
      <c r="C514" s="2"/>
      <c r="D514" s="2"/>
      <c r="E514" s="2" t="s">
        <v>408</v>
      </c>
      <c r="F514" s="2" t="s">
        <v>388</v>
      </c>
      <c r="G514" s="2" t="s">
        <v>389</v>
      </c>
      <c r="H514" s="2" t="s">
        <v>390</v>
      </c>
      <c r="I514" s="2">
        <f>ROUND(4250*1.02,9)</f>
        <v>4335</v>
      </c>
      <c r="J514" s="2">
        <v>0</v>
      </c>
      <c r="K514" s="2">
        <f>ROUND(4250*1.02,9)</f>
        <v>4335</v>
      </c>
      <c r="L514" s="2"/>
      <c r="M514" s="2"/>
      <c r="N514" s="2"/>
      <c r="O514" s="2">
        <f t="shared" si="389"/>
        <v>41572.65</v>
      </c>
      <c r="P514" s="2">
        <f t="shared" si="390"/>
        <v>41572.65</v>
      </c>
      <c r="Q514" s="2">
        <f t="shared" si="414"/>
        <v>0</v>
      </c>
      <c r="R514" s="2">
        <f t="shared" si="415"/>
        <v>0</v>
      </c>
      <c r="S514" s="2">
        <f t="shared" si="391"/>
        <v>0</v>
      </c>
      <c r="T514" s="2">
        <f t="shared" si="392"/>
        <v>0</v>
      </c>
      <c r="U514" s="2">
        <f t="shared" si="393"/>
        <v>0</v>
      </c>
      <c r="V514" s="2">
        <f t="shared" si="394"/>
        <v>0</v>
      </c>
      <c r="W514" s="2">
        <f t="shared" si="395"/>
        <v>0</v>
      </c>
      <c r="X514" s="2">
        <f t="shared" si="416"/>
        <v>0</v>
      </c>
      <c r="Y514" s="2">
        <f t="shared" si="417"/>
        <v>0</v>
      </c>
      <c r="Z514" s="2"/>
      <c r="AA514" s="2">
        <v>57034452</v>
      </c>
      <c r="AB514" s="2">
        <f t="shared" si="396"/>
        <v>9.59</v>
      </c>
      <c r="AC514" s="2">
        <f t="shared" si="418"/>
        <v>9.59</v>
      </c>
      <c r="AD514" s="2">
        <f t="shared" si="419"/>
        <v>0</v>
      </c>
      <c r="AE514" s="2">
        <f t="shared" si="420"/>
        <v>0</v>
      </c>
      <c r="AF514" s="2">
        <f t="shared" si="421"/>
        <v>0</v>
      </c>
      <c r="AG514" s="2">
        <f t="shared" si="397"/>
        <v>0</v>
      </c>
      <c r="AH514" s="2">
        <f t="shared" si="422"/>
        <v>0</v>
      </c>
      <c r="AI514" s="2">
        <f t="shared" si="423"/>
        <v>0</v>
      </c>
      <c r="AJ514" s="2">
        <f t="shared" si="398"/>
        <v>0</v>
      </c>
      <c r="AK514" s="2">
        <v>9.59</v>
      </c>
      <c r="AL514" s="2">
        <v>9.59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97</v>
      </c>
      <c r="AU514" s="2">
        <v>51</v>
      </c>
      <c r="AV514" s="2">
        <v>1</v>
      </c>
      <c r="AW514" s="2">
        <v>1</v>
      </c>
      <c r="AX514" s="2"/>
      <c r="AY514" s="2"/>
      <c r="AZ514" s="2">
        <v>1</v>
      </c>
      <c r="BA514" s="2">
        <v>1</v>
      </c>
      <c r="BB514" s="2">
        <v>1</v>
      </c>
      <c r="BC514" s="2">
        <v>1</v>
      </c>
      <c r="BD514" s="2" t="s">
        <v>3</v>
      </c>
      <c r="BE514" s="2" t="s">
        <v>3</v>
      </c>
      <c r="BF514" s="2" t="s">
        <v>3</v>
      </c>
      <c r="BG514" s="2" t="s">
        <v>3</v>
      </c>
      <c r="BH514" s="2">
        <v>3</v>
      </c>
      <c r="BI514" s="2">
        <v>2</v>
      </c>
      <c r="BJ514" s="2" t="s">
        <v>3</v>
      </c>
      <c r="BK514" s="2"/>
      <c r="BL514" s="2"/>
      <c r="BM514" s="2">
        <v>67</v>
      </c>
      <c r="BN514" s="2">
        <v>0</v>
      </c>
      <c r="BO514" s="2" t="s">
        <v>3</v>
      </c>
      <c r="BP514" s="2">
        <v>0</v>
      </c>
      <c r="BQ514" s="2">
        <v>40</v>
      </c>
      <c r="BR514" s="2">
        <v>0</v>
      </c>
      <c r="BS514" s="2">
        <v>1</v>
      </c>
      <c r="BT514" s="2">
        <v>1</v>
      </c>
      <c r="BU514" s="2">
        <v>1</v>
      </c>
      <c r="BV514" s="2">
        <v>1</v>
      </c>
      <c r="BW514" s="2">
        <v>1</v>
      </c>
      <c r="BX514" s="2">
        <v>1</v>
      </c>
      <c r="BY514" s="2" t="s">
        <v>3</v>
      </c>
      <c r="BZ514" s="2">
        <v>97</v>
      </c>
      <c r="CA514" s="2">
        <v>51</v>
      </c>
      <c r="CB514" s="2" t="s">
        <v>3</v>
      </c>
      <c r="CC514" s="2"/>
      <c r="CD514" s="2"/>
      <c r="CE514" s="2">
        <v>1566</v>
      </c>
      <c r="CF514" s="2">
        <v>0</v>
      </c>
      <c r="CG514" s="2">
        <v>0</v>
      </c>
      <c r="CH514" s="2"/>
      <c r="CI514" s="2"/>
      <c r="CJ514" s="2"/>
      <c r="CK514" s="2"/>
      <c r="CL514" s="2"/>
      <c r="CM514" s="2">
        <v>0</v>
      </c>
      <c r="CN514" s="2" t="s">
        <v>615</v>
      </c>
      <c r="CO514" s="2">
        <v>0</v>
      </c>
      <c r="CP514" s="2">
        <f t="shared" si="399"/>
        <v>41572.65</v>
      </c>
      <c r="CQ514" s="2">
        <f t="shared" si="400"/>
        <v>9.59</v>
      </c>
      <c r="CR514" s="2">
        <f t="shared" si="424"/>
        <v>0</v>
      </c>
      <c r="CS514" s="2">
        <f t="shared" si="425"/>
        <v>0</v>
      </c>
      <c r="CT514" s="2">
        <f t="shared" si="401"/>
        <v>0</v>
      </c>
      <c r="CU514" s="2">
        <f t="shared" si="402"/>
        <v>0</v>
      </c>
      <c r="CV514" s="2">
        <f t="shared" si="403"/>
        <v>0</v>
      </c>
      <c r="CW514" s="2">
        <f t="shared" si="404"/>
        <v>0</v>
      </c>
      <c r="CX514" s="2">
        <f t="shared" si="405"/>
        <v>0</v>
      </c>
      <c r="CY514" s="2">
        <f t="shared" si="426"/>
        <v>0</v>
      </c>
      <c r="CZ514" s="2">
        <f t="shared" si="427"/>
        <v>0</v>
      </c>
      <c r="DA514" s="2"/>
      <c r="DB514" s="2"/>
      <c r="DC514" s="2" t="s">
        <v>3</v>
      </c>
      <c r="DD514" s="2" t="s">
        <v>3</v>
      </c>
      <c r="DE514" s="2" t="s">
        <v>3</v>
      </c>
      <c r="DF514" s="2" t="s">
        <v>3</v>
      </c>
      <c r="DG514" s="2" t="s">
        <v>3</v>
      </c>
      <c r="DH514" s="2" t="s">
        <v>3</v>
      </c>
      <c r="DI514" s="2" t="s">
        <v>3</v>
      </c>
      <c r="DJ514" s="2" t="s">
        <v>3</v>
      </c>
      <c r="DK514" s="2" t="s">
        <v>3</v>
      </c>
      <c r="DL514" s="2" t="s">
        <v>3</v>
      </c>
      <c r="DM514" s="2" t="s">
        <v>3</v>
      </c>
      <c r="DN514" s="2">
        <v>0</v>
      </c>
      <c r="DO514" s="2">
        <v>0</v>
      </c>
      <c r="DP514" s="2">
        <v>1</v>
      </c>
      <c r="DQ514" s="2">
        <v>1</v>
      </c>
      <c r="DR514" s="2"/>
      <c r="DS514" s="2"/>
      <c r="DT514" s="2"/>
      <c r="DU514" s="2">
        <v>1013</v>
      </c>
      <c r="DV514" s="2" t="s">
        <v>390</v>
      </c>
      <c r="DW514" s="2" t="s">
        <v>390</v>
      </c>
      <c r="DX514" s="2">
        <v>1</v>
      </c>
      <c r="DY514" s="2"/>
      <c r="DZ514" s="2" t="s">
        <v>3</v>
      </c>
      <c r="EA514" s="2" t="s">
        <v>3</v>
      </c>
      <c r="EB514" s="2" t="s">
        <v>3</v>
      </c>
      <c r="EC514" s="2" t="s">
        <v>3</v>
      </c>
      <c r="ED514" s="2"/>
      <c r="EE514" s="2">
        <v>57042957</v>
      </c>
      <c r="EF514" s="2">
        <v>40</v>
      </c>
      <c r="EG514" s="2" t="s">
        <v>30</v>
      </c>
      <c r="EH514" s="2">
        <v>0</v>
      </c>
      <c r="EI514" s="2" t="s">
        <v>3</v>
      </c>
      <c r="EJ514" s="2">
        <v>2</v>
      </c>
      <c r="EK514" s="2">
        <v>67</v>
      </c>
      <c r="EL514" s="2" t="s">
        <v>80</v>
      </c>
      <c r="EM514" s="2" t="s">
        <v>81</v>
      </c>
      <c r="EN514" s="2"/>
      <c r="EO514" s="2" t="s">
        <v>109</v>
      </c>
      <c r="EP514" s="2"/>
      <c r="EQ514" s="2">
        <v>2097152</v>
      </c>
      <c r="ER514" s="2">
        <v>0</v>
      </c>
      <c r="ES514" s="2">
        <v>9.59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>
        <v>0</v>
      </c>
      <c r="FR514" s="2">
        <v>0</v>
      </c>
      <c r="FS514" s="2">
        <v>0</v>
      </c>
      <c r="FT514" s="2"/>
      <c r="FU514" s="2"/>
      <c r="FV514" s="2"/>
      <c r="FW514" s="2"/>
      <c r="FX514" s="2">
        <v>97</v>
      </c>
      <c r="FY514" s="2">
        <v>51</v>
      </c>
      <c r="FZ514" s="2"/>
      <c r="GA514" s="2" t="s">
        <v>391</v>
      </c>
      <c r="GB514" s="2"/>
      <c r="GC514" s="2"/>
      <c r="GD514" s="2">
        <v>1</v>
      </c>
      <c r="GE514" s="2"/>
      <c r="GF514" s="2">
        <v>-820338689</v>
      </c>
      <c r="GG514" s="2">
        <v>2</v>
      </c>
      <c r="GH514" s="2">
        <v>4</v>
      </c>
      <c r="GI514" s="2">
        <v>-2</v>
      </c>
      <c r="GJ514" s="2">
        <v>0</v>
      </c>
      <c r="GK514" s="2">
        <v>0</v>
      </c>
      <c r="GL514" s="2">
        <f t="shared" si="406"/>
        <v>0</v>
      </c>
      <c r="GM514" s="2">
        <f t="shared" si="407"/>
        <v>41572.65</v>
      </c>
      <c r="GN514" s="2">
        <f t="shared" si="408"/>
        <v>0</v>
      </c>
      <c r="GO514" s="2">
        <f t="shared" si="409"/>
        <v>41572.65</v>
      </c>
      <c r="GP514" s="2">
        <f t="shared" si="410"/>
        <v>0</v>
      </c>
      <c r="GQ514" s="2"/>
      <c r="GR514" s="2">
        <v>0</v>
      </c>
      <c r="GS514" s="2">
        <v>2</v>
      </c>
      <c r="GT514" s="2">
        <v>0</v>
      </c>
      <c r="GU514" s="2" t="s">
        <v>3</v>
      </c>
      <c r="GV514" s="2">
        <f t="shared" si="411"/>
        <v>0</v>
      </c>
      <c r="GW514" s="2">
        <v>1</v>
      </c>
      <c r="GX514" s="2">
        <f t="shared" si="412"/>
        <v>0</v>
      </c>
      <c r="GY514" s="2"/>
      <c r="GZ514" s="2"/>
      <c r="HA514" s="2">
        <v>0</v>
      </c>
      <c r="HB514" s="2">
        <v>0</v>
      </c>
      <c r="HC514" s="2">
        <f t="shared" si="413"/>
        <v>0</v>
      </c>
      <c r="HD514" s="2"/>
      <c r="HE514" s="2" t="s">
        <v>347</v>
      </c>
      <c r="HF514" s="2" t="s">
        <v>34</v>
      </c>
      <c r="HG514" s="2"/>
      <c r="HH514" s="2"/>
      <c r="HI514" s="2"/>
      <c r="HJ514" s="2"/>
      <c r="HK514" s="2"/>
      <c r="HL514" s="2"/>
      <c r="HM514" s="2" t="s">
        <v>3</v>
      </c>
      <c r="HN514" s="2" t="s">
        <v>3</v>
      </c>
      <c r="HO514" s="2" t="s">
        <v>3</v>
      </c>
      <c r="HP514" s="2" t="s">
        <v>3</v>
      </c>
      <c r="HQ514" s="2" t="s">
        <v>3</v>
      </c>
      <c r="HR514" s="2"/>
      <c r="HS514" s="2">
        <v>0</v>
      </c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>
        <v>0</v>
      </c>
      <c r="IL514" s="2"/>
      <c r="IM514" s="2"/>
      <c r="IN514" s="2"/>
      <c r="IO514" s="2"/>
      <c r="IP514" s="2"/>
      <c r="IQ514" s="2"/>
      <c r="IR514" s="2"/>
      <c r="IS514" s="2"/>
      <c r="IT514" s="2"/>
      <c r="IU514" s="2"/>
    </row>
    <row r="515" spans="1:255" x14ac:dyDescent="0.25">
      <c r="A515" s="3">
        <v>17</v>
      </c>
      <c r="B515" s="3">
        <v>1</v>
      </c>
      <c r="E515" s="3" t="s">
        <v>408</v>
      </c>
      <c r="F515" s="3" t="s">
        <v>388</v>
      </c>
      <c r="G515" s="3" t="s">
        <v>389</v>
      </c>
      <c r="H515" s="3" t="s">
        <v>390</v>
      </c>
      <c r="I515" s="3">
        <f>ROUND(4250*1.02,9)</f>
        <v>4335</v>
      </c>
      <c r="J515" s="3">
        <v>0</v>
      </c>
      <c r="K515" s="3">
        <f>ROUND(4250*1.02,9)</f>
        <v>4335</v>
      </c>
      <c r="O515" s="3">
        <f t="shared" si="389"/>
        <v>409074.88</v>
      </c>
      <c r="P515" s="3">
        <f t="shared" si="390"/>
        <v>409074.88</v>
      </c>
      <c r="Q515" s="3">
        <f t="shared" si="414"/>
        <v>0</v>
      </c>
      <c r="R515" s="3">
        <f t="shared" si="415"/>
        <v>0</v>
      </c>
      <c r="S515" s="3">
        <f t="shared" si="391"/>
        <v>0</v>
      </c>
      <c r="T515" s="3">
        <f t="shared" si="392"/>
        <v>0</v>
      </c>
      <c r="U515" s="3">
        <f t="shared" si="393"/>
        <v>0</v>
      </c>
      <c r="V515" s="3">
        <f t="shared" si="394"/>
        <v>0</v>
      </c>
      <c r="W515" s="3">
        <f t="shared" si="395"/>
        <v>0</v>
      </c>
      <c r="X515" s="3">
        <f t="shared" si="416"/>
        <v>0</v>
      </c>
      <c r="Y515" s="3">
        <f t="shared" si="417"/>
        <v>0</v>
      </c>
      <c r="AA515" s="3">
        <v>57034454</v>
      </c>
      <c r="AB515" s="3">
        <f t="shared" si="396"/>
        <v>9.59</v>
      </c>
      <c r="AC515" s="3">
        <f t="shared" si="418"/>
        <v>9.59</v>
      </c>
      <c r="AD515" s="3">
        <f t="shared" si="419"/>
        <v>0</v>
      </c>
      <c r="AE515" s="3">
        <f t="shared" si="420"/>
        <v>0</v>
      </c>
      <c r="AF515" s="3">
        <f t="shared" si="421"/>
        <v>0</v>
      </c>
      <c r="AG515" s="3">
        <f t="shared" si="397"/>
        <v>0</v>
      </c>
      <c r="AH515" s="3">
        <f t="shared" si="422"/>
        <v>0</v>
      </c>
      <c r="AI515" s="3">
        <f t="shared" si="423"/>
        <v>0</v>
      </c>
      <c r="AJ515" s="3">
        <f t="shared" si="398"/>
        <v>0</v>
      </c>
      <c r="AK515" s="3">
        <v>9.59</v>
      </c>
      <c r="AL515" s="3">
        <v>9.59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97</v>
      </c>
      <c r="AU515" s="3">
        <v>51</v>
      </c>
      <c r="AV515" s="3">
        <v>1</v>
      </c>
      <c r="AW515" s="3">
        <v>1</v>
      </c>
      <c r="AZ515" s="3">
        <v>1</v>
      </c>
      <c r="BA515" s="3">
        <v>1</v>
      </c>
      <c r="BB515" s="3">
        <v>1</v>
      </c>
      <c r="BC515" s="3">
        <v>9.84</v>
      </c>
      <c r="BD515" s="3" t="s">
        <v>3</v>
      </c>
      <c r="BE515" s="3" t="s">
        <v>3</v>
      </c>
      <c r="BF515" s="3" t="s">
        <v>3</v>
      </c>
      <c r="BG515" s="3" t="s">
        <v>3</v>
      </c>
      <c r="BH515" s="3">
        <v>3</v>
      </c>
      <c r="BI515" s="3">
        <v>2</v>
      </c>
      <c r="BJ515" s="3" t="s">
        <v>3</v>
      </c>
      <c r="BM515" s="3">
        <v>67</v>
      </c>
      <c r="BN515" s="3">
        <v>0</v>
      </c>
      <c r="BO515" s="3" t="s">
        <v>3</v>
      </c>
      <c r="BP515" s="3">
        <v>0</v>
      </c>
      <c r="BQ515" s="3">
        <v>40</v>
      </c>
      <c r="BR515" s="3">
        <v>0</v>
      </c>
      <c r="BS515" s="3">
        <v>1</v>
      </c>
      <c r="BT515" s="3">
        <v>1</v>
      </c>
      <c r="BU515" s="3">
        <v>1</v>
      </c>
      <c r="BV515" s="3">
        <v>1</v>
      </c>
      <c r="BW515" s="3">
        <v>1</v>
      </c>
      <c r="BX515" s="3">
        <v>1</v>
      </c>
      <c r="BY515" s="3" t="s">
        <v>3</v>
      </c>
      <c r="BZ515" s="3">
        <v>97</v>
      </c>
      <c r="CA515" s="3">
        <v>51</v>
      </c>
      <c r="CB515" s="3" t="s">
        <v>3</v>
      </c>
      <c r="CE515" s="3">
        <v>1566</v>
      </c>
      <c r="CF515" s="3">
        <v>0</v>
      </c>
      <c r="CG515" s="3">
        <v>0</v>
      </c>
      <c r="CM515" s="3">
        <v>0</v>
      </c>
      <c r="CN515" s="3" t="s">
        <v>615</v>
      </c>
      <c r="CO515" s="3">
        <v>0</v>
      </c>
      <c r="CP515" s="3">
        <f t="shared" si="399"/>
        <v>409074.88</v>
      </c>
      <c r="CQ515" s="3">
        <f t="shared" si="400"/>
        <v>94.37</v>
      </c>
      <c r="CR515" s="3">
        <f t="shared" si="424"/>
        <v>0</v>
      </c>
      <c r="CS515" s="3">
        <f t="shared" si="425"/>
        <v>0</v>
      </c>
      <c r="CT515" s="3">
        <f t="shared" si="401"/>
        <v>0</v>
      </c>
      <c r="CU515" s="3">
        <f t="shared" si="402"/>
        <v>0</v>
      </c>
      <c r="CV515" s="3">
        <f t="shared" si="403"/>
        <v>0</v>
      </c>
      <c r="CW515" s="3">
        <f t="shared" si="404"/>
        <v>0</v>
      </c>
      <c r="CX515" s="3">
        <f t="shared" si="405"/>
        <v>0</v>
      </c>
      <c r="CY515" s="3">
        <f t="shared" si="426"/>
        <v>0</v>
      </c>
      <c r="CZ515" s="3">
        <f t="shared" si="427"/>
        <v>0</v>
      </c>
      <c r="DC515" s="3" t="s">
        <v>3</v>
      </c>
      <c r="DD515" s="3" t="s">
        <v>3</v>
      </c>
      <c r="DE515" s="3" t="s">
        <v>3</v>
      </c>
      <c r="DF515" s="3" t="s">
        <v>3</v>
      </c>
      <c r="DG515" s="3" t="s">
        <v>3</v>
      </c>
      <c r="DH515" s="3" t="s">
        <v>3</v>
      </c>
      <c r="DI515" s="3" t="s">
        <v>3</v>
      </c>
      <c r="DJ515" s="3" t="s">
        <v>3</v>
      </c>
      <c r="DK515" s="3" t="s">
        <v>3</v>
      </c>
      <c r="DL515" s="3" t="s">
        <v>3</v>
      </c>
      <c r="DM515" s="3" t="s">
        <v>3</v>
      </c>
      <c r="DN515" s="3">
        <v>0</v>
      </c>
      <c r="DO515" s="3">
        <v>0</v>
      </c>
      <c r="DP515" s="3">
        <v>1</v>
      </c>
      <c r="DQ515" s="3">
        <v>1</v>
      </c>
      <c r="DU515" s="3">
        <v>1013</v>
      </c>
      <c r="DV515" s="3" t="s">
        <v>390</v>
      </c>
      <c r="DW515" s="3" t="s">
        <v>390</v>
      </c>
      <c r="DX515" s="3">
        <v>1</v>
      </c>
      <c r="DZ515" s="3" t="s">
        <v>3</v>
      </c>
      <c r="EA515" s="3" t="s">
        <v>3</v>
      </c>
      <c r="EB515" s="3" t="s">
        <v>3</v>
      </c>
      <c r="EC515" s="3" t="s">
        <v>3</v>
      </c>
      <c r="EE515" s="3">
        <v>57042957</v>
      </c>
      <c r="EF515" s="3">
        <v>40</v>
      </c>
      <c r="EG515" s="3" t="s">
        <v>30</v>
      </c>
      <c r="EH515" s="3">
        <v>0</v>
      </c>
      <c r="EI515" s="3" t="s">
        <v>3</v>
      </c>
      <c r="EJ515" s="3">
        <v>2</v>
      </c>
      <c r="EK515" s="3">
        <v>67</v>
      </c>
      <c r="EL515" s="3" t="s">
        <v>80</v>
      </c>
      <c r="EM515" s="3" t="s">
        <v>81</v>
      </c>
      <c r="EO515" s="3" t="s">
        <v>109</v>
      </c>
      <c r="EQ515" s="3">
        <v>2097152</v>
      </c>
      <c r="ER515" s="3">
        <v>9.59</v>
      </c>
      <c r="ES515" s="3">
        <v>9.59</v>
      </c>
      <c r="ET515" s="3">
        <v>0</v>
      </c>
      <c r="EU515" s="3">
        <v>0</v>
      </c>
      <c r="EV515" s="3">
        <v>0</v>
      </c>
      <c r="EW515" s="3">
        <v>0</v>
      </c>
      <c r="EX515" s="3">
        <v>0</v>
      </c>
      <c r="EY515" s="3">
        <v>0</v>
      </c>
      <c r="EZ515" s="3">
        <v>5</v>
      </c>
      <c r="FC515" s="3">
        <v>1</v>
      </c>
      <c r="FD515" s="3">
        <v>18</v>
      </c>
      <c r="FF515" s="3">
        <v>112.8</v>
      </c>
      <c r="FQ515" s="3">
        <v>0</v>
      </c>
      <c r="FR515" s="3">
        <v>0</v>
      </c>
      <c r="FS515" s="3">
        <v>0</v>
      </c>
      <c r="FX515" s="3">
        <v>97</v>
      </c>
      <c r="FY515" s="3">
        <v>51</v>
      </c>
      <c r="GA515" s="3" t="s">
        <v>391</v>
      </c>
      <c r="GD515" s="3">
        <v>1</v>
      </c>
      <c r="GF515" s="3">
        <v>-820338689</v>
      </c>
      <c r="GG515" s="3">
        <v>2</v>
      </c>
      <c r="GH515" s="3">
        <v>3</v>
      </c>
      <c r="GI515" s="3">
        <v>5</v>
      </c>
      <c r="GJ515" s="3">
        <v>0</v>
      </c>
      <c r="GK515" s="3">
        <v>0</v>
      </c>
      <c r="GL515" s="3">
        <f t="shared" si="406"/>
        <v>0</v>
      </c>
      <c r="GM515" s="3">
        <f t="shared" si="407"/>
        <v>409074.88</v>
      </c>
      <c r="GN515" s="3">
        <f t="shared" si="408"/>
        <v>0</v>
      </c>
      <c r="GO515" s="3">
        <f t="shared" si="409"/>
        <v>409074.88</v>
      </c>
      <c r="GP515" s="3">
        <f t="shared" si="410"/>
        <v>0</v>
      </c>
      <c r="GR515" s="3">
        <v>1</v>
      </c>
      <c r="GS515" s="3">
        <v>1</v>
      </c>
      <c r="GT515" s="3">
        <v>0</v>
      </c>
      <c r="GU515" s="3" t="s">
        <v>3</v>
      </c>
      <c r="GV515" s="3">
        <f t="shared" si="411"/>
        <v>0</v>
      </c>
      <c r="GW515" s="3">
        <v>1</v>
      </c>
      <c r="GX515" s="3">
        <f t="shared" si="412"/>
        <v>0</v>
      </c>
      <c r="HA515" s="3">
        <v>0</v>
      </c>
      <c r="HB515" s="3">
        <v>0</v>
      </c>
      <c r="HC515" s="3">
        <f t="shared" si="413"/>
        <v>0</v>
      </c>
      <c r="HE515" s="3" t="s">
        <v>347</v>
      </c>
      <c r="HF515" s="3" t="s">
        <v>34</v>
      </c>
      <c r="HM515" s="3" t="s">
        <v>3</v>
      </c>
      <c r="HN515" s="3" t="s">
        <v>3</v>
      </c>
      <c r="HO515" s="3" t="s">
        <v>3</v>
      </c>
      <c r="HP515" s="3" t="s">
        <v>3</v>
      </c>
      <c r="HQ515" s="3" t="s">
        <v>3</v>
      </c>
      <c r="HS515" s="3">
        <v>0</v>
      </c>
      <c r="IK515" s="3">
        <v>0</v>
      </c>
    </row>
    <row r="516" spans="1:255" x14ac:dyDescent="0.25">
      <c r="A516" s="2">
        <v>17</v>
      </c>
      <c r="B516" s="2">
        <v>1</v>
      </c>
      <c r="C516" s="2">
        <f>ROW(SmtRes!A303)</f>
        <v>303</v>
      </c>
      <c r="D516" s="2">
        <f>ROW(EtalonRes!A314)</f>
        <v>314</v>
      </c>
      <c r="E516" s="2" t="s">
        <v>3</v>
      </c>
      <c r="F516" s="2" t="s">
        <v>409</v>
      </c>
      <c r="G516" s="2" t="s">
        <v>410</v>
      </c>
      <c r="H516" s="2" t="s">
        <v>99</v>
      </c>
      <c r="I516" s="2">
        <f>ROUND(5150/100,9)</f>
        <v>51.5</v>
      </c>
      <c r="J516" s="2">
        <v>0</v>
      </c>
      <c r="K516" s="2">
        <f>ROUND(5150/100,9)</f>
        <v>51.5</v>
      </c>
      <c r="L516" s="2"/>
      <c r="M516" s="2"/>
      <c r="N516" s="2"/>
      <c r="O516" s="2">
        <f t="shared" si="389"/>
        <v>30752.89</v>
      </c>
      <c r="P516" s="2">
        <f t="shared" si="390"/>
        <v>16185.94</v>
      </c>
      <c r="Q516" s="2">
        <f>(ROUND((ROUND((((ET516*1.2))*AV516*I516),2)*BB516),2)+ROUND((ROUND(((AE516-((EU516*1.2)))*AV516*I516),2)*BS516),2))</f>
        <v>2126.84</v>
      </c>
      <c r="R516" s="2">
        <f>(ROUND((ROUND((((EU516*1.2))*AV516*I516),2)*BS516),2)+ROUND((ROUND(((AE516-((EU516*1.2)))*AV516*I516),2)*BS516),2))</f>
        <v>369.46</v>
      </c>
      <c r="S516" s="2">
        <f t="shared" si="391"/>
        <v>12440.11</v>
      </c>
      <c r="T516" s="2">
        <f t="shared" si="392"/>
        <v>0</v>
      </c>
      <c r="U516" s="2">
        <f t="shared" si="393"/>
        <v>970.56899999999996</v>
      </c>
      <c r="V516" s="2">
        <f t="shared" si="394"/>
        <v>0</v>
      </c>
      <c r="W516" s="2">
        <f t="shared" si="395"/>
        <v>0</v>
      </c>
      <c r="X516" s="2">
        <f>(ROUND((((S516+ROUND((ROUND((((EU516*1.2))*AV516*I516),2)*BS516),2))*AT516)/100),2)+ROUND(((ROUND((ROUND(((AE516-((EU516*1.2)))*AV516*I516),2)*BS516),2)*AT516)/100),2))</f>
        <v>12425.28</v>
      </c>
      <c r="Y516" s="2">
        <f>(ROUND((((S516+ROUND((ROUND((((EU516*1.2))*AV516*I516),2)*BS516),2))*AU516)/100),2)+ROUND(((ROUND((ROUND(((AE516-((EU516*1.2)))*AV516*I516),2)*BS516),2)*AU516)/100),2))</f>
        <v>6532.88</v>
      </c>
      <c r="Z516" s="2"/>
      <c r="AA516" s="2">
        <v>-1</v>
      </c>
      <c r="AB516" s="2">
        <f t="shared" si="396"/>
        <v>584.44600000000003</v>
      </c>
      <c r="AC516" s="2">
        <f>ROUND(((ES516*1)),6)</f>
        <v>314.29000000000002</v>
      </c>
      <c r="AD516" s="2">
        <f>ROUND(((((ET516*1.2))-((EU516*1.2)))+AE516),6)</f>
        <v>39.444000000000003</v>
      </c>
      <c r="AE516" s="2">
        <f>ROUND(((EU516*1.2)),6)</f>
        <v>6.8520000000000003</v>
      </c>
      <c r="AF516" s="2">
        <f>ROUND(((EV516*1.2)),6)</f>
        <v>230.71199999999999</v>
      </c>
      <c r="AG516" s="2">
        <f t="shared" si="397"/>
        <v>0</v>
      </c>
      <c r="AH516" s="2">
        <f>((EW516*1.2))</f>
        <v>18</v>
      </c>
      <c r="AI516" s="2">
        <f>((EX516*1.2))</f>
        <v>0</v>
      </c>
      <c r="AJ516" s="2">
        <f t="shared" si="398"/>
        <v>0</v>
      </c>
      <c r="AK516" s="2">
        <v>539.41999999999996</v>
      </c>
      <c r="AL516" s="2">
        <v>314.29000000000002</v>
      </c>
      <c r="AM516" s="2">
        <v>32.869999999999997</v>
      </c>
      <c r="AN516" s="2">
        <v>5.71</v>
      </c>
      <c r="AO516" s="2">
        <v>192.26</v>
      </c>
      <c r="AP516" s="2">
        <v>0</v>
      </c>
      <c r="AQ516" s="2">
        <v>15</v>
      </c>
      <c r="AR516" s="2">
        <v>0</v>
      </c>
      <c r="AS516" s="2">
        <v>0</v>
      </c>
      <c r="AT516" s="2">
        <v>97</v>
      </c>
      <c r="AU516" s="2">
        <v>51</v>
      </c>
      <c r="AV516" s="2">
        <v>1.0469999999999999</v>
      </c>
      <c r="AW516" s="2">
        <v>1</v>
      </c>
      <c r="AX516" s="2"/>
      <c r="AY516" s="2"/>
      <c r="AZ516" s="2">
        <v>1</v>
      </c>
      <c r="BA516" s="2">
        <v>1</v>
      </c>
      <c r="BB516" s="2">
        <v>1</v>
      </c>
      <c r="BC516" s="2">
        <v>1</v>
      </c>
      <c r="BD516" s="2" t="s">
        <v>3</v>
      </c>
      <c r="BE516" s="2" t="s">
        <v>3</v>
      </c>
      <c r="BF516" s="2" t="s">
        <v>3</v>
      </c>
      <c r="BG516" s="2" t="s">
        <v>3</v>
      </c>
      <c r="BH516" s="2">
        <v>0</v>
      </c>
      <c r="BI516" s="2">
        <v>2</v>
      </c>
      <c r="BJ516" s="2" t="s">
        <v>411</v>
      </c>
      <c r="BK516" s="2"/>
      <c r="BL516" s="2"/>
      <c r="BM516" s="2">
        <v>67</v>
      </c>
      <c r="BN516" s="2">
        <v>0</v>
      </c>
      <c r="BO516" s="2" t="s">
        <v>409</v>
      </c>
      <c r="BP516" s="2">
        <v>1</v>
      </c>
      <c r="BQ516" s="2">
        <v>40</v>
      </c>
      <c r="BR516" s="2">
        <v>0</v>
      </c>
      <c r="BS516" s="2">
        <v>1</v>
      </c>
      <c r="BT516" s="2">
        <v>1</v>
      </c>
      <c r="BU516" s="2">
        <v>1</v>
      </c>
      <c r="BV516" s="2">
        <v>1</v>
      </c>
      <c r="BW516" s="2">
        <v>1</v>
      </c>
      <c r="BX516" s="2">
        <v>1</v>
      </c>
      <c r="BY516" s="2" t="s">
        <v>3</v>
      </c>
      <c r="BZ516" s="2">
        <v>97</v>
      </c>
      <c r="CA516" s="2">
        <v>51</v>
      </c>
      <c r="CB516" s="2" t="s">
        <v>3</v>
      </c>
      <c r="CC516" s="2"/>
      <c r="CD516" s="2"/>
      <c r="CE516" s="2">
        <v>1566</v>
      </c>
      <c r="CF516" s="2">
        <v>0</v>
      </c>
      <c r="CG516" s="2">
        <v>0</v>
      </c>
      <c r="CH516" s="2"/>
      <c r="CI516" s="2"/>
      <c r="CJ516" s="2"/>
      <c r="CK516" s="2"/>
      <c r="CL516" s="2"/>
      <c r="CM516" s="2">
        <v>0</v>
      </c>
      <c r="CN516" s="2" t="s">
        <v>614</v>
      </c>
      <c r="CO516" s="2">
        <v>0</v>
      </c>
      <c r="CP516" s="2">
        <f t="shared" si="399"/>
        <v>30752.89</v>
      </c>
      <c r="CQ516" s="2">
        <f t="shared" si="400"/>
        <v>314.29000000000002</v>
      </c>
      <c r="CR516" s="2">
        <f>(ROUND((ROUND((((ET516*1.2))*AV516*1),2)*BB516),2)+ROUND((ROUND(((AE516-((EU516*1.2)))*AV516*1),2)*BS516),2))</f>
        <v>41.3</v>
      </c>
      <c r="CS516" s="2">
        <f>(ROUND((ROUND((((EU516*1.2))*AV516*1),2)*BS516),2)+ROUND((ROUND(((AE516-((EU516*1.2)))*AV516*1),2)*BS516),2))</f>
        <v>7.17</v>
      </c>
      <c r="CT516" s="2">
        <f t="shared" si="401"/>
        <v>241.56</v>
      </c>
      <c r="CU516" s="2">
        <f t="shared" si="402"/>
        <v>0</v>
      </c>
      <c r="CV516" s="2">
        <f t="shared" si="403"/>
        <v>18.846</v>
      </c>
      <c r="CW516" s="2">
        <f t="shared" si="404"/>
        <v>0</v>
      </c>
      <c r="CX516" s="2">
        <f t="shared" si="405"/>
        <v>0</v>
      </c>
      <c r="CY516" s="2">
        <f>(ROUND((((S516+ROUND((ROUND((((EU516*1.2))*AV516*1),2)*BS516),2))*AT516)/100),2)+ROUND(((ROUND((ROUND(((AE516-((EU516*1.2)))*AV516*1),2)*BS516),2)*AT516)/100),2))</f>
        <v>12073.86</v>
      </c>
      <c r="CZ516" s="2">
        <f>(ROUND((((S516+ROUND((ROUND((((EU516*1.2))*AV516*1),2)*BS516),2))*AU516)/100),2)+ROUND(((ROUND((ROUND(((AE516-((EU516*1.2)))*AV516*1),2)*BS516),2)*AU516)/100),2))</f>
        <v>6348.11</v>
      </c>
      <c r="DA516" s="2"/>
      <c r="DB516" s="2">
        <v>135</v>
      </c>
      <c r="DC516" s="2" t="s">
        <v>3</v>
      </c>
      <c r="DD516" s="2" t="s">
        <v>104</v>
      </c>
      <c r="DE516" s="2" t="s">
        <v>105</v>
      </c>
      <c r="DF516" s="2" t="s">
        <v>105</v>
      </c>
      <c r="DG516" s="2" t="s">
        <v>105</v>
      </c>
      <c r="DH516" s="2" t="s">
        <v>3</v>
      </c>
      <c r="DI516" s="2" t="s">
        <v>105</v>
      </c>
      <c r="DJ516" s="2" t="s">
        <v>105</v>
      </c>
      <c r="DK516" s="2" t="s">
        <v>3</v>
      </c>
      <c r="DL516" s="2" t="s">
        <v>3</v>
      </c>
      <c r="DM516" s="2" t="s">
        <v>3</v>
      </c>
      <c r="DN516" s="2">
        <v>0</v>
      </c>
      <c r="DO516" s="2">
        <v>0</v>
      </c>
      <c r="DP516" s="2">
        <v>1</v>
      </c>
      <c r="DQ516" s="2">
        <v>1</v>
      </c>
      <c r="DR516" s="2"/>
      <c r="DS516" s="2"/>
      <c r="DT516" s="2"/>
      <c r="DU516" s="2">
        <v>1003</v>
      </c>
      <c r="DV516" s="2" t="s">
        <v>99</v>
      </c>
      <c r="DW516" s="2" t="s">
        <v>99</v>
      </c>
      <c r="DX516" s="2">
        <v>100</v>
      </c>
      <c r="DY516" s="2"/>
      <c r="DZ516" s="2" t="s">
        <v>3</v>
      </c>
      <c r="EA516" s="2" t="s">
        <v>3</v>
      </c>
      <c r="EB516" s="2" t="s">
        <v>3</v>
      </c>
      <c r="EC516" s="2" t="s">
        <v>3</v>
      </c>
      <c r="ED516" s="2"/>
      <c r="EE516" s="2">
        <v>57042957</v>
      </c>
      <c r="EF516" s="2">
        <v>40</v>
      </c>
      <c r="EG516" s="2" t="s">
        <v>30</v>
      </c>
      <c r="EH516" s="2">
        <v>0</v>
      </c>
      <c r="EI516" s="2" t="s">
        <v>3</v>
      </c>
      <c r="EJ516" s="2">
        <v>2</v>
      </c>
      <c r="EK516" s="2">
        <v>67</v>
      </c>
      <c r="EL516" s="2" t="s">
        <v>80</v>
      </c>
      <c r="EM516" s="2" t="s">
        <v>81</v>
      </c>
      <c r="EN516" s="2"/>
      <c r="EO516" s="2" t="s">
        <v>109</v>
      </c>
      <c r="EP516" s="2"/>
      <c r="EQ516" s="2">
        <v>132096</v>
      </c>
      <c r="ER516" s="2">
        <v>539.41999999999996</v>
      </c>
      <c r="ES516" s="2">
        <v>314.29000000000002</v>
      </c>
      <c r="ET516" s="2">
        <v>32.869999999999997</v>
      </c>
      <c r="EU516" s="2">
        <v>5.71</v>
      </c>
      <c r="EV516" s="2">
        <v>192.26</v>
      </c>
      <c r="EW516" s="2">
        <v>15</v>
      </c>
      <c r="EX516" s="2">
        <v>0</v>
      </c>
      <c r="EY516" s="2">
        <v>0</v>
      </c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>
        <v>0</v>
      </c>
      <c r="FR516" s="2">
        <v>0</v>
      </c>
      <c r="FS516" s="2">
        <v>0</v>
      </c>
      <c r="FT516" s="2"/>
      <c r="FU516" s="2"/>
      <c r="FV516" s="2"/>
      <c r="FW516" s="2"/>
      <c r="FX516" s="2">
        <v>97</v>
      </c>
      <c r="FY516" s="2">
        <v>51</v>
      </c>
      <c r="FZ516" s="2"/>
      <c r="GA516" s="2" t="s">
        <v>3</v>
      </c>
      <c r="GB516" s="2"/>
      <c r="GC516" s="2"/>
      <c r="GD516" s="2">
        <v>1</v>
      </c>
      <c r="GE516" s="2"/>
      <c r="GF516" s="2">
        <v>823412492</v>
      </c>
      <c r="GG516" s="2">
        <v>2</v>
      </c>
      <c r="GH516" s="2">
        <v>1</v>
      </c>
      <c r="GI516" s="2">
        <v>2</v>
      </c>
      <c r="GJ516" s="2">
        <v>0</v>
      </c>
      <c r="GK516" s="2">
        <v>0</v>
      </c>
      <c r="GL516" s="2">
        <f t="shared" si="406"/>
        <v>0</v>
      </c>
      <c r="GM516" s="2">
        <f t="shared" si="407"/>
        <v>49711.05</v>
      </c>
      <c r="GN516" s="2">
        <f t="shared" si="408"/>
        <v>0</v>
      </c>
      <c r="GO516" s="2">
        <f t="shared" si="409"/>
        <v>49711.05</v>
      </c>
      <c r="GP516" s="2">
        <f t="shared" si="410"/>
        <v>0</v>
      </c>
      <c r="GQ516" s="2"/>
      <c r="GR516" s="2">
        <v>0</v>
      </c>
      <c r="GS516" s="2">
        <v>3</v>
      </c>
      <c r="GT516" s="2">
        <v>0</v>
      </c>
      <c r="GU516" s="2" t="s">
        <v>3</v>
      </c>
      <c r="GV516" s="2">
        <f t="shared" si="411"/>
        <v>0</v>
      </c>
      <c r="GW516" s="2">
        <v>1</v>
      </c>
      <c r="GX516" s="2">
        <f t="shared" si="412"/>
        <v>0</v>
      </c>
      <c r="GY516" s="2"/>
      <c r="GZ516" s="2"/>
      <c r="HA516" s="2">
        <v>0</v>
      </c>
      <c r="HB516" s="2">
        <v>0</v>
      </c>
      <c r="HC516" s="2">
        <f t="shared" si="413"/>
        <v>0</v>
      </c>
      <c r="HD516" s="2"/>
      <c r="HE516" s="2" t="s">
        <v>3</v>
      </c>
      <c r="HF516" s="2" t="s">
        <v>3</v>
      </c>
      <c r="HG516" s="2"/>
      <c r="HH516" s="2"/>
      <c r="HI516" s="2"/>
      <c r="HJ516" s="2"/>
      <c r="HK516" s="2"/>
      <c r="HL516" s="2"/>
      <c r="HM516" s="2" t="s">
        <v>3</v>
      </c>
      <c r="HN516" s="2" t="s">
        <v>3</v>
      </c>
      <c r="HO516" s="2" t="s">
        <v>3</v>
      </c>
      <c r="HP516" s="2" t="s">
        <v>3</v>
      </c>
      <c r="HQ516" s="2" t="s">
        <v>3</v>
      </c>
      <c r="HR516" s="2"/>
      <c r="HS516" s="2">
        <v>0</v>
      </c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>
        <v>0</v>
      </c>
      <c r="IL516" s="2"/>
      <c r="IM516" s="2"/>
      <c r="IN516" s="2"/>
      <c r="IO516" s="2"/>
      <c r="IP516" s="2"/>
      <c r="IQ516" s="2"/>
      <c r="IR516" s="2"/>
      <c r="IS516" s="2"/>
      <c r="IT516" s="2"/>
      <c r="IU516" s="2"/>
    </row>
    <row r="517" spans="1:255" x14ac:dyDescent="0.25">
      <c r="A517" s="3">
        <v>17</v>
      </c>
      <c r="B517" s="3">
        <v>1</v>
      </c>
      <c r="C517" s="3">
        <f>ROW(SmtRes!A306)</f>
        <v>306</v>
      </c>
      <c r="D517" s="3">
        <f>ROW(EtalonRes!A318)</f>
        <v>318</v>
      </c>
      <c r="E517" s="3" t="s">
        <v>3</v>
      </c>
      <c r="F517" s="3" t="s">
        <v>409</v>
      </c>
      <c r="G517" s="3" t="s">
        <v>410</v>
      </c>
      <c r="H517" s="3" t="s">
        <v>99</v>
      </c>
      <c r="I517" s="3">
        <f>ROUND(5150/100,9)</f>
        <v>51.5</v>
      </c>
      <c r="J517" s="3">
        <v>0</v>
      </c>
      <c r="K517" s="3">
        <f>ROUND(5150/100,9)</f>
        <v>51.5</v>
      </c>
      <c r="O517" s="3">
        <f t="shared" si="389"/>
        <v>900339.52</v>
      </c>
      <c r="P517" s="3">
        <f t="shared" si="390"/>
        <v>159269.65</v>
      </c>
      <c r="Q517" s="3">
        <f>(ROUND((ROUND((((ET517*1.2))*AV517*I517),2)*BB517),2)+ROUND((ROUND(((AE517-((EU517*1.2)))*AV517*I517),2)*BS517),2))</f>
        <v>40069.67</v>
      </c>
      <c r="R517" s="3">
        <f>(ROUND((ROUND((((EU517*1.2))*AV517*I517),2)*BS517),2)+ROUND((ROUND(((AE517-((EU517*1.2)))*AV517*I517),2)*BS517),2))</f>
        <v>20819.07</v>
      </c>
      <c r="S517" s="3">
        <f t="shared" si="391"/>
        <v>701000.2</v>
      </c>
      <c r="T517" s="3">
        <f t="shared" si="392"/>
        <v>0</v>
      </c>
      <c r="U517" s="3">
        <f t="shared" si="393"/>
        <v>970.56899999999996</v>
      </c>
      <c r="V517" s="3">
        <f t="shared" si="394"/>
        <v>0</v>
      </c>
      <c r="W517" s="3">
        <f t="shared" si="395"/>
        <v>0</v>
      </c>
      <c r="X517" s="3">
        <f>(ROUND((((S517+ROUND((ROUND((((EU517*1.2))*AV517*I517),2)*BS517),2))*AT517)/100),2)+ROUND(((ROUND((ROUND(((AE517-((EU517*1.2)))*AV517*I517),2)*BS517),2)*AT517)/100),2))</f>
        <v>700164.69</v>
      </c>
      <c r="Y517" s="3">
        <f>(ROUND((((S517+ROUND((ROUND((((EU517*1.2))*AV517*I517),2)*BS517),2))*AU517)/100),2)+ROUND(((ROUND((ROUND(((AE517-((EU517*1.2)))*AV517*I517),2)*BS517),2)*AU517)/100),2))</f>
        <v>368127.83</v>
      </c>
      <c r="AA517" s="3">
        <v>-1</v>
      </c>
      <c r="AB517" s="3">
        <f t="shared" si="396"/>
        <v>584.44600000000003</v>
      </c>
      <c r="AC517" s="3">
        <f>ROUND(((ES517*1)),6)</f>
        <v>314.29000000000002</v>
      </c>
      <c r="AD517" s="3">
        <f>ROUND(((((ET517*1.2))-((EU517*1.2)))+AE517),6)</f>
        <v>39.444000000000003</v>
      </c>
      <c r="AE517" s="3">
        <f>ROUND(((EU517*1.2)),6)</f>
        <v>6.8520000000000003</v>
      </c>
      <c r="AF517" s="3">
        <f>ROUND(((EV517*1.2)),6)</f>
        <v>230.71199999999999</v>
      </c>
      <c r="AG517" s="3">
        <f t="shared" si="397"/>
        <v>0</v>
      </c>
      <c r="AH517" s="3">
        <f>((EW517*1.2))</f>
        <v>18</v>
      </c>
      <c r="AI517" s="3">
        <f>((EX517*1.2))</f>
        <v>0</v>
      </c>
      <c r="AJ517" s="3">
        <f t="shared" si="398"/>
        <v>0</v>
      </c>
      <c r="AK517" s="3">
        <v>539.41999999999996</v>
      </c>
      <c r="AL517" s="3">
        <v>314.29000000000002</v>
      </c>
      <c r="AM517" s="3">
        <v>32.869999999999997</v>
      </c>
      <c r="AN517" s="3">
        <v>5.71</v>
      </c>
      <c r="AO517" s="3">
        <v>192.26</v>
      </c>
      <c r="AP517" s="3">
        <v>0</v>
      </c>
      <c r="AQ517" s="3">
        <v>15</v>
      </c>
      <c r="AR517" s="3">
        <v>0</v>
      </c>
      <c r="AS517" s="3">
        <v>0</v>
      </c>
      <c r="AT517" s="3">
        <v>97</v>
      </c>
      <c r="AU517" s="3">
        <v>51</v>
      </c>
      <c r="AV517" s="3">
        <v>1.0469999999999999</v>
      </c>
      <c r="AW517" s="3">
        <v>1</v>
      </c>
      <c r="AZ517" s="3">
        <v>1</v>
      </c>
      <c r="BA517" s="3">
        <v>56.35</v>
      </c>
      <c r="BB517" s="3">
        <v>18.84</v>
      </c>
      <c r="BC517" s="3">
        <v>9.84</v>
      </c>
      <c r="BD517" s="3" t="s">
        <v>3</v>
      </c>
      <c r="BE517" s="3" t="s">
        <v>3</v>
      </c>
      <c r="BF517" s="3" t="s">
        <v>3</v>
      </c>
      <c r="BG517" s="3" t="s">
        <v>3</v>
      </c>
      <c r="BH517" s="3">
        <v>0</v>
      </c>
      <c r="BI517" s="3">
        <v>2</v>
      </c>
      <c r="BJ517" s="3" t="s">
        <v>411</v>
      </c>
      <c r="BM517" s="3">
        <v>67</v>
      </c>
      <c r="BN517" s="3">
        <v>0</v>
      </c>
      <c r="BO517" s="3" t="s">
        <v>409</v>
      </c>
      <c r="BP517" s="3">
        <v>1</v>
      </c>
      <c r="BQ517" s="3">
        <v>40</v>
      </c>
      <c r="BR517" s="3">
        <v>0</v>
      </c>
      <c r="BS517" s="3">
        <v>56.35</v>
      </c>
      <c r="BT517" s="3">
        <v>1</v>
      </c>
      <c r="BU517" s="3">
        <v>1</v>
      </c>
      <c r="BV517" s="3">
        <v>1</v>
      </c>
      <c r="BW517" s="3">
        <v>1</v>
      </c>
      <c r="BX517" s="3">
        <v>1</v>
      </c>
      <c r="BY517" s="3" t="s">
        <v>3</v>
      </c>
      <c r="BZ517" s="3">
        <v>97</v>
      </c>
      <c r="CA517" s="3">
        <v>51</v>
      </c>
      <c r="CB517" s="3" t="s">
        <v>3</v>
      </c>
      <c r="CE517" s="3">
        <v>1566</v>
      </c>
      <c r="CF517" s="3">
        <v>0</v>
      </c>
      <c r="CG517" s="3">
        <v>0</v>
      </c>
      <c r="CM517" s="3">
        <v>0</v>
      </c>
      <c r="CN517" s="3" t="s">
        <v>614</v>
      </c>
      <c r="CO517" s="3">
        <v>0</v>
      </c>
      <c r="CP517" s="3">
        <f t="shared" si="399"/>
        <v>900339.52</v>
      </c>
      <c r="CQ517" s="3">
        <f t="shared" si="400"/>
        <v>3092.61</v>
      </c>
      <c r="CR517" s="3">
        <f>(ROUND((ROUND((((ET517*1.2))*AV517*1),2)*BB517),2)+ROUND((ROUND(((AE517-((EU517*1.2)))*AV517*1),2)*BS517),2))</f>
        <v>778.09</v>
      </c>
      <c r="CS517" s="3">
        <f>(ROUND((ROUND((((EU517*1.2))*AV517*1),2)*BS517),2)+ROUND((ROUND(((AE517-((EU517*1.2)))*AV517*1),2)*BS517),2))</f>
        <v>404.03</v>
      </c>
      <c r="CT517" s="3">
        <f t="shared" si="401"/>
        <v>13611.91</v>
      </c>
      <c r="CU517" s="3">
        <f t="shared" si="402"/>
        <v>0</v>
      </c>
      <c r="CV517" s="3">
        <f t="shared" si="403"/>
        <v>18.846</v>
      </c>
      <c r="CW517" s="3">
        <f t="shared" si="404"/>
        <v>0</v>
      </c>
      <c r="CX517" s="3">
        <f t="shared" si="405"/>
        <v>0</v>
      </c>
      <c r="CY517" s="3">
        <f>(ROUND((((S517+ROUND((ROUND((((EU517*1.2))*AV517*1),2)*BS517),2))*AT517)/100),2)+ROUND(((ROUND((ROUND(((AE517-((EU517*1.2)))*AV517*1),2)*BS517),2)*AT517)/100),2))</f>
        <v>680362.1</v>
      </c>
      <c r="CZ517" s="3">
        <f>(ROUND((((S517+ROUND((ROUND((((EU517*1.2))*AV517*1),2)*BS517),2))*AU517)/100),2)+ROUND(((ROUND((ROUND(((AE517-((EU517*1.2)))*AV517*1),2)*BS517),2)*AU517)/100),2))</f>
        <v>357716.16</v>
      </c>
      <c r="DB517" s="3">
        <v>136</v>
      </c>
      <c r="DC517" s="3" t="s">
        <v>3</v>
      </c>
      <c r="DD517" s="3" t="s">
        <v>104</v>
      </c>
      <c r="DE517" s="3" t="s">
        <v>105</v>
      </c>
      <c r="DF517" s="3" t="s">
        <v>105</v>
      </c>
      <c r="DG517" s="3" t="s">
        <v>105</v>
      </c>
      <c r="DH517" s="3" t="s">
        <v>3</v>
      </c>
      <c r="DI517" s="3" t="s">
        <v>105</v>
      </c>
      <c r="DJ517" s="3" t="s">
        <v>105</v>
      </c>
      <c r="DK517" s="3" t="s">
        <v>3</v>
      </c>
      <c r="DL517" s="3" t="s">
        <v>3</v>
      </c>
      <c r="DM517" s="3" t="s">
        <v>3</v>
      </c>
      <c r="DN517" s="3">
        <v>0</v>
      </c>
      <c r="DO517" s="3">
        <v>0</v>
      </c>
      <c r="DP517" s="3">
        <v>1</v>
      </c>
      <c r="DQ517" s="3">
        <v>1</v>
      </c>
      <c r="DU517" s="3">
        <v>1003</v>
      </c>
      <c r="DV517" s="3" t="s">
        <v>99</v>
      </c>
      <c r="DW517" s="3" t="s">
        <v>99</v>
      </c>
      <c r="DX517" s="3">
        <v>100</v>
      </c>
      <c r="DZ517" s="3" t="s">
        <v>3</v>
      </c>
      <c r="EA517" s="3" t="s">
        <v>3</v>
      </c>
      <c r="EB517" s="3" t="s">
        <v>3</v>
      </c>
      <c r="EC517" s="3" t="s">
        <v>3</v>
      </c>
      <c r="EE517" s="3">
        <v>57042957</v>
      </c>
      <c r="EF517" s="3">
        <v>40</v>
      </c>
      <c r="EG517" s="3" t="s">
        <v>30</v>
      </c>
      <c r="EH517" s="3">
        <v>0</v>
      </c>
      <c r="EI517" s="3" t="s">
        <v>3</v>
      </c>
      <c r="EJ517" s="3">
        <v>2</v>
      </c>
      <c r="EK517" s="3">
        <v>67</v>
      </c>
      <c r="EL517" s="3" t="s">
        <v>80</v>
      </c>
      <c r="EM517" s="3" t="s">
        <v>81</v>
      </c>
      <c r="EO517" s="3" t="s">
        <v>109</v>
      </c>
      <c r="EQ517" s="3">
        <v>132096</v>
      </c>
      <c r="ER517" s="3">
        <v>539.41999999999996</v>
      </c>
      <c r="ES517" s="3">
        <v>314.29000000000002</v>
      </c>
      <c r="ET517" s="3">
        <v>32.869999999999997</v>
      </c>
      <c r="EU517" s="3">
        <v>5.71</v>
      </c>
      <c r="EV517" s="3">
        <v>192.26</v>
      </c>
      <c r="EW517" s="3">
        <v>15</v>
      </c>
      <c r="EX517" s="3">
        <v>0</v>
      </c>
      <c r="EY517" s="3">
        <v>0</v>
      </c>
      <c r="FQ517" s="3">
        <v>0</v>
      </c>
      <c r="FR517" s="3">
        <v>0</v>
      </c>
      <c r="FS517" s="3">
        <v>0</v>
      </c>
      <c r="FX517" s="3">
        <v>97</v>
      </c>
      <c r="FY517" s="3">
        <v>51</v>
      </c>
      <c r="GA517" s="3" t="s">
        <v>3</v>
      </c>
      <c r="GD517" s="3">
        <v>1</v>
      </c>
      <c r="GF517" s="3">
        <v>823412492</v>
      </c>
      <c r="GG517" s="3">
        <v>2</v>
      </c>
      <c r="GH517" s="3">
        <v>1</v>
      </c>
      <c r="GI517" s="3">
        <v>2</v>
      </c>
      <c r="GJ517" s="3">
        <v>0</v>
      </c>
      <c r="GK517" s="3">
        <v>0</v>
      </c>
      <c r="GL517" s="3">
        <f t="shared" si="406"/>
        <v>0</v>
      </c>
      <c r="GM517" s="3">
        <f t="shared" si="407"/>
        <v>1968632.04</v>
      </c>
      <c r="GN517" s="3">
        <f t="shared" si="408"/>
        <v>0</v>
      </c>
      <c r="GO517" s="3">
        <f t="shared" si="409"/>
        <v>1968632.04</v>
      </c>
      <c r="GP517" s="3">
        <f t="shared" si="410"/>
        <v>0</v>
      </c>
      <c r="GR517" s="3">
        <v>0</v>
      </c>
      <c r="GS517" s="3">
        <v>3</v>
      </c>
      <c r="GT517" s="3">
        <v>0</v>
      </c>
      <c r="GU517" s="3" t="s">
        <v>3</v>
      </c>
      <c r="GV517" s="3">
        <f t="shared" si="411"/>
        <v>0</v>
      </c>
      <c r="GW517" s="3">
        <v>1</v>
      </c>
      <c r="GX517" s="3">
        <f t="shared" si="412"/>
        <v>0</v>
      </c>
      <c r="HA517" s="3">
        <v>0</v>
      </c>
      <c r="HB517" s="3">
        <v>0</v>
      </c>
      <c r="HC517" s="3">
        <f t="shared" si="413"/>
        <v>0</v>
      </c>
      <c r="HE517" s="3" t="s">
        <v>3</v>
      </c>
      <c r="HF517" s="3" t="s">
        <v>3</v>
      </c>
      <c r="HM517" s="3" t="s">
        <v>3</v>
      </c>
      <c r="HN517" s="3" t="s">
        <v>3</v>
      </c>
      <c r="HO517" s="3" t="s">
        <v>3</v>
      </c>
      <c r="HP517" s="3" t="s">
        <v>3</v>
      </c>
      <c r="HQ517" s="3" t="s">
        <v>3</v>
      </c>
      <c r="HS517" s="3">
        <v>0</v>
      </c>
      <c r="IK517" s="3">
        <v>0</v>
      </c>
    </row>
    <row r="518" spans="1:255" x14ac:dyDescent="0.25">
      <c r="A518" s="2">
        <v>18</v>
      </c>
      <c r="B518" s="2">
        <v>1</v>
      </c>
      <c r="C518" s="2">
        <v>302</v>
      </c>
      <c r="D518" s="2"/>
      <c r="E518" s="2" t="s">
        <v>3</v>
      </c>
      <c r="F518" s="2" t="s">
        <v>369</v>
      </c>
      <c r="G518" s="2" t="s">
        <v>370</v>
      </c>
      <c r="H518" s="2" t="s">
        <v>371</v>
      </c>
      <c r="I518" s="2">
        <f>I516*J518</f>
        <v>5253</v>
      </c>
      <c r="J518" s="2">
        <v>102</v>
      </c>
      <c r="K518" s="2">
        <v>102</v>
      </c>
      <c r="L518" s="2"/>
      <c r="M518" s="2"/>
      <c r="N518" s="2"/>
      <c r="O518" s="2">
        <f t="shared" si="389"/>
        <v>18122.849999999999</v>
      </c>
      <c r="P518" s="2">
        <f t="shared" si="390"/>
        <v>18122.849999999999</v>
      </c>
      <c r="Q518" s="2">
        <f>(ROUND((ROUND(((ET518)*AV518*I518),2)*BB518),2)+ROUND((ROUND(((AE518-(EU518))*AV518*I518),2)*BS518),2))</f>
        <v>0</v>
      </c>
      <c r="R518" s="2">
        <f>(ROUND((ROUND(((EU518)*AV518*I518),2)*BS518),2)+ROUND((ROUND(((AE518-(EU518))*AV518*I518),2)*BS518),2))</f>
        <v>0</v>
      </c>
      <c r="S518" s="2">
        <f t="shared" si="391"/>
        <v>0</v>
      </c>
      <c r="T518" s="2">
        <f t="shared" si="392"/>
        <v>0</v>
      </c>
      <c r="U518" s="2">
        <f t="shared" si="393"/>
        <v>0</v>
      </c>
      <c r="V518" s="2">
        <f t="shared" si="394"/>
        <v>0</v>
      </c>
      <c r="W518" s="2">
        <f t="shared" si="395"/>
        <v>0</v>
      </c>
      <c r="X518" s="2">
        <f>(ROUND((((S518+ROUND((ROUND(((EU518)*AV518*I518),2)*BS518),2))*AT518)/100),2)+ROUND(((ROUND((ROUND(((AE518-(EU518))*AV518*I518),2)*BS518),2)*AT518)/100),2))</f>
        <v>0</v>
      </c>
      <c r="Y518" s="2">
        <f>(ROUND((((S518+ROUND((ROUND(((EU518)*AV518*I518),2)*BS518),2))*AU518)/100),2)+ROUND(((ROUND((ROUND(((AE518-(EU518))*AV518*I518),2)*BS518),2)*AU518)/100),2))</f>
        <v>0</v>
      </c>
      <c r="Z518" s="2"/>
      <c r="AA518" s="2">
        <v>-1</v>
      </c>
      <c r="AB518" s="2">
        <f t="shared" si="396"/>
        <v>3.45</v>
      </c>
      <c r="AC518" s="2">
        <f>ROUND((ES518),6)</f>
        <v>3.45</v>
      </c>
      <c r="AD518" s="2">
        <f>ROUND((((ET518)-(EU518))+AE518),6)</f>
        <v>0</v>
      </c>
      <c r="AE518" s="2">
        <f t="shared" ref="AE518:AF521" si="430">ROUND((EU518),6)</f>
        <v>0</v>
      </c>
      <c r="AF518" s="2">
        <f t="shared" si="430"/>
        <v>0</v>
      </c>
      <c r="AG518" s="2">
        <f t="shared" si="397"/>
        <v>0</v>
      </c>
      <c r="AH518" s="2">
        <f t="shared" ref="AH518:AI521" si="431">(EW518)</f>
        <v>0</v>
      </c>
      <c r="AI518" s="2">
        <f t="shared" si="431"/>
        <v>0</v>
      </c>
      <c r="AJ518" s="2">
        <f t="shared" si="398"/>
        <v>0</v>
      </c>
      <c r="AK518" s="2">
        <v>3.45</v>
      </c>
      <c r="AL518" s="2">
        <v>3.45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97</v>
      </c>
      <c r="AU518" s="2">
        <v>51</v>
      </c>
      <c r="AV518" s="2">
        <v>1</v>
      </c>
      <c r="AW518" s="2">
        <v>1</v>
      </c>
      <c r="AX518" s="2"/>
      <c r="AY518" s="2"/>
      <c r="AZ518" s="2">
        <v>1</v>
      </c>
      <c r="BA518" s="2">
        <v>1</v>
      </c>
      <c r="BB518" s="2">
        <v>1</v>
      </c>
      <c r="BC518" s="2">
        <v>1</v>
      </c>
      <c r="BD518" s="2" t="s">
        <v>3</v>
      </c>
      <c r="BE518" s="2" t="s">
        <v>3</v>
      </c>
      <c r="BF518" s="2" t="s">
        <v>3</v>
      </c>
      <c r="BG518" s="2" t="s">
        <v>3</v>
      </c>
      <c r="BH518" s="2">
        <v>3</v>
      </c>
      <c r="BI518" s="2">
        <v>2</v>
      </c>
      <c r="BJ518" s="2" t="s">
        <v>372</v>
      </c>
      <c r="BK518" s="2"/>
      <c r="BL518" s="2"/>
      <c r="BM518" s="2">
        <v>67</v>
      </c>
      <c r="BN518" s="2">
        <v>0</v>
      </c>
      <c r="BO518" s="2" t="s">
        <v>3</v>
      </c>
      <c r="BP518" s="2">
        <v>0</v>
      </c>
      <c r="BQ518" s="2">
        <v>40</v>
      </c>
      <c r="BR518" s="2">
        <v>0</v>
      </c>
      <c r="BS518" s="2">
        <v>1</v>
      </c>
      <c r="BT518" s="2">
        <v>1</v>
      </c>
      <c r="BU518" s="2">
        <v>1</v>
      </c>
      <c r="BV518" s="2">
        <v>1</v>
      </c>
      <c r="BW518" s="2">
        <v>1</v>
      </c>
      <c r="BX518" s="2">
        <v>1</v>
      </c>
      <c r="BY518" s="2" t="s">
        <v>3</v>
      </c>
      <c r="BZ518" s="2">
        <v>97</v>
      </c>
      <c r="CA518" s="2">
        <v>51</v>
      </c>
      <c r="CB518" s="2" t="s">
        <v>3</v>
      </c>
      <c r="CC518" s="2"/>
      <c r="CD518" s="2"/>
      <c r="CE518" s="2">
        <v>1566</v>
      </c>
      <c r="CF518" s="2">
        <v>0</v>
      </c>
      <c r="CG518" s="2">
        <v>0</v>
      </c>
      <c r="CH518" s="2"/>
      <c r="CI518" s="2"/>
      <c r="CJ518" s="2"/>
      <c r="CK518" s="2"/>
      <c r="CL518" s="2"/>
      <c r="CM518" s="2">
        <v>0</v>
      </c>
      <c r="CN518" s="2" t="s">
        <v>615</v>
      </c>
      <c r="CO518" s="2">
        <v>0</v>
      </c>
      <c r="CP518" s="2">
        <f t="shared" si="399"/>
        <v>18122.849999999999</v>
      </c>
      <c r="CQ518" s="2">
        <f t="shared" si="400"/>
        <v>3.45</v>
      </c>
      <c r="CR518" s="2">
        <f>(ROUND((ROUND(((ET518)*AV518*1),2)*BB518),2)+ROUND((ROUND(((AE518-(EU518))*AV518*1),2)*BS518),2))</f>
        <v>0</v>
      </c>
      <c r="CS518" s="2">
        <f>(ROUND((ROUND(((EU518)*AV518*1),2)*BS518),2)+ROUND((ROUND(((AE518-(EU518))*AV518*1),2)*BS518),2))</f>
        <v>0</v>
      </c>
      <c r="CT518" s="2">
        <f t="shared" si="401"/>
        <v>0</v>
      </c>
      <c r="CU518" s="2">
        <f t="shared" si="402"/>
        <v>0</v>
      </c>
      <c r="CV518" s="2">
        <f t="shared" si="403"/>
        <v>0</v>
      </c>
      <c r="CW518" s="2">
        <f t="shared" si="404"/>
        <v>0</v>
      </c>
      <c r="CX518" s="2">
        <f t="shared" si="405"/>
        <v>0</v>
      </c>
      <c r="CY518" s="2">
        <f>(ROUND((((S518+ROUND((ROUND(((EU518)*AV518*1),2)*BS518),2))*AT518)/100),2)+ROUND(((ROUND((ROUND(((AE518-(EU518))*AV518*1),2)*BS518),2)*AT518)/100),2))</f>
        <v>0</v>
      </c>
      <c r="CZ518" s="2">
        <f>(ROUND((((S518+ROUND((ROUND(((EU518)*AV518*1),2)*BS518),2))*AU518)/100),2)+ROUND(((ROUND((ROUND(((AE518-(EU518))*AV518*1),2)*BS518),2)*AU518)/100),2))</f>
        <v>0</v>
      </c>
      <c r="DA518" s="2"/>
      <c r="DB518" s="2"/>
      <c r="DC518" s="2" t="s">
        <v>3</v>
      </c>
      <c r="DD518" s="2" t="s">
        <v>3</v>
      </c>
      <c r="DE518" s="2" t="s">
        <v>3</v>
      </c>
      <c r="DF518" s="2" t="s">
        <v>3</v>
      </c>
      <c r="DG518" s="2" t="s">
        <v>3</v>
      </c>
      <c r="DH518" s="2" t="s">
        <v>3</v>
      </c>
      <c r="DI518" s="2" t="s">
        <v>3</v>
      </c>
      <c r="DJ518" s="2" t="s">
        <v>3</v>
      </c>
      <c r="DK518" s="2" t="s">
        <v>3</v>
      </c>
      <c r="DL518" s="2" t="s">
        <v>3</v>
      </c>
      <c r="DM518" s="2" t="s">
        <v>3</v>
      </c>
      <c r="DN518" s="2">
        <v>0</v>
      </c>
      <c r="DO518" s="2">
        <v>0</v>
      </c>
      <c r="DP518" s="2">
        <v>1</v>
      </c>
      <c r="DQ518" s="2">
        <v>1</v>
      </c>
      <c r="DR518" s="2"/>
      <c r="DS518" s="2"/>
      <c r="DT518" s="2"/>
      <c r="DU518" s="2">
        <v>1003</v>
      </c>
      <c r="DV518" s="2" t="s">
        <v>371</v>
      </c>
      <c r="DW518" s="2" t="s">
        <v>371</v>
      </c>
      <c r="DX518" s="2">
        <v>1</v>
      </c>
      <c r="DY518" s="2"/>
      <c r="DZ518" s="2" t="s">
        <v>3</v>
      </c>
      <c r="EA518" s="2" t="s">
        <v>3</v>
      </c>
      <c r="EB518" s="2" t="s">
        <v>3</v>
      </c>
      <c r="EC518" s="2" t="s">
        <v>3</v>
      </c>
      <c r="ED518" s="2"/>
      <c r="EE518" s="2">
        <v>57042957</v>
      </c>
      <c r="EF518" s="2">
        <v>40</v>
      </c>
      <c r="EG518" s="2" t="s">
        <v>30</v>
      </c>
      <c r="EH518" s="2">
        <v>0</v>
      </c>
      <c r="EI518" s="2" t="s">
        <v>3</v>
      </c>
      <c r="EJ518" s="2">
        <v>2</v>
      </c>
      <c r="EK518" s="2">
        <v>67</v>
      </c>
      <c r="EL518" s="2" t="s">
        <v>80</v>
      </c>
      <c r="EM518" s="2" t="s">
        <v>81</v>
      </c>
      <c r="EN518" s="2"/>
      <c r="EO518" s="2" t="s">
        <v>109</v>
      </c>
      <c r="EP518" s="2"/>
      <c r="EQ518" s="2">
        <v>1024</v>
      </c>
      <c r="ER518" s="2">
        <v>3.45</v>
      </c>
      <c r="ES518" s="2">
        <v>3.45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>
        <v>0</v>
      </c>
      <c r="FR518" s="2">
        <v>0</v>
      </c>
      <c r="FS518" s="2">
        <v>0</v>
      </c>
      <c r="FT518" s="2"/>
      <c r="FU518" s="2"/>
      <c r="FV518" s="2"/>
      <c r="FW518" s="2"/>
      <c r="FX518" s="2">
        <v>97</v>
      </c>
      <c r="FY518" s="2">
        <v>51</v>
      </c>
      <c r="FZ518" s="2"/>
      <c r="GA518" s="2" t="s">
        <v>3</v>
      </c>
      <c r="GB518" s="2"/>
      <c r="GC518" s="2"/>
      <c r="GD518" s="2">
        <v>1</v>
      </c>
      <c r="GE518" s="2"/>
      <c r="GF518" s="2">
        <v>1194371439</v>
      </c>
      <c r="GG518" s="2">
        <v>2</v>
      </c>
      <c r="GH518" s="2">
        <v>1</v>
      </c>
      <c r="GI518" s="2">
        <v>-2</v>
      </c>
      <c r="GJ518" s="2">
        <v>0</v>
      </c>
      <c r="GK518" s="2">
        <v>0</v>
      </c>
      <c r="GL518" s="2">
        <f t="shared" si="406"/>
        <v>0</v>
      </c>
      <c r="GM518" s="2">
        <f t="shared" si="407"/>
        <v>18122.849999999999</v>
      </c>
      <c r="GN518" s="2">
        <f t="shared" si="408"/>
        <v>0</v>
      </c>
      <c r="GO518" s="2">
        <f t="shared" si="409"/>
        <v>18122.849999999999</v>
      </c>
      <c r="GP518" s="2">
        <f t="shared" si="410"/>
        <v>0</v>
      </c>
      <c r="GQ518" s="2"/>
      <c r="GR518" s="2">
        <v>0</v>
      </c>
      <c r="GS518" s="2">
        <v>3</v>
      </c>
      <c r="GT518" s="2">
        <v>0</v>
      </c>
      <c r="GU518" s="2" t="s">
        <v>3</v>
      </c>
      <c r="GV518" s="2">
        <f t="shared" si="411"/>
        <v>0</v>
      </c>
      <c r="GW518" s="2">
        <v>1</v>
      </c>
      <c r="GX518" s="2">
        <f t="shared" si="412"/>
        <v>0</v>
      </c>
      <c r="GY518" s="2"/>
      <c r="GZ518" s="2"/>
      <c r="HA518" s="2">
        <v>0</v>
      </c>
      <c r="HB518" s="2">
        <v>0</v>
      </c>
      <c r="HC518" s="2">
        <f t="shared" si="413"/>
        <v>0</v>
      </c>
      <c r="HD518" s="2"/>
      <c r="HE518" s="2" t="s">
        <v>3</v>
      </c>
      <c r="HF518" s="2" t="s">
        <v>3</v>
      </c>
      <c r="HG518" s="2"/>
      <c r="HH518" s="2"/>
      <c r="HI518" s="2"/>
      <c r="HJ518" s="2"/>
      <c r="HK518" s="2"/>
      <c r="HL518" s="2"/>
      <c r="HM518" s="2" t="s">
        <v>104</v>
      </c>
      <c r="HN518" s="2" t="s">
        <v>3</v>
      </c>
      <c r="HO518" s="2" t="s">
        <v>3</v>
      </c>
      <c r="HP518" s="2" t="s">
        <v>3</v>
      </c>
      <c r="HQ518" s="2" t="s">
        <v>3</v>
      </c>
      <c r="HR518" s="2"/>
      <c r="HS518" s="2">
        <v>0</v>
      </c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>
        <v>0</v>
      </c>
      <c r="IL518" s="2"/>
      <c r="IM518" s="2"/>
      <c r="IN518" s="2"/>
      <c r="IO518" s="2"/>
      <c r="IP518" s="2"/>
      <c r="IQ518" s="2"/>
      <c r="IR518" s="2"/>
      <c r="IS518" s="2"/>
      <c r="IT518" s="2"/>
      <c r="IU518" s="2"/>
    </row>
    <row r="519" spans="1:255" x14ac:dyDescent="0.25">
      <c r="A519" s="3">
        <v>18</v>
      </c>
      <c r="B519" s="3">
        <v>1</v>
      </c>
      <c r="C519" s="3">
        <v>305</v>
      </c>
      <c r="E519" s="3" t="s">
        <v>3</v>
      </c>
      <c r="F519" s="3" t="s">
        <v>369</v>
      </c>
      <c r="G519" s="3" t="s">
        <v>370</v>
      </c>
      <c r="H519" s="3" t="s">
        <v>371</v>
      </c>
      <c r="I519" s="3">
        <f>I517*J519</f>
        <v>5253</v>
      </c>
      <c r="J519" s="3">
        <v>102</v>
      </c>
      <c r="K519" s="3">
        <v>102</v>
      </c>
      <c r="O519" s="3">
        <f t="shared" si="389"/>
        <v>68685.600000000006</v>
      </c>
      <c r="P519" s="3">
        <f t="shared" si="390"/>
        <v>68685.600000000006</v>
      </c>
      <c r="Q519" s="3">
        <f>(ROUND((ROUND(((ET519)*AV519*I519),2)*BB519),2)+ROUND((ROUND(((AE519-(EU519))*AV519*I519),2)*BS519),2))</f>
        <v>0</v>
      </c>
      <c r="R519" s="3">
        <f>(ROUND((ROUND(((EU519)*AV519*I519),2)*BS519),2)+ROUND((ROUND(((AE519-(EU519))*AV519*I519),2)*BS519),2))</f>
        <v>0</v>
      </c>
      <c r="S519" s="3">
        <f t="shared" si="391"/>
        <v>0</v>
      </c>
      <c r="T519" s="3">
        <f t="shared" si="392"/>
        <v>0</v>
      </c>
      <c r="U519" s="3">
        <f t="shared" si="393"/>
        <v>0</v>
      </c>
      <c r="V519" s="3">
        <f t="shared" si="394"/>
        <v>0</v>
      </c>
      <c r="W519" s="3">
        <f t="shared" si="395"/>
        <v>0</v>
      </c>
      <c r="X519" s="3">
        <f>(ROUND((((S519+ROUND((ROUND(((EU519)*AV519*I519),2)*BS519),2))*AT519)/100),2)+ROUND(((ROUND((ROUND(((AE519-(EU519))*AV519*I519),2)*BS519),2)*AT519)/100),2))</f>
        <v>0</v>
      </c>
      <c r="Y519" s="3">
        <f>(ROUND((((S519+ROUND((ROUND(((EU519)*AV519*I519),2)*BS519),2))*AU519)/100),2)+ROUND(((ROUND((ROUND(((AE519-(EU519))*AV519*I519),2)*BS519),2)*AU519)/100),2))</f>
        <v>0</v>
      </c>
      <c r="AA519" s="3">
        <v>-1</v>
      </c>
      <c r="AB519" s="3">
        <f t="shared" si="396"/>
        <v>3.45</v>
      </c>
      <c r="AC519" s="3">
        <f>ROUND((ES519),6)</f>
        <v>3.45</v>
      </c>
      <c r="AD519" s="3">
        <f>ROUND((((ET519)-(EU519))+AE519),6)</f>
        <v>0</v>
      </c>
      <c r="AE519" s="3">
        <f t="shared" si="430"/>
        <v>0</v>
      </c>
      <c r="AF519" s="3">
        <f t="shared" si="430"/>
        <v>0</v>
      </c>
      <c r="AG519" s="3">
        <f t="shared" si="397"/>
        <v>0</v>
      </c>
      <c r="AH519" s="3">
        <f t="shared" si="431"/>
        <v>0</v>
      </c>
      <c r="AI519" s="3">
        <f t="shared" si="431"/>
        <v>0</v>
      </c>
      <c r="AJ519" s="3">
        <f t="shared" si="398"/>
        <v>0</v>
      </c>
      <c r="AK519" s="3">
        <v>3.45</v>
      </c>
      <c r="AL519" s="3">
        <v>3.45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97</v>
      </c>
      <c r="AU519" s="3">
        <v>51</v>
      </c>
      <c r="AV519" s="3">
        <v>1</v>
      </c>
      <c r="AW519" s="3">
        <v>1</v>
      </c>
      <c r="AZ519" s="3">
        <v>1</v>
      </c>
      <c r="BA519" s="3">
        <v>1</v>
      </c>
      <c r="BB519" s="3">
        <v>1</v>
      </c>
      <c r="BC519" s="3">
        <v>3.79</v>
      </c>
      <c r="BD519" s="3" t="s">
        <v>3</v>
      </c>
      <c r="BE519" s="3" t="s">
        <v>3</v>
      </c>
      <c r="BF519" s="3" t="s">
        <v>3</v>
      </c>
      <c r="BG519" s="3" t="s">
        <v>3</v>
      </c>
      <c r="BH519" s="3">
        <v>3</v>
      </c>
      <c r="BI519" s="3">
        <v>2</v>
      </c>
      <c r="BJ519" s="3" t="s">
        <v>372</v>
      </c>
      <c r="BM519" s="3">
        <v>67</v>
      </c>
      <c r="BN519" s="3">
        <v>0</v>
      </c>
      <c r="BO519" s="3" t="s">
        <v>369</v>
      </c>
      <c r="BP519" s="3">
        <v>1</v>
      </c>
      <c r="BQ519" s="3">
        <v>40</v>
      </c>
      <c r="BR519" s="3">
        <v>0</v>
      </c>
      <c r="BS519" s="3">
        <v>1</v>
      </c>
      <c r="BT519" s="3">
        <v>1</v>
      </c>
      <c r="BU519" s="3">
        <v>1</v>
      </c>
      <c r="BV519" s="3">
        <v>1</v>
      </c>
      <c r="BW519" s="3">
        <v>1</v>
      </c>
      <c r="BX519" s="3">
        <v>1</v>
      </c>
      <c r="BY519" s="3" t="s">
        <v>3</v>
      </c>
      <c r="BZ519" s="3">
        <v>97</v>
      </c>
      <c r="CA519" s="3">
        <v>51</v>
      </c>
      <c r="CB519" s="3" t="s">
        <v>3</v>
      </c>
      <c r="CE519" s="3">
        <v>1566</v>
      </c>
      <c r="CF519" s="3">
        <v>0</v>
      </c>
      <c r="CG519" s="3">
        <v>0</v>
      </c>
      <c r="CM519" s="3">
        <v>0</v>
      </c>
      <c r="CN519" s="3" t="s">
        <v>615</v>
      </c>
      <c r="CO519" s="3">
        <v>0</v>
      </c>
      <c r="CP519" s="3">
        <f t="shared" si="399"/>
        <v>68685.600000000006</v>
      </c>
      <c r="CQ519" s="3">
        <f t="shared" si="400"/>
        <v>13.08</v>
      </c>
      <c r="CR519" s="3">
        <f>(ROUND((ROUND(((ET519)*AV519*1),2)*BB519),2)+ROUND((ROUND(((AE519-(EU519))*AV519*1),2)*BS519),2))</f>
        <v>0</v>
      </c>
      <c r="CS519" s="3">
        <f>(ROUND((ROUND(((EU519)*AV519*1),2)*BS519),2)+ROUND((ROUND(((AE519-(EU519))*AV519*1),2)*BS519),2))</f>
        <v>0</v>
      </c>
      <c r="CT519" s="3">
        <f t="shared" si="401"/>
        <v>0</v>
      </c>
      <c r="CU519" s="3">
        <f t="shared" si="402"/>
        <v>0</v>
      </c>
      <c r="CV519" s="3">
        <f t="shared" si="403"/>
        <v>0</v>
      </c>
      <c r="CW519" s="3">
        <f t="shared" si="404"/>
        <v>0</v>
      </c>
      <c r="CX519" s="3">
        <f t="shared" si="405"/>
        <v>0</v>
      </c>
      <c r="CY519" s="3">
        <f>(ROUND((((S519+ROUND((ROUND(((EU519)*AV519*1),2)*BS519),2))*AT519)/100),2)+ROUND(((ROUND((ROUND(((AE519-(EU519))*AV519*1),2)*BS519),2)*AT519)/100),2))</f>
        <v>0</v>
      </c>
      <c r="CZ519" s="3">
        <f>(ROUND((((S519+ROUND((ROUND(((EU519)*AV519*1),2)*BS519),2))*AU519)/100),2)+ROUND(((ROUND((ROUND(((AE519-(EU519))*AV519*1),2)*BS519),2)*AU519)/100),2))</f>
        <v>0</v>
      </c>
      <c r="DC519" s="3" t="s">
        <v>3</v>
      </c>
      <c r="DD519" s="3" t="s">
        <v>3</v>
      </c>
      <c r="DE519" s="3" t="s">
        <v>3</v>
      </c>
      <c r="DF519" s="3" t="s">
        <v>3</v>
      </c>
      <c r="DG519" s="3" t="s">
        <v>3</v>
      </c>
      <c r="DH519" s="3" t="s">
        <v>3</v>
      </c>
      <c r="DI519" s="3" t="s">
        <v>3</v>
      </c>
      <c r="DJ519" s="3" t="s">
        <v>3</v>
      </c>
      <c r="DK519" s="3" t="s">
        <v>3</v>
      </c>
      <c r="DL519" s="3" t="s">
        <v>3</v>
      </c>
      <c r="DM519" s="3" t="s">
        <v>3</v>
      </c>
      <c r="DN519" s="3">
        <v>0</v>
      </c>
      <c r="DO519" s="3">
        <v>0</v>
      </c>
      <c r="DP519" s="3">
        <v>1</v>
      </c>
      <c r="DQ519" s="3">
        <v>1</v>
      </c>
      <c r="DU519" s="3">
        <v>1003</v>
      </c>
      <c r="DV519" s="3" t="s">
        <v>371</v>
      </c>
      <c r="DW519" s="3" t="s">
        <v>371</v>
      </c>
      <c r="DX519" s="3">
        <v>1</v>
      </c>
      <c r="DZ519" s="3" t="s">
        <v>3</v>
      </c>
      <c r="EA519" s="3" t="s">
        <v>3</v>
      </c>
      <c r="EB519" s="3" t="s">
        <v>3</v>
      </c>
      <c r="EC519" s="3" t="s">
        <v>3</v>
      </c>
      <c r="EE519" s="3">
        <v>57042957</v>
      </c>
      <c r="EF519" s="3">
        <v>40</v>
      </c>
      <c r="EG519" s="3" t="s">
        <v>30</v>
      </c>
      <c r="EH519" s="3">
        <v>0</v>
      </c>
      <c r="EI519" s="3" t="s">
        <v>3</v>
      </c>
      <c r="EJ519" s="3">
        <v>2</v>
      </c>
      <c r="EK519" s="3">
        <v>67</v>
      </c>
      <c r="EL519" s="3" t="s">
        <v>80</v>
      </c>
      <c r="EM519" s="3" t="s">
        <v>81</v>
      </c>
      <c r="EO519" s="3" t="s">
        <v>109</v>
      </c>
      <c r="EQ519" s="3">
        <v>1024</v>
      </c>
      <c r="ER519" s="3">
        <v>3.45</v>
      </c>
      <c r="ES519" s="3">
        <v>3.45</v>
      </c>
      <c r="ET519" s="3">
        <v>0</v>
      </c>
      <c r="EU519" s="3">
        <v>0</v>
      </c>
      <c r="EV519" s="3">
        <v>0</v>
      </c>
      <c r="EW519" s="3">
        <v>0</v>
      </c>
      <c r="EX519" s="3">
        <v>0</v>
      </c>
      <c r="FQ519" s="3">
        <v>0</v>
      </c>
      <c r="FR519" s="3">
        <v>0</v>
      </c>
      <c r="FS519" s="3">
        <v>0</v>
      </c>
      <c r="FX519" s="3">
        <v>97</v>
      </c>
      <c r="FY519" s="3">
        <v>51</v>
      </c>
      <c r="GA519" s="3" t="s">
        <v>3</v>
      </c>
      <c r="GD519" s="3">
        <v>1</v>
      </c>
      <c r="GF519" s="3">
        <v>1194371439</v>
      </c>
      <c r="GG519" s="3">
        <v>2</v>
      </c>
      <c r="GH519" s="3">
        <v>1</v>
      </c>
      <c r="GI519" s="3">
        <v>2</v>
      </c>
      <c r="GJ519" s="3">
        <v>0</v>
      </c>
      <c r="GK519" s="3">
        <v>0</v>
      </c>
      <c r="GL519" s="3">
        <f t="shared" si="406"/>
        <v>0</v>
      </c>
      <c r="GM519" s="3">
        <f t="shared" si="407"/>
        <v>68685.600000000006</v>
      </c>
      <c r="GN519" s="3">
        <f t="shared" si="408"/>
        <v>0</v>
      </c>
      <c r="GO519" s="3">
        <f t="shared" si="409"/>
        <v>68685.600000000006</v>
      </c>
      <c r="GP519" s="3">
        <f t="shared" si="410"/>
        <v>0</v>
      </c>
      <c r="GR519" s="3">
        <v>0</v>
      </c>
      <c r="GS519" s="3">
        <v>3</v>
      </c>
      <c r="GT519" s="3">
        <v>0</v>
      </c>
      <c r="GU519" s="3" t="s">
        <v>3</v>
      </c>
      <c r="GV519" s="3">
        <f t="shared" si="411"/>
        <v>0</v>
      </c>
      <c r="GW519" s="3">
        <v>1</v>
      </c>
      <c r="GX519" s="3">
        <f t="shared" si="412"/>
        <v>0</v>
      </c>
      <c r="HA519" s="3">
        <v>0</v>
      </c>
      <c r="HB519" s="3">
        <v>0</v>
      </c>
      <c r="HC519" s="3">
        <f t="shared" si="413"/>
        <v>0</v>
      </c>
      <c r="HE519" s="3" t="s">
        <v>3</v>
      </c>
      <c r="HF519" s="3" t="s">
        <v>3</v>
      </c>
      <c r="HM519" s="3" t="s">
        <v>104</v>
      </c>
      <c r="HN519" s="3" t="s">
        <v>3</v>
      </c>
      <c r="HO519" s="3" t="s">
        <v>3</v>
      </c>
      <c r="HP519" s="3" t="s">
        <v>3</v>
      </c>
      <c r="HQ519" s="3" t="s">
        <v>3</v>
      </c>
      <c r="HS519" s="3">
        <v>0</v>
      </c>
      <c r="IK519" s="3">
        <v>0</v>
      </c>
    </row>
    <row r="520" spans="1:255" x14ac:dyDescent="0.25">
      <c r="A520" s="2">
        <v>18</v>
      </c>
      <c r="B520" s="2">
        <v>1</v>
      </c>
      <c r="C520" s="2">
        <v>303</v>
      </c>
      <c r="D520" s="2"/>
      <c r="E520" s="2" t="s">
        <v>3</v>
      </c>
      <c r="F520" s="2" t="s">
        <v>412</v>
      </c>
      <c r="G520" s="2" t="s">
        <v>413</v>
      </c>
      <c r="H520" s="2" t="s">
        <v>414</v>
      </c>
      <c r="I520" s="2">
        <f>I516*J520</f>
        <v>10300</v>
      </c>
      <c r="J520" s="2">
        <v>200</v>
      </c>
      <c r="K520" s="2">
        <v>200</v>
      </c>
      <c r="L520" s="2"/>
      <c r="M520" s="2"/>
      <c r="N520" s="2"/>
      <c r="O520" s="2">
        <f t="shared" si="389"/>
        <v>1512967</v>
      </c>
      <c r="P520" s="2">
        <f t="shared" si="390"/>
        <v>1512967</v>
      </c>
      <c r="Q520" s="2">
        <f>(ROUND((ROUND(((ET520)*AV520*I520),2)*BB520),2)+ROUND((ROUND(((AE520-(EU520))*AV520*I520),2)*BS520),2))</f>
        <v>0</v>
      </c>
      <c r="R520" s="2">
        <f>(ROUND((ROUND(((EU520)*AV520*I520),2)*BS520),2)+ROUND((ROUND(((AE520-(EU520))*AV520*I520),2)*BS520),2))</f>
        <v>0</v>
      </c>
      <c r="S520" s="2">
        <f t="shared" si="391"/>
        <v>0</v>
      </c>
      <c r="T520" s="2">
        <f t="shared" si="392"/>
        <v>0</v>
      </c>
      <c r="U520" s="2">
        <f t="shared" si="393"/>
        <v>0</v>
      </c>
      <c r="V520" s="2">
        <f t="shared" si="394"/>
        <v>0</v>
      </c>
      <c r="W520" s="2">
        <f t="shared" si="395"/>
        <v>0</v>
      </c>
      <c r="X520" s="2">
        <f>(ROUND((((S520+ROUND((ROUND(((EU520)*AV520*I520),2)*BS520),2))*AT520)/100),2)+ROUND(((ROUND((ROUND(((AE520-(EU520))*AV520*I520),2)*BS520),2)*AT520)/100),2))</f>
        <v>0</v>
      </c>
      <c r="Y520" s="2">
        <f>(ROUND((((S520+ROUND((ROUND(((EU520)*AV520*I520),2)*BS520),2))*AU520)/100),2)+ROUND(((ROUND((ROUND(((AE520-(EU520))*AV520*I520),2)*BS520),2)*AU520)/100),2))</f>
        <v>0</v>
      </c>
      <c r="Z520" s="2"/>
      <c r="AA520" s="2">
        <v>-1</v>
      </c>
      <c r="AB520" s="2">
        <f t="shared" si="396"/>
        <v>146.88999999999999</v>
      </c>
      <c r="AC520" s="2">
        <f>ROUND((ES520),6)</f>
        <v>146.88999999999999</v>
      </c>
      <c r="AD520" s="2">
        <f>ROUND((((ET520)-(EU520))+AE520),6)</f>
        <v>0</v>
      </c>
      <c r="AE520" s="2">
        <f t="shared" si="430"/>
        <v>0</v>
      </c>
      <c r="AF520" s="2">
        <f t="shared" si="430"/>
        <v>0</v>
      </c>
      <c r="AG520" s="2">
        <f t="shared" si="397"/>
        <v>0</v>
      </c>
      <c r="AH520" s="2">
        <f t="shared" si="431"/>
        <v>0</v>
      </c>
      <c r="AI520" s="2">
        <f t="shared" si="431"/>
        <v>0</v>
      </c>
      <c r="AJ520" s="2">
        <f t="shared" si="398"/>
        <v>0</v>
      </c>
      <c r="AK520" s="2">
        <v>146.88999999999999</v>
      </c>
      <c r="AL520" s="2">
        <v>146.88999999999999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97</v>
      </c>
      <c r="AU520" s="2">
        <v>51</v>
      </c>
      <c r="AV520" s="2">
        <v>1</v>
      </c>
      <c r="AW520" s="2">
        <v>1</v>
      </c>
      <c r="AX520" s="2"/>
      <c r="AY520" s="2"/>
      <c r="AZ520" s="2">
        <v>1</v>
      </c>
      <c r="BA520" s="2">
        <v>1</v>
      </c>
      <c r="BB520" s="2">
        <v>1</v>
      </c>
      <c r="BC520" s="2">
        <v>1</v>
      </c>
      <c r="BD520" s="2" t="s">
        <v>3</v>
      </c>
      <c r="BE520" s="2" t="s">
        <v>3</v>
      </c>
      <c r="BF520" s="2" t="s">
        <v>3</v>
      </c>
      <c r="BG520" s="2" t="s">
        <v>3</v>
      </c>
      <c r="BH520" s="2">
        <v>3</v>
      </c>
      <c r="BI520" s="2">
        <v>2</v>
      </c>
      <c r="BJ520" s="2" t="s">
        <v>415</v>
      </c>
      <c r="BK520" s="2"/>
      <c r="BL520" s="2"/>
      <c r="BM520" s="2">
        <v>67</v>
      </c>
      <c r="BN520" s="2">
        <v>0</v>
      </c>
      <c r="BO520" s="2" t="s">
        <v>3</v>
      </c>
      <c r="BP520" s="2">
        <v>0</v>
      </c>
      <c r="BQ520" s="2">
        <v>40</v>
      </c>
      <c r="BR520" s="2">
        <v>0</v>
      </c>
      <c r="BS520" s="2">
        <v>1</v>
      </c>
      <c r="BT520" s="2">
        <v>1</v>
      </c>
      <c r="BU520" s="2">
        <v>1</v>
      </c>
      <c r="BV520" s="2">
        <v>1</v>
      </c>
      <c r="BW520" s="2">
        <v>1</v>
      </c>
      <c r="BX520" s="2">
        <v>1</v>
      </c>
      <c r="BY520" s="2" t="s">
        <v>3</v>
      </c>
      <c r="BZ520" s="2">
        <v>97</v>
      </c>
      <c r="CA520" s="2">
        <v>51</v>
      </c>
      <c r="CB520" s="2" t="s">
        <v>3</v>
      </c>
      <c r="CC520" s="2"/>
      <c r="CD520" s="2"/>
      <c r="CE520" s="2">
        <v>1566</v>
      </c>
      <c r="CF520" s="2">
        <v>0</v>
      </c>
      <c r="CG520" s="2">
        <v>0</v>
      </c>
      <c r="CH520" s="2"/>
      <c r="CI520" s="2"/>
      <c r="CJ520" s="2"/>
      <c r="CK520" s="2"/>
      <c r="CL520" s="2"/>
      <c r="CM520" s="2">
        <v>0</v>
      </c>
      <c r="CN520" s="2" t="s">
        <v>615</v>
      </c>
      <c r="CO520" s="2">
        <v>0</v>
      </c>
      <c r="CP520" s="2">
        <f t="shared" si="399"/>
        <v>1512967</v>
      </c>
      <c r="CQ520" s="2">
        <f t="shared" si="400"/>
        <v>146.88999999999999</v>
      </c>
      <c r="CR520" s="2">
        <f>(ROUND((ROUND(((ET520)*AV520*1),2)*BB520),2)+ROUND((ROUND(((AE520-(EU520))*AV520*1),2)*BS520),2))</f>
        <v>0</v>
      </c>
      <c r="CS520" s="2">
        <f>(ROUND((ROUND(((EU520)*AV520*1),2)*BS520),2)+ROUND((ROUND(((AE520-(EU520))*AV520*1),2)*BS520),2))</f>
        <v>0</v>
      </c>
      <c r="CT520" s="2">
        <f t="shared" si="401"/>
        <v>0</v>
      </c>
      <c r="CU520" s="2">
        <f t="shared" si="402"/>
        <v>0</v>
      </c>
      <c r="CV520" s="2">
        <f t="shared" si="403"/>
        <v>0</v>
      </c>
      <c r="CW520" s="2">
        <f t="shared" si="404"/>
        <v>0</v>
      </c>
      <c r="CX520" s="2">
        <f t="shared" si="405"/>
        <v>0</v>
      </c>
      <c r="CY520" s="2">
        <f>(ROUND((((S520+ROUND((ROUND(((EU520)*AV520*1),2)*BS520),2))*AT520)/100),2)+ROUND(((ROUND((ROUND(((AE520-(EU520))*AV520*1),2)*BS520),2)*AT520)/100),2))</f>
        <v>0</v>
      </c>
      <c r="CZ520" s="2">
        <f>(ROUND((((S520+ROUND((ROUND(((EU520)*AV520*1),2)*BS520),2))*AU520)/100),2)+ROUND(((ROUND((ROUND(((AE520-(EU520))*AV520*1),2)*BS520),2)*AU520)/100),2))</f>
        <v>0</v>
      </c>
      <c r="DA520" s="2"/>
      <c r="DB520" s="2"/>
      <c r="DC520" s="2" t="s">
        <v>3</v>
      </c>
      <c r="DD520" s="2" t="s">
        <v>3</v>
      </c>
      <c r="DE520" s="2" t="s">
        <v>3</v>
      </c>
      <c r="DF520" s="2" t="s">
        <v>3</v>
      </c>
      <c r="DG520" s="2" t="s">
        <v>3</v>
      </c>
      <c r="DH520" s="2" t="s">
        <v>3</v>
      </c>
      <c r="DI520" s="2" t="s">
        <v>3</v>
      </c>
      <c r="DJ520" s="2" t="s">
        <v>3</v>
      </c>
      <c r="DK520" s="2" t="s">
        <v>3</v>
      </c>
      <c r="DL520" s="2" t="s">
        <v>3</v>
      </c>
      <c r="DM520" s="2" t="s">
        <v>3</v>
      </c>
      <c r="DN520" s="2">
        <v>0</v>
      </c>
      <c r="DO520" s="2">
        <v>0</v>
      </c>
      <c r="DP520" s="2">
        <v>1</v>
      </c>
      <c r="DQ520" s="2">
        <v>1</v>
      </c>
      <c r="DR520" s="2"/>
      <c r="DS520" s="2"/>
      <c r="DT520" s="2"/>
      <c r="DU520" s="2">
        <v>1010</v>
      </c>
      <c r="DV520" s="2" t="s">
        <v>414</v>
      </c>
      <c r="DW520" s="2" t="s">
        <v>414</v>
      </c>
      <c r="DX520" s="2">
        <v>100</v>
      </c>
      <c r="DY520" s="2"/>
      <c r="DZ520" s="2" t="s">
        <v>3</v>
      </c>
      <c r="EA520" s="2" t="s">
        <v>3</v>
      </c>
      <c r="EB520" s="2" t="s">
        <v>3</v>
      </c>
      <c r="EC520" s="2" t="s">
        <v>3</v>
      </c>
      <c r="ED520" s="2"/>
      <c r="EE520" s="2">
        <v>57042957</v>
      </c>
      <c r="EF520" s="2">
        <v>40</v>
      </c>
      <c r="EG520" s="2" t="s">
        <v>30</v>
      </c>
      <c r="EH520" s="2">
        <v>0</v>
      </c>
      <c r="EI520" s="2" t="s">
        <v>3</v>
      </c>
      <c r="EJ520" s="2">
        <v>2</v>
      </c>
      <c r="EK520" s="2">
        <v>67</v>
      </c>
      <c r="EL520" s="2" t="s">
        <v>80</v>
      </c>
      <c r="EM520" s="2" t="s">
        <v>81</v>
      </c>
      <c r="EN520" s="2"/>
      <c r="EO520" s="2" t="s">
        <v>109</v>
      </c>
      <c r="EP520" s="2"/>
      <c r="EQ520" s="2">
        <v>1024</v>
      </c>
      <c r="ER520" s="2">
        <v>146.88999999999999</v>
      </c>
      <c r="ES520" s="2">
        <v>146.88999999999999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>
        <v>0</v>
      </c>
      <c r="FR520" s="2">
        <v>0</v>
      </c>
      <c r="FS520" s="2">
        <v>0</v>
      </c>
      <c r="FT520" s="2"/>
      <c r="FU520" s="2"/>
      <c r="FV520" s="2"/>
      <c r="FW520" s="2"/>
      <c r="FX520" s="2">
        <v>97</v>
      </c>
      <c r="FY520" s="2">
        <v>51</v>
      </c>
      <c r="FZ520" s="2"/>
      <c r="GA520" s="2" t="s">
        <v>3</v>
      </c>
      <c r="GB520" s="2"/>
      <c r="GC520" s="2"/>
      <c r="GD520" s="2">
        <v>1</v>
      </c>
      <c r="GE520" s="2"/>
      <c r="GF520" s="2">
        <v>289520784</v>
      </c>
      <c r="GG520" s="2">
        <v>2</v>
      </c>
      <c r="GH520" s="2">
        <v>1</v>
      </c>
      <c r="GI520" s="2">
        <v>-2</v>
      </c>
      <c r="GJ520" s="2">
        <v>0</v>
      </c>
      <c r="GK520" s="2">
        <v>0</v>
      </c>
      <c r="GL520" s="2">
        <f t="shared" si="406"/>
        <v>0</v>
      </c>
      <c r="GM520" s="2">
        <f t="shared" si="407"/>
        <v>1512967</v>
      </c>
      <c r="GN520" s="2">
        <f t="shared" si="408"/>
        <v>0</v>
      </c>
      <c r="GO520" s="2">
        <f t="shared" si="409"/>
        <v>1512967</v>
      </c>
      <c r="GP520" s="2">
        <f t="shared" si="410"/>
        <v>0</v>
      </c>
      <c r="GQ520" s="2"/>
      <c r="GR520" s="2">
        <v>0</v>
      </c>
      <c r="GS520" s="2">
        <v>3</v>
      </c>
      <c r="GT520" s="2">
        <v>0</v>
      </c>
      <c r="GU520" s="2" t="s">
        <v>3</v>
      </c>
      <c r="GV520" s="2">
        <f t="shared" si="411"/>
        <v>0</v>
      </c>
      <c r="GW520" s="2">
        <v>1</v>
      </c>
      <c r="GX520" s="2">
        <f t="shared" si="412"/>
        <v>0</v>
      </c>
      <c r="GY520" s="2"/>
      <c r="GZ520" s="2"/>
      <c r="HA520" s="2">
        <v>0</v>
      </c>
      <c r="HB520" s="2">
        <v>0</v>
      </c>
      <c r="HC520" s="2">
        <f t="shared" si="413"/>
        <v>0</v>
      </c>
      <c r="HD520" s="2"/>
      <c r="HE520" s="2" t="s">
        <v>3</v>
      </c>
      <c r="HF520" s="2" t="s">
        <v>3</v>
      </c>
      <c r="HG520" s="2"/>
      <c r="HH520" s="2"/>
      <c r="HI520" s="2"/>
      <c r="HJ520" s="2"/>
      <c r="HK520" s="2"/>
      <c r="HL520" s="2"/>
      <c r="HM520" s="2" t="s">
        <v>104</v>
      </c>
      <c r="HN520" s="2" t="s">
        <v>3</v>
      </c>
      <c r="HO520" s="2" t="s">
        <v>3</v>
      </c>
      <c r="HP520" s="2" t="s">
        <v>3</v>
      </c>
      <c r="HQ520" s="2" t="s">
        <v>3</v>
      </c>
      <c r="HR520" s="2"/>
      <c r="HS520" s="2">
        <v>0</v>
      </c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>
        <v>0</v>
      </c>
      <c r="IL520" s="2"/>
      <c r="IM520" s="2"/>
      <c r="IN520" s="2"/>
      <c r="IO520" s="2"/>
      <c r="IP520" s="2"/>
      <c r="IQ520" s="2"/>
      <c r="IR520" s="2"/>
      <c r="IS520" s="2"/>
      <c r="IT520" s="2"/>
      <c r="IU520" s="2"/>
    </row>
    <row r="521" spans="1:255" x14ac:dyDescent="0.25">
      <c r="A521" s="3">
        <v>18</v>
      </c>
      <c r="B521" s="3">
        <v>1</v>
      </c>
      <c r="C521" s="3">
        <v>306</v>
      </c>
      <c r="E521" s="3" t="s">
        <v>3</v>
      </c>
      <c r="F521" s="3" t="s">
        <v>412</v>
      </c>
      <c r="G521" s="3" t="s">
        <v>413</v>
      </c>
      <c r="H521" s="3" t="s">
        <v>414</v>
      </c>
      <c r="I521" s="3">
        <f>I517*J521</f>
        <v>10300</v>
      </c>
      <c r="J521" s="3">
        <v>200</v>
      </c>
      <c r="K521" s="3">
        <v>200</v>
      </c>
      <c r="O521" s="3">
        <f t="shared" si="389"/>
        <v>2632562.58</v>
      </c>
      <c r="P521" s="3">
        <f t="shared" si="390"/>
        <v>2632562.58</v>
      </c>
      <c r="Q521" s="3">
        <f>(ROUND((ROUND(((ET521)*AV521*I521),2)*BB521),2)+ROUND((ROUND(((AE521-(EU521))*AV521*I521),2)*BS521),2))</f>
        <v>0</v>
      </c>
      <c r="R521" s="3">
        <f>(ROUND((ROUND(((EU521)*AV521*I521),2)*BS521),2)+ROUND((ROUND(((AE521-(EU521))*AV521*I521),2)*BS521),2))</f>
        <v>0</v>
      </c>
      <c r="S521" s="3">
        <f t="shared" si="391"/>
        <v>0</v>
      </c>
      <c r="T521" s="3">
        <f t="shared" si="392"/>
        <v>0</v>
      </c>
      <c r="U521" s="3">
        <f t="shared" si="393"/>
        <v>0</v>
      </c>
      <c r="V521" s="3">
        <f t="shared" si="394"/>
        <v>0</v>
      </c>
      <c r="W521" s="3">
        <f t="shared" si="395"/>
        <v>0</v>
      </c>
      <c r="X521" s="3">
        <f>(ROUND((((S521+ROUND((ROUND(((EU521)*AV521*I521),2)*BS521),2))*AT521)/100),2)+ROUND(((ROUND((ROUND(((AE521-(EU521))*AV521*I521),2)*BS521),2)*AT521)/100),2))</f>
        <v>0</v>
      </c>
      <c r="Y521" s="3">
        <f>(ROUND((((S521+ROUND((ROUND(((EU521)*AV521*I521),2)*BS521),2))*AU521)/100),2)+ROUND(((ROUND((ROUND(((AE521-(EU521))*AV521*I521),2)*BS521),2)*AU521)/100),2))</f>
        <v>0</v>
      </c>
      <c r="AA521" s="3">
        <v>-1</v>
      </c>
      <c r="AB521" s="3">
        <f t="shared" si="396"/>
        <v>146.88999999999999</v>
      </c>
      <c r="AC521" s="3">
        <f>ROUND((ES521),6)</f>
        <v>146.88999999999999</v>
      </c>
      <c r="AD521" s="3">
        <f>ROUND((((ET521)-(EU521))+AE521),6)</f>
        <v>0</v>
      </c>
      <c r="AE521" s="3">
        <f t="shared" si="430"/>
        <v>0</v>
      </c>
      <c r="AF521" s="3">
        <f t="shared" si="430"/>
        <v>0</v>
      </c>
      <c r="AG521" s="3">
        <f t="shared" si="397"/>
        <v>0</v>
      </c>
      <c r="AH521" s="3">
        <f t="shared" si="431"/>
        <v>0</v>
      </c>
      <c r="AI521" s="3">
        <f t="shared" si="431"/>
        <v>0</v>
      </c>
      <c r="AJ521" s="3">
        <f t="shared" si="398"/>
        <v>0</v>
      </c>
      <c r="AK521" s="3">
        <v>146.88999999999999</v>
      </c>
      <c r="AL521" s="3">
        <v>146.88999999999999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97</v>
      </c>
      <c r="AU521" s="3">
        <v>51</v>
      </c>
      <c r="AV521" s="3">
        <v>1</v>
      </c>
      <c r="AW521" s="3">
        <v>1</v>
      </c>
      <c r="AZ521" s="3">
        <v>1</v>
      </c>
      <c r="BA521" s="3">
        <v>1</v>
      </c>
      <c r="BB521" s="3">
        <v>1</v>
      </c>
      <c r="BC521" s="3">
        <v>1.74</v>
      </c>
      <c r="BD521" s="3" t="s">
        <v>3</v>
      </c>
      <c r="BE521" s="3" t="s">
        <v>3</v>
      </c>
      <c r="BF521" s="3" t="s">
        <v>3</v>
      </c>
      <c r="BG521" s="3" t="s">
        <v>3</v>
      </c>
      <c r="BH521" s="3">
        <v>3</v>
      </c>
      <c r="BI521" s="3">
        <v>2</v>
      </c>
      <c r="BJ521" s="3" t="s">
        <v>415</v>
      </c>
      <c r="BM521" s="3">
        <v>67</v>
      </c>
      <c r="BN521" s="3">
        <v>0</v>
      </c>
      <c r="BO521" s="3" t="s">
        <v>412</v>
      </c>
      <c r="BP521" s="3">
        <v>1</v>
      </c>
      <c r="BQ521" s="3">
        <v>40</v>
      </c>
      <c r="BR521" s="3">
        <v>0</v>
      </c>
      <c r="BS521" s="3">
        <v>1</v>
      </c>
      <c r="BT521" s="3">
        <v>1</v>
      </c>
      <c r="BU521" s="3">
        <v>1</v>
      </c>
      <c r="BV521" s="3">
        <v>1</v>
      </c>
      <c r="BW521" s="3">
        <v>1</v>
      </c>
      <c r="BX521" s="3">
        <v>1</v>
      </c>
      <c r="BY521" s="3" t="s">
        <v>3</v>
      </c>
      <c r="BZ521" s="3">
        <v>97</v>
      </c>
      <c r="CA521" s="3">
        <v>51</v>
      </c>
      <c r="CB521" s="3" t="s">
        <v>3</v>
      </c>
      <c r="CE521" s="3">
        <v>1566</v>
      </c>
      <c r="CF521" s="3">
        <v>0</v>
      </c>
      <c r="CG521" s="3">
        <v>0</v>
      </c>
      <c r="CM521" s="3">
        <v>0</v>
      </c>
      <c r="CN521" s="3" t="s">
        <v>615</v>
      </c>
      <c r="CO521" s="3">
        <v>0</v>
      </c>
      <c r="CP521" s="3">
        <f t="shared" si="399"/>
        <v>2632562.58</v>
      </c>
      <c r="CQ521" s="3">
        <f t="shared" si="400"/>
        <v>255.59</v>
      </c>
      <c r="CR521" s="3">
        <f>(ROUND((ROUND(((ET521)*AV521*1),2)*BB521),2)+ROUND((ROUND(((AE521-(EU521))*AV521*1),2)*BS521),2))</f>
        <v>0</v>
      </c>
      <c r="CS521" s="3">
        <f>(ROUND((ROUND(((EU521)*AV521*1),2)*BS521),2)+ROUND((ROUND(((AE521-(EU521))*AV521*1),2)*BS521),2))</f>
        <v>0</v>
      </c>
      <c r="CT521" s="3">
        <f t="shared" si="401"/>
        <v>0</v>
      </c>
      <c r="CU521" s="3">
        <f t="shared" si="402"/>
        <v>0</v>
      </c>
      <c r="CV521" s="3">
        <f t="shared" si="403"/>
        <v>0</v>
      </c>
      <c r="CW521" s="3">
        <f t="shared" si="404"/>
        <v>0</v>
      </c>
      <c r="CX521" s="3">
        <f t="shared" si="405"/>
        <v>0</v>
      </c>
      <c r="CY521" s="3">
        <f>(ROUND((((S521+ROUND((ROUND(((EU521)*AV521*1),2)*BS521),2))*AT521)/100),2)+ROUND(((ROUND((ROUND(((AE521-(EU521))*AV521*1),2)*BS521),2)*AT521)/100),2))</f>
        <v>0</v>
      </c>
      <c r="CZ521" s="3">
        <f>(ROUND((((S521+ROUND((ROUND(((EU521)*AV521*1),2)*BS521),2))*AU521)/100),2)+ROUND(((ROUND((ROUND(((AE521-(EU521))*AV521*1),2)*BS521),2)*AU521)/100),2))</f>
        <v>0</v>
      </c>
      <c r="DC521" s="3" t="s">
        <v>3</v>
      </c>
      <c r="DD521" s="3" t="s">
        <v>3</v>
      </c>
      <c r="DE521" s="3" t="s">
        <v>3</v>
      </c>
      <c r="DF521" s="3" t="s">
        <v>3</v>
      </c>
      <c r="DG521" s="3" t="s">
        <v>3</v>
      </c>
      <c r="DH521" s="3" t="s">
        <v>3</v>
      </c>
      <c r="DI521" s="3" t="s">
        <v>3</v>
      </c>
      <c r="DJ521" s="3" t="s">
        <v>3</v>
      </c>
      <c r="DK521" s="3" t="s">
        <v>3</v>
      </c>
      <c r="DL521" s="3" t="s">
        <v>3</v>
      </c>
      <c r="DM521" s="3" t="s">
        <v>3</v>
      </c>
      <c r="DN521" s="3">
        <v>0</v>
      </c>
      <c r="DO521" s="3">
        <v>0</v>
      </c>
      <c r="DP521" s="3">
        <v>1</v>
      </c>
      <c r="DQ521" s="3">
        <v>1</v>
      </c>
      <c r="DU521" s="3">
        <v>1010</v>
      </c>
      <c r="DV521" s="3" t="s">
        <v>414</v>
      </c>
      <c r="DW521" s="3" t="s">
        <v>414</v>
      </c>
      <c r="DX521" s="3">
        <v>100</v>
      </c>
      <c r="DZ521" s="3" t="s">
        <v>3</v>
      </c>
      <c r="EA521" s="3" t="s">
        <v>3</v>
      </c>
      <c r="EB521" s="3" t="s">
        <v>3</v>
      </c>
      <c r="EC521" s="3" t="s">
        <v>3</v>
      </c>
      <c r="EE521" s="3">
        <v>57042957</v>
      </c>
      <c r="EF521" s="3">
        <v>40</v>
      </c>
      <c r="EG521" s="3" t="s">
        <v>30</v>
      </c>
      <c r="EH521" s="3">
        <v>0</v>
      </c>
      <c r="EI521" s="3" t="s">
        <v>3</v>
      </c>
      <c r="EJ521" s="3">
        <v>2</v>
      </c>
      <c r="EK521" s="3">
        <v>67</v>
      </c>
      <c r="EL521" s="3" t="s">
        <v>80</v>
      </c>
      <c r="EM521" s="3" t="s">
        <v>81</v>
      </c>
      <c r="EO521" s="3" t="s">
        <v>109</v>
      </c>
      <c r="EQ521" s="3">
        <v>1024</v>
      </c>
      <c r="ER521" s="3">
        <v>146.88999999999999</v>
      </c>
      <c r="ES521" s="3">
        <v>146.88999999999999</v>
      </c>
      <c r="ET521" s="3">
        <v>0</v>
      </c>
      <c r="EU521" s="3">
        <v>0</v>
      </c>
      <c r="EV521" s="3">
        <v>0</v>
      </c>
      <c r="EW521" s="3">
        <v>0</v>
      </c>
      <c r="EX521" s="3">
        <v>0</v>
      </c>
      <c r="FQ521" s="3">
        <v>0</v>
      </c>
      <c r="FR521" s="3">
        <v>0</v>
      </c>
      <c r="FS521" s="3">
        <v>0</v>
      </c>
      <c r="FX521" s="3">
        <v>97</v>
      </c>
      <c r="FY521" s="3">
        <v>51</v>
      </c>
      <c r="GA521" s="3" t="s">
        <v>3</v>
      </c>
      <c r="GD521" s="3">
        <v>1</v>
      </c>
      <c r="GF521" s="3">
        <v>289520784</v>
      </c>
      <c r="GG521" s="3">
        <v>2</v>
      </c>
      <c r="GH521" s="3">
        <v>1</v>
      </c>
      <c r="GI521" s="3">
        <v>2</v>
      </c>
      <c r="GJ521" s="3">
        <v>0</v>
      </c>
      <c r="GK521" s="3">
        <v>0</v>
      </c>
      <c r="GL521" s="3">
        <f t="shared" si="406"/>
        <v>0</v>
      </c>
      <c r="GM521" s="3">
        <f t="shared" si="407"/>
        <v>2632562.58</v>
      </c>
      <c r="GN521" s="3">
        <f t="shared" si="408"/>
        <v>0</v>
      </c>
      <c r="GO521" s="3">
        <f t="shared" si="409"/>
        <v>2632562.58</v>
      </c>
      <c r="GP521" s="3">
        <f t="shared" si="410"/>
        <v>0</v>
      </c>
      <c r="GR521" s="3">
        <v>0</v>
      </c>
      <c r="GS521" s="3">
        <v>3</v>
      </c>
      <c r="GT521" s="3">
        <v>0</v>
      </c>
      <c r="GU521" s="3" t="s">
        <v>3</v>
      </c>
      <c r="GV521" s="3">
        <f t="shared" si="411"/>
        <v>0</v>
      </c>
      <c r="GW521" s="3">
        <v>1</v>
      </c>
      <c r="GX521" s="3">
        <f t="shared" si="412"/>
        <v>0</v>
      </c>
      <c r="HA521" s="3">
        <v>0</v>
      </c>
      <c r="HB521" s="3">
        <v>0</v>
      </c>
      <c r="HC521" s="3">
        <f t="shared" si="413"/>
        <v>0</v>
      </c>
      <c r="HE521" s="3" t="s">
        <v>3</v>
      </c>
      <c r="HF521" s="3" t="s">
        <v>3</v>
      </c>
      <c r="HM521" s="3" t="s">
        <v>104</v>
      </c>
      <c r="HN521" s="3" t="s">
        <v>3</v>
      </c>
      <c r="HO521" s="3" t="s">
        <v>3</v>
      </c>
      <c r="HP521" s="3" t="s">
        <v>3</v>
      </c>
      <c r="HQ521" s="3" t="s">
        <v>3</v>
      </c>
      <c r="HS521" s="3">
        <v>0</v>
      </c>
      <c r="IK521" s="3">
        <v>0</v>
      </c>
    </row>
    <row r="522" spans="1:255" x14ac:dyDescent="0.25">
      <c r="A522" s="2">
        <v>17</v>
      </c>
      <c r="B522" s="2">
        <v>1</v>
      </c>
      <c r="C522" s="2">
        <f>ROW(SmtRes!A317)</f>
        <v>317</v>
      </c>
      <c r="D522" s="2">
        <f>ROW(EtalonRes!A328)</f>
        <v>328</v>
      </c>
      <c r="E522" s="2" t="s">
        <v>3</v>
      </c>
      <c r="F522" s="2" t="s">
        <v>416</v>
      </c>
      <c r="G522" s="2" t="s">
        <v>417</v>
      </c>
      <c r="H522" s="2" t="s">
        <v>99</v>
      </c>
      <c r="I522" s="2">
        <f>ROUND((4750+100)/100,9)</f>
        <v>48.5</v>
      </c>
      <c r="J522" s="2">
        <v>0</v>
      </c>
      <c r="K522" s="2">
        <f>ROUND((4750+100)/100,9)</f>
        <v>48.5</v>
      </c>
      <c r="L522" s="2"/>
      <c r="M522" s="2"/>
      <c r="N522" s="2"/>
      <c r="O522" s="2">
        <f t="shared" si="389"/>
        <v>6345.39</v>
      </c>
      <c r="P522" s="2">
        <f t="shared" si="390"/>
        <v>2820.28</v>
      </c>
      <c r="Q522" s="2">
        <f>(ROUND((ROUND((((ET522*1.2))*AV522*I522),2)*BB522),2)+ROUND((ROUND(((AE522-((EU522*1.2)))*AV522*I522),2)*BS522),2))</f>
        <v>159.65</v>
      </c>
      <c r="R522" s="2">
        <f>(ROUND((ROUND((((EU522*1.2))*AV522*I522),2)*BS522),2)+ROUND((ROUND(((AE522-((EU522*1.2)))*AV522*I522),2)*BS522),2))</f>
        <v>18.28</v>
      </c>
      <c r="S522" s="2">
        <f t="shared" si="391"/>
        <v>3365.46</v>
      </c>
      <c r="T522" s="2">
        <f t="shared" si="392"/>
        <v>0</v>
      </c>
      <c r="U522" s="2">
        <f t="shared" si="393"/>
        <v>273.59994599999999</v>
      </c>
      <c r="V522" s="2">
        <f t="shared" si="394"/>
        <v>0</v>
      </c>
      <c r="W522" s="2">
        <f t="shared" si="395"/>
        <v>0</v>
      </c>
      <c r="X522" s="2">
        <f>(ROUND((((S522+ROUND((ROUND((((EU522*1.2))*AV522*I522),2)*BS522),2))*AT522)/100),2)+ROUND(((ROUND((ROUND(((AE522-((EU522*1.2)))*AV522*I522),2)*BS522),2)*AT522)/100),2))</f>
        <v>3282.23</v>
      </c>
      <c r="Y522" s="2">
        <f>(ROUND((((S522+ROUND((ROUND((((EU522*1.2))*AV522*I522),2)*BS522),2))*AU522)/100),2)+ROUND(((ROUND((ROUND(((AE522-((EU522*1.2)))*AV522*I522),2)*BS522),2)*AU522)/100),2))</f>
        <v>1725.71</v>
      </c>
      <c r="Z522" s="2"/>
      <c r="AA522" s="2">
        <v>-1</v>
      </c>
      <c r="AB522" s="2">
        <f t="shared" si="396"/>
        <v>127.57</v>
      </c>
      <c r="AC522" s="2">
        <f>ROUND(((ES522*1)),6)</f>
        <v>58.15</v>
      </c>
      <c r="AD522" s="2">
        <f>ROUND(((((ET522*1.2))-((EU522*1.2)))+AE522),6)</f>
        <v>3.1440000000000001</v>
      </c>
      <c r="AE522" s="2">
        <f>ROUND(((EU522*1.2)),6)</f>
        <v>0.36</v>
      </c>
      <c r="AF522" s="2">
        <f>ROUND(((EV522*1.2)),6)</f>
        <v>66.275999999999996</v>
      </c>
      <c r="AG522" s="2">
        <f t="shared" si="397"/>
        <v>0</v>
      </c>
      <c r="AH522" s="2">
        <f>((EW522*1.2))</f>
        <v>5.3879999999999999</v>
      </c>
      <c r="AI522" s="2">
        <f>((EX522*1.2))</f>
        <v>0</v>
      </c>
      <c r="AJ522" s="2">
        <f t="shared" si="398"/>
        <v>0</v>
      </c>
      <c r="AK522" s="2">
        <v>116</v>
      </c>
      <c r="AL522" s="2">
        <v>58.15</v>
      </c>
      <c r="AM522" s="2">
        <v>2.62</v>
      </c>
      <c r="AN522" s="2">
        <v>0.3</v>
      </c>
      <c r="AO522" s="2">
        <v>55.23</v>
      </c>
      <c r="AP522" s="2">
        <v>0</v>
      </c>
      <c r="AQ522" s="2">
        <v>4.49</v>
      </c>
      <c r="AR522" s="2">
        <v>0</v>
      </c>
      <c r="AS522" s="2">
        <v>0</v>
      </c>
      <c r="AT522" s="2">
        <v>97</v>
      </c>
      <c r="AU522" s="2">
        <v>51</v>
      </c>
      <c r="AV522" s="2">
        <v>1.0469999999999999</v>
      </c>
      <c r="AW522" s="2">
        <v>1</v>
      </c>
      <c r="AX522" s="2"/>
      <c r="AY522" s="2"/>
      <c r="AZ522" s="2">
        <v>1</v>
      </c>
      <c r="BA522" s="2">
        <v>1</v>
      </c>
      <c r="BB522" s="2">
        <v>1</v>
      </c>
      <c r="BC522" s="2">
        <v>1</v>
      </c>
      <c r="BD522" s="2" t="s">
        <v>3</v>
      </c>
      <c r="BE522" s="2" t="s">
        <v>3</v>
      </c>
      <c r="BF522" s="2" t="s">
        <v>3</v>
      </c>
      <c r="BG522" s="2" t="s">
        <v>3</v>
      </c>
      <c r="BH522" s="2">
        <v>0</v>
      </c>
      <c r="BI522" s="2">
        <v>2</v>
      </c>
      <c r="BJ522" s="2" t="s">
        <v>418</v>
      </c>
      <c r="BK522" s="2"/>
      <c r="BL522" s="2"/>
      <c r="BM522" s="2">
        <v>67</v>
      </c>
      <c r="BN522" s="2">
        <v>0</v>
      </c>
      <c r="BO522" s="2" t="s">
        <v>416</v>
      </c>
      <c r="BP522" s="2">
        <v>1</v>
      </c>
      <c r="BQ522" s="2">
        <v>40</v>
      </c>
      <c r="BR522" s="2">
        <v>0</v>
      </c>
      <c r="BS522" s="2">
        <v>1</v>
      </c>
      <c r="BT522" s="2">
        <v>1</v>
      </c>
      <c r="BU522" s="2">
        <v>1</v>
      </c>
      <c r="BV522" s="2">
        <v>1</v>
      </c>
      <c r="BW522" s="2">
        <v>1</v>
      </c>
      <c r="BX522" s="2">
        <v>1</v>
      </c>
      <c r="BY522" s="2" t="s">
        <v>3</v>
      </c>
      <c r="BZ522" s="2">
        <v>97</v>
      </c>
      <c r="CA522" s="2">
        <v>51</v>
      </c>
      <c r="CB522" s="2" t="s">
        <v>3</v>
      </c>
      <c r="CC522" s="2"/>
      <c r="CD522" s="2"/>
      <c r="CE522" s="2">
        <v>1566</v>
      </c>
      <c r="CF522" s="2">
        <v>0</v>
      </c>
      <c r="CG522" s="2">
        <v>0</v>
      </c>
      <c r="CH522" s="2"/>
      <c r="CI522" s="2"/>
      <c r="CJ522" s="2"/>
      <c r="CK522" s="2"/>
      <c r="CL522" s="2"/>
      <c r="CM522" s="2">
        <v>0</v>
      </c>
      <c r="CN522" s="2" t="s">
        <v>614</v>
      </c>
      <c r="CO522" s="2">
        <v>0</v>
      </c>
      <c r="CP522" s="2">
        <f t="shared" si="399"/>
        <v>6345.39</v>
      </c>
      <c r="CQ522" s="2">
        <f t="shared" si="400"/>
        <v>58.15</v>
      </c>
      <c r="CR522" s="2">
        <f>(ROUND((ROUND((((ET522*1.2))*AV522*1),2)*BB522),2)+ROUND((ROUND(((AE522-((EU522*1.2)))*AV522*1),2)*BS522),2))</f>
        <v>3.29</v>
      </c>
      <c r="CS522" s="2">
        <f>(ROUND((ROUND((((EU522*1.2))*AV522*1),2)*BS522),2)+ROUND((ROUND(((AE522-((EU522*1.2)))*AV522*1),2)*BS522),2))</f>
        <v>0.38</v>
      </c>
      <c r="CT522" s="2">
        <f t="shared" si="401"/>
        <v>69.39</v>
      </c>
      <c r="CU522" s="2">
        <f t="shared" si="402"/>
        <v>0</v>
      </c>
      <c r="CV522" s="2">
        <f t="shared" si="403"/>
        <v>5.6412359999999993</v>
      </c>
      <c r="CW522" s="2">
        <f t="shared" si="404"/>
        <v>0</v>
      </c>
      <c r="CX522" s="2">
        <f t="shared" si="405"/>
        <v>0</v>
      </c>
      <c r="CY522" s="2">
        <f>(ROUND((((S522+ROUND((ROUND((((EU522*1.2))*AV522*1),2)*BS522),2))*AT522)/100),2)+ROUND(((ROUND((ROUND(((AE522-((EU522*1.2)))*AV522*1),2)*BS522),2)*AT522)/100),2))</f>
        <v>3264.86</v>
      </c>
      <c r="CZ522" s="2">
        <f>(ROUND((((S522+ROUND((ROUND((((EU522*1.2))*AV522*1),2)*BS522),2))*AU522)/100),2)+ROUND(((ROUND((ROUND(((AE522-((EU522*1.2)))*AV522*1),2)*BS522),2)*AU522)/100),2))</f>
        <v>1716.58</v>
      </c>
      <c r="DA522" s="2"/>
      <c r="DB522" s="2">
        <v>137</v>
      </c>
      <c r="DC522" s="2" t="s">
        <v>3</v>
      </c>
      <c r="DD522" s="2" t="s">
        <v>104</v>
      </c>
      <c r="DE522" s="2" t="s">
        <v>105</v>
      </c>
      <c r="DF522" s="2" t="s">
        <v>105</v>
      </c>
      <c r="DG522" s="2" t="s">
        <v>105</v>
      </c>
      <c r="DH522" s="2" t="s">
        <v>3</v>
      </c>
      <c r="DI522" s="2" t="s">
        <v>105</v>
      </c>
      <c r="DJ522" s="2" t="s">
        <v>105</v>
      </c>
      <c r="DK522" s="2" t="s">
        <v>3</v>
      </c>
      <c r="DL522" s="2" t="s">
        <v>3</v>
      </c>
      <c r="DM522" s="2" t="s">
        <v>3</v>
      </c>
      <c r="DN522" s="2">
        <v>0</v>
      </c>
      <c r="DO522" s="2">
        <v>0</v>
      </c>
      <c r="DP522" s="2">
        <v>1</v>
      </c>
      <c r="DQ522" s="2">
        <v>1</v>
      </c>
      <c r="DR522" s="2"/>
      <c r="DS522" s="2"/>
      <c r="DT522" s="2"/>
      <c r="DU522" s="2">
        <v>1003</v>
      </c>
      <c r="DV522" s="2" t="s">
        <v>99</v>
      </c>
      <c r="DW522" s="2" t="s">
        <v>99</v>
      </c>
      <c r="DX522" s="2">
        <v>100</v>
      </c>
      <c r="DY522" s="2"/>
      <c r="DZ522" s="2" t="s">
        <v>3</v>
      </c>
      <c r="EA522" s="2" t="s">
        <v>3</v>
      </c>
      <c r="EB522" s="2" t="s">
        <v>3</v>
      </c>
      <c r="EC522" s="2" t="s">
        <v>3</v>
      </c>
      <c r="ED522" s="2"/>
      <c r="EE522" s="2">
        <v>57042957</v>
      </c>
      <c r="EF522" s="2">
        <v>40</v>
      </c>
      <c r="EG522" s="2" t="s">
        <v>30</v>
      </c>
      <c r="EH522" s="2">
        <v>0</v>
      </c>
      <c r="EI522" s="2" t="s">
        <v>3</v>
      </c>
      <c r="EJ522" s="2">
        <v>2</v>
      </c>
      <c r="EK522" s="2">
        <v>67</v>
      </c>
      <c r="EL522" s="2" t="s">
        <v>80</v>
      </c>
      <c r="EM522" s="2" t="s">
        <v>81</v>
      </c>
      <c r="EN522" s="2"/>
      <c r="EO522" s="2" t="s">
        <v>109</v>
      </c>
      <c r="EP522" s="2"/>
      <c r="EQ522" s="2">
        <v>132096</v>
      </c>
      <c r="ER522" s="2">
        <v>116</v>
      </c>
      <c r="ES522" s="2">
        <v>58.15</v>
      </c>
      <c r="ET522" s="2">
        <v>2.62</v>
      </c>
      <c r="EU522" s="2">
        <v>0.3</v>
      </c>
      <c r="EV522" s="2">
        <v>55.23</v>
      </c>
      <c r="EW522" s="2">
        <v>4.49</v>
      </c>
      <c r="EX522" s="2">
        <v>0</v>
      </c>
      <c r="EY522" s="2">
        <v>0</v>
      </c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>
        <v>0</v>
      </c>
      <c r="FR522" s="2">
        <v>0</v>
      </c>
      <c r="FS522" s="2">
        <v>0</v>
      </c>
      <c r="FT522" s="2"/>
      <c r="FU522" s="2"/>
      <c r="FV522" s="2"/>
      <c r="FW522" s="2"/>
      <c r="FX522" s="2">
        <v>97</v>
      </c>
      <c r="FY522" s="2">
        <v>51</v>
      </c>
      <c r="FZ522" s="2"/>
      <c r="GA522" s="2" t="s">
        <v>3</v>
      </c>
      <c r="GB522" s="2"/>
      <c r="GC522" s="2"/>
      <c r="GD522" s="2">
        <v>1</v>
      </c>
      <c r="GE522" s="2"/>
      <c r="GF522" s="2">
        <v>-93787614</v>
      </c>
      <c r="GG522" s="2">
        <v>2</v>
      </c>
      <c r="GH522" s="2">
        <v>1</v>
      </c>
      <c r="GI522" s="2">
        <v>2</v>
      </c>
      <c r="GJ522" s="2">
        <v>0</v>
      </c>
      <c r="GK522" s="2">
        <v>0</v>
      </c>
      <c r="GL522" s="2">
        <f t="shared" si="406"/>
        <v>0</v>
      </c>
      <c r="GM522" s="2">
        <f t="shared" si="407"/>
        <v>11353.33</v>
      </c>
      <c r="GN522" s="2">
        <f t="shared" si="408"/>
        <v>0</v>
      </c>
      <c r="GO522" s="2">
        <f t="shared" si="409"/>
        <v>11353.33</v>
      </c>
      <c r="GP522" s="2">
        <f t="shared" si="410"/>
        <v>0</v>
      </c>
      <c r="GQ522" s="2"/>
      <c r="GR522" s="2">
        <v>0</v>
      </c>
      <c r="GS522" s="2">
        <v>3</v>
      </c>
      <c r="GT522" s="2">
        <v>0</v>
      </c>
      <c r="GU522" s="2" t="s">
        <v>3</v>
      </c>
      <c r="GV522" s="2">
        <f t="shared" si="411"/>
        <v>0</v>
      </c>
      <c r="GW522" s="2">
        <v>1</v>
      </c>
      <c r="GX522" s="2">
        <f t="shared" si="412"/>
        <v>0</v>
      </c>
      <c r="GY522" s="2"/>
      <c r="GZ522" s="2"/>
      <c r="HA522" s="2">
        <v>0</v>
      </c>
      <c r="HB522" s="2">
        <v>0</v>
      </c>
      <c r="HC522" s="2">
        <f t="shared" si="413"/>
        <v>0</v>
      </c>
      <c r="HD522" s="2"/>
      <c r="HE522" s="2" t="s">
        <v>3</v>
      </c>
      <c r="HF522" s="2" t="s">
        <v>3</v>
      </c>
      <c r="HG522" s="2"/>
      <c r="HH522" s="2"/>
      <c r="HI522" s="2"/>
      <c r="HJ522" s="2"/>
      <c r="HK522" s="2"/>
      <c r="HL522" s="2"/>
      <c r="HM522" s="2" t="s">
        <v>3</v>
      </c>
      <c r="HN522" s="2" t="s">
        <v>3</v>
      </c>
      <c r="HO522" s="2" t="s">
        <v>3</v>
      </c>
      <c r="HP522" s="2" t="s">
        <v>3</v>
      </c>
      <c r="HQ522" s="2" t="s">
        <v>3</v>
      </c>
      <c r="HR522" s="2"/>
      <c r="HS522" s="2">
        <v>0</v>
      </c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>
        <v>0</v>
      </c>
      <c r="IL522" s="2"/>
      <c r="IM522" s="2"/>
      <c r="IN522" s="2"/>
      <c r="IO522" s="2"/>
      <c r="IP522" s="2"/>
      <c r="IQ522" s="2"/>
      <c r="IR522" s="2"/>
      <c r="IS522" s="2"/>
      <c r="IT522" s="2"/>
      <c r="IU522" s="2"/>
    </row>
    <row r="523" spans="1:255" x14ac:dyDescent="0.25">
      <c r="A523" s="3">
        <v>17</v>
      </c>
      <c r="B523" s="3">
        <v>1</v>
      </c>
      <c r="C523" s="3">
        <f>ROW(SmtRes!A328)</f>
        <v>328</v>
      </c>
      <c r="D523" s="3">
        <f>ROW(EtalonRes!A338)</f>
        <v>338</v>
      </c>
      <c r="E523" s="3" t="s">
        <v>3</v>
      </c>
      <c r="F523" s="3" t="s">
        <v>416</v>
      </c>
      <c r="G523" s="3" t="s">
        <v>417</v>
      </c>
      <c r="H523" s="3" t="s">
        <v>99</v>
      </c>
      <c r="I523" s="3">
        <f>ROUND((4750+100)/100,9)</f>
        <v>48.5</v>
      </c>
      <c r="J523" s="3">
        <v>0</v>
      </c>
      <c r="K523" s="3">
        <f>ROUND((4750+100)/100,9)</f>
        <v>48.5</v>
      </c>
      <c r="O523" s="3">
        <f t="shared" si="389"/>
        <v>202546.36</v>
      </c>
      <c r="P523" s="3">
        <f t="shared" si="390"/>
        <v>10463.24</v>
      </c>
      <c r="Q523" s="3">
        <f>(ROUND((ROUND((((ET523*1.2))*AV523*I523),2)*BB523),2)+ROUND((ROUND(((AE523-((EU523*1.2)))*AV523*I523),2)*BS523),2))</f>
        <v>2439.4499999999998</v>
      </c>
      <c r="R523" s="3">
        <f>(ROUND((ROUND((((EU523*1.2))*AV523*I523),2)*BS523),2)+ROUND((ROUND(((AE523-((EU523*1.2)))*AV523*I523),2)*BS523),2))</f>
        <v>1030.08</v>
      </c>
      <c r="S523" s="3">
        <f t="shared" si="391"/>
        <v>189643.67</v>
      </c>
      <c r="T523" s="3">
        <f t="shared" si="392"/>
        <v>0</v>
      </c>
      <c r="U523" s="3">
        <f t="shared" si="393"/>
        <v>273.59994599999999</v>
      </c>
      <c r="V523" s="3">
        <f t="shared" si="394"/>
        <v>0</v>
      </c>
      <c r="W523" s="3">
        <f t="shared" si="395"/>
        <v>0</v>
      </c>
      <c r="X523" s="3">
        <f>(ROUND((((S523+ROUND((ROUND((((EU523*1.2))*AV523*I523),2)*BS523),2))*AT523)/100),2)+ROUND(((ROUND((ROUND(((AE523-((EU523*1.2)))*AV523*I523),2)*BS523),2)*AT523)/100),2))</f>
        <v>184953.54</v>
      </c>
      <c r="Y523" s="3">
        <f>(ROUND((((S523+ROUND((ROUND((((EU523*1.2))*AV523*I523),2)*BS523),2))*AU523)/100),2)+ROUND(((ROUND((ROUND(((AE523-((EU523*1.2)))*AV523*I523),2)*BS523),2)*AU523)/100),2))</f>
        <v>97243.61</v>
      </c>
      <c r="AA523" s="3">
        <v>-1</v>
      </c>
      <c r="AB523" s="3">
        <f t="shared" si="396"/>
        <v>127.57</v>
      </c>
      <c r="AC523" s="3">
        <f>ROUND(((ES523*1)),6)</f>
        <v>58.15</v>
      </c>
      <c r="AD523" s="3">
        <f>ROUND(((((ET523*1.2))-((EU523*1.2)))+AE523),6)</f>
        <v>3.1440000000000001</v>
      </c>
      <c r="AE523" s="3">
        <f>ROUND(((EU523*1.2)),6)</f>
        <v>0.36</v>
      </c>
      <c r="AF523" s="3">
        <f>ROUND(((EV523*1.2)),6)</f>
        <v>66.275999999999996</v>
      </c>
      <c r="AG523" s="3">
        <f t="shared" si="397"/>
        <v>0</v>
      </c>
      <c r="AH523" s="3">
        <f>((EW523*1.2))</f>
        <v>5.3879999999999999</v>
      </c>
      <c r="AI523" s="3">
        <f>((EX523*1.2))</f>
        <v>0</v>
      </c>
      <c r="AJ523" s="3">
        <f t="shared" si="398"/>
        <v>0</v>
      </c>
      <c r="AK523" s="3">
        <v>116</v>
      </c>
      <c r="AL523" s="3">
        <v>58.15</v>
      </c>
      <c r="AM523" s="3">
        <v>2.62</v>
      </c>
      <c r="AN523" s="3">
        <v>0.3</v>
      </c>
      <c r="AO523" s="3">
        <v>55.23</v>
      </c>
      <c r="AP523" s="3">
        <v>0</v>
      </c>
      <c r="AQ523" s="3">
        <v>4.49</v>
      </c>
      <c r="AR523" s="3">
        <v>0</v>
      </c>
      <c r="AS523" s="3">
        <v>0</v>
      </c>
      <c r="AT523" s="3">
        <v>97</v>
      </c>
      <c r="AU523" s="3">
        <v>51</v>
      </c>
      <c r="AV523" s="3">
        <v>1.0469999999999999</v>
      </c>
      <c r="AW523" s="3">
        <v>1</v>
      </c>
      <c r="AZ523" s="3">
        <v>1</v>
      </c>
      <c r="BA523" s="3">
        <v>56.35</v>
      </c>
      <c r="BB523" s="3">
        <v>15.28</v>
      </c>
      <c r="BC523" s="3">
        <v>3.71</v>
      </c>
      <c r="BD523" s="3" t="s">
        <v>3</v>
      </c>
      <c r="BE523" s="3" t="s">
        <v>3</v>
      </c>
      <c r="BF523" s="3" t="s">
        <v>3</v>
      </c>
      <c r="BG523" s="3" t="s">
        <v>3</v>
      </c>
      <c r="BH523" s="3">
        <v>0</v>
      </c>
      <c r="BI523" s="3">
        <v>2</v>
      </c>
      <c r="BJ523" s="3" t="s">
        <v>418</v>
      </c>
      <c r="BM523" s="3">
        <v>67</v>
      </c>
      <c r="BN523" s="3">
        <v>0</v>
      </c>
      <c r="BO523" s="3" t="s">
        <v>416</v>
      </c>
      <c r="BP523" s="3">
        <v>1</v>
      </c>
      <c r="BQ523" s="3">
        <v>40</v>
      </c>
      <c r="BR523" s="3">
        <v>0</v>
      </c>
      <c r="BS523" s="3">
        <v>56.35</v>
      </c>
      <c r="BT523" s="3">
        <v>1</v>
      </c>
      <c r="BU523" s="3">
        <v>1</v>
      </c>
      <c r="BV523" s="3">
        <v>1</v>
      </c>
      <c r="BW523" s="3">
        <v>1</v>
      </c>
      <c r="BX523" s="3">
        <v>1</v>
      </c>
      <c r="BY523" s="3" t="s">
        <v>3</v>
      </c>
      <c r="BZ523" s="3">
        <v>97</v>
      </c>
      <c r="CA523" s="3">
        <v>51</v>
      </c>
      <c r="CB523" s="3" t="s">
        <v>3</v>
      </c>
      <c r="CE523" s="3">
        <v>1566</v>
      </c>
      <c r="CF523" s="3">
        <v>0</v>
      </c>
      <c r="CG523" s="3">
        <v>0</v>
      </c>
      <c r="CM523" s="3">
        <v>0</v>
      </c>
      <c r="CN523" s="3" t="s">
        <v>614</v>
      </c>
      <c r="CO523" s="3">
        <v>0</v>
      </c>
      <c r="CP523" s="3">
        <f t="shared" si="399"/>
        <v>202546.36000000002</v>
      </c>
      <c r="CQ523" s="3">
        <f t="shared" si="400"/>
        <v>215.74</v>
      </c>
      <c r="CR523" s="3">
        <f>(ROUND((ROUND((((ET523*1.2))*AV523*1),2)*BB523),2)+ROUND((ROUND(((AE523-((EU523*1.2)))*AV523*1),2)*BS523),2))</f>
        <v>50.27</v>
      </c>
      <c r="CS523" s="3">
        <f>(ROUND((ROUND((((EU523*1.2))*AV523*1),2)*BS523),2)+ROUND((ROUND(((AE523-((EU523*1.2)))*AV523*1),2)*BS523),2))</f>
        <v>21.41</v>
      </c>
      <c r="CT523" s="3">
        <f t="shared" si="401"/>
        <v>3910.13</v>
      </c>
      <c r="CU523" s="3">
        <f t="shared" si="402"/>
        <v>0</v>
      </c>
      <c r="CV523" s="3">
        <f t="shared" si="403"/>
        <v>5.6412359999999993</v>
      </c>
      <c r="CW523" s="3">
        <f t="shared" si="404"/>
        <v>0</v>
      </c>
      <c r="CX523" s="3">
        <f t="shared" si="405"/>
        <v>0</v>
      </c>
      <c r="CY523" s="3">
        <f>(ROUND((((S523+ROUND((ROUND((((EU523*1.2))*AV523*1),2)*BS523),2))*AT523)/100),2)+ROUND(((ROUND((ROUND(((AE523-((EU523*1.2)))*AV523*1),2)*BS523),2)*AT523)/100),2))</f>
        <v>183975.13</v>
      </c>
      <c r="CZ523" s="3">
        <f>(ROUND((((S523+ROUND((ROUND((((EU523*1.2))*AV523*1),2)*BS523),2))*AU523)/100),2)+ROUND(((ROUND((ROUND(((AE523-((EU523*1.2)))*AV523*1),2)*BS523),2)*AU523)/100),2))</f>
        <v>96729.19</v>
      </c>
      <c r="DB523" s="3">
        <v>138</v>
      </c>
      <c r="DC523" s="3" t="s">
        <v>3</v>
      </c>
      <c r="DD523" s="3" t="s">
        <v>104</v>
      </c>
      <c r="DE523" s="3" t="s">
        <v>105</v>
      </c>
      <c r="DF523" s="3" t="s">
        <v>105</v>
      </c>
      <c r="DG523" s="3" t="s">
        <v>105</v>
      </c>
      <c r="DH523" s="3" t="s">
        <v>3</v>
      </c>
      <c r="DI523" s="3" t="s">
        <v>105</v>
      </c>
      <c r="DJ523" s="3" t="s">
        <v>105</v>
      </c>
      <c r="DK523" s="3" t="s">
        <v>3</v>
      </c>
      <c r="DL523" s="3" t="s">
        <v>3</v>
      </c>
      <c r="DM523" s="3" t="s">
        <v>3</v>
      </c>
      <c r="DN523" s="3">
        <v>0</v>
      </c>
      <c r="DO523" s="3">
        <v>0</v>
      </c>
      <c r="DP523" s="3">
        <v>1</v>
      </c>
      <c r="DQ523" s="3">
        <v>1</v>
      </c>
      <c r="DU523" s="3">
        <v>1003</v>
      </c>
      <c r="DV523" s="3" t="s">
        <v>99</v>
      </c>
      <c r="DW523" s="3" t="s">
        <v>99</v>
      </c>
      <c r="DX523" s="3">
        <v>100</v>
      </c>
      <c r="DZ523" s="3" t="s">
        <v>3</v>
      </c>
      <c r="EA523" s="3" t="s">
        <v>3</v>
      </c>
      <c r="EB523" s="3" t="s">
        <v>3</v>
      </c>
      <c r="EC523" s="3" t="s">
        <v>3</v>
      </c>
      <c r="EE523" s="3">
        <v>57042957</v>
      </c>
      <c r="EF523" s="3">
        <v>40</v>
      </c>
      <c r="EG523" s="3" t="s">
        <v>30</v>
      </c>
      <c r="EH523" s="3">
        <v>0</v>
      </c>
      <c r="EI523" s="3" t="s">
        <v>3</v>
      </c>
      <c r="EJ523" s="3">
        <v>2</v>
      </c>
      <c r="EK523" s="3">
        <v>67</v>
      </c>
      <c r="EL523" s="3" t="s">
        <v>80</v>
      </c>
      <c r="EM523" s="3" t="s">
        <v>81</v>
      </c>
      <c r="EO523" s="3" t="s">
        <v>109</v>
      </c>
      <c r="EQ523" s="3">
        <v>132096</v>
      </c>
      <c r="ER523" s="3">
        <v>116</v>
      </c>
      <c r="ES523" s="3">
        <v>58.15</v>
      </c>
      <c r="ET523" s="3">
        <v>2.62</v>
      </c>
      <c r="EU523" s="3">
        <v>0.3</v>
      </c>
      <c r="EV523" s="3">
        <v>55.23</v>
      </c>
      <c r="EW523" s="3">
        <v>4.49</v>
      </c>
      <c r="EX523" s="3">
        <v>0</v>
      </c>
      <c r="EY523" s="3">
        <v>0</v>
      </c>
      <c r="FQ523" s="3">
        <v>0</v>
      </c>
      <c r="FR523" s="3">
        <v>0</v>
      </c>
      <c r="FS523" s="3">
        <v>0</v>
      </c>
      <c r="FX523" s="3">
        <v>97</v>
      </c>
      <c r="FY523" s="3">
        <v>51</v>
      </c>
      <c r="GA523" s="3" t="s">
        <v>3</v>
      </c>
      <c r="GD523" s="3">
        <v>1</v>
      </c>
      <c r="GF523" s="3">
        <v>-93787614</v>
      </c>
      <c r="GG523" s="3">
        <v>2</v>
      </c>
      <c r="GH523" s="3">
        <v>1</v>
      </c>
      <c r="GI523" s="3">
        <v>2</v>
      </c>
      <c r="GJ523" s="3">
        <v>0</v>
      </c>
      <c r="GK523" s="3">
        <v>0</v>
      </c>
      <c r="GL523" s="3">
        <f t="shared" si="406"/>
        <v>0</v>
      </c>
      <c r="GM523" s="3">
        <f t="shared" si="407"/>
        <v>484743.51</v>
      </c>
      <c r="GN523" s="3">
        <f t="shared" si="408"/>
        <v>0</v>
      </c>
      <c r="GO523" s="3">
        <f t="shared" si="409"/>
        <v>484743.51</v>
      </c>
      <c r="GP523" s="3">
        <f t="shared" si="410"/>
        <v>0</v>
      </c>
      <c r="GR523" s="3">
        <v>0</v>
      </c>
      <c r="GS523" s="3">
        <v>3</v>
      </c>
      <c r="GT523" s="3">
        <v>0</v>
      </c>
      <c r="GU523" s="3" t="s">
        <v>3</v>
      </c>
      <c r="GV523" s="3">
        <f t="shared" si="411"/>
        <v>0</v>
      </c>
      <c r="GW523" s="3">
        <v>1</v>
      </c>
      <c r="GX523" s="3">
        <f t="shared" si="412"/>
        <v>0</v>
      </c>
      <c r="HA523" s="3">
        <v>0</v>
      </c>
      <c r="HB523" s="3">
        <v>0</v>
      </c>
      <c r="HC523" s="3">
        <f t="shared" si="413"/>
        <v>0</v>
      </c>
      <c r="HE523" s="3" t="s">
        <v>3</v>
      </c>
      <c r="HF523" s="3" t="s">
        <v>3</v>
      </c>
      <c r="HM523" s="3" t="s">
        <v>3</v>
      </c>
      <c r="HN523" s="3" t="s">
        <v>3</v>
      </c>
      <c r="HO523" s="3" t="s">
        <v>3</v>
      </c>
      <c r="HP523" s="3" t="s">
        <v>3</v>
      </c>
      <c r="HQ523" s="3" t="s">
        <v>3</v>
      </c>
      <c r="HS523" s="3">
        <v>0</v>
      </c>
      <c r="IK523" s="3">
        <v>0</v>
      </c>
    </row>
    <row r="524" spans="1:255" x14ac:dyDescent="0.25">
      <c r="A524" s="2">
        <v>18</v>
      </c>
      <c r="B524" s="2">
        <v>1</v>
      </c>
      <c r="C524" s="2">
        <v>316</v>
      </c>
      <c r="D524" s="2"/>
      <c r="E524" s="2" t="s">
        <v>3</v>
      </c>
      <c r="F524" s="2" t="s">
        <v>388</v>
      </c>
      <c r="G524" s="2" t="s">
        <v>389</v>
      </c>
      <c r="H524" s="2" t="s">
        <v>390</v>
      </c>
      <c r="I524" s="2">
        <f>I522*J524</f>
        <v>4892.5</v>
      </c>
      <c r="J524" s="2">
        <v>100.87628865979381</v>
      </c>
      <c r="K524" s="2">
        <v>100.87628866</v>
      </c>
      <c r="L524" s="2"/>
      <c r="M524" s="2"/>
      <c r="N524" s="2"/>
      <c r="O524" s="2">
        <f t="shared" si="389"/>
        <v>46919.08</v>
      </c>
      <c r="P524" s="2">
        <f t="shared" si="390"/>
        <v>46919.08</v>
      </c>
      <c r="Q524" s="2">
        <f>(ROUND((ROUND(((ET524)*AV524*I524),2)*BB524),2)+ROUND((ROUND(((AE524-(EU524))*AV524*I524),2)*BS524),2))</f>
        <v>0</v>
      </c>
      <c r="R524" s="2">
        <f>(ROUND((ROUND(((EU524)*AV524*I524),2)*BS524),2)+ROUND((ROUND(((AE524-(EU524))*AV524*I524),2)*BS524),2))</f>
        <v>0</v>
      </c>
      <c r="S524" s="2">
        <f t="shared" si="391"/>
        <v>0</v>
      </c>
      <c r="T524" s="2">
        <f t="shared" si="392"/>
        <v>0</v>
      </c>
      <c r="U524" s="2">
        <f t="shared" si="393"/>
        <v>0</v>
      </c>
      <c r="V524" s="2">
        <f t="shared" si="394"/>
        <v>0</v>
      </c>
      <c r="W524" s="2">
        <f t="shared" si="395"/>
        <v>0</v>
      </c>
      <c r="X524" s="2">
        <f>(ROUND((((S524+ROUND((ROUND(((EU524)*AV524*I524),2)*BS524),2))*AT524)/100),2)+ROUND(((ROUND((ROUND(((AE524-(EU524))*AV524*I524),2)*BS524),2)*AT524)/100),2))</f>
        <v>0</v>
      </c>
      <c r="Y524" s="2">
        <f>(ROUND((((S524+ROUND((ROUND(((EU524)*AV524*I524),2)*BS524),2))*AU524)/100),2)+ROUND(((ROUND((ROUND(((AE524-(EU524))*AV524*I524),2)*BS524),2)*AU524)/100),2))</f>
        <v>0</v>
      </c>
      <c r="Z524" s="2"/>
      <c r="AA524" s="2">
        <v>-1</v>
      </c>
      <c r="AB524" s="2">
        <f t="shared" si="396"/>
        <v>9.59</v>
      </c>
      <c r="AC524" s="2">
        <f>ROUND((ES524),6)</f>
        <v>9.59</v>
      </c>
      <c r="AD524" s="2">
        <f>ROUND((((ET524)-(EU524))+AE524),6)</f>
        <v>0</v>
      </c>
      <c r="AE524" s="2">
        <f t="shared" ref="AE524:AF527" si="432">ROUND((EU524),6)</f>
        <v>0</v>
      </c>
      <c r="AF524" s="2">
        <f t="shared" si="432"/>
        <v>0</v>
      </c>
      <c r="AG524" s="2">
        <f t="shared" si="397"/>
        <v>0</v>
      </c>
      <c r="AH524" s="2">
        <f t="shared" ref="AH524:AI527" si="433">(EW524)</f>
        <v>0</v>
      </c>
      <c r="AI524" s="2">
        <f t="shared" si="433"/>
        <v>0</v>
      </c>
      <c r="AJ524" s="2">
        <f t="shared" si="398"/>
        <v>0</v>
      </c>
      <c r="AK524" s="2">
        <v>9.59</v>
      </c>
      <c r="AL524" s="2">
        <v>9.59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97</v>
      </c>
      <c r="AU524" s="2">
        <v>51</v>
      </c>
      <c r="AV524" s="2">
        <v>1</v>
      </c>
      <c r="AW524" s="2">
        <v>1</v>
      </c>
      <c r="AX524" s="2"/>
      <c r="AY524" s="2"/>
      <c r="AZ524" s="2">
        <v>1</v>
      </c>
      <c r="BA524" s="2">
        <v>1</v>
      </c>
      <c r="BB524" s="2">
        <v>1</v>
      </c>
      <c r="BC524" s="2">
        <v>1</v>
      </c>
      <c r="BD524" s="2" t="s">
        <v>3</v>
      </c>
      <c r="BE524" s="2" t="s">
        <v>3</v>
      </c>
      <c r="BF524" s="2" t="s">
        <v>3</v>
      </c>
      <c r="BG524" s="2" t="s">
        <v>3</v>
      </c>
      <c r="BH524" s="2">
        <v>3</v>
      </c>
      <c r="BI524" s="2">
        <v>2</v>
      </c>
      <c r="BJ524" s="2" t="s">
        <v>3</v>
      </c>
      <c r="BK524" s="2"/>
      <c r="BL524" s="2"/>
      <c r="BM524" s="2">
        <v>67</v>
      </c>
      <c r="BN524" s="2">
        <v>0</v>
      </c>
      <c r="BO524" s="2" t="s">
        <v>3</v>
      </c>
      <c r="BP524" s="2">
        <v>0</v>
      </c>
      <c r="BQ524" s="2">
        <v>40</v>
      </c>
      <c r="BR524" s="2">
        <v>0</v>
      </c>
      <c r="BS524" s="2">
        <v>1</v>
      </c>
      <c r="BT524" s="2">
        <v>1</v>
      </c>
      <c r="BU524" s="2">
        <v>1</v>
      </c>
      <c r="BV524" s="2">
        <v>1</v>
      </c>
      <c r="BW524" s="2">
        <v>1</v>
      </c>
      <c r="BX524" s="2">
        <v>1</v>
      </c>
      <c r="BY524" s="2" t="s">
        <v>3</v>
      </c>
      <c r="BZ524" s="2">
        <v>97</v>
      </c>
      <c r="CA524" s="2">
        <v>51</v>
      </c>
      <c r="CB524" s="2" t="s">
        <v>3</v>
      </c>
      <c r="CC524" s="2"/>
      <c r="CD524" s="2"/>
      <c r="CE524" s="2">
        <v>1566</v>
      </c>
      <c r="CF524" s="2">
        <v>0</v>
      </c>
      <c r="CG524" s="2">
        <v>0</v>
      </c>
      <c r="CH524" s="2"/>
      <c r="CI524" s="2"/>
      <c r="CJ524" s="2"/>
      <c r="CK524" s="2"/>
      <c r="CL524" s="2"/>
      <c r="CM524" s="2">
        <v>0</v>
      </c>
      <c r="CN524" s="2" t="s">
        <v>615</v>
      </c>
      <c r="CO524" s="2">
        <v>0</v>
      </c>
      <c r="CP524" s="2">
        <f t="shared" si="399"/>
        <v>46919.08</v>
      </c>
      <c r="CQ524" s="2">
        <f t="shared" si="400"/>
        <v>9.59</v>
      </c>
      <c r="CR524" s="2">
        <f>(ROUND((ROUND(((ET524)*AV524*1),2)*BB524),2)+ROUND((ROUND(((AE524-(EU524))*AV524*1),2)*BS524),2))</f>
        <v>0</v>
      </c>
      <c r="CS524" s="2">
        <f>(ROUND((ROUND(((EU524)*AV524*1),2)*BS524),2)+ROUND((ROUND(((AE524-(EU524))*AV524*1),2)*BS524),2))</f>
        <v>0</v>
      </c>
      <c r="CT524" s="2">
        <f t="shared" si="401"/>
        <v>0</v>
      </c>
      <c r="CU524" s="2">
        <f t="shared" si="402"/>
        <v>0</v>
      </c>
      <c r="CV524" s="2">
        <f t="shared" si="403"/>
        <v>0</v>
      </c>
      <c r="CW524" s="2">
        <f t="shared" si="404"/>
        <v>0</v>
      </c>
      <c r="CX524" s="2">
        <f t="shared" si="405"/>
        <v>0</v>
      </c>
      <c r="CY524" s="2">
        <f>(ROUND((((S524+ROUND((ROUND(((EU524)*AV524*1),2)*BS524),2))*AT524)/100),2)+ROUND(((ROUND((ROUND(((AE524-(EU524))*AV524*1),2)*BS524),2)*AT524)/100),2))</f>
        <v>0</v>
      </c>
      <c r="CZ524" s="2">
        <f>(ROUND((((S524+ROUND((ROUND(((EU524)*AV524*1),2)*BS524),2))*AU524)/100),2)+ROUND(((ROUND((ROUND(((AE524-(EU524))*AV524*1),2)*BS524),2)*AU524)/100),2))</f>
        <v>0</v>
      </c>
      <c r="DA524" s="2"/>
      <c r="DB524" s="2"/>
      <c r="DC524" s="2" t="s">
        <v>3</v>
      </c>
      <c r="DD524" s="2" t="s">
        <v>3</v>
      </c>
      <c r="DE524" s="2" t="s">
        <v>3</v>
      </c>
      <c r="DF524" s="2" t="s">
        <v>3</v>
      </c>
      <c r="DG524" s="2" t="s">
        <v>3</v>
      </c>
      <c r="DH524" s="2" t="s">
        <v>3</v>
      </c>
      <c r="DI524" s="2" t="s">
        <v>3</v>
      </c>
      <c r="DJ524" s="2" t="s">
        <v>3</v>
      </c>
      <c r="DK524" s="2" t="s">
        <v>3</v>
      </c>
      <c r="DL524" s="2" t="s">
        <v>3</v>
      </c>
      <c r="DM524" s="2" t="s">
        <v>3</v>
      </c>
      <c r="DN524" s="2">
        <v>0</v>
      </c>
      <c r="DO524" s="2">
        <v>0</v>
      </c>
      <c r="DP524" s="2">
        <v>1</v>
      </c>
      <c r="DQ524" s="2">
        <v>1</v>
      </c>
      <c r="DR524" s="2"/>
      <c r="DS524" s="2"/>
      <c r="DT524" s="2"/>
      <c r="DU524" s="2">
        <v>1013</v>
      </c>
      <c r="DV524" s="2" t="s">
        <v>390</v>
      </c>
      <c r="DW524" s="2" t="s">
        <v>390</v>
      </c>
      <c r="DX524" s="2">
        <v>1</v>
      </c>
      <c r="DY524" s="2"/>
      <c r="DZ524" s="2" t="s">
        <v>3</v>
      </c>
      <c r="EA524" s="2" t="s">
        <v>3</v>
      </c>
      <c r="EB524" s="2" t="s">
        <v>3</v>
      </c>
      <c r="EC524" s="2" t="s">
        <v>3</v>
      </c>
      <c r="ED524" s="2"/>
      <c r="EE524" s="2">
        <v>57042957</v>
      </c>
      <c r="EF524" s="2">
        <v>40</v>
      </c>
      <c r="EG524" s="2" t="s">
        <v>30</v>
      </c>
      <c r="EH524" s="2">
        <v>0</v>
      </c>
      <c r="EI524" s="2" t="s">
        <v>3</v>
      </c>
      <c r="EJ524" s="2">
        <v>2</v>
      </c>
      <c r="EK524" s="2">
        <v>67</v>
      </c>
      <c r="EL524" s="2" t="s">
        <v>80</v>
      </c>
      <c r="EM524" s="2" t="s">
        <v>81</v>
      </c>
      <c r="EN524" s="2"/>
      <c r="EO524" s="2" t="s">
        <v>109</v>
      </c>
      <c r="EP524" s="2"/>
      <c r="EQ524" s="2">
        <v>2098176</v>
      </c>
      <c r="ER524" s="2">
        <v>0</v>
      </c>
      <c r="ES524" s="2">
        <v>9.59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>
        <v>0</v>
      </c>
      <c r="FR524" s="2">
        <v>0</v>
      </c>
      <c r="FS524" s="2">
        <v>0</v>
      </c>
      <c r="FT524" s="2"/>
      <c r="FU524" s="2"/>
      <c r="FV524" s="2"/>
      <c r="FW524" s="2"/>
      <c r="FX524" s="2">
        <v>97</v>
      </c>
      <c r="FY524" s="2">
        <v>51</v>
      </c>
      <c r="FZ524" s="2"/>
      <c r="GA524" s="2" t="s">
        <v>391</v>
      </c>
      <c r="GB524" s="2"/>
      <c r="GC524" s="2"/>
      <c r="GD524" s="2">
        <v>1</v>
      </c>
      <c r="GE524" s="2"/>
      <c r="GF524" s="2">
        <v>-820338689</v>
      </c>
      <c r="GG524" s="2">
        <v>2</v>
      </c>
      <c r="GH524" s="2">
        <v>4</v>
      </c>
      <c r="GI524" s="2">
        <v>-2</v>
      </c>
      <c r="GJ524" s="2">
        <v>0</v>
      </c>
      <c r="GK524" s="2">
        <v>0</v>
      </c>
      <c r="GL524" s="2">
        <f t="shared" si="406"/>
        <v>0</v>
      </c>
      <c r="GM524" s="2">
        <f t="shared" si="407"/>
        <v>46919.08</v>
      </c>
      <c r="GN524" s="2">
        <f t="shared" si="408"/>
        <v>0</v>
      </c>
      <c r="GO524" s="2">
        <f t="shared" si="409"/>
        <v>46919.08</v>
      </c>
      <c r="GP524" s="2">
        <f t="shared" si="410"/>
        <v>0</v>
      </c>
      <c r="GQ524" s="2"/>
      <c r="GR524" s="2">
        <v>0</v>
      </c>
      <c r="GS524" s="2">
        <v>2</v>
      </c>
      <c r="GT524" s="2">
        <v>0</v>
      </c>
      <c r="GU524" s="2" t="s">
        <v>3</v>
      </c>
      <c r="GV524" s="2">
        <f t="shared" si="411"/>
        <v>0</v>
      </c>
      <c r="GW524" s="2">
        <v>1</v>
      </c>
      <c r="GX524" s="2">
        <f t="shared" si="412"/>
        <v>0</v>
      </c>
      <c r="GY524" s="2"/>
      <c r="GZ524" s="2"/>
      <c r="HA524" s="2">
        <v>0</v>
      </c>
      <c r="HB524" s="2">
        <v>0</v>
      </c>
      <c r="HC524" s="2">
        <f t="shared" si="413"/>
        <v>0</v>
      </c>
      <c r="HD524" s="2"/>
      <c r="HE524" s="2" t="s">
        <v>347</v>
      </c>
      <c r="HF524" s="2" t="s">
        <v>34</v>
      </c>
      <c r="HG524" s="2"/>
      <c r="HH524" s="2"/>
      <c r="HI524" s="2"/>
      <c r="HJ524" s="2"/>
      <c r="HK524" s="2"/>
      <c r="HL524" s="2"/>
      <c r="HM524" s="2" t="s">
        <v>104</v>
      </c>
      <c r="HN524" s="2" t="s">
        <v>3</v>
      </c>
      <c r="HO524" s="2" t="s">
        <v>3</v>
      </c>
      <c r="HP524" s="2" t="s">
        <v>3</v>
      </c>
      <c r="HQ524" s="2" t="s">
        <v>3</v>
      </c>
      <c r="HR524" s="2"/>
      <c r="HS524" s="2">
        <v>0</v>
      </c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>
        <v>0</v>
      </c>
      <c r="IL524" s="2"/>
      <c r="IM524" s="2"/>
      <c r="IN524" s="2"/>
      <c r="IO524" s="2"/>
      <c r="IP524" s="2"/>
      <c r="IQ524" s="2"/>
      <c r="IR524" s="2"/>
      <c r="IS524" s="2"/>
      <c r="IT524" s="2"/>
      <c r="IU524" s="2"/>
    </row>
    <row r="525" spans="1:255" x14ac:dyDescent="0.25">
      <c r="A525" s="3">
        <v>18</v>
      </c>
      <c r="B525" s="3">
        <v>1</v>
      </c>
      <c r="C525" s="3">
        <v>327</v>
      </c>
      <c r="E525" s="3" t="s">
        <v>3</v>
      </c>
      <c r="F525" s="3" t="s">
        <v>388</v>
      </c>
      <c r="G525" s="3" t="s">
        <v>389</v>
      </c>
      <c r="H525" s="3" t="s">
        <v>390</v>
      </c>
      <c r="I525" s="3">
        <f>I523*J525</f>
        <v>4892.5</v>
      </c>
      <c r="J525" s="3">
        <v>100.87628865979381</v>
      </c>
      <c r="K525" s="3">
        <v>100.87628866</v>
      </c>
      <c r="O525" s="3">
        <f t="shared" si="389"/>
        <v>461683.75</v>
      </c>
      <c r="P525" s="3">
        <f t="shared" si="390"/>
        <v>461683.75</v>
      </c>
      <c r="Q525" s="3">
        <f>(ROUND((ROUND(((ET525)*AV525*I525),2)*BB525),2)+ROUND((ROUND(((AE525-(EU525))*AV525*I525),2)*BS525),2))</f>
        <v>0</v>
      </c>
      <c r="R525" s="3">
        <f>(ROUND((ROUND(((EU525)*AV525*I525),2)*BS525),2)+ROUND((ROUND(((AE525-(EU525))*AV525*I525),2)*BS525),2))</f>
        <v>0</v>
      </c>
      <c r="S525" s="3">
        <f t="shared" si="391"/>
        <v>0</v>
      </c>
      <c r="T525" s="3">
        <f t="shared" si="392"/>
        <v>0</v>
      </c>
      <c r="U525" s="3">
        <f t="shared" si="393"/>
        <v>0</v>
      </c>
      <c r="V525" s="3">
        <f t="shared" si="394"/>
        <v>0</v>
      </c>
      <c r="W525" s="3">
        <f t="shared" si="395"/>
        <v>0</v>
      </c>
      <c r="X525" s="3">
        <f>(ROUND((((S525+ROUND((ROUND(((EU525)*AV525*I525),2)*BS525),2))*AT525)/100),2)+ROUND(((ROUND((ROUND(((AE525-(EU525))*AV525*I525),2)*BS525),2)*AT525)/100),2))</f>
        <v>0</v>
      </c>
      <c r="Y525" s="3">
        <f>(ROUND((((S525+ROUND((ROUND(((EU525)*AV525*I525),2)*BS525),2))*AU525)/100),2)+ROUND(((ROUND((ROUND(((AE525-(EU525))*AV525*I525),2)*BS525),2)*AU525)/100),2))</f>
        <v>0</v>
      </c>
      <c r="AA525" s="3">
        <v>-1</v>
      </c>
      <c r="AB525" s="3">
        <f t="shared" si="396"/>
        <v>9.59</v>
      </c>
      <c r="AC525" s="3">
        <f>ROUND((ES525),6)</f>
        <v>9.59</v>
      </c>
      <c r="AD525" s="3">
        <f>ROUND((((ET525)-(EU525))+AE525),6)</f>
        <v>0</v>
      </c>
      <c r="AE525" s="3">
        <f t="shared" si="432"/>
        <v>0</v>
      </c>
      <c r="AF525" s="3">
        <f t="shared" si="432"/>
        <v>0</v>
      </c>
      <c r="AG525" s="3">
        <f t="shared" si="397"/>
        <v>0</v>
      </c>
      <c r="AH525" s="3">
        <f t="shared" si="433"/>
        <v>0</v>
      </c>
      <c r="AI525" s="3">
        <f t="shared" si="433"/>
        <v>0</v>
      </c>
      <c r="AJ525" s="3">
        <f t="shared" si="398"/>
        <v>0</v>
      </c>
      <c r="AK525" s="3">
        <v>9.59</v>
      </c>
      <c r="AL525" s="3">
        <v>9.59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97</v>
      </c>
      <c r="AU525" s="3">
        <v>51</v>
      </c>
      <c r="AV525" s="3">
        <v>1</v>
      </c>
      <c r="AW525" s="3">
        <v>1</v>
      </c>
      <c r="AZ525" s="3">
        <v>1</v>
      </c>
      <c r="BA525" s="3">
        <v>1</v>
      </c>
      <c r="BB525" s="3">
        <v>1</v>
      </c>
      <c r="BC525" s="3">
        <v>9.84</v>
      </c>
      <c r="BD525" s="3" t="s">
        <v>3</v>
      </c>
      <c r="BE525" s="3" t="s">
        <v>3</v>
      </c>
      <c r="BF525" s="3" t="s">
        <v>3</v>
      </c>
      <c r="BG525" s="3" t="s">
        <v>3</v>
      </c>
      <c r="BH525" s="3">
        <v>3</v>
      </c>
      <c r="BI525" s="3">
        <v>2</v>
      </c>
      <c r="BJ525" s="3" t="s">
        <v>3</v>
      </c>
      <c r="BM525" s="3">
        <v>67</v>
      </c>
      <c r="BN525" s="3">
        <v>0</v>
      </c>
      <c r="BO525" s="3" t="s">
        <v>3</v>
      </c>
      <c r="BP525" s="3">
        <v>0</v>
      </c>
      <c r="BQ525" s="3">
        <v>40</v>
      </c>
      <c r="BR525" s="3">
        <v>0</v>
      </c>
      <c r="BS525" s="3">
        <v>1</v>
      </c>
      <c r="BT525" s="3">
        <v>1</v>
      </c>
      <c r="BU525" s="3">
        <v>1</v>
      </c>
      <c r="BV525" s="3">
        <v>1</v>
      </c>
      <c r="BW525" s="3">
        <v>1</v>
      </c>
      <c r="BX525" s="3">
        <v>1</v>
      </c>
      <c r="BY525" s="3" t="s">
        <v>3</v>
      </c>
      <c r="BZ525" s="3">
        <v>97</v>
      </c>
      <c r="CA525" s="3">
        <v>51</v>
      </c>
      <c r="CB525" s="3" t="s">
        <v>3</v>
      </c>
      <c r="CE525" s="3">
        <v>1566</v>
      </c>
      <c r="CF525" s="3">
        <v>0</v>
      </c>
      <c r="CG525" s="3">
        <v>0</v>
      </c>
      <c r="CM525" s="3">
        <v>0</v>
      </c>
      <c r="CN525" s="3" t="s">
        <v>615</v>
      </c>
      <c r="CO525" s="3">
        <v>0</v>
      </c>
      <c r="CP525" s="3">
        <f t="shared" si="399"/>
        <v>461683.75</v>
      </c>
      <c r="CQ525" s="3">
        <f t="shared" si="400"/>
        <v>94.37</v>
      </c>
      <c r="CR525" s="3">
        <f>(ROUND((ROUND(((ET525)*AV525*1),2)*BB525),2)+ROUND((ROUND(((AE525-(EU525))*AV525*1),2)*BS525),2))</f>
        <v>0</v>
      </c>
      <c r="CS525" s="3">
        <f>(ROUND((ROUND(((EU525)*AV525*1),2)*BS525),2)+ROUND((ROUND(((AE525-(EU525))*AV525*1),2)*BS525),2))</f>
        <v>0</v>
      </c>
      <c r="CT525" s="3">
        <f t="shared" si="401"/>
        <v>0</v>
      </c>
      <c r="CU525" s="3">
        <f t="shared" si="402"/>
        <v>0</v>
      </c>
      <c r="CV525" s="3">
        <f t="shared" si="403"/>
        <v>0</v>
      </c>
      <c r="CW525" s="3">
        <f t="shared" si="404"/>
        <v>0</v>
      </c>
      <c r="CX525" s="3">
        <f t="shared" si="405"/>
        <v>0</v>
      </c>
      <c r="CY525" s="3">
        <f>(ROUND((((S525+ROUND((ROUND(((EU525)*AV525*1),2)*BS525),2))*AT525)/100),2)+ROUND(((ROUND((ROUND(((AE525-(EU525))*AV525*1),2)*BS525),2)*AT525)/100),2))</f>
        <v>0</v>
      </c>
      <c r="CZ525" s="3">
        <f>(ROUND((((S525+ROUND((ROUND(((EU525)*AV525*1),2)*BS525),2))*AU525)/100),2)+ROUND(((ROUND((ROUND(((AE525-(EU525))*AV525*1),2)*BS525),2)*AU525)/100),2))</f>
        <v>0</v>
      </c>
      <c r="DC525" s="3" t="s">
        <v>3</v>
      </c>
      <c r="DD525" s="3" t="s">
        <v>3</v>
      </c>
      <c r="DE525" s="3" t="s">
        <v>3</v>
      </c>
      <c r="DF525" s="3" t="s">
        <v>3</v>
      </c>
      <c r="DG525" s="3" t="s">
        <v>3</v>
      </c>
      <c r="DH525" s="3" t="s">
        <v>3</v>
      </c>
      <c r="DI525" s="3" t="s">
        <v>3</v>
      </c>
      <c r="DJ525" s="3" t="s">
        <v>3</v>
      </c>
      <c r="DK525" s="3" t="s">
        <v>3</v>
      </c>
      <c r="DL525" s="3" t="s">
        <v>3</v>
      </c>
      <c r="DM525" s="3" t="s">
        <v>3</v>
      </c>
      <c r="DN525" s="3">
        <v>0</v>
      </c>
      <c r="DO525" s="3">
        <v>0</v>
      </c>
      <c r="DP525" s="3">
        <v>1</v>
      </c>
      <c r="DQ525" s="3">
        <v>1</v>
      </c>
      <c r="DU525" s="3">
        <v>1013</v>
      </c>
      <c r="DV525" s="3" t="s">
        <v>390</v>
      </c>
      <c r="DW525" s="3" t="s">
        <v>390</v>
      </c>
      <c r="DX525" s="3">
        <v>1</v>
      </c>
      <c r="DZ525" s="3" t="s">
        <v>3</v>
      </c>
      <c r="EA525" s="3" t="s">
        <v>3</v>
      </c>
      <c r="EB525" s="3" t="s">
        <v>3</v>
      </c>
      <c r="EC525" s="3" t="s">
        <v>3</v>
      </c>
      <c r="EE525" s="3">
        <v>57042957</v>
      </c>
      <c r="EF525" s="3">
        <v>40</v>
      </c>
      <c r="EG525" s="3" t="s">
        <v>30</v>
      </c>
      <c r="EH525" s="3">
        <v>0</v>
      </c>
      <c r="EI525" s="3" t="s">
        <v>3</v>
      </c>
      <c r="EJ525" s="3">
        <v>2</v>
      </c>
      <c r="EK525" s="3">
        <v>67</v>
      </c>
      <c r="EL525" s="3" t="s">
        <v>80</v>
      </c>
      <c r="EM525" s="3" t="s">
        <v>81</v>
      </c>
      <c r="EO525" s="3" t="s">
        <v>109</v>
      </c>
      <c r="EQ525" s="3">
        <v>2098176</v>
      </c>
      <c r="ER525" s="3">
        <v>9.59</v>
      </c>
      <c r="ES525" s="3">
        <v>9.59</v>
      </c>
      <c r="ET525" s="3">
        <v>0</v>
      </c>
      <c r="EU525" s="3">
        <v>0</v>
      </c>
      <c r="EV525" s="3">
        <v>0</v>
      </c>
      <c r="EW525" s="3">
        <v>0</v>
      </c>
      <c r="EX525" s="3">
        <v>0</v>
      </c>
      <c r="EZ525" s="3">
        <v>5</v>
      </c>
      <c r="FC525" s="3">
        <v>1</v>
      </c>
      <c r="FD525" s="3">
        <v>18</v>
      </c>
      <c r="FF525" s="3">
        <v>112.8</v>
      </c>
      <c r="FQ525" s="3">
        <v>0</v>
      </c>
      <c r="FR525" s="3">
        <v>0</v>
      </c>
      <c r="FS525" s="3">
        <v>0</v>
      </c>
      <c r="FX525" s="3">
        <v>97</v>
      </c>
      <c r="FY525" s="3">
        <v>51</v>
      </c>
      <c r="GA525" s="3" t="s">
        <v>391</v>
      </c>
      <c r="GD525" s="3">
        <v>1</v>
      </c>
      <c r="GF525" s="3">
        <v>-820338689</v>
      </c>
      <c r="GG525" s="3">
        <v>2</v>
      </c>
      <c r="GH525" s="3">
        <v>3</v>
      </c>
      <c r="GI525" s="3">
        <v>5</v>
      </c>
      <c r="GJ525" s="3">
        <v>0</v>
      </c>
      <c r="GK525" s="3">
        <v>0</v>
      </c>
      <c r="GL525" s="3">
        <f t="shared" si="406"/>
        <v>0</v>
      </c>
      <c r="GM525" s="3">
        <f t="shared" si="407"/>
        <v>461683.75</v>
      </c>
      <c r="GN525" s="3">
        <f t="shared" si="408"/>
        <v>0</v>
      </c>
      <c r="GO525" s="3">
        <f t="shared" si="409"/>
        <v>461683.75</v>
      </c>
      <c r="GP525" s="3">
        <f t="shared" si="410"/>
        <v>0</v>
      </c>
      <c r="GR525" s="3">
        <v>1</v>
      </c>
      <c r="GS525" s="3">
        <v>1</v>
      </c>
      <c r="GT525" s="3">
        <v>0</v>
      </c>
      <c r="GU525" s="3" t="s">
        <v>3</v>
      </c>
      <c r="GV525" s="3">
        <f t="shared" si="411"/>
        <v>0</v>
      </c>
      <c r="GW525" s="3">
        <v>1</v>
      </c>
      <c r="GX525" s="3">
        <f t="shared" si="412"/>
        <v>0</v>
      </c>
      <c r="HA525" s="3">
        <v>0</v>
      </c>
      <c r="HB525" s="3">
        <v>0</v>
      </c>
      <c r="HC525" s="3">
        <f t="shared" si="413"/>
        <v>0</v>
      </c>
      <c r="HE525" s="3" t="s">
        <v>347</v>
      </c>
      <c r="HF525" s="3" t="s">
        <v>34</v>
      </c>
      <c r="HM525" s="3" t="s">
        <v>104</v>
      </c>
      <c r="HN525" s="3" t="s">
        <v>3</v>
      </c>
      <c r="HO525" s="3" t="s">
        <v>3</v>
      </c>
      <c r="HP525" s="3" t="s">
        <v>3</v>
      </c>
      <c r="HQ525" s="3" t="s">
        <v>3</v>
      </c>
      <c r="HS525" s="3">
        <v>0</v>
      </c>
      <c r="IK525" s="3">
        <v>0</v>
      </c>
    </row>
    <row r="526" spans="1:255" x14ac:dyDescent="0.25">
      <c r="A526" s="2">
        <v>18</v>
      </c>
      <c r="B526" s="2">
        <v>1</v>
      </c>
      <c r="C526" s="2">
        <v>317</v>
      </c>
      <c r="D526" s="2"/>
      <c r="E526" s="2" t="s">
        <v>3</v>
      </c>
      <c r="F526" s="2" t="s">
        <v>393</v>
      </c>
      <c r="G526" s="2" t="s">
        <v>394</v>
      </c>
      <c r="H526" s="2" t="s">
        <v>390</v>
      </c>
      <c r="I526" s="2">
        <f>I522*J526</f>
        <v>103</v>
      </c>
      <c r="J526" s="2">
        <v>2.1237113402061856</v>
      </c>
      <c r="K526" s="2">
        <v>2.1237113399999998</v>
      </c>
      <c r="L526" s="2"/>
      <c r="M526" s="2"/>
      <c r="N526" s="2"/>
      <c r="O526" s="2">
        <f t="shared" si="389"/>
        <v>2721.26</v>
      </c>
      <c r="P526" s="2">
        <f t="shared" si="390"/>
        <v>2721.26</v>
      </c>
      <c r="Q526" s="2">
        <f>(ROUND((ROUND(((ET526)*AV526*I526),2)*BB526),2)+ROUND((ROUND(((AE526-(EU526))*AV526*I526),2)*BS526),2))</f>
        <v>0</v>
      </c>
      <c r="R526" s="2">
        <f>(ROUND((ROUND(((EU526)*AV526*I526),2)*BS526),2)+ROUND((ROUND(((AE526-(EU526))*AV526*I526),2)*BS526),2))</f>
        <v>0</v>
      </c>
      <c r="S526" s="2">
        <f t="shared" si="391"/>
        <v>0</v>
      </c>
      <c r="T526" s="2">
        <f t="shared" si="392"/>
        <v>0</v>
      </c>
      <c r="U526" s="2">
        <f t="shared" si="393"/>
        <v>0</v>
      </c>
      <c r="V526" s="2">
        <f t="shared" si="394"/>
        <v>0</v>
      </c>
      <c r="W526" s="2">
        <f t="shared" si="395"/>
        <v>0</v>
      </c>
      <c r="X526" s="2">
        <f>(ROUND((((S526+ROUND((ROUND(((EU526)*AV526*I526),2)*BS526),2))*AT526)/100),2)+ROUND(((ROUND((ROUND(((AE526-(EU526))*AV526*I526),2)*BS526),2)*AT526)/100),2))</f>
        <v>0</v>
      </c>
      <c r="Y526" s="2">
        <f>(ROUND((((S526+ROUND((ROUND(((EU526)*AV526*I526),2)*BS526),2))*AU526)/100),2)+ROUND(((ROUND((ROUND(((AE526-(EU526))*AV526*I526),2)*BS526),2)*AU526)/100),2))</f>
        <v>0</v>
      </c>
      <c r="Z526" s="2"/>
      <c r="AA526" s="2">
        <v>-1</v>
      </c>
      <c r="AB526" s="2">
        <f t="shared" si="396"/>
        <v>26.42</v>
      </c>
      <c r="AC526" s="2">
        <f>ROUND((ES526),6)</f>
        <v>26.42</v>
      </c>
      <c r="AD526" s="2">
        <f>ROUND((((ET526)-(EU526))+AE526),6)</f>
        <v>0</v>
      </c>
      <c r="AE526" s="2">
        <f t="shared" si="432"/>
        <v>0</v>
      </c>
      <c r="AF526" s="2">
        <f t="shared" si="432"/>
        <v>0</v>
      </c>
      <c r="AG526" s="2">
        <f t="shared" si="397"/>
        <v>0</v>
      </c>
      <c r="AH526" s="2">
        <f t="shared" si="433"/>
        <v>0</v>
      </c>
      <c r="AI526" s="2">
        <f t="shared" si="433"/>
        <v>0</v>
      </c>
      <c r="AJ526" s="2">
        <f t="shared" si="398"/>
        <v>0</v>
      </c>
      <c r="AK526" s="2">
        <v>26.419999999999998</v>
      </c>
      <c r="AL526" s="2">
        <v>26.419999999999998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97</v>
      </c>
      <c r="AU526" s="2">
        <v>51</v>
      </c>
      <c r="AV526" s="2">
        <v>1</v>
      </c>
      <c r="AW526" s="2">
        <v>1</v>
      </c>
      <c r="AX526" s="2"/>
      <c r="AY526" s="2"/>
      <c r="AZ526" s="2">
        <v>1</v>
      </c>
      <c r="BA526" s="2">
        <v>1</v>
      </c>
      <c r="BB526" s="2">
        <v>1</v>
      </c>
      <c r="BC526" s="2">
        <v>1</v>
      </c>
      <c r="BD526" s="2" t="s">
        <v>3</v>
      </c>
      <c r="BE526" s="2" t="s">
        <v>3</v>
      </c>
      <c r="BF526" s="2" t="s">
        <v>3</v>
      </c>
      <c r="BG526" s="2" t="s">
        <v>3</v>
      </c>
      <c r="BH526" s="2">
        <v>3</v>
      </c>
      <c r="BI526" s="2">
        <v>2</v>
      </c>
      <c r="BJ526" s="2" t="s">
        <v>3</v>
      </c>
      <c r="BK526" s="2"/>
      <c r="BL526" s="2"/>
      <c r="BM526" s="2">
        <v>67</v>
      </c>
      <c r="BN526" s="2">
        <v>0</v>
      </c>
      <c r="BO526" s="2" t="s">
        <v>3</v>
      </c>
      <c r="BP526" s="2">
        <v>0</v>
      </c>
      <c r="BQ526" s="2">
        <v>40</v>
      </c>
      <c r="BR526" s="2">
        <v>0</v>
      </c>
      <c r="BS526" s="2">
        <v>1</v>
      </c>
      <c r="BT526" s="2">
        <v>1</v>
      </c>
      <c r="BU526" s="2">
        <v>1</v>
      </c>
      <c r="BV526" s="2">
        <v>1</v>
      </c>
      <c r="BW526" s="2">
        <v>1</v>
      </c>
      <c r="BX526" s="2">
        <v>1</v>
      </c>
      <c r="BY526" s="2" t="s">
        <v>3</v>
      </c>
      <c r="BZ526" s="2">
        <v>97</v>
      </c>
      <c r="CA526" s="2">
        <v>51</v>
      </c>
      <c r="CB526" s="2" t="s">
        <v>3</v>
      </c>
      <c r="CC526" s="2"/>
      <c r="CD526" s="2"/>
      <c r="CE526" s="2">
        <v>1566</v>
      </c>
      <c r="CF526" s="2">
        <v>0</v>
      </c>
      <c r="CG526" s="2">
        <v>0</v>
      </c>
      <c r="CH526" s="2"/>
      <c r="CI526" s="2"/>
      <c r="CJ526" s="2"/>
      <c r="CK526" s="2"/>
      <c r="CL526" s="2"/>
      <c r="CM526" s="2">
        <v>0</v>
      </c>
      <c r="CN526" s="2" t="s">
        <v>615</v>
      </c>
      <c r="CO526" s="2">
        <v>0</v>
      </c>
      <c r="CP526" s="2">
        <f t="shared" si="399"/>
        <v>2721.26</v>
      </c>
      <c r="CQ526" s="2">
        <f t="shared" si="400"/>
        <v>26.42</v>
      </c>
      <c r="CR526" s="2">
        <f>(ROUND((ROUND(((ET526)*AV526*1),2)*BB526),2)+ROUND((ROUND(((AE526-(EU526))*AV526*1),2)*BS526),2))</f>
        <v>0</v>
      </c>
      <c r="CS526" s="2">
        <f>(ROUND((ROUND(((EU526)*AV526*1),2)*BS526),2)+ROUND((ROUND(((AE526-(EU526))*AV526*1),2)*BS526),2))</f>
        <v>0</v>
      </c>
      <c r="CT526" s="2">
        <f t="shared" si="401"/>
        <v>0</v>
      </c>
      <c r="CU526" s="2">
        <f t="shared" si="402"/>
        <v>0</v>
      </c>
      <c r="CV526" s="2">
        <f t="shared" si="403"/>
        <v>0</v>
      </c>
      <c r="CW526" s="2">
        <f t="shared" si="404"/>
        <v>0</v>
      </c>
      <c r="CX526" s="2">
        <f t="shared" si="405"/>
        <v>0</v>
      </c>
      <c r="CY526" s="2">
        <f>(ROUND((((S526+ROUND((ROUND(((EU526)*AV526*1),2)*BS526),2))*AT526)/100),2)+ROUND(((ROUND((ROUND(((AE526-(EU526))*AV526*1),2)*BS526),2)*AT526)/100),2))</f>
        <v>0</v>
      </c>
      <c r="CZ526" s="2">
        <f>(ROUND((((S526+ROUND((ROUND(((EU526)*AV526*1),2)*BS526),2))*AU526)/100),2)+ROUND(((ROUND((ROUND(((AE526-(EU526))*AV526*1),2)*BS526),2)*AU526)/100),2))</f>
        <v>0</v>
      </c>
      <c r="DA526" s="2"/>
      <c r="DB526" s="2"/>
      <c r="DC526" s="2" t="s">
        <v>3</v>
      </c>
      <c r="DD526" s="2" t="s">
        <v>3</v>
      </c>
      <c r="DE526" s="2" t="s">
        <v>3</v>
      </c>
      <c r="DF526" s="2" t="s">
        <v>3</v>
      </c>
      <c r="DG526" s="2" t="s">
        <v>3</v>
      </c>
      <c r="DH526" s="2" t="s">
        <v>3</v>
      </c>
      <c r="DI526" s="2" t="s">
        <v>3</v>
      </c>
      <c r="DJ526" s="2" t="s">
        <v>3</v>
      </c>
      <c r="DK526" s="2" t="s">
        <v>3</v>
      </c>
      <c r="DL526" s="2" t="s">
        <v>3</v>
      </c>
      <c r="DM526" s="2" t="s">
        <v>3</v>
      </c>
      <c r="DN526" s="2">
        <v>0</v>
      </c>
      <c r="DO526" s="2">
        <v>0</v>
      </c>
      <c r="DP526" s="2">
        <v>1</v>
      </c>
      <c r="DQ526" s="2">
        <v>1</v>
      </c>
      <c r="DR526" s="2"/>
      <c r="DS526" s="2"/>
      <c r="DT526" s="2"/>
      <c r="DU526" s="2">
        <v>1013</v>
      </c>
      <c r="DV526" s="2" t="s">
        <v>390</v>
      </c>
      <c r="DW526" s="2" t="s">
        <v>390</v>
      </c>
      <c r="DX526" s="2">
        <v>1</v>
      </c>
      <c r="DY526" s="2"/>
      <c r="DZ526" s="2" t="s">
        <v>3</v>
      </c>
      <c r="EA526" s="2" t="s">
        <v>3</v>
      </c>
      <c r="EB526" s="2" t="s">
        <v>3</v>
      </c>
      <c r="EC526" s="2" t="s">
        <v>3</v>
      </c>
      <c r="ED526" s="2"/>
      <c r="EE526" s="2">
        <v>57042957</v>
      </c>
      <c r="EF526" s="2">
        <v>40</v>
      </c>
      <c r="EG526" s="2" t="s">
        <v>30</v>
      </c>
      <c r="EH526" s="2">
        <v>0</v>
      </c>
      <c r="EI526" s="2" t="s">
        <v>3</v>
      </c>
      <c r="EJ526" s="2">
        <v>2</v>
      </c>
      <c r="EK526" s="2">
        <v>67</v>
      </c>
      <c r="EL526" s="2" t="s">
        <v>80</v>
      </c>
      <c r="EM526" s="2" t="s">
        <v>81</v>
      </c>
      <c r="EN526" s="2"/>
      <c r="EO526" s="2" t="s">
        <v>109</v>
      </c>
      <c r="EP526" s="2"/>
      <c r="EQ526" s="2">
        <v>2098176</v>
      </c>
      <c r="ER526" s="2">
        <v>0</v>
      </c>
      <c r="ES526" s="2">
        <v>26.419999999999998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>
        <v>0</v>
      </c>
      <c r="FR526" s="2">
        <v>0</v>
      </c>
      <c r="FS526" s="2">
        <v>0</v>
      </c>
      <c r="FT526" s="2"/>
      <c r="FU526" s="2"/>
      <c r="FV526" s="2"/>
      <c r="FW526" s="2"/>
      <c r="FX526" s="2">
        <v>97</v>
      </c>
      <c r="FY526" s="2">
        <v>51</v>
      </c>
      <c r="FZ526" s="2"/>
      <c r="GA526" s="2" t="s">
        <v>395</v>
      </c>
      <c r="GB526" s="2"/>
      <c r="GC526" s="2"/>
      <c r="GD526" s="2">
        <v>1</v>
      </c>
      <c r="GE526" s="2"/>
      <c r="GF526" s="2">
        <v>-573236397</v>
      </c>
      <c r="GG526" s="2">
        <v>2</v>
      </c>
      <c r="GH526" s="2">
        <v>4</v>
      </c>
      <c r="GI526" s="2">
        <v>-2</v>
      </c>
      <c r="GJ526" s="2">
        <v>0</v>
      </c>
      <c r="GK526" s="2">
        <v>0</v>
      </c>
      <c r="GL526" s="2">
        <f t="shared" si="406"/>
        <v>0</v>
      </c>
      <c r="GM526" s="2">
        <f t="shared" si="407"/>
        <v>2721.26</v>
      </c>
      <c r="GN526" s="2">
        <f t="shared" si="408"/>
        <v>0</v>
      </c>
      <c r="GO526" s="2">
        <f t="shared" si="409"/>
        <v>2721.26</v>
      </c>
      <c r="GP526" s="2">
        <f t="shared" si="410"/>
        <v>0</v>
      </c>
      <c r="GQ526" s="2"/>
      <c r="GR526" s="2">
        <v>0</v>
      </c>
      <c r="GS526" s="2">
        <v>2</v>
      </c>
      <c r="GT526" s="2">
        <v>0</v>
      </c>
      <c r="GU526" s="2" t="s">
        <v>3</v>
      </c>
      <c r="GV526" s="2">
        <f t="shared" si="411"/>
        <v>0</v>
      </c>
      <c r="GW526" s="2">
        <v>1</v>
      </c>
      <c r="GX526" s="2">
        <f t="shared" si="412"/>
        <v>0</v>
      </c>
      <c r="GY526" s="2"/>
      <c r="GZ526" s="2"/>
      <c r="HA526" s="2">
        <v>0</v>
      </c>
      <c r="HB526" s="2">
        <v>0</v>
      </c>
      <c r="HC526" s="2">
        <f t="shared" si="413"/>
        <v>0</v>
      </c>
      <c r="HD526" s="2"/>
      <c r="HE526" s="2" t="s">
        <v>347</v>
      </c>
      <c r="HF526" s="2" t="s">
        <v>34</v>
      </c>
      <c r="HG526" s="2"/>
      <c r="HH526" s="2"/>
      <c r="HI526" s="2"/>
      <c r="HJ526" s="2"/>
      <c r="HK526" s="2"/>
      <c r="HL526" s="2"/>
      <c r="HM526" s="2" t="s">
        <v>104</v>
      </c>
      <c r="HN526" s="2" t="s">
        <v>3</v>
      </c>
      <c r="HO526" s="2" t="s">
        <v>3</v>
      </c>
      <c r="HP526" s="2" t="s">
        <v>3</v>
      </c>
      <c r="HQ526" s="2" t="s">
        <v>3</v>
      </c>
      <c r="HR526" s="2"/>
      <c r="HS526" s="2">
        <v>0</v>
      </c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>
        <v>0</v>
      </c>
      <c r="IL526" s="2"/>
      <c r="IM526" s="2"/>
      <c r="IN526" s="2"/>
      <c r="IO526" s="2"/>
      <c r="IP526" s="2"/>
      <c r="IQ526" s="2"/>
      <c r="IR526" s="2"/>
      <c r="IS526" s="2"/>
      <c r="IT526" s="2"/>
      <c r="IU526" s="2"/>
    </row>
    <row r="527" spans="1:255" x14ac:dyDescent="0.25">
      <c r="A527" s="3">
        <v>18</v>
      </c>
      <c r="B527" s="3">
        <v>1</v>
      </c>
      <c r="C527" s="3">
        <v>328</v>
      </c>
      <c r="E527" s="3" t="s">
        <v>3</v>
      </c>
      <c r="F527" s="3" t="s">
        <v>393</v>
      </c>
      <c r="G527" s="3" t="s">
        <v>394</v>
      </c>
      <c r="H527" s="3" t="s">
        <v>390</v>
      </c>
      <c r="I527" s="3">
        <f>I523*J527</f>
        <v>103</v>
      </c>
      <c r="J527" s="3">
        <v>2.1237113402061856</v>
      </c>
      <c r="K527" s="3">
        <v>2.1237113399999998</v>
      </c>
      <c r="O527" s="3">
        <f t="shared" si="389"/>
        <v>26777.200000000001</v>
      </c>
      <c r="P527" s="3">
        <f t="shared" si="390"/>
        <v>26777.200000000001</v>
      </c>
      <c r="Q527" s="3">
        <f>(ROUND((ROUND(((ET527)*AV527*I527),2)*BB527),2)+ROUND((ROUND(((AE527-(EU527))*AV527*I527),2)*BS527),2))</f>
        <v>0</v>
      </c>
      <c r="R527" s="3">
        <f>(ROUND((ROUND(((EU527)*AV527*I527),2)*BS527),2)+ROUND((ROUND(((AE527-(EU527))*AV527*I527),2)*BS527),2))</f>
        <v>0</v>
      </c>
      <c r="S527" s="3">
        <f t="shared" si="391"/>
        <v>0</v>
      </c>
      <c r="T527" s="3">
        <f t="shared" si="392"/>
        <v>0</v>
      </c>
      <c r="U527" s="3">
        <f t="shared" si="393"/>
        <v>0</v>
      </c>
      <c r="V527" s="3">
        <f t="shared" si="394"/>
        <v>0</v>
      </c>
      <c r="W527" s="3">
        <f t="shared" si="395"/>
        <v>0</v>
      </c>
      <c r="X527" s="3">
        <f>(ROUND((((S527+ROUND((ROUND(((EU527)*AV527*I527),2)*BS527),2))*AT527)/100),2)+ROUND(((ROUND((ROUND(((AE527-(EU527))*AV527*I527),2)*BS527),2)*AT527)/100),2))</f>
        <v>0</v>
      </c>
      <c r="Y527" s="3">
        <f>(ROUND((((S527+ROUND((ROUND(((EU527)*AV527*I527),2)*BS527),2))*AU527)/100),2)+ROUND(((ROUND((ROUND(((AE527-(EU527))*AV527*I527),2)*BS527),2)*AU527)/100),2))</f>
        <v>0</v>
      </c>
      <c r="AA527" s="3">
        <v>-1</v>
      </c>
      <c r="AB527" s="3">
        <f t="shared" si="396"/>
        <v>26.42</v>
      </c>
      <c r="AC527" s="3">
        <f>ROUND((ES527),6)</f>
        <v>26.42</v>
      </c>
      <c r="AD527" s="3">
        <f>ROUND((((ET527)-(EU527))+AE527),6)</f>
        <v>0</v>
      </c>
      <c r="AE527" s="3">
        <f t="shared" si="432"/>
        <v>0</v>
      </c>
      <c r="AF527" s="3">
        <f t="shared" si="432"/>
        <v>0</v>
      </c>
      <c r="AG527" s="3">
        <f t="shared" si="397"/>
        <v>0</v>
      </c>
      <c r="AH527" s="3">
        <f t="shared" si="433"/>
        <v>0</v>
      </c>
      <c r="AI527" s="3">
        <f t="shared" si="433"/>
        <v>0</v>
      </c>
      <c r="AJ527" s="3">
        <f t="shared" si="398"/>
        <v>0</v>
      </c>
      <c r="AK527" s="3">
        <v>26.419999999999998</v>
      </c>
      <c r="AL527" s="3">
        <v>26.419999999999998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97</v>
      </c>
      <c r="AU527" s="3">
        <v>51</v>
      </c>
      <c r="AV527" s="3">
        <v>1</v>
      </c>
      <c r="AW527" s="3">
        <v>1</v>
      </c>
      <c r="AZ527" s="3">
        <v>1</v>
      </c>
      <c r="BA527" s="3">
        <v>1</v>
      </c>
      <c r="BB527" s="3">
        <v>1</v>
      </c>
      <c r="BC527" s="3">
        <v>9.84</v>
      </c>
      <c r="BD527" s="3" t="s">
        <v>3</v>
      </c>
      <c r="BE527" s="3" t="s">
        <v>3</v>
      </c>
      <c r="BF527" s="3" t="s">
        <v>3</v>
      </c>
      <c r="BG527" s="3" t="s">
        <v>3</v>
      </c>
      <c r="BH527" s="3">
        <v>3</v>
      </c>
      <c r="BI527" s="3">
        <v>2</v>
      </c>
      <c r="BJ527" s="3" t="s">
        <v>3</v>
      </c>
      <c r="BM527" s="3">
        <v>67</v>
      </c>
      <c r="BN527" s="3">
        <v>0</v>
      </c>
      <c r="BO527" s="3" t="s">
        <v>3</v>
      </c>
      <c r="BP527" s="3">
        <v>0</v>
      </c>
      <c r="BQ527" s="3">
        <v>40</v>
      </c>
      <c r="BR527" s="3">
        <v>0</v>
      </c>
      <c r="BS527" s="3">
        <v>1</v>
      </c>
      <c r="BT527" s="3">
        <v>1</v>
      </c>
      <c r="BU527" s="3">
        <v>1</v>
      </c>
      <c r="BV527" s="3">
        <v>1</v>
      </c>
      <c r="BW527" s="3">
        <v>1</v>
      </c>
      <c r="BX527" s="3">
        <v>1</v>
      </c>
      <c r="BY527" s="3" t="s">
        <v>3</v>
      </c>
      <c r="BZ527" s="3">
        <v>97</v>
      </c>
      <c r="CA527" s="3">
        <v>51</v>
      </c>
      <c r="CB527" s="3" t="s">
        <v>3</v>
      </c>
      <c r="CE527" s="3">
        <v>1566</v>
      </c>
      <c r="CF527" s="3">
        <v>0</v>
      </c>
      <c r="CG527" s="3">
        <v>0</v>
      </c>
      <c r="CM527" s="3">
        <v>0</v>
      </c>
      <c r="CN527" s="3" t="s">
        <v>615</v>
      </c>
      <c r="CO527" s="3">
        <v>0</v>
      </c>
      <c r="CP527" s="3">
        <f t="shared" si="399"/>
        <v>26777.200000000001</v>
      </c>
      <c r="CQ527" s="3">
        <f t="shared" si="400"/>
        <v>259.97000000000003</v>
      </c>
      <c r="CR527" s="3">
        <f>(ROUND((ROUND(((ET527)*AV527*1),2)*BB527),2)+ROUND((ROUND(((AE527-(EU527))*AV527*1),2)*BS527),2))</f>
        <v>0</v>
      </c>
      <c r="CS527" s="3">
        <f>(ROUND((ROUND(((EU527)*AV527*1),2)*BS527),2)+ROUND((ROUND(((AE527-(EU527))*AV527*1),2)*BS527),2))</f>
        <v>0</v>
      </c>
      <c r="CT527" s="3">
        <f t="shared" si="401"/>
        <v>0</v>
      </c>
      <c r="CU527" s="3">
        <f t="shared" si="402"/>
        <v>0</v>
      </c>
      <c r="CV527" s="3">
        <f t="shared" si="403"/>
        <v>0</v>
      </c>
      <c r="CW527" s="3">
        <f t="shared" si="404"/>
        <v>0</v>
      </c>
      <c r="CX527" s="3">
        <f t="shared" si="405"/>
        <v>0</v>
      </c>
      <c r="CY527" s="3">
        <f>(ROUND((((S527+ROUND((ROUND(((EU527)*AV527*1),2)*BS527),2))*AT527)/100),2)+ROUND(((ROUND((ROUND(((AE527-(EU527))*AV527*1),2)*BS527),2)*AT527)/100),2))</f>
        <v>0</v>
      </c>
      <c r="CZ527" s="3">
        <f>(ROUND((((S527+ROUND((ROUND(((EU527)*AV527*1),2)*BS527),2))*AU527)/100),2)+ROUND(((ROUND((ROUND(((AE527-(EU527))*AV527*1),2)*BS527),2)*AU527)/100),2))</f>
        <v>0</v>
      </c>
      <c r="DC527" s="3" t="s">
        <v>3</v>
      </c>
      <c r="DD527" s="3" t="s">
        <v>3</v>
      </c>
      <c r="DE527" s="3" t="s">
        <v>3</v>
      </c>
      <c r="DF527" s="3" t="s">
        <v>3</v>
      </c>
      <c r="DG527" s="3" t="s">
        <v>3</v>
      </c>
      <c r="DH527" s="3" t="s">
        <v>3</v>
      </c>
      <c r="DI527" s="3" t="s">
        <v>3</v>
      </c>
      <c r="DJ527" s="3" t="s">
        <v>3</v>
      </c>
      <c r="DK527" s="3" t="s">
        <v>3</v>
      </c>
      <c r="DL527" s="3" t="s">
        <v>3</v>
      </c>
      <c r="DM527" s="3" t="s">
        <v>3</v>
      </c>
      <c r="DN527" s="3">
        <v>0</v>
      </c>
      <c r="DO527" s="3">
        <v>0</v>
      </c>
      <c r="DP527" s="3">
        <v>1</v>
      </c>
      <c r="DQ527" s="3">
        <v>1</v>
      </c>
      <c r="DU527" s="3">
        <v>1013</v>
      </c>
      <c r="DV527" s="3" t="s">
        <v>390</v>
      </c>
      <c r="DW527" s="3" t="s">
        <v>390</v>
      </c>
      <c r="DX527" s="3">
        <v>1</v>
      </c>
      <c r="DZ527" s="3" t="s">
        <v>3</v>
      </c>
      <c r="EA527" s="3" t="s">
        <v>3</v>
      </c>
      <c r="EB527" s="3" t="s">
        <v>3</v>
      </c>
      <c r="EC527" s="3" t="s">
        <v>3</v>
      </c>
      <c r="EE527" s="3">
        <v>57042957</v>
      </c>
      <c r="EF527" s="3">
        <v>40</v>
      </c>
      <c r="EG527" s="3" t="s">
        <v>30</v>
      </c>
      <c r="EH527" s="3">
        <v>0</v>
      </c>
      <c r="EI527" s="3" t="s">
        <v>3</v>
      </c>
      <c r="EJ527" s="3">
        <v>2</v>
      </c>
      <c r="EK527" s="3">
        <v>67</v>
      </c>
      <c r="EL527" s="3" t="s">
        <v>80</v>
      </c>
      <c r="EM527" s="3" t="s">
        <v>81</v>
      </c>
      <c r="EO527" s="3" t="s">
        <v>109</v>
      </c>
      <c r="EQ527" s="3">
        <v>2098176</v>
      </c>
      <c r="ER527" s="3">
        <v>26.419999999999998</v>
      </c>
      <c r="ES527" s="3">
        <v>26.419999999999998</v>
      </c>
      <c r="ET527" s="3">
        <v>0</v>
      </c>
      <c r="EU527" s="3">
        <v>0</v>
      </c>
      <c r="EV527" s="3">
        <v>0</v>
      </c>
      <c r="EW527" s="3">
        <v>0</v>
      </c>
      <c r="EX527" s="3">
        <v>0</v>
      </c>
      <c r="EZ527" s="3">
        <v>5</v>
      </c>
      <c r="FC527" s="3">
        <v>1</v>
      </c>
      <c r="FD527" s="3">
        <v>18</v>
      </c>
      <c r="FF527" s="3">
        <v>310.89999999999998</v>
      </c>
      <c r="FQ527" s="3">
        <v>0</v>
      </c>
      <c r="FR527" s="3">
        <v>0</v>
      </c>
      <c r="FS527" s="3">
        <v>0</v>
      </c>
      <c r="FX527" s="3">
        <v>97</v>
      </c>
      <c r="FY527" s="3">
        <v>51</v>
      </c>
      <c r="GA527" s="3" t="s">
        <v>395</v>
      </c>
      <c r="GD527" s="3">
        <v>1</v>
      </c>
      <c r="GF527" s="3">
        <v>-573236397</v>
      </c>
      <c r="GG527" s="3">
        <v>2</v>
      </c>
      <c r="GH527" s="3">
        <v>3</v>
      </c>
      <c r="GI527" s="3">
        <v>5</v>
      </c>
      <c r="GJ527" s="3">
        <v>0</v>
      </c>
      <c r="GK527" s="3">
        <v>0</v>
      </c>
      <c r="GL527" s="3">
        <f t="shared" si="406"/>
        <v>0</v>
      </c>
      <c r="GM527" s="3">
        <f t="shared" si="407"/>
        <v>26777.200000000001</v>
      </c>
      <c r="GN527" s="3">
        <f t="shared" si="408"/>
        <v>0</v>
      </c>
      <c r="GO527" s="3">
        <f t="shared" si="409"/>
        <v>26777.200000000001</v>
      </c>
      <c r="GP527" s="3">
        <f t="shared" si="410"/>
        <v>0</v>
      </c>
      <c r="GR527" s="3">
        <v>1</v>
      </c>
      <c r="GS527" s="3">
        <v>1</v>
      </c>
      <c r="GT527" s="3">
        <v>0</v>
      </c>
      <c r="GU527" s="3" t="s">
        <v>3</v>
      </c>
      <c r="GV527" s="3">
        <f t="shared" si="411"/>
        <v>0</v>
      </c>
      <c r="GW527" s="3">
        <v>1</v>
      </c>
      <c r="GX527" s="3">
        <f t="shared" si="412"/>
        <v>0</v>
      </c>
      <c r="HA527" s="3">
        <v>0</v>
      </c>
      <c r="HB527" s="3">
        <v>0</v>
      </c>
      <c r="HC527" s="3">
        <f t="shared" si="413"/>
        <v>0</v>
      </c>
      <c r="HE527" s="3" t="s">
        <v>347</v>
      </c>
      <c r="HF527" s="3" t="s">
        <v>34</v>
      </c>
      <c r="HM527" s="3" t="s">
        <v>104</v>
      </c>
      <c r="HN527" s="3" t="s">
        <v>3</v>
      </c>
      <c r="HO527" s="3" t="s">
        <v>3</v>
      </c>
      <c r="HP527" s="3" t="s">
        <v>3</v>
      </c>
      <c r="HQ527" s="3" t="s">
        <v>3</v>
      </c>
      <c r="HS527" s="3">
        <v>0</v>
      </c>
      <c r="IK527" s="3">
        <v>0</v>
      </c>
    </row>
    <row r="528" spans="1:255" x14ac:dyDescent="0.25">
      <c r="A528" s="2">
        <v>17</v>
      </c>
      <c r="B528" s="2">
        <v>1</v>
      </c>
      <c r="C528" s="2">
        <f>ROW(SmtRes!A340)</f>
        <v>340</v>
      </c>
      <c r="D528" s="2">
        <f>ROW(EtalonRes!A348)</f>
        <v>348</v>
      </c>
      <c r="E528" s="2" t="s">
        <v>3</v>
      </c>
      <c r="F528" s="2" t="s">
        <v>419</v>
      </c>
      <c r="G528" s="2" t="s">
        <v>420</v>
      </c>
      <c r="H528" s="2" t="s">
        <v>99</v>
      </c>
      <c r="I528" s="2">
        <f>ROUND((100+100+100)/100,9)</f>
        <v>3</v>
      </c>
      <c r="J528" s="2">
        <v>0</v>
      </c>
      <c r="K528" s="2">
        <f>ROUND((100+100+100)/100,9)</f>
        <v>3</v>
      </c>
      <c r="L528" s="2"/>
      <c r="M528" s="2"/>
      <c r="N528" s="2"/>
      <c r="O528" s="2">
        <f t="shared" ref="O528:O547" si="434">ROUND(CP528,2)</f>
        <v>455.63</v>
      </c>
      <c r="P528" s="2">
        <f t="shared" ref="P528:P547" si="435">ROUND((ROUND((AC528*AW528*I528),2)*BC528),2)</f>
        <v>185.94</v>
      </c>
      <c r="Q528" s="2">
        <f>(ROUND((ROUND((((ET528*1.2))*AV528*I528),2)*BB528),2)+ROUND((ROUND(((AE528-((EU528*1.2)))*AV528*I528),2)*BS528),2))</f>
        <v>19.79</v>
      </c>
      <c r="R528" s="2">
        <f>(ROUND((ROUND((((EU528*1.2))*AV528*I528),2)*BS528),2)+ROUND((ROUND(((AE528-((EU528*1.2)))*AV528*I528),2)*BS528),2))</f>
        <v>2.2200000000000002</v>
      </c>
      <c r="S528" s="2">
        <f t="shared" ref="S528:S547" si="436">ROUND((ROUND((AF528*AV528*I528),2)*BA528),2)</f>
        <v>249.9</v>
      </c>
      <c r="T528" s="2">
        <f t="shared" ref="T528:T547" si="437">ROUND(CU528*I528,2)</f>
        <v>0</v>
      </c>
      <c r="U528" s="2">
        <f t="shared" ref="U528:U547" si="438">CV528*I528</f>
        <v>20.315987999999997</v>
      </c>
      <c r="V528" s="2">
        <f t="shared" ref="V528:V547" si="439">CW528*I528</f>
        <v>0</v>
      </c>
      <c r="W528" s="2">
        <f t="shared" ref="W528:W547" si="440">ROUND(CX528*I528,2)</f>
        <v>0</v>
      </c>
      <c r="X528" s="2">
        <f>(ROUND((((S528+ROUND((ROUND((((EU528*1.2))*AV528*I528),2)*BS528),2))*AT528)/100),2)+ROUND(((ROUND((ROUND(((AE528-((EU528*1.2)))*AV528*I528),2)*BS528),2)*AT528)/100),2))</f>
        <v>244.56</v>
      </c>
      <c r="Y528" s="2">
        <f>(ROUND((((S528+ROUND((ROUND((((EU528*1.2))*AV528*I528),2)*BS528),2))*AU528)/100),2)+ROUND(((ROUND((ROUND(((AE528-((EU528*1.2)))*AV528*I528),2)*BS528),2)*AU528)/100),2))</f>
        <v>128.58000000000001</v>
      </c>
      <c r="Z528" s="2"/>
      <c r="AA528" s="2">
        <v>-1</v>
      </c>
      <c r="AB528" s="2">
        <f t="shared" ref="AB528:AB547" si="441">ROUND((AC528+AD528+AF528),6)</f>
        <v>147.84</v>
      </c>
      <c r="AC528" s="2">
        <f>ROUND(((ES528*1)),6)</f>
        <v>61.98</v>
      </c>
      <c r="AD528" s="2">
        <f>ROUND(((((ET528*1.2))-((EU528*1.2)))+AE528),6)</f>
        <v>6.3</v>
      </c>
      <c r="AE528" s="2">
        <f>ROUND(((EU528*1.2)),6)</f>
        <v>0.70799999999999996</v>
      </c>
      <c r="AF528" s="2">
        <f>ROUND(((EV528*1.2)),6)</f>
        <v>79.56</v>
      </c>
      <c r="AG528" s="2">
        <f t="shared" ref="AG528:AG547" si="442">ROUND((AP528),6)</f>
        <v>0</v>
      </c>
      <c r="AH528" s="2">
        <f>((EW528*1.2))</f>
        <v>6.4679999999999991</v>
      </c>
      <c r="AI528" s="2">
        <f>((EX528*1.2))</f>
        <v>0</v>
      </c>
      <c r="AJ528" s="2">
        <f t="shared" ref="AJ528:AJ547" si="443">(AS528)</f>
        <v>0</v>
      </c>
      <c r="AK528" s="2">
        <v>133.53</v>
      </c>
      <c r="AL528" s="2">
        <v>61.98</v>
      </c>
      <c r="AM528" s="2">
        <v>5.25</v>
      </c>
      <c r="AN528" s="2">
        <v>0.59</v>
      </c>
      <c r="AO528" s="2">
        <v>66.3</v>
      </c>
      <c r="AP528" s="2">
        <v>0</v>
      </c>
      <c r="AQ528" s="2">
        <v>5.39</v>
      </c>
      <c r="AR528" s="2">
        <v>0</v>
      </c>
      <c r="AS528" s="2">
        <v>0</v>
      </c>
      <c r="AT528" s="2">
        <v>97</v>
      </c>
      <c r="AU528" s="2">
        <v>51</v>
      </c>
      <c r="AV528" s="2">
        <v>1.0469999999999999</v>
      </c>
      <c r="AW528" s="2">
        <v>1</v>
      </c>
      <c r="AX528" s="2"/>
      <c r="AY528" s="2"/>
      <c r="AZ528" s="2">
        <v>1</v>
      </c>
      <c r="BA528" s="2">
        <v>1</v>
      </c>
      <c r="BB528" s="2">
        <v>1</v>
      </c>
      <c r="BC528" s="2">
        <v>1</v>
      </c>
      <c r="BD528" s="2" t="s">
        <v>3</v>
      </c>
      <c r="BE528" s="2" t="s">
        <v>3</v>
      </c>
      <c r="BF528" s="2" t="s">
        <v>3</v>
      </c>
      <c r="BG528" s="2" t="s">
        <v>3</v>
      </c>
      <c r="BH528" s="2">
        <v>0</v>
      </c>
      <c r="BI528" s="2">
        <v>2</v>
      </c>
      <c r="BJ528" s="2" t="s">
        <v>421</v>
      </c>
      <c r="BK528" s="2"/>
      <c r="BL528" s="2"/>
      <c r="BM528" s="2">
        <v>67</v>
      </c>
      <c r="BN528" s="2">
        <v>0</v>
      </c>
      <c r="BO528" s="2" t="s">
        <v>419</v>
      </c>
      <c r="BP528" s="2">
        <v>1</v>
      </c>
      <c r="BQ528" s="2">
        <v>40</v>
      </c>
      <c r="BR528" s="2">
        <v>0</v>
      </c>
      <c r="BS528" s="2">
        <v>1</v>
      </c>
      <c r="BT528" s="2">
        <v>1</v>
      </c>
      <c r="BU528" s="2">
        <v>1</v>
      </c>
      <c r="BV528" s="2">
        <v>1</v>
      </c>
      <c r="BW528" s="2">
        <v>1</v>
      </c>
      <c r="BX528" s="2">
        <v>1</v>
      </c>
      <c r="BY528" s="2" t="s">
        <v>3</v>
      </c>
      <c r="BZ528" s="2">
        <v>97</v>
      </c>
      <c r="CA528" s="2">
        <v>51</v>
      </c>
      <c r="CB528" s="2" t="s">
        <v>3</v>
      </c>
      <c r="CC528" s="2"/>
      <c r="CD528" s="2"/>
      <c r="CE528" s="2">
        <v>1566</v>
      </c>
      <c r="CF528" s="2">
        <v>0</v>
      </c>
      <c r="CG528" s="2">
        <v>0</v>
      </c>
      <c r="CH528" s="2"/>
      <c r="CI528" s="2"/>
      <c r="CJ528" s="2"/>
      <c r="CK528" s="2"/>
      <c r="CL528" s="2"/>
      <c r="CM528" s="2">
        <v>0</v>
      </c>
      <c r="CN528" s="2" t="s">
        <v>614</v>
      </c>
      <c r="CO528" s="2">
        <v>0</v>
      </c>
      <c r="CP528" s="2">
        <f t="shared" ref="CP528:CP547" si="444">(P528+Q528+S528)</f>
        <v>455.63</v>
      </c>
      <c r="CQ528" s="2">
        <f t="shared" ref="CQ528:CQ547" si="445">ROUND((ROUND((AC528*AW528*1),2)*BC528),2)</f>
        <v>61.98</v>
      </c>
      <c r="CR528" s="2">
        <f>(ROUND((ROUND((((ET528*1.2))*AV528*1),2)*BB528),2)+ROUND((ROUND(((AE528-((EU528*1.2)))*AV528*1),2)*BS528),2))</f>
        <v>6.6</v>
      </c>
      <c r="CS528" s="2">
        <f>(ROUND((ROUND((((EU528*1.2))*AV528*1),2)*BS528),2)+ROUND((ROUND(((AE528-((EU528*1.2)))*AV528*1),2)*BS528),2))</f>
        <v>0.74</v>
      </c>
      <c r="CT528" s="2">
        <f t="shared" ref="CT528:CT547" si="446">ROUND((ROUND((AF528*AV528*1),2)*BA528),2)</f>
        <v>83.3</v>
      </c>
      <c r="CU528" s="2">
        <f t="shared" ref="CU528:CU547" si="447">AG528</f>
        <v>0</v>
      </c>
      <c r="CV528" s="2">
        <f t="shared" ref="CV528:CV547" si="448">(AH528*AV528)</f>
        <v>6.7719959999999988</v>
      </c>
      <c r="CW528" s="2">
        <f t="shared" ref="CW528:CW547" si="449">AI528</f>
        <v>0</v>
      </c>
      <c r="CX528" s="2">
        <f t="shared" ref="CX528:CX547" si="450">AJ528</f>
        <v>0</v>
      </c>
      <c r="CY528" s="2">
        <f>(ROUND((((S528+ROUND((ROUND((((EU528*1.2))*AV528*1),2)*BS528),2))*AT528)/100),2)+ROUND(((ROUND((ROUND(((AE528-((EU528*1.2)))*AV528*1),2)*BS528),2)*AT528)/100),2))</f>
        <v>243.12</v>
      </c>
      <c r="CZ528" s="2">
        <f>(ROUND((((S528+ROUND((ROUND((((EU528*1.2))*AV528*1),2)*BS528),2))*AU528)/100),2)+ROUND(((ROUND((ROUND(((AE528-((EU528*1.2)))*AV528*1),2)*BS528),2)*AU528)/100),2))</f>
        <v>127.83</v>
      </c>
      <c r="DA528" s="2"/>
      <c r="DB528" s="2">
        <v>139</v>
      </c>
      <c r="DC528" s="2" t="s">
        <v>3</v>
      </c>
      <c r="DD528" s="2" t="s">
        <v>104</v>
      </c>
      <c r="DE528" s="2" t="s">
        <v>105</v>
      </c>
      <c r="DF528" s="2" t="s">
        <v>105</v>
      </c>
      <c r="DG528" s="2" t="s">
        <v>105</v>
      </c>
      <c r="DH528" s="2" t="s">
        <v>3</v>
      </c>
      <c r="DI528" s="2" t="s">
        <v>105</v>
      </c>
      <c r="DJ528" s="2" t="s">
        <v>105</v>
      </c>
      <c r="DK528" s="2" t="s">
        <v>3</v>
      </c>
      <c r="DL528" s="2" t="s">
        <v>3</v>
      </c>
      <c r="DM528" s="2" t="s">
        <v>3</v>
      </c>
      <c r="DN528" s="2">
        <v>0</v>
      </c>
      <c r="DO528" s="2">
        <v>0</v>
      </c>
      <c r="DP528" s="2">
        <v>1</v>
      </c>
      <c r="DQ528" s="2">
        <v>1</v>
      </c>
      <c r="DR528" s="2"/>
      <c r="DS528" s="2"/>
      <c r="DT528" s="2"/>
      <c r="DU528" s="2">
        <v>1003</v>
      </c>
      <c r="DV528" s="2" t="s">
        <v>99</v>
      </c>
      <c r="DW528" s="2" t="s">
        <v>99</v>
      </c>
      <c r="DX528" s="2">
        <v>100</v>
      </c>
      <c r="DY528" s="2"/>
      <c r="DZ528" s="2" t="s">
        <v>3</v>
      </c>
      <c r="EA528" s="2" t="s">
        <v>3</v>
      </c>
      <c r="EB528" s="2" t="s">
        <v>3</v>
      </c>
      <c r="EC528" s="2" t="s">
        <v>3</v>
      </c>
      <c r="ED528" s="2"/>
      <c r="EE528" s="2">
        <v>57042957</v>
      </c>
      <c r="EF528" s="2">
        <v>40</v>
      </c>
      <c r="EG528" s="2" t="s">
        <v>30</v>
      </c>
      <c r="EH528" s="2">
        <v>0</v>
      </c>
      <c r="EI528" s="2" t="s">
        <v>3</v>
      </c>
      <c r="EJ528" s="2">
        <v>2</v>
      </c>
      <c r="EK528" s="2">
        <v>67</v>
      </c>
      <c r="EL528" s="2" t="s">
        <v>80</v>
      </c>
      <c r="EM528" s="2" t="s">
        <v>81</v>
      </c>
      <c r="EN528" s="2"/>
      <c r="EO528" s="2" t="s">
        <v>109</v>
      </c>
      <c r="EP528" s="2"/>
      <c r="EQ528" s="2">
        <v>132096</v>
      </c>
      <c r="ER528" s="2">
        <v>133.53</v>
      </c>
      <c r="ES528" s="2">
        <v>61.98</v>
      </c>
      <c r="ET528" s="2">
        <v>5.25</v>
      </c>
      <c r="EU528" s="2">
        <v>0.59</v>
      </c>
      <c r="EV528" s="2">
        <v>66.3</v>
      </c>
      <c r="EW528" s="2">
        <v>5.39</v>
      </c>
      <c r="EX528" s="2">
        <v>0</v>
      </c>
      <c r="EY528" s="2">
        <v>0</v>
      </c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>
        <v>0</v>
      </c>
      <c r="FR528" s="2">
        <v>0</v>
      </c>
      <c r="FS528" s="2">
        <v>0</v>
      </c>
      <c r="FT528" s="2"/>
      <c r="FU528" s="2"/>
      <c r="FV528" s="2"/>
      <c r="FW528" s="2"/>
      <c r="FX528" s="2">
        <v>97</v>
      </c>
      <c r="FY528" s="2">
        <v>51</v>
      </c>
      <c r="FZ528" s="2"/>
      <c r="GA528" s="2" t="s">
        <v>3</v>
      </c>
      <c r="GB528" s="2"/>
      <c r="GC528" s="2"/>
      <c r="GD528" s="2">
        <v>1</v>
      </c>
      <c r="GE528" s="2"/>
      <c r="GF528" s="2">
        <v>-941333321</v>
      </c>
      <c r="GG528" s="2">
        <v>2</v>
      </c>
      <c r="GH528" s="2">
        <v>1</v>
      </c>
      <c r="GI528" s="2">
        <v>2</v>
      </c>
      <c r="GJ528" s="2">
        <v>0</v>
      </c>
      <c r="GK528" s="2">
        <v>0</v>
      </c>
      <c r="GL528" s="2">
        <f t="shared" ref="GL528:GL547" si="451">ROUND(IF(AND(BH528=3,BI528=3,FS528&lt;&gt;0),P528,0),2)</f>
        <v>0</v>
      </c>
      <c r="GM528" s="2">
        <f t="shared" ref="GM528:GM547" si="452">ROUND(O528+X528+Y528,2)+GX528</f>
        <v>828.77</v>
      </c>
      <c r="GN528" s="2">
        <f t="shared" ref="GN528:GN547" si="453">IF(OR(BI528=0,BI528=1),GM528-GX528,0)</f>
        <v>0</v>
      </c>
      <c r="GO528" s="2">
        <f t="shared" ref="GO528:GO547" si="454">IF(BI528=2,GM528-GX528,0)</f>
        <v>828.77</v>
      </c>
      <c r="GP528" s="2">
        <f t="shared" ref="GP528:GP547" si="455">IF(BI528=4,GM528-GX528,0)</f>
        <v>0</v>
      </c>
      <c r="GQ528" s="2"/>
      <c r="GR528" s="2">
        <v>0</v>
      </c>
      <c r="GS528" s="2">
        <v>3</v>
      </c>
      <c r="GT528" s="2">
        <v>0</v>
      </c>
      <c r="GU528" s="2" t="s">
        <v>3</v>
      </c>
      <c r="GV528" s="2">
        <f t="shared" ref="GV528:GV547" si="456">ROUND((GT528),6)</f>
        <v>0</v>
      </c>
      <c r="GW528" s="2">
        <v>1</v>
      </c>
      <c r="GX528" s="2">
        <f t="shared" ref="GX528:GX547" si="457">ROUND(HC528*I528,2)</f>
        <v>0</v>
      </c>
      <c r="GY528" s="2"/>
      <c r="GZ528" s="2"/>
      <c r="HA528" s="2">
        <v>0</v>
      </c>
      <c r="HB528" s="2">
        <v>0</v>
      </c>
      <c r="HC528" s="2">
        <f t="shared" ref="HC528:HC547" si="458">GV528*GW528</f>
        <v>0</v>
      </c>
      <c r="HD528" s="2"/>
      <c r="HE528" s="2" t="s">
        <v>3</v>
      </c>
      <c r="HF528" s="2" t="s">
        <v>3</v>
      </c>
      <c r="HG528" s="2"/>
      <c r="HH528" s="2"/>
      <c r="HI528" s="2"/>
      <c r="HJ528" s="2"/>
      <c r="HK528" s="2"/>
      <c r="HL528" s="2"/>
      <c r="HM528" s="2" t="s">
        <v>3</v>
      </c>
      <c r="HN528" s="2" t="s">
        <v>3</v>
      </c>
      <c r="HO528" s="2" t="s">
        <v>3</v>
      </c>
      <c r="HP528" s="2" t="s">
        <v>3</v>
      </c>
      <c r="HQ528" s="2" t="s">
        <v>3</v>
      </c>
      <c r="HR528" s="2"/>
      <c r="HS528" s="2">
        <v>0</v>
      </c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>
        <v>0</v>
      </c>
      <c r="IL528" s="2"/>
      <c r="IM528" s="2"/>
      <c r="IN528" s="2"/>
      <c r="IO528" s="2"/>
      <c r="IP528" s="2"/>
      <c r="IQ528" s="2"/>
      <c r="IR528" s="2"/>
      <c r="IS528" s="2"/>
      <c r="IT528" s="2"/>
      <c r="IU528" s="2"/>
    </row>
    <row r="529" spans="1:255" x14ac:dyDescent="0.25">
      <c r="A529" s="3">
        <v>17</v>
      </c>
      <c r="B529" s="3">
        <v>1</v>
      </c>
      <c r="C529" s="3">
        <f>ROW(SmtRes!A352)</f>
        <v>352</v>
      </c>
      <c r="D529" s="3">
        <f>ROW(EtalonRes!A358)</f>
        <v>358</v>
      </c>
      <c r="E529" s="3" t="s">
        <v>3</v>
      </c>
      <c r="F529" s="3" t="s">
        <v>419</v>
      </c>
      <c r="G529" s="3" t="s">
        <v>420</v>
      </c>
      <c r="H529" s="3" t="s">
        <v>99</v>
      </c>
      <c r="I529" s="3">
        <f>ROUND((100+100+100)/100,9)</f>
        <v>3</v>
      </c>
      <c r="J529" s="3">
        <v>0</v>
      </c>
      <c r="K529" s="3">
        <f>ROUND((100+100+100)/100,9)</f>
        <v>3</v>
      </c>
      <c r="O529" s="3">
        <f t="shared" si="434"/>
        <v>15235.28</v>
      </c>
      <c r="P529" s="3">
        <f t="shared" si="435"/>
        <v>851.61</v>
      </c>
      <c r="Q529" s="3">
        <f>(ROUND((ROUND((((ET529*1.2))*AV529*I529),2)*BB529),2)+ROUND((ROUND(((AE529-((EU529*1.2)))*AV529*I529),2)*BS529),2))</f>
        <v>301.8</v>
      </c>
      <c r="R529" s="3">
        <f>(ROUND((ROUND((((EU529*1.2))*AV529*I529),2)*BS529),2)+ROUND((ROUND(((AE529-((EU529*1.2)))*AV529*I529),2)*BS529),2))</f>
        <v>125.1</v>
      </c>
      <c r="S529" s="3">
        <f t="shared" si="436"/>
        <v>14081.87</v>
      </c>
      <c r="T529" s="3">
        <f t="shared" si="437"/>
        <v>0</v>
      </c>
      <c r="U529" s="3">
        <f t="shared" si="438"/>
        <v>20.315987999999997</v>
      </c>
      <c r="V529" s="3">
        <f t="shared" si="439"/>
        <v>0</v>
      </c>
      <c r="W529" s="3">
        <f t="shared" si="440"/>
        <v>0</v>
      </c>
      <c r="X529" s="3">
        <f>(ROUND((((S529+ROUND((ROUND((((EU529*1.2))*AV529*I529),2)*BS529),2))*AT529)/100),2)+ROUND(((ROUND((ROUND(((AE529-((EU529*1.2)))*AV529*I529),2)*BS529),2)*AT529)/100),2))</f>
        <v>13780.76</v>
      </c>
      <c r="Y529" s="3">
        <f>(ROUND((((S529+ROUND((ROUND((((EU529*1.2))*AV529*I529),2)*BS529),2))*AU529)/100),2)+ROUND(((ROUND((ROUND(((AE529-((EU529*1.2)))*AV529*I529),2)*BS529),2)*AU529)/100),2))</f>
        <v>7245.55</v>
      </c>
      <c r="AA529" s="3">
        <v>-1</v>
      </c>
      <c r="AB529" s="3">
        <f t="shared" si="441"/>
        <v>147.84</v>
      </c>
      <c r="AC529" s="3">
        <f>ROUND(((ES529*1)),6)</f>
        <v>61.98</v>
      </c>
      <c r="AD529" s="3">
        <f>ROUND(((((ET529*1.2))-((EU529*1.2)))+AE529),6)</f>
        <v>6.3</v>
      </c>
      <c r="AE529" s="3">
        <f>ROUND(((EU529*1.2)),6)</f>
        <v>0.70799999999999996</v>
      </c>
      <c r="AF529" s="3">
        <f>ROUND(((EV529*1.2)),6)</f>
        <v>79.56</v>
      </c>
      <c r="AG529" s="3">
        <f t="shared" si="442"/>
        <v>0</v>
      </c>
      <c r="AH529" s="3">
        <f>((EW529*1.2))</f>
        <v>6.4679999999999991</v>
      </c>
      <c r="AI529" s="3">
        <f>((EX529*1.2))</f>
        <v>0</v>
      </c>
      <c r="AJ529" s="3">
        <f t="shared" si="443"/>
        <v>0</v>
      </c>
      <c r="AK529" s="3">
        <v>133.53</v>
      </c>
      <c r="AL529" s="3">
        <v>61.98</v>
      </c>
      <c r="AM529" s="3">
        <v>5.25</v>
      </c>
      <c r="AN529" s="3">
        <v>0.59</v>
      </c>
      <c r="AO529" s="3">
        <v>66.3</v>
      </c>
      <c r="AP529" s="3">
        <v>0</v>
      </c>
      <c r="AQ529" s="3">
        <v>5.39</v>
      </c>
      <c r="AR529" s="3">
        <v>0</v>
      </c>
      <c r="AS529" s="3">
        <v>0</v>
      </c>
      <c r="AT529" s="3">
        <v>97</v>
      </c>
      <c r="AU529" s="3">
        <v>51</v>
      </c>
      <c r="AV529" s="3">
        <v>1.0469999999999999</v>
      </c>
      <c r="AW529" s="3">
        <v>1</v>
      </c>
      <c r="AZ529" s="3">
        <v>1</v>
      </c>
      <c r="BA529" s="3">
        <v>56.35</v>
      </c>
      <c r="BB529" s="3">
        <v>15.25</v>
      </c>
      <c r="BC529" s="3">
        <v>4.58</v>
      </c>
      <c r="BD529" s="3" t="s">
        <v>3</v>
      </c>
      <c r="BE529" s="3" t="s">
        <v>3</v>
      </c>
      <c r="BF529" s="3" t="s">
        <v>3</v>
      </c>
      <c r="BG529" s="3" t="s">
        <v>3</v>
      </c>
      <c r="BH529" s="3">
        <v>0</v>
      </c>
      <c r="BI529" s="3">
        <v>2</v>
      </c>
      <c r="BJ529" s="3" t="s">
        <v>421</v>
      </c>
      <c r="BM529" s="3">
        <v>67</v>
      </c>
      <c r="BN529" s="3">
        <v>0</v>
      </c>
      <c r="BO529" s="3" t="s">
        <v>419</v>
      </c>
      <c r="BP529" s="3">
        <v>1</v>
      </c>
      <c r="BQ529" s="3">
        <v>40</v>
      </c>
      <c r="BR529" s="3">
        <v>0</v>
      </c>
      <c r="BS529" s="3">
        <v>56.35</v>
      </c>
      <c r="BT529" s="3">
        <v>1</v>
      </c>
      <c r="BU529" s="3">
        <v>1</v>
      </c>
      <c r="BV529" s="3">
        <v>1</v>
      </c>
      <c r="BW529" s="3">
        <v>1</v>
      </c>
      <c r="BX529" s="3">
        <v>1</v>
      </c>
      <c r="BY529" s="3" t="s">
        <v>3</v>
      </c>
      <c r="BZ529" s="3">
        <v>97</v>
      </c>
      <c r="CA529" s="3">
        <v>51</v>
      </c>
      <c r="CB529" s="3" t="s">
        <v>3</v>
      </c>
      <c r="CE529" s="3">
        <v>1566</v>
      </c>
      <c r="CF529" s="3">
        <v>0</v>
      </c>
      <c r="CG529" s="3">
        <v>0</v>
      </c>
      <c r="CM529" s="3">
        <v>0</v>
      </c>
      <c r="CN529" s="3" t="s">
        <v>614</v>
      </c>
      <c r="CO529" s="3">
        <v>0</v>
      </c>
      <c r="CP529" s="3">
        <f t="shared" si="444"/>
        <v>15235.28</v>
      </c>
      <c r="CQ529" s="3">
        <f t="shared" si="445"/>
        <v>283.87</v>
      </c>
      <c r="CR529" s="3">
        <f>(ROUND((ROUND((((ET529*1.2))*AV529*1),2)*BB529),2)+ROUND((ROUND(((AE529-((EU529*1.2)))*AV529*1),2)*BS529),2))</f>
        <v>100.65</v>
      </c>
      <c r="CS529" s="3">
        <f>(ROUND((ROUND((((EU529*1.2))*AV529*1),2)*BS529),2)+ROUND((ROUND(((AE529-((EU529*1.2)))*AV529*1),2)*BS529),2))</f>
        <v>41.7</v>
      </c>
      <c r="CT529" s="3">
        <f t="shared" si="446"/>
        <v>4693.96</v>
      </c>
      <c r="CU529" s="3">
        <f t="shared" si="447"/>
        <v>0</v>
      </c>
      <c r="CV529" s="3">
        <f t="shared" si="448"/>
        <v>6.7719959999999988</v>
      </c>
      <c r="CW529" s="3">
        <f t="shared" si="449"/>
        <v>0</v>
      </c>
      <c r="CX529" s="3">
        <f t="shared" si="450"/>
        <v>0</v>
      </c>
      <c r="CY529" s="3">
        <f>(ROUND((((S529+ROUND((ROUND((((EU529*1.2))*AV529*1),2)*BS529),2))*AT529)/100),2)+ROUND(((ROUND((ROUND(((AE529-((EU529*1.2)))*AV529*1),2)*BS529),2)*AT529)/100),2))</f>
        <v>13699.86</v>
      </c>
      <c r="CZ529" s="3">
        <f>(ROUND((((S529+ROUND((ROUND((((EU529*1.2))*AV529*1),2)*BS529),2))*AU529)/100),2)+ROUND(((ROUND((ROUND(((AE529-((EU529*1.2)))*AV529*1),2)*BS529),2)*AU529)/100),2))</f>
        <v>7203.02</v>
      </c>
      <c r="DB529" s="3">
        <v>140</v>
      </c>
      <c r="DC529" s="3" t="s">
        <v>3</v>
      </c>
      <c r="DD529" s="3" t="s">
        <v>104</v>
      </c>
      <c r="DE529" s="3" t="s">
        <v>105</v>
      </c>
      <c r="DF529" s="3" t="s">
        <v>105</v>
      </c>
      <c r="DG529" s="3" t="s">
        <v>105</v>
      </c>
      <c r="DH529" s="3" t="s">
        <v>3</v>
      </c>
      <c r="DI529" s="3" t="s">
        <v>105</v>
      </c>
      <c r="DJ529" s="3" t="s">
        <v>105</v>
      </c>
      <c r="DK529" s="3" t="s">
        <v>3</v>
      </c>
      <c r="DL529" s="3" t="s">
        <v>3</v>
      </c>
      <c r="DM529" s="3" t="s">
        <v>3</v>
      </c>
      <c r="DN529" s="3">
        <v>0</v>
      </c>
      <c r="DO529" s="3">
        <v>0</v>
      </c>
      <c r="DP529" s="3">
        <v>1</v>
      </c>
      <c r="DQ529" s="3">
        <v>1</v>
      </c>
      <c r="DU529" s="3">
        <v>1003</v>
      </c>
      <c r="DV529" s="3" t="s">
        <v>99</v>
      </c>
      <c r="DW529" s="3" t="s">
        <v>99</v>
      </c>
      <c r="DX529" s="3">
        <v>100</v>
      </c>
      <c r="DZ529" s="3" t="s">
        <v>3</v>
      </c>
      <c r="EA529" s="3" t="s">
        <v>3</v>
      </c>
      <c r="EB529" s="3" t="s">
        <v>3</v>
      </c>
      <c r="EC529" s="3" t="s">
        <v>3</v>
      </c>
      <c r="EE529" s="3">
        <v>57042957</v>
      </c>
      <c r="EF529" s="3">
        <v>40</v>
      </c>
      <c r="EG529" s="3" t="s">
        <v>30</v>
      </c>
      <c r="EH529" s="3">
        <v>0</v>
      </c>
      <c r="EI529" s="3" t="s">
        <v>3</v>
      </c>
      <c r="EJ529" s="3">
        <v>2</v>
      </c>
      <c r="EK529" s="3">
        <v>67</v>
      </c>
      <c r="EL529" s="3" t="s">
        <v>80</v>
      </c>
      <c r="EM529" s="3" t="s">
        <v>81</v>
      </c>
      <c r="EO529" s="3" t="s">
        <v>109</v>
      </c>
      <c r="EQ529" s="3">
        <v>132096</v>
      </c>
      <c r="ER529" s="3">
        <v>133.53</v>
      </c>
      <c r="ES529" s="3">
        <v>61.98</v>
      </c>
      <c r="ET529" s="3">
        <v>5.25</v>
      </c>
      <c r="EU529" s="3">
        <v>0.59</v>
      </c>
      <c r="EV529" s="3">
        <v>66.3</v>
      </c>
      <c r="EW529" s="3">
        <v>5.39</v>
      </c>
      <c r="EX529" s="3">
        <v>0</v>
      </c>
      <c r="EY529" s="3">
        <v>0</v>
      </c>
      <c r="FQ529" s="3">
        <v>0</v>
      </c>
      <c r="FR529" s="3">
        <v>0</v>
      </c>
      <c r="FS529" s="3">
        <v>0</v>
      </c>
      <c r="FX529" s="3">
        <v>97</v>
      </c>
      <c r="FY529" s="3">
        <v>51</v>
      </c>
      <c r="GA529" s="3" t="s">
        <v>3</v>
      </c>
      <c r="GD529" s="3">
        <v>1</v>
      </c>
      <c r="GF529" s="3">
        <v>-941333321</v>
      </c>
      <c r="GG529" s="3">
        <v>2</v>
      </c>
      <c r="GH529" s="3">
        <v>1</v>
      </c>
      <c r="GI529" s="3">
        <v>2</v>
      </c>
      <c r="GJ529" s="3">
        <v>0</v>
      </c>
      <c r="GK529" s="3">
        <v>0</v>
      </c>
      <c r="GL529" s="3">
        <f t="shared" si="451"/>
        <v>0</v>
      </c>
      <c r="GM529" s="3">
        <f t="shared" si="452"/>
        <v>36261.589999999997</v>
      </c>
      <c r="GN529" s="3">
        <f t="shared" si="453"/>
        <v>0</v>
      </c>
      <c r="GO529" s="3">
        <f t="shared" si="454"/>
        <v>36261.589999999997</v>
      </c>
      <c r="GP529" s="3">
        <f t="shared" si="455"/>
        <v>0</v>
      </c>
      <c r="GR529" s="3">
        <v>0</v>
      </c>
      <c r="GS529" s="3">
        <v>3</v>
      </c>
      <c r="GT529" s="3">
        <v>0</v>
      </c>
      <c r="GU529" s="3" t="s">
        <v>3</v>
      </c>
      <c r="GV529" s="3">
        <f t="shared" si="456"/>
        <v>0</v>
      </c>
      <c r="GW529" s="3">
        <v>1</v>
      </c>
      <c r="GX529" s="3">
        <f t="shared" si="457"/>
        <v>0</v>
      </c>
      <c r="HA529" s="3">
        <v>0</v>
      </c>
      <c r="HB529" s="3">
        <v>0</v>
      </c>
      <c r="HC529" s="3">
        <f t="shared" si="458"/>
        <v>0</v>
      </c>
      <c r="HE529" s="3" t="s">
        <v>3</v>
      </c>
      <c r="HF529" s="3" t="s">
        <v>3</v>
      </c>
      <c r="HM529" s="3" t="s">
        <v>3</v>
      </c>
      <c r="HN529" s="3" t="s">
        <v>3</v>
      </c>
      <c r="HO529" s="3" t="s">
        <v>3</v>
      </c>
      <c r="HP529" s="3" t="s">
        <v>3</v>
      </c>
      <c r="HQ529" s="3" t="s">
        <v>3</v>
      </c>
      <c r="HS529" s="3">
        <v>0</v>
      </c>
      <c r="IK529" s="3">
        <v>0</v>
      </c>
    </row>
    <row r="530" spans="1:255" x14ac:dyDescent="0.25">
      <c r="A530" s="2">
        <v>18</v>
      </c>
      <c r="B530" s="2">
        <v>1</v>
      </c>
      <c r="C530" s="2">
        <v>338</v>
      </c>
      <c r="D530" s="2"/>
      <c r="E530" s="2" t="s">
        <v>3</v>
      </c>
      <c r="F530" s="2" t="s">
        <v>397</v>
      </c>
      <c r="G530" s="2" t="s">
        <v>398</v>
      </c>
      <c r="H530" s="2" t="s">
        <v>390</v>
      </c>
      <c r="I530" s="2">
        <f>I528*J530</f>
        <v>103</v>
      </c>
      <c r="J530" s="2">
        <v>34.333333333333336</v>
      </c>
      <c r="K530" s="2">
        <v>34.3333333</v>
      </c>
      <c r="L530" s="2"/>
      <c r="M530" s="2"/>
      <c r="N530" s="2"/>
      <c r="O530" s="2">
        <f t="shared" si="434"/>
        <v>2299.9899999999998</v>
      </c>
      <c r="P530" s="2">
        <f t="shared" si="435"/>
        <v>2299.9899999999998</v>
      </c>
      <c r="Q530" s="2">
        <f t="shared" ref="Q530:Q535" si="459">(ROUND((ROUND(((ET530)*AV530*I530),2)*BB530),2)+ROUND((ROUND(((AE530-(EU530))*AV530*I530),2)*BS530),2))</f>
        <v>0</v>
      </c>
      <c r="R530" s="2">
        <f t="shared" ref="R530:R535" si="460">(ROUND((ROUND(((EU530)*AV530*I530),2)*BS530),2)+ROUND((ROUND(((AE530-(EU530))*AV530*I530),2)*BS530),2))</f>
        <v>0</v>
      </c>
      <c r="S530" s="2">
        <f t="shared" si="436"/>
        <v>0</v>
      </c>
      <c r="T530" s="2">
        <f t="shared" si="437"/>
        <v>0</v>
      </c>
      <c r="U530" s="2">
        <f t="shared" si="438"/>
        <v>0</v>
      </c>
      <c r="V530" s="2">
        <f t="shared" si="439"/>
        <v>0</v>
      </c>
      <c r="W530" s="2">
        <f t="shared" si="440"/>
        <v>0</v>
      </c>
      <c r="X530" s="2">
        <f t="shared" ref="X530:X535" si="461">(ROUND((((S530+ROUND((ROUND(((EU530)*AV530*I530),2)*BS530),2))*AT530)/100),2)+ROUND(((ROUND((ROUND(((AE530-(EU530))*AV530*I530),2)*BS530),2)*AT530)/100),2))</f>
        <v>0</v>
      </c>
      <c r="Y530" s="2">
        <f t="shared" ref="Y530:Y535" si="462">(ROUND((((S530+ROUND((ROUND(((EU530)*AV530*I530),2)*BS530),2))*AU530)/100),2)+ROUND(((ROUND((ROUND(((AE530-(EU530))*AV530*I530),2)*BS530),2)*AU530)/100),2))</f>
        <v>0</v>
      </c>
      <c r="Z530" s="2"/>
      <c r="AA530" s="2">
        <v>-1</v>
      </c>
      <c r="AB530" s="2">
        <f t="shared" si="441"/>
        <v>22.33</v>
      </c>
      <c r="AC530" s="2">
        <f t="shared" ref="AC530:AC535" si="463">ROUND((ES530),6)</f>
        <v>22.33</v>
      </c>
      <c r="AD530" s="2">
        <f t="shared" ref="AD530:AD535" si="464">ROUND((((ET530)-(EU530))+AE530),6)</f>
        <v>0</v>
      </c>
      <c r="AE530" s="2">
        <f t="shared" ref="AE530:AF535" si="465">ROUND((EU530),6)</f>
        <v>0</v>
      </c>
      <c r="AF530" s="2">
        <f t="shared" si="465"/>
        <v>0</v>
      </c>
      <c r="AG530" s="2">
        <f t="shared" si="442"/>
        <v>0</v>
      </c>
      <c r="AH530" s="2">
        <f t="shared" ref="AH530:AI535" si="466">(EW530)</f>
        <v>0</v>
      </c>
      <c r="AI530" s="2">
        <f t="shared" si="466"/>
        <v>0</v>
      </c>
      <c r="AJ530" s="2">
        <f t="shared" si="443"/>
        <v>0</v>
      </c>
      <c r="AK530" s="2">
        <v>22.330000000000002</v>
      </c>
      <c r="AL530" s="2">
        <v>22.330000000000002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97</v>
      </c>
      <c r="AU530" s="2">
        <v>51</v>
      </c>
      <c r="AV530" s="2">
        <v>1</v>
      </c>
      <c r="AW530" s="2">
        <v>1</v>
      </c>
      <c r="AX530" s="2"/>
      <c r="AY530" s="2"/>
      <c r="AZ530" s="2">
        <v>1</v>
      </c>
      <c r="BA530" s="2">
        <v>1</v>
      </c>
      <c r="BB530" s="2">
        <v>1</v>
      </c>
      <c r="BC530" s="2">
        <v>1</v>
      </c>
      <c r="BD530" s="2" t="s">
        <v>3</v>
      </c>
      <c r="BE530" s="2" t="s">
        <v>3</v>
      </c>
      <c r="BF530" s="2" t="s">
        <v>3</v>
      </c>
      <c r="BG530" s="2" t="s">
        <v>3</v>
      </c>
      <c r="BH530" s="2">
        <v>3</v>
      </c>
      <c r="BI530" s="2">
        <v>2</v>
      </c>
      <c r="BJ530" s="2" t="s">
        <v>3</v>
      </c>
      <c r="BK530" s="2"/>
      <c r="BL530" s="2"/>
      <c r="BM530" s="2">
        <v>67</v>
      </c>
      <c r="BN530" s="2">
        <v>0</v>
      </c>
      <c r="BO530" s="2" t="s">
        <v>3</v>
      </c>
      <c r="BP530" s="2">
        <v>0</v>
      </c>
      <c r="BQ530" s="2">
        <v>40</v>
      </c>
      <c r="BR530" s="2">
        <v>0</v>
      </c>
      <c r="BS530" s="2">
        <v>1</v>
      </c>
      <c r="BT530" s="2">
        <v>1</v>
      </c>
      <c r="BU530" s="2">
        <v>1</v>
      </c>
      <c r="BV530" s="2">
        <v>1</v>
      </c>
      <c r="BW530" s="2">
        <v>1</v>
      </c>
      <c r="BX530" s="2">
        <v>1</v>
      </c>
      <c r="BY530" s="2" t="s">
        <v>3</v>
      </c>
      <c r="BZ530" s="2">
        <v>97</v>
      </c>
      <c r="CA530" s="2">
        <v>51</v>
      </c>
      <c r="CB530" s="2" t="s">
        <v>3</v>
      </c>
      <c r="CC530" s="2"/>
      <c r="CD530" s="2"/>
      <c r="CE530" s="2">
        <v>1566</v>
      </c>
      <c r="CF530" s="2">
        <v>0</v>
      </c>
      <c r="CG530" s="2">
        <v>0</v>
      </c>
      <c r="CH530" s="2"/>
      <c r="CI530" s="2"/>
      <c r="CJ530" s="2"/>
      <c r="CK530" s="2"/>
      <c r="CL530" s="2"/>
      <c r="CM530" s="2">
        <v>0</v>
      </c>
      <c r="CN530" s="2" t="s">
        <v>615</v>
      </c>
      <c r="CO530" s="2">
        <v>0</v>
      </c>
      <c r="CP530" s="2">
        <f t="shared" si="444"/>
        <v>2299.9899999999998</v>
      </c>
      <c r="CQ530" s="2">
        <f t="shared" si="445"/>
        <v>22.33</v>
      </c>
      <c r="CR530" s="2">
        <f t="shared" ref="CR530:CR535" si="467">(ROUND((ROUND(((ET530)*AV530*1),2)*BB530),2)+ROUND((ROUND(((AE530-(EU530))*AV530*1),2)*BS530),2))</f>
        <v>0</v>
      </c>
      <c r="CS530" s="2">
        <f t="shared" ref="CS530:CS535" si="468">(ROUND((ROUND(((EU530)*AV530*1),2)*BS530),2)+ROUND((ROUND(((AE530-(EU530))*AV530*1),2)*BS530),2))</f>
        <v>0</v>
      </c>
      <c r="CT530" s="2">
        <f t="shared" si="446"/>
        <v>0</v>
      </c>
      <c r="CU530" s="2">
        <f t="shared" si="447"/>
        <v>0</v>
      </c>
      <c r="CV530" s="2">
        <f t="shared" si="448"/>
        <v>0</v>
      </c>
      <c r="CW530" s="2">
        <f t="shared" si="449"/>
        <v>0</v>
      </c>
      <c r="CX530" s="2">
        <f t="shared" si="450"/>
        <v>0</v>
      </c>
      <c r="CY530" s="2">
        <f t="shared" ref="CY530:CY535" si="469">(ROUND((((S530+ROUND((ROUND(((EU530)*AV530*1),2)*BS530),2))*AT530)/100),2)+ROUND(((ROUND((ROUND(((AE530-(EU530))*AV530*1),2)*BS530),2)*AT530)/100),2))</f>
        <v>0</v>
      </c>
      <c r="CZ530" s="2">
        <f t="shared" ref="CZ530:CZ535" si="470">(ROUND((((S530+ROUND((ROUND(((EU530)*AV530*1),2)*BS530),2))*AU530)/100),2)+ROUND(((ROUND((ROUND(((AE530-(EU530))*AV530*1),2)*BS530),2)*AU530)/100),2))</f>
        <v>0</v>
      </c>
      <c r="DA530" s="2"/>
      <c r="DB530" s="2"/>
      <c r="DC530" s="2" t="s">
        <v>3</v>
      </c>
      <c r="DD530" s="2" t="s">
        <v>3</v>
      </c>
      <c r="DE530" s="2" t="s">
        <v>3</v>
      </c>
      <c r="DF530" s="2" t="s">
        <v>3</v>
      </c>
      <c r="DG530" s="2" t="s">
        <v>3</v>
      </c>
      <c r="DH530" s="2" t="s">
        <v>3</v>
      </c>
      <c r="DI530" s="2" t="s">
        <v>3</v>
      </c>
      <c r="DJ530" s="2" t="s">
        <v>3</v>
      </c>
      <c r="DK530" s="2" t="s">
        <v>3</v>
      </c>
      <c r="DL530" s="2" t="s">
        <v>3</v>
      </c>
      <c r="DM530" s="2" t="s">
        <v>3</v>
      </c>
      <c r="DN530" s="2">
        <v>0</v>
      </c>
      <c r="DO530" s="2">
        <v>0</v>
      </c>
      <c r="DP530" s="2">
        <v>1</v>
      </c>
      <c r="DQ530" s="2">
        <v>1</v>
      </c>
      <c r="DR530" s="2"/>
      <c r="DS530" s="2"/>
      <c r="DT530" s="2"/>
      <c r="DU530" s="2">
        <v>1013</v>
      </c>
      <c r="DV530" s="2" t="s">
        <v>390</v>
      </c>
      <c r="DW530" s="2" t="s">
        <v>390</v>
      </c>
      <c r="DX530" s="2">
        <v>1</v>
      </c>
      <c r="DY530" s="2"/>
      <c r="DZ530" s="2" t="s">
        <v>3</v>
      </c>
      <c r="EA530" s="2" t="s">
        <v>3</v>
      </c>
      <c r="EB530" s="2" t="s">
        <v>3</v>
      </c>
      <c r="EC530" s="2" t="s">
        <v>3</v>
      </c>
      <c r="ED530" s="2"/>
      <c r="EE530" s="2">
        <v>57042957</v>
      </c>
      <c r="EF530" s="2">
        <v>40</v>
      </c>
      <c r="EG530" s="2" t="s">
        <v>30</v>
      </c>
      <c r="EH530" s="2">
        <v>0</v>
      </c>
      <c r="EI530" s="2" t="s">
        <v>3</v>
      </c>
      <c r="EJ530" s="2">
        <v>2</v>
      </c>
      <c r="EK530" s="2">
        <v>67</v>
      </c>
      <c r="EL530" s="2" t="s">
        <v>80</v>
      </c>
      <c r="EM530" s="2" t="s">
        <v>81</v>
      </c>
      <c r="EN530" s="2"/>
      <c r="EO530" s="2" t="s">
        <v>109</v>
      </c>
      <c r="EP530" s="2"/>
      <c r="EQ530" s="2">
        <v>2098176</v>
      </c>
      <c r="ER530" s="2">
        <v>0</v>
      </c>
      <c r="ES530" s="2">
        <v>22.330000000000002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>
        <v>0</v>
      </c>
      <c r="FR530" s="2">
        <v>0</v>
      </c>
      <c r="FS530" s="2">
        <v>0</v>
      </c>
      <c r="FT530" s="2"/>
      <c r="FU530" s="2"/>
      <c r="FV530" s="2"/>
      <c r="FW530" s="2"/>
      <c r="FX530" s="2">
        <v>97</v>
      </c>
      <c r="FY530" s="2">
        <v>51</v>
      </c>
      <c r="FZ530" s="2"/>
      <c r="GA530" s="2" t="s">
        <v>399</v>
      </c>
      <c r="GB530" s="2"/>
      <c r="GC530" s="2"/>
      <c r="GD530" s="2">
        <v>1</v>
      </c>
      <c r="GE530" s="2"/>
      <c r="GF530" s="2">
        <v>289316724</v>
      </c>
      <c r="GG530" s="2">
        <v>2</v>
      </c>
      <c r="GH530" s="2">
        <v>4</v>
      </c>
      <c r="GI530" s="2">
        <v>-2</v>
      </c>
      <c r="GJ530" s="2">
        <v>0</v>
      </c>
      <c r="GK530" s="2">
        <v>0</v>
      </c>
      <c r="GL530" s="2">
        <f t="shared" si="451"/>
        <v>0</v>
      </c>
      <c r="GM530" s="2">
        <f t="shared" si="452"/>
        <v>2299.9899999999998</v>
      </c>
      <c r="GN530" s="2">
        <f t="shared" si="453"/>
        <v>0</v>
      </c>
      <c r="GO530" s="2">
        <f t="shared" si="454"/>
        <v>2299.9899999999998</v>
      </c>
      <c r="GP530" s="2">
        <f t="shared" si="455"/>
        <v>0</v>
      </c>
      <c r="GQ530" s="2"/>
      <c r="GR530" s="2">
        <v>0</v>
      </c>
      <c r="GS530" s="2">
        <v>2</v>
      </c>
      <c r="GT530" s="2">
        <v>0</v>
      </c>
      <c r="GU530" s="2" t="s">
        <v>3</v>
      </c>
      <c r="GV530" s="2">
        <f t="shared" si="456"/>
        <v>0</v>
      </c>
      <c r="GW530" s="2">
        <v>1</v>
      </c>
      <c r="GX530" s="2">
        <f t="shared" si="457"/>
        <v>0</v>
      </c>
      <c r="GY530" s="2"/>
      <c r="GZ530" s="2"/>
      <c r="HA530" s="2">
        <v>0</v>
      </c>
      <c r="HB530" s="2">
        <v>0</v>
      </c>
      <c r="HC530" s="2">
        <f t="shared" si="458"/>
        <v>0</v>
      </c>
      <c r="HD530" s="2"/>
      <c r="HE530" s="2" t="s">
        <v>347</v>
      </c>
      <c r="HF530" s="2" t="s">
        <v>34</v>
      </c>
      <c r="HG530" s="2"/>
      <c r="HH530" s="2"/>
      <c r="HI530" s="2"/>
      <c r="HJ530" s="2"/>
      <c r="HK530" s="2"/>
      <c r="HL530" s="2"/>
      <c r="HM530" s="2" t="s">
        <v>104</v>
      </c>
      <c r="HN530" s="2" t="s">
        <v>3</v>
      </c>
      <c r="HO530" s="2" t="s">
        <v>3</v>
      </c>
      <c r="HP530" s="2" t="s">
        <v>3</v>
      </c>
      <c r="HQ530" s="2" t="s">
        <v>3</v>
      </c>
      <c r="HR530" s="2"/>
      <c r="HS530" s="2">
        <v>0</v>
      </c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>
        <v>0</v>
      </c>
      <c r="IL530" s="2"/>
      <c r="IM530" s="2"/>
      <c r="IN530" s="2"/>
      <c r="IO530" s="2"/>
      <c r="IP530" s="2"/>
      <c r="IQ530" s="2"/>
      <c r="IR530" s="2"/>
      <c r="IS530" s="2"/>
      <c r="IT530" s="2"/>
      <c r="IU530" s="2"/>
    </row>
    <row r="531" spans="1:255" x14ac:dyDescent="0.25">
      <c r="A531" s="3">
        <v>18</v>
      </c>
      <c r="B531" s="3">
        <v>1</v>
      </c>
      <c r="C531" s="3">
        <v>350</v>
      </c>
      <c r="E531" s="3" t="s">
        <v>3</v>
      </c>
      <c r="F531" s="3" t="s">
        <v>397</v>
      </c>
      <c r="G531" s="3" t="s">
        <v>398</v>
      </c>
      <c r="H531" s="3" t="s">
        <v>390</v>
      </c>
      <c r="I531" s="3">
        <f>I529*J531</f>
        <v>103</v>
      </c>
      <c r="J531" s="3">
        <v>34.333333333333336</v>
      </c>
      <c r="K531" s="3">
        <v>34.3333333</v>
      </c>
      <c r="O531" s="3">
        <f t="shared" si="434"/>
        <v>22631.9</v>
      </c>
      <c r="P531" s="3">
        <f t="shared" si="435"/>
        <v>22631.9</v>
      </c>
      <c r="Q531" s="3">
        <f t="shared" si="459"/>
        <v>0</v>
      </c>
      <c r="R531" s="3">
        <f t="shared" si="460"/>
        <v>0</v>
      </c>
      <c r="S531" s="3">
        <f t="shared" si="436"/>
        <v>0</v>
      </c>
      <c r="T531" s="3">
        <f t="shared" si="437"/>
        <v>0</v>
      </c>
      <c r="U531" s="3">
        <f t="shared" si="438"/>
        <v>0</v>
      </c>
      <c r="V531" s="3">
        <f t="shared" si="439"/>
        <v>0</v>
      </c>
      <c r="W531" s="3">
        <f t="shared" si="440"/>
        <v>0</v>
      </c>
      <c r="X531" s="3">
        <f t="shared" si="461"/>
        <v>0</v>
      </c>
      <c r="Y531" s="3">
        <f t="shared" si="462"/>
        <v>0</v>
      </c>
      <c r="AA531" s="3">
        <v>-1</v>
      </c>
      <c r="AB531" s="3">
        <f t="shared" si="441"/>
        <v>22.33</v>
      </c>
      <c r="AC531" s="3">
        <f t="shared" si="463"/>
        <v>22.33</v>
      </c>
      <c r="AD531" s="3">
        <f t="shared" si="464"/>
        <v>0</v>
      </c>
      <c r="AE531" s="3">
        <f t="shared" si="465"/>
        <v>0</v>
      </c>
      <c r="AF531" s="3">
        <f t="shared" si="465"/>
        <v>0</v>
      </c>
      <c r="AG531" s="3">
        <f t="shared" si="442"/>
        <v>0</v>
      </c>
      <c r="AH531" s="3">
        <f t="shared" si="466"/>
        <v>0</v>
      </c>
      <c r="AI531" s="3">
        <f t="shared" si="466"/>
        <v>0</v>
      </c>
      <c r="AJ531" s="3">
        <f t="shared" si="443"/>
        <v>0</v>
      </c>
      <c r="AK531" s="3">
        <v>22.330000000000002</v>
      </c>
      <c r="AL531" s="3">
        <v>22.330000000000002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97</v>
      </c>
      <c r="AU531" s="3">
        <v>51</v>
      </c>
      <c r="AV531" s="3">
        <v>1</v>
      </c>
      <c r="AW531" s="3">
        <v>1</v>
      </c>
      <c r="AZ531" s="3">
        <v>1</v>
      </c>
      <c r="BA531" s="3">
        <v>1</v>
      </c>
      <c r="BB531" s="3">
        <v>1</v>
      </c>
      <c r="BC531" s="3">
        <v>9.84</v>
      </c>
      <c r="BD531" s="3" t="s">
        <v>3</v>
      </c>
      <c r="BE531" s="3" t="s">
        <v>3</v>
      </c>
      <c r="BF531" s="3" t="s">
        <v>3</v>
      </c>
      <c r="BG531" s="3" t="s">
        <v>3</v>
      </c>
      <c r="BH531" s="3">
        <v>3</v>
      </c>
      <c r="BI531" s="3">
        <v>2</v>
      </c>
      <c r="BJ531" s="3" t="s">
        <v>3</v>
      </c>
      <c r="BM531" s="3">
        <v>67</v>
      </c>
      <c r="BN531" s="3">
        <v>0</v>
      </c>
      <c r="BO531" s="3" t="s">
        <v>3</v>
      </c>
      <c r="BP531" s="3">
        <v>0</v>
      </c>
      <c r="BQ531" s="3">
        <v>40</v>
      </c>
      <c r="BR531" s="3">
        <v>0</v>
      </c>
      <c r="BS531" s="3">
        <v>1</v>
      </c>
      <c r="BT531" s="3">
        <v>1</v>
      </c>
      <c r="BU531" s="3">
        <v>1</v>
      </c>
      <c r="BV531" s="3">
        <v>1</v>
      </c>
      <c r="BW531" s="3">
        <v>1</v>
      </c>
      <c r="BX531" s="3">
        <v>1</v>
      </c>
      <c r="BY531" s="3" t="s">
        <v>3</v>
      </c>
      <c r="BZ531" s="3">
        <v>97</v>
      </c>
      <c r="CA531" s="3">
        <v>51</v>
      </c>
      <c r="CB531" s="3" t="s">
        <v>3</v>
      </c>
      <c r="CE531" s="3">
        <v>1566</v>
      </c>
      <c r="CF531" s="3">
        <v>0</v>
      </c>
      <c r="CG531" s="3">
        <v>0</v>
      </c>
      <c r="CM531" s="3">
        <v>0</v>
      </c>
      <c r="CN531" s="3" t="s">
        <v>615</v>
      </c>
      <c r="CO531" s="3">
        <v>0</v>
      </c>
      <c r="CP531" s="3">
        <f t="shared" si="444"/>
        <v>22631.9</v>
      </c>
      <c r="CQ531" s="3">
        <f t="shared" si="445"/>
        <v>219.73</v>
      </c>
      <c r="CR531" s="3">
        <f t="shared" si="467"/>
        <v>0</v>
      </c>
      <c r="CS531" s="3">
        <f t="shared" si="468"/>
        <v>0</v>
      </c>
      <c r="CT531" s="3">
        <f t="shared" si="446"/>
        <v>0</v>
      </c>
      <c r="CU531" s="3">
        <f t="shared" si="447"/>
        <v>0</v>
      </c>
      <c r="CV531" s="3">
        <f t="shared" si="448"/>
        <v>0</v>
      </c>
      <c r="CW531" s="3">
        <f t="shared" si="449"/>
        <v>0</v>
      </c>
      <c r="CX531" s="3">
        <f t="shared" si="450"/>
        <v>0</v>
      </c>
      <c r="CY531" s="3">
        <f t="shared" si="469"/>
        <v>0</v>
      </c>
      <c r="CZ531" s="3">
        <f t="shared" si="470"/>
        <v>0</v>
      </c>
      <c r="DC531" s="3" t="s">
        <v>3</v>
      </c>
      <c r="DD531" s="3" t="s">
        <v>3</v>
      </c>
      <c r="DE531" s="3" t="s">
        <v>3</v>
      </c>
      <c r="DF531" s="3" t="s">
        <v>3</v>
      </c>
      <c r="DG531" s="3" t="s">
        <v>3</v>
      </c>
      <c r="DH531" s="3" t="s">
        <v>3</v>
      </c>
      <c r="DI531" s="3" t="s">
        <v>3</v>
      </c>
      <c r="DJ531" s="3" t="s">
        <v>3</v>
      </c>
      <c r="DK531" s="3" t="s">
        <v>3</v>
      </c>
      <c r="DL531" s="3" t="s">
        <v>3</v>
      </c>
      <c r="DM531" s="3" t="s">
        <v>3</v>
      </c>
      <c r="DN531" s="3">
        <v>0</v>
      </c>
      <c r="DO531" s="3">
        <v>0</v>
      </c>
      <c r="DP531" s="3">
        <v>1</v>
      </c>
      <c r="DQ531" s="3">
        <v>1</v>
      </c>
      <c r="DU531" s="3">
        <v>1013</v>
      </c>
      <c r="DV531" s="3" t="s">
        <v>390</v>
      </c>
      <c r="DW531" s="3" t="s">
        <v>390</v>
      </c>
      <c r="DX531" s="3">
        <v>1</v>
      </c>
      <c r="DZ531" s="3" t="s">
        <v>3</v>
      </c>
      <c r="EA531" s="3" t="s">
        <v>3</v>
      </c>
      <c r="EB531" s="3" t="s">
        <v>3</v>
      </c>
      <c r="EC531" s="3" t="s">
        <v>3</v>
      </c>
      <c r="EE531" s="3">
        <v>57042957</v>
      </c>
      <c r="EF531" s="3">
        <v>40</v>
      </c>
      <c r="EG531" s="3" t="s">
        <v>30</v>
      </c>
      <c r="EH531" s="3">
        <v>0</v>
      </c>
      <c r="EI531" s="3" t="s">
        <v>3</v>
      </c>
      <c r="EJ531" s="3">
        <v>2</v>
      </c>
      <c r="EK531" s="3">
        <v>67</v>
      </c>
      <c r="EL531" s="3" t="s">
        <v>80</v>
      </c>
      <c r="EM531" s="3" t="s">
        <v>81</v>
      </c>
      <c r="EO531" s="3" t="s">
        <v>109</v>
      </c>
      <c r="EQ531" s="3">
        <v>2098176</v>
      </c>
      <c r="ER531" s="3">
        <v>22.330000000000002</v>
      </c>
      <c r="ES531" s="3">
        <v>22.330000000000002</v>
      </c>
      <c r="ET531" s="3">
        <v>0</v>
      </c>
      <c r="EU531" s="3">
        <v>0</v>
      </c>
      <c r="EV531" s="3">
        <v>0</v>
      </c>
      <c r="EW531" s="3">
        <v>0</v>
      </c>
      <c r="EX531" s="3">
        <v>0</v>
      </c>
      <c r="EZ531" s="3">
        <v>5</v>
      </c>
      <c r="FC531" s="3">
        <v>1</v>
      </c>
      <c r="FD531" s="3">
        <v>18</v>
      </c>
      <c r="FF531" s="3">
        <v>262.8</v>
      </c>
      <c r="FQ531" s="3">
        <v>0</v>
      </c>
      <c r="FR531" s="3">
        <v>0</v>
      </c>
      <c r="FS531" s="3">
        <v>0</v>
      </c>
      <c r="FX531" s="3">
        <v>97</v>
      </c>
      <c r="FY531" s="3">
        <v>51</v>
      </c>
      <c r="GA531" s="3" t="s">
        <v>399</v>
      </c>
      <c r="GD531" s="3">
        <v>1</v>
      </c>
      <c r="GF531" s="3">
        <v>289316724</v>
      </c>
      <c r="GG531" s="3">
        <v>2</v>
      </c>
      <c r="GH531" s="3">
        <v>3</v>
      </c>
      <c r="GI531" s="3">
        <v>5</v>
      </c>
      <c r="GJ531" s="3">
        <v>0</v>
      </c>
      <c r="GK531" s="3">
        <v>0</v>
      </c>
      <c r="GL531" s="3">
        <f t="shared" si="451"/>
        <v>0</v>
      </c>
      <c r="GM531" s="3">
        <f t="shared" si="452"/>
        <v>22631.9</v>
      </c>
      <c r="GN531" s="3">
        <f t="shared" si="453"/>
        <v>0</v>
      </c>
      <c r="GO531" s="3">
        <f t="shared" si="454"/>
        <v>22631.9</v>
      </c>
      <c r="GP531" s="3">
        <f t="shared" si="455"/>
        <v>0</v>
      </c>
      <c r="GR531" s="3">
        <v>1</v>
      </c>
      <c r="GS531" s="3">
        <v>1</v>
      </c>
      <c r="GT531" s="3">
        <v>0</v>
      </c>
      <c r="GU531" s="3" t="s">
        <v>3</v>
      </c>
      <c r="GV531" s="3">
        <f t="shared" si="456"/>
        <v>0</v>
      </c>
      <c r="GW531" s="3">
        <v>1</v>
      </c>
      <c r="GX531" s="3">
        <f t="shared" si="457"/>
        <v>0</v>
      </c>
      <c r="HA531" s="3">
        <v>0</v>
      </c>
      <c r="HB531" s="3">
        <v>0</v>
      </c>
      <c r="HC531" s="3">
        <f t="shared" si="458"/>
        <v>0</v>
      </c>
      <c r="HE531" s="3" t="s">
        <v>347</v>
      </c>
      <c r="HF531" s="3" t="s">
        <v>34</v>
      </c>
      <c r="HM531" s="3" t="s">
        <v>104</v>
      </c>
      <c r="HN531" s="3" t="s">
        <v>3</v>
      </c>
      <c r="HO531" s="3" t="s">
        <v>3</v>
      </c>
      <c r="HP531" s="3" t="s">
        <v>3</v>
      </c>
      <c r="HQ531" s="3" t="s">
        <v>3</v>
      </c>
      <c r="HS531" s="3">
        <v>0</v>
      </c>
      <c r="IK531" s="3">
        <v>0</v>
      </c>
    </row>
    <row r="532" spans="1:255" x14ac:dyDescent="0.25">
      <c r="A532" s="2">
        <v>18</v>
      </c>
      <c r="B532" s="2">
        <v>1</v>
      </c>
      <c r="C532" s="2">
        <v>339</v>
      </c>
      <c r="D532" s="2"/>
      <c r="E532" s="2" t="s">
        <v>3</v>
      </c>
      <c r="F532" s="2" t="s">
        <v>401</v>
      </c>
      <c r="G532" s="2" t="s">
        <v>402</v>
      </c>
      <c r="H532" s="2" t="s">
        <v>390</v>
      </c>
      <c r="I532" s="2">
        <f>I528*J532</f>
        <v>103</v>
      </c>
      <c r="J532" s="2">
        <v>34.333333333333336</v>
      </c>
      <c r="K532" s="2">
        <v>34.3333333</v>
      </c>
      <c r="L532" s="2"/>
      <c r="M532" s="2"/>
      <c r="N532" s="2"/>
      <c r="O532" s="2">
        <f t="shared" si="434"/>
        <v>1920.95</v>
      </c>
      <c r="P532" s="2">
        <f t="shared" si="435"/>
        <v>1920.95</v>
      </c>
      <c r="Q532" s="2">
        <f t="shared" si="459"/>
        <v>0</v>
      </c>
      <c r="R532" s="2">
        <f t="shared" si="460"/>
        <v>0</v>
      </c>
      <c r="S532" s="2">
        <f t="shared" si="436"/>
        <v>0</v>
      </c>
      <c r="T532" s="2">
        <f t="shared" si="437"/>
        <v>0</v>
      </c>
      <c r="U532" s="2">
        <f t="shared" si="438"/>
        <v>0</v>
      </c>
      <c r="V532" s="2">
        <f t="shared" si="439"/>
        <v>0</v>
      </c>
      <c r="W532" s="2">
        <f t="shared" si="440"/>
        <v>0</v>
      </c>
      <c r="X532" s="2">
        <f t="shared" si="461"/>
        <v>0</v>
      </c>
      <c r="Y532" s="2">
        <f t="shared" si="462"/>
        <v>0</v>
      </c>
      <c r="Z532" s="2"/>
      <c r="AA532" s="2">
        <v>-1</v>
      </c>
      <c r="AB532" s="2">
        <f t="shared" si="441"/>
        <v>18.649999999999999</v>
      </c>
      <c r="AC532" s="2">
        <f t="shared" si="463"/>
        <v>18.649999999999999</v>
      </c>
      <c r="AD532" s="2">
        <f t="shared" si="464"/>
        <v>0</v>
      </c>
      <c r="AE532" s="2">
        <f t="shared" si="465"/>
        <v>0</v>
      </c>
      <c r="AF532" s="2">
        <f t="shared" si="465"/>
        <v>0</v>
      </c>
      <c r="AG532" s="2">
        <f t="shared" si="442"/>
        <v>0</v>
      </c>
      <c r="AH532" s="2">
        <f t="shared" si="466"/>
        <v>0</v>
      </c>
      <c r="AI532" s="2">
        <f t="shared" si="466"/>
        <v>0</v>
      </c>
      <c r="AJ532" s="2">
        <f t="shared" si="443"/>
        <v>0</v>
      </c>
      <c r="AK532" s="2">
        <v>18.650000000000002</v>
      </c>
      <c r="AL532" s="2">
        <v>18.650000000000002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97</v>
      </c>
      <c r="AU532" s="2">
        <v>51</v>
      </c>
      <c r="AV532" s="2">
        <v>1</v>
      </c>
      <c r="AW532" s="2">
        <v>1</v>
      </c>
      <c r="AX532" s="2"/>
      <c r="AY532" s="2"/>
      <c r="AZ532" s="2">
        <v>1</v>
      </c>
      <c r="BA532" s="2">
        <v>1</v>
      </c>
      <c r="BB532" s="2">
        <v>1</v>
      </c>
      <c r="BC532" s="2">
        <v>1</v>
      </c>
      <c r="BD532" s="2" t="s">
        <v>3</v>
      </c>
      <c r="BE532" s="2" t="s">
        <v>3</v>
      </c>
      <c r="BF532" s="2" t="s">
        <v>3</v>
      </c>
      <c r="BG532" s="2" t="s">
        <v>3</v>
      </c>
      <c r="BH532" s="2">
        <v>3</v>
      </c>
      <c r="BI532" s="2">
        <v>2</v>
      </c>
      <c r="BJ532" s="2" t="s">
        <v>3</v>
      </c>
      <c r="BK532" s="2"/>
      <c r="BL532" s="2"/>
      <c r="BM532" s="2">
        <v>67</v>
      </c>
      <c r="BN532" s="2">
        <v>0</v>
      </c>
      <c r="BO532" s="2" t="s">
        <v>3</v>
      </c>
      <c r="BP532" s="2">
        <v>0</v>
      </c>
      <c r="BQ532" s="2">
        <v>40</v>
      </c>
      <c r="BR532" s="2">
        <v>0</v>
      </c>
      <c r="BS532" s="2">
        <v>1</v>
      </c>
      <c r="BT532" s="2">
        <v>1</v>
      </c>
      <c r="BU532" s="2">
        <v>1</v>
      </c>
      <c r="BV532" s="2">
        <v>1</v>
      </c>
      <c r="BW532" s="2">
        <v>1</v>
      </c>
      <c r="BX532" s="2">
        <v>1</v>
      </c>
      <c r="BY532" s="2" t="s">
        <v>3</v>
      </c>
      <c r="BZ532" s="2">
        <v>97</v>
      </c>
      <c r="CA532" s="2">
        <v>51</v>
      </c>
      <c r="CB532" s="2" t="s">
        <v>3</v>
      </c>
      <c r="CC532" s="2"/>
      <c r="CD532" s="2"/>
      <c r="CE532" s="2">
        <v>1566</v>
      </c>
      <c r="CF532" s="2">
        <v>0</v>
      </c>
      <c r="CG532" s="2">
        <v>0</v>
      </c>
      <c r="CH532" s="2"/>
      <c r="CI532" s="2"/>
      <c r="CJ532" s="2"/>
      <c r="CK532" s="2"/>
      <c r="CL532" s="2"/>
      <c r="CM532" s="2">
        <v>0</v>
      </c>
      <c r="CN532" s="2" t="s">
        <v>615</v>
      </c>
      <c r="CO532" s="2">
        <v>0</v>
      </c>
      <c r="CP532" s="2">
        <f t="shared" si="444"/>
        <v>1920.95</v>
      </c>
      <c r="CQ532" s="2">
        <f t="shared" si="445"/>
        <v>18.649999999999999</v>
      </c>
      <c r="CR532" s="2">
        <f t="shared" si="467"/>
        <v>0</v>
      </c>
      <c r="CS532" s="2">
        <f t="shared" si="468"/>
        <v>0</v>
      </c>
      <c r="CT532" s="2">
        <f t="shared" si="446"/>
        <v>0</v>
      </c>
      <c r="CU532" s="2">
        <f t="shared" si="447"/>
        <v>0</v>
      </c>
      <c r="CV532" s="2">
        <f t="shared" si="448"/>
        <v>0</v>
      </c>
      <c r="CW532" s="2">
        <f t="shared" si="449"/>
        <v>0</v>
      </c>
      <c r="CX532" s="2">
        <f t="shared" si="450"/>
        <v>0</v>
      </c>
      <c r="CY532" s="2">
        <f t="shared" si="469"/>
        <v>0</v>
      </c>
      <c r="CZ532" s="2">
        <f t="shared" si="470"/>
        <v>0</v>
      </c>
      <c r="DA532" s="2"/>
      <c r="DB532" s="2"/>
      <c r="DC532" s="2" t="s">
        <v>3</v>
      </c>
      <c r="DD532" s="2" t="s">
        <v>3</v>
      </c>
      <c r="DE532" s="2" t="s">
        <v>3</v>
      </c>
      <c r="DF532" s="2" t="s">
        <v>3</v>
      </c>
      <c r="DG532" s="2" t="s">
        <v>3</v>
      </c>
      <c r="DH532" s="2" t="s">
        <v>3</v>
      </c>
      <c r="DI532" s="2" t="s">
        <v>3</v>
      </c>
      <c r="DJ532" s="2" t="s">
        <v>3</v>
      </c>
      <c r="DK532" s="2" t="s">
        <v>3</v>
      </c>
      <c r="DL532" s="2" t="s">
        <v>3</v>
      </c>
      <c r="DM532" s="2" t="s">
        <v>3</v>
      </c>
      <c r="DN532" s="2">
        <v>0</v>
      </c>
      <c r="DO532" s="2">
        <v>0</v>
      </c>
      <c r="DP532" s="2">
        <v>1</v>
      </c>
      <c r="DQ532" s="2">
        <v>1</v>
      </c>
      <c r="DR532" s="2"/>
      <c r="DS532" s="2"/>
      <c r="DT532" s="2"/>
      <c r="DU532" s="2">
        <v>1013</v>
      </c>
      <c r="DV532" s="2" t="s">
        <v>390</v>
      </c>
      <c r="DW532" s="2" t="s">
        <v>390</v>
      </c>
      <c r="DX532" s="2">
        <v>1</v>
      </c>
      <c r="DY532" s="2"/>
      <c r="DZ532" s="2" t="s">
        <v>3</v>
      </c>
      <c r="EA532" s="2" t="s">
        <v>3</v>
      </c>
      <c r="EB532" s="2" t="s">
        <v>3</v>
      </c>
      <c r="EC532" s="2" t="s">
        <v>3</v>
      </c>
      <c r="ED532" s="2"/>
      <c r="EE532" s="2">
        <v>57042957</v>
      </c>
      <c r="EF532" s="2">
        <v>40</v>
      </c>
      <c r="EG532" s="2" t="s">
        <v>30</v>
      </c>
      <c r="EH532" s="2">
        <v>0</v>
      </c>
      <c r="EI532" s="2" t="s">
        <v>3</v>
      </c>
      <c r="EJ532" s="2">
        <v>2</v>
      </c>
      <c r="EK532" s="2">
        <v>67</v>
      </c>
      <c r="EL532" s="2" t="s">
        <v>80</v>
      </c>
      <c r="EM532" s="2" t="s">
        <v>81</v>
      </c>
      <c r="EN532" s="2"/>
      <c r="EO532" s="2" t="s">
        <v>109</v>
      </c>
      <c r="EP532" s="2"/>
      <c r="EQ532" s="2">
        <v>2098176</v>
      </c>
      <c r="ER532" s="2">
        <v>0</v>
      </c>
      <c r="ES532" s="2">
        <v>18.650000000000002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>
        <v>0</v>
      </c>
      <c r="FR532" s="2">
        <v>0</v>
      </c>
      <c r="FS532" s="2">
        <v>0</v>
      </c>
      <c r="FT532" s="2"/>
      <c r="FU532" s="2"/>
      <c r="FV532" s="2"/>
      <c r="FW532" s="2"/>
      <c r="FX532" s="2">
        <v>97</v>
      </c>
      <c r="FY532" s="2">
        <v>51</v>
      </c>
      <c r="FZ532" s="2"/>
      <c r="GA532" s="2" t="s">
        <v>403</v>
      </c>
      <c r="GB532" s="2"/>
      <c r="GC532" s="2"/>
      <c r="GD532" s="2">
        <v>1</v>
      </c>
      <c r="GE532" s="2"/>
      <c r="GF532" s="2">
        <v>-1347352361</v>
      </c>
      <c r="GG532" s="2">
        <v>2</v>
      </c>
      <c r="GH532" s="2">
        <v>4</v>
      </c>
      <c r="GI532" s="2">
        <v>-2</v>
      </c>
      <c r="GJ532" s="2">
        <v>0</v>
      </c>
      <c r="GK532" s="2">
        <v>0</v>
      </c>
      <c r="GL532" s="2">
        <f t="shared" si="451"/>
        <v>0</v>
      </c>
      <c r="GM532" s="2">
        <f t="shared" si="452"/>
        <v>1920.95</v>
      </c>
      <c r="GN532" s="2">
        <f t="shared" si="453"/>
        <v>0</v>
      </c>
      <c r="GO532" s="2">
        <f t="shared" si="454"/>
        <v>1920.95</v>
      </c>
      <c r="GP532" s="2">
        <f t="shared" si="455"/>
        <v>0</v>
      </c>
      <c r="GQ532" s="2"/>
      <c r="GR532" s="2">
        <v>0</v>
      </c>
      <c r="GS532" s="2">
        <v>2</v>
      </c>
      <c r="GT532" s="2">
        <v>0</v>
      </c>
      <c r="GU532" s="2" t="s">
        <v>3</v>
      </c>
      <c r="GV532" s="2">
        <f t="shared" si="456"/>
        <v>0</v>
      </c>
      <c r="GW532" s="2">
        <v>1</v>
      </c>
      <c r="GX532" s="2">
        <f t="shared" si="457"/>
        <v>0</v>
      </c>
      <c r="GY532" s="2"/>
      <c r="GZ532" s="2"/>
      <c r="HA532" s="2">
        <v>0</v>
      </c>
      <c r="HB532" s="2">
        <v>0</v>
      </c>
      <c r="HC532" s="2">
        <f t="shared" si="458"/>
        <v>0</v>
      </c>
      <c r="HD532" s="2"/>
      <c r="HE532" s="2" t="s">
        <v>347</v>
      </c>
      <c r="HF532" s="2" t="s">
        <v>34</v>
      </c>
      <c r="HG532" s="2"/>
      <c r="HH532" s="2"/>
      <c r="HI532" s="2"/>
      <c r="HJ532" s="2"/>
      <c r="HK532" s="2"/>
      <c r="HL532" s="2"/>
      <c r="HM532" s="2" t="s">
        <v>104</v>
      </c>
      <c r="HN532" s="2" t="s">
        <v>3</v>
      </c>
      <c r="HO532" s="2" t="s">
        <v>3</v>
      </c>
      <c r="HP532" s="2" t="s">
        <v>3</v>
      </c>
      <c r="HQ532" s="2" t="s">
        <v>3</v>
      </c>
      <c r="HR532" s="2"/>
      <c r="HS532" s="2">
        <v>0</v>
      </c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>
        <v>0</v>
      </c>
      <c r="IL532" s="2"/>
      <c r="IM532" s="2"/>
      <c r="IN532" s="2"/>
      <c r="IO532" s="2"/>
      <c r="IP532" s="2"/>
      <c r="IQ532" s="2"/>
      <c r="IR532" s="2"/>
      <c r="IS532" s="2"/>
      <c r="IT532" s="2"/>
      <c r="IU532" s="2"/>
    </row>
    <row r="533" spans="1:255" x14ac:dyDescent="0.25">
      <c r="A533" s="3">
        <v>18</v>
      </c>
      <c r="B533" s="3">
        <v>1</v>
      </c>
      <c r="C533" s="3">
        <v>351</v>
      </c>
      <c r="E533" s="3" t="s">
        <v>3</v>
      </c>
      <c r="F533" s="3" t="s">
        <v>401</v>
      </c>
      <c r="G533" s="3" t="s">
        <v>402</v>
      </c>
      <c r="H533" s="3" t="s">
        <v>390</v>
      </c>
      <c r="I533" s="3">
        <f>I529*J533</f>
        <v>103</v>
      </c>
      <c r="J533" s="3">
        <v>34.333333333333336</v>
      </c>
      <c r="K533" s="3">
        <v>34.3333333</v>
      </c>
      <c r="O533" s="3">
        <f t="shared" si="434"/>
        <v>18902.150000000001</v>
      </c>
      <c r="P533" s="3">
        <f t="shared" si="435"/>
        <v>18902.150000000001</v>
      </c>
      <c r="Q533" s="3">
        <f t="shared" si="459"/>
        <v>0</v>
      </c>
      <c r="R533" s="3">
        <f t="shared" si="460"/>
        <v>0</v>
      </c>
      <c r="S533" s="3">
        <f t="shared" si="436"/>
        <v>0</v>
      </c>
      <c r="T533" s="3">
        <f t="shared" si="437"/>
        <v>0</v>
      </c>
      <c r="U533" s="3">
        <f t="shared" si="438"/>
        <v>0</v>
      </c>
      <c r="V533" s="3">
        <f t="shared" si="439"/>
        <v>0</v>
      </c>
      <c r="W533" s="3">
        <f t="shared" si="440"/>
        <v>0</v>
      </c>
      <c r="X533" s="3">
        <f t="shared" si="461"/>
        <v>0</v>
      </c>
      <c r="Y533" s="3">
        <f t="shared" si="462"/>
        <v>0</v>
      </c>
      <c r="AA533" s="3">
        <v>-1</v>
      </c>
      <c r="AB533" s="3">
        <f t="shared" si="441"/>
        <v>18.649999999999999</v>
      </c>
      <c r="AC533" s="3">
        <f t="shared" si="463"/>
        <v>18.649999999999999</v>
      </c>
      <c r="AD533" s="3">
        <f t="shared" si="464"/>
        <v>0</v>
      </c>
      <c r="AE533" s="3">
        <f t="shared" si="465"/>
        <v>0</v>
      </c>
      <c r="AF533" s="3">
        <f t="shared" si="465"/>
        <v>0</v>
      </c>
      <c r="AG533" s="3">
        <f t="shared" si="442"/>
        <v>0</v>
      </c>
      <c r="AH533" s="3">
        <f t="shared" si="466"/>
        <v>0</v>
      </c>
      <c r="AI533" s="3">
        <f t="shared" si="466"/>
        <v>0</v>
      </c>
      <c r="AJ533" s="3">
        <f t="shared" si="443"/>
        <v>0</v>
      </c>
      <c r="AK533" s="3">
        <v>18.650000000000002</v>
      </c>
      <c r="AL533" s="3">
        <v>18.650000000000002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97</v>
      </c>
      <c r="AU533" s="3">
        <v>51</v>
      </c>
      <c r="AV533" s="3">
        <v>1</v>
      </c>
      <c r="AW533" s="3">
        <v>1</v>
      </c>
      <c r="AZ533" s="3">
        <v>1</v>
      </c>
      <c r="BA533" s="3">
        <v>1</v>
      </c>
      <c r="BB533" s="3">
        <v>1</v>
      </c>
      <c r="BC533" s="3">
        <v>9.84</v>
      </c>
      <c r="BD533" s="3" t="s">
        <v>3</v>
      </c>
      <c r="BE533" s="3" t="s">
        <v>3</v>
      </c>
      <c r="BF533" s="3" t="s">
        <v>3</v>
      </c>
      <c r="BG533" s="3" t="s">
        <v>3</v>
      </c>
      <c r="BH533" s="3">
        <v>3</v>
      </c>
      <c r="BI533" s="3">
        <v>2</v>
      </c>
      <c r="BJ533" s="3" t="s">
        <v>3</v>
      </c>
      <c r="BM533" s="3">
        <v>67</v>
      </c>
      <c r="BN533" s="3">
        <v>0</v>
      </c>
      <c r="BO533" s="3" t="s">
        <v>3</v>
      </c>
      <c r="BP533" s="3">
        <v>0</v>
      </c>
      <c r="BQ533" s="3">
        <v>40</v>
      </c>
      <c r="BR533" s="3">
        <v>0</v>
      </c>
      <c r="BS533" s="3">
        <v>1</v>
      </c>
      <c r="BT533" s="3">
        <v>1</v>
      </c>
      <c r="BU533" s="3">
        <v>1</v>
      </c>
      <c r="BV533" s="3">
        <v>1</v>
      </c>
      <c r="BW533" s="3">
        <v>1</v>
      </c>
      <c r="BX533" s="3">
        <v>1</v>
      </c>
      <c r="BY533" s="3" t="s">
        <v>3</v>
      </c>
      <c r="BZ533" s="3">
        <v>97</v>
      </c>
      <c r="CA533" s="3">
        <v>51</v>
      </c>
      <c r="CB533" s="3" t="s">
        <v>3</v>
      </c>
      <c r="CE533" s="3">
        <v>1566</v>
      </c>
      <c r="CF533" s="3">
        <v>0</v>
      </c>
      <c r="CG533" s="3">
        <v>0</v>
      </c>
      <c r="CM533" s="3">
        <v>0</v>
      </c>
      <c r="CN533" s="3" t="s">
        <v>615</v>
      </c>
      <c r="CO533" s="3">
        <v>0</v>
      </c>
      <c r="CP533" s="3">
        <f t="shared" si="444"/>
        <v>18902.150000000001</v>
      </c>
      <c r="CQ533" s="3">
        <f t="shared" si="445"/>
        <v>183.52</v>
      </c>
      <c r="CR533" s="3">
        <f t="shared" si="467"/>
        <v>0</v>
      </c>
      <c r="CS533" s="3">
        <f t="shared" si="468"/>
        <v>0</v>
      </c>
      <c r="CT533" s="3">
        <f t="shared" si="446"/>
        <v>0</v>
      </c>
      <c r="CU533" s="3">
        <f t="shared" si="447"/>
        <v>0</v>
      </c>
      <c r="CV533" s="3">
        <f t="shared" si="448"/>
        <v>0</v>
      </c>
      <c r="CW533" s="3">
        <f t="shared" si="449"/>
        <v>0</v>
      </c>
      <c r="CX533" s="3">
        <f t="shared" si="450"/>
        <v>0</v>
      </c>
      <c r="CY533" s="3">
        <f t="shared" si="469"/>
        <v>0</v>
      </c>
      <c r="CZ533" s="3">
        <f t="shared" si="470"/>
        <v>0</v>
      </c>
      <c r="DC533" s="3" t="s">
        <v>3</v>
      </c>
      <c r="DD533" s="3" t="s">
        <v>3</v>
      </c>
      <c r="DE533" s="3" t="s">
        <v>3</v>
      </c>
      <c r="DF533" s="3" t="s">
        <v>3</v>
      </c>
      <c r="DG533" s="3" t="s">
        <v>3</v>
      </c>
      <c r="DH533" s="3" t="s">
        <v>3</v>
      </c>
      <c r="DI533" s="3" t="s">
        <v>3</v>
      </c>
      <c r="DJ533" s="3" t="s">
        <v>3</v>
      </c>
      <c r="DK533" s="3" t="s">
        <v>3</v>
      </c>
      <c r="DL533" s="3" t="s">
        <v>3</v>
      </c>
      <c r="DM533" s="3" t="s">
        <v>3</v>
      </c>
      <c r="DN533" s="3">
        <v>0</v>
      </c>
      <c r="DO533" s="3">
        <v>0</v>
      </c>
      <c r="DP533" s="3">
        <v>1</v>
      </c>
      <c r="DQ533" s="3">
        <v>1</v>
      </c>
      <c r="DU533" s="3">
        <v>1013</v>
      </c>
      <c r="DV533" s="3" t="s">
        <v>390</v>
      </c>
      <c r="DW533" s="3" t="s">
        <v>390</v>
      </c>
      <c r="DX533" s="3">
        <v>1</v>
      </c>
      <c r="DZ533" s="3" t="s">
        <v>3</v>
      </c>
      <c r="EA533" s="3" t="s">
        <v>3</v>
      </c>
      <c r="EB533" s="3" t="s">
        <v>3</v>
      </c>
      <c r="EC533" s="3" t="s">
        <v>3</v>
      </c>
      <c r="EE533" s="3">
        <v>57042957</v>
      </c>
      <c r="EF533" s="3">
        <v>40</v>
      </c>
      <c r="EG533" s="3" t="s">
        <v>30</v>
      </c>
      <c r="EH533" s="3">
        <v>0</v>
      </c>
      <c r="EI533" s="3" t="s">
        <v>3</v>
      </c>
      <c r="EJ533" s="3">
        <v>2</v>
      </c>
      <c r="EK533" s="3">
        <v>67</v>
      </c>
      <c r="EL533" s="3" t="s">
        <v>80</v>
      </c>
      <c r="EM533" s="3" t="s">
        <v>81</v>
      </c>
      <c r="EO533" s="3" t="s">
        <v>109</v>
      </c>
      <c r="EQ533" s="3">
        <v>2098176</v>
      </c>
      <c r="ER533" s="3">
        <v>18.650000000000002</v>
      </c>
      <c r="ES533" s="3">
        <v>18.650000000000002</v>
      </c>
      <c r="ET533" s="3">
        <v>0</v>
      </c>
      <c r="EU533" s="3">
        <v>0</v>
      </c>
      <c r="EV533" s="3">
        <v>0</v>
      </c>
      <c r="EW533" s="3">
        <v>0</v>
      </c>
      <c r="EX533" s="3">
        <v>0</v>
      </c>
      <c r="EZ533" s="3">
        <v>5</v>
      </c>
      <c r="FC533" s="3">
        <v>1</v>
      </c>
      <c r="FD533" s="3">
        <v>18</v>
      </c>
      <c r="FF533" s="3">
        <v>219.5</v>
      </c>
      <c r="FQ533" s="3">
        <v>0</v>
      </c>
      <c r="FR533" s="3">
        <v>0</v>
      </c>
      <c r="FS533" s="3">
        <v>0</v>
      </c>
      <c r="FX533" s="3">
        <v>97</v>
      </c>
      <c r="FY533" s="3">
        <v>51</v>
      </c>
      <c r="GA533" s="3" t="s">
        <v>403</v>
      </c>
      <c r="GD533" s="3">
        <v>1</v>
      </c>
      <c r="GF533" s="3">
        <v>-1347352361</v>
      </c>
      <c r="GG533" s="3">
        <v>2</v>
      </c>
      <c r="GH533" s="3">
        <v>3</v>
      </c>
      <c r="GI533" s="3">
        <v>5</v>
      </c>
      <c r="GJ533" s="3">
        <v>0</v>
      </c>
      <c r="GK533" s="3">
        <v>0</v>
      </c>
      <c r="GL533" s="3">
        <f t="shared" si="451"/>
        <v>0</v>
      </c>
      <c r="GM533" s="3">
        <f t="shared" si="452"/>
        <v>18902.150000000001</v>
      </c>
      <c r="GN533" s="3">
        <f t="shared" si="453"/>
        <v>0</v>
      </c>
      <c r="GO533" s="3">
        <f t="shared" si="454"/>
        <v>18902.150000000001</v>
      </c>
      <c r="GP533" s="3">
        <f t="shared" si="455"/>
        <v>0</v>
      </c>
      <c r="GR533" s="3">
        <v>1</v>
      </c>
      <c r="GS533" s="3">
        <v>1</v>
      </c>
      <c r="GT533" s="3">
        <v>0</v>
      </c>
      <c r="GU533" s="3" t="s">
        <v>3</v>
      </c>
      <c r="GV533" s="3">
        <f t="shared" si="456"/>
        <v>0</v>
      </c>
      <c r="GW533" s="3">
        <v>1</v>
      </c>
      <c r="GX533" s="3">
        <f t="shared" si="457"/>
        <v>0</v>
      </c>
      <c r="HA533" s="3">
        <v>0</v>
      </c>
      <c r="HB533" s="3">
        <v>0</v>
      </c>
      <c r="HC533" s="3">
        <f t="shared" si="458"/>
        <v>0</v>
      </c>
      <c r="HE533" s="3" t="s">
        <v>347</v>
      </c>
      <c r="HF533" s="3" t="s">
        <v>34</v>
      </c>
      <c r="HM533" s="3" t="s">
        <v>104</v>
      </c>
      <c r="HN533" s="3" t="s">
        <v>3</v>
      </c>
      <c r="HO533" s="3" t="s">
        <v>3</v>
      </c>
      <c r="HP533" s="3" t="s">
        <v>3</v>
      </c>
      <c r="HQ533" s="3" t="s">
        <v>3</v>
      </c>
      <c r="HS533" s="3">
        <v>0</v>
      </c>
      <c r="IK533" s="3">
        <v>0</v>
      </c>
    </row>
    <row r="534" spans="1:255" x14ac:dyDescent="0.25">
      <c r="A534" s="2">
        <v>18</v>
      </c>
      <c r="B534" s="2">
        <v>1</v>
      </c>
      <c r="C534" s="2">
        <v>340</v>
      </c>
      <c r="D534" s="2"/>
      <c r="E534" s="2" t="s">
        <v>3</v>
      </c>
      <c r="F534" s="2" t="s">
        <v>405</v>
      </c>
      <c r="G534" s="2" t="s">
        <v>406</v>
      </c>
      <c r="H534" s="2" t="s">
        <v>390</v>
      </c>
      <c r="I534" s="2">
        <f>I528*J534</f>
        <v>103</v>
      </c>
      <c r="J534" s="2">
        <v>34.333333333333336</v>
      </c>
      <c r="K534" s="2">
        <v>34.3333333</v>
      </c>
      <c r="L534" s="2"/>
      <c r="M534" s="2"/>
      <c r="N534" s="2"/>
      <c r="O534" s="2">
        <f t="shared" si="434"/>
        <v>2168.15</v>
      </c>
      <c r="P534" s="2">
        <f t="shared" si="435"/>
        <v>2168.15</v>
      </c>
      <c r="Q534" s="2">
        <f t="shared" si="459"/>
        <v>0</v>
      </c>
      <c r="R534" s="2">
        <f t="shared" si="460"/>
        <v>0</v>
      </c>
      <c r="S534" s="2">
        <f t="shared" si="436"/>
        <v>0</v>
      </c>
      <c r="T534" s="2">
        <f t="shared" si="437"/>
        <v>0</v>
      </c>
      <c r="U534" s="2">
        <f t="shared" si="438"/>
        <v>0</v>
      </c>
      <c r="V534" s="2">
        <f t="shared" si="439"/>
        <v>0</v>
      </c>
      <c r="W534" s="2">
        <f t="shared" si="440"/>
        <v>0</v>
      </c>
      <c r="X534" s="2">
        <f t="shared" si="461"/>
        <v>0</v>
      </c>
      <c r="Y534" s="2">
        <f t="shared" si="462"/>
        <v>0</v>
      </c>
      <c r="Z534" s="2"/>
      <c r="AA534" s="2">
        <v>-1</v>
      </c>
      <c r="AB534" s="2">
        <f t="shared" si="441"/>
        <v>21.05</v>
      </c>
      <c r="AC534" s="2">
        <f t="shared" si="463"/>
        <v>21.05</v>
      </c>
      <c r="AD534" s="2">
        <f t="shared" si="464"/>
        <v>0</v>
      </c>
      <c r="AE534" s="2">
        <f t="shared" si="465"/>
        <v>0</v>
      </c>
      <c r="AF534" s="2">
        <f t="shared" si="465"/>
        <v>0</v>
      </c>
      <c r="AG534" s="2">
        <f t="shared" si="442"/>
        <v>0</v>
      </c>
      <c r="AH534" s="2">
        <f t="shared" si="466"/>
        <v>0</v>
      </c>
      <c r="AI534" s="2">
        <f t="shared" si="466"/>
        <v>0</v>
      </c>
      <c r="AJ534" s="2">
        <f t="shared" si="443"/>
        <v>0</v>
      </c>
      <c r="AK534" s="2">
        <v>21.05</v>
      </c>
      <c r="AL534" s="2">
        <v>21.05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97</v>
      </c>
      <c r="AU534" s="2">
        <v>51</v>
      </c>
      <c r="AV534" s="2">
        <v>1</v>
      </c>
      <c r="AW534" s="2">
        <v>1</v>
      </c>
      <c r="AX534" s="2"/>
      <c r="AY534" s="2"/>
      <c r="AZ534" s="2">
        <v>1</v>
      </c>
      <c r="BA534" s="2">
        <v>1</v>
      </c>
      <c r="BB534" s="2">
        <v>1</v>
      </c>
      <c r="BC534" s="2">
        <v>1</v>
      </c>
      <c r="BD534" s="2" t="s">
        <v>3</v>
      </c>
      <c r="BE534" s="2" t="s">
        <v>3</v>
      </c>
      <c r="BF534" s="2" t="s">
        <v>3</v>
      </c>
      <c r="BG534" s="2" t="s">
        <v>3</v>
      </c>
      <c r="BH534" s="2">
        <v>3</v>
      </c>
      <c r="BI534" s="2">
        <v>2</v>
      </c>
      <c r="BJ534" s="2" t="s">
        <v>3</v>
      </c>
      <c r="BK534" s="2"/>
      <c r="BL534" s="2"/>
      <c r="BM534" s="2">
        <v>67</v>
      </c>
      <c r="BN534" s="2">
        <v>0</v>
      </c>
      <c r="BO534" s="2" t="s">
        <v>3</v>
      </c>
      <c r="BP534" s="2">
        <v>0</v>
      </c>
      <c r="BQ534" s="2">
        <v>40</v>
      </c>
      <c r="BR534" s="2">
        <v>0</v>
      </c>
      <c r="BS534" s="2">
        <v>1</v>
      </c>
      <c r="BT534" s="2">
        <v>1</v>
      </c>
      <c r="BU534" s="2">
        <v>1</v>
      </c>
      <c r="BV534" s="2">
        <v>1</v>
      </c>
      <c r="BW534" s="2">
        <v>1</v>
      </c>
      <c r="BX534" s="2">
        <v>1</v>
      </c>
      <c r="BY534" s="2" t="s">
        <v>3</v>
      </c>
      <c r="BZ534" s="2">
        <v>97</v>
      </c>
      <c r="CA534" s="2">
        <v>51</v>
      </c>
      <c r="CB534" s="2" t="s">
        <v>3</v>
      </c>
      <c r="CC534" s="2"/>
      <c r="CD534" s="2"/>
      <c r="CE534" s="2">
        <v>1566</v>
      </c>
      <c r="CF534" s="2">
        <v>0</v>
      </c>
      <c r="CG534" s="2">
        <v>0</v>
      </c>
      <c r="CH534" s="2"/>
      <c r="CI534" s="2"/>
      <c r="CJ534" s="2"/>
      <c r="CK534" s="2"/>
      <c r="CL534" s="2"/>
      <c r="CM534" s="2">
        <v>0</v>
      </c>
      <c r="CN534" s="2" t="s">
        <v>615</v>
      </c>
      <c r="CO534" s="2">
        <v>0</v>
      </c>
      <c r="CP534" s="2">
        <f t="shared" si="444"/>
        <v>2168.15</v>
      </c>
      <c r="CQ534" s="2">
        <f t="shared" si="445"/>
        <v>21.05</v>
      </c>
      <c r="CR534" s="2">
        <f t="shared" si="467"/>
        <v>0</v>
      </c>
      <c r="CS534" s="2">
        <f t="shared" si="468"/>
        <v>0</v>
      </c>
      <c r="CT534" s="2">
        <f t="shared" si="446"/>
        <v>0</v>
      </c>
      <c r="CU534" s="2">
        <f t="shared" si="447"/>
        <v>0</v>
      </c>
      <c r="CV534" s="2">
        <f t="shared" si="448"/>
        <v>0</v>
      </c>
      <c r="CW534" s="2">
        <f t="shared" si="449"/>
        <v>0</v>
      </c>
      <c r="CX534" s="2">
        <f t="shared" si="450"/>
        <v>0</v>
      </c>
      <c r="CY534" s="2">
        <f t="shared" si="469"/>
        <v>0</v>
      </c>
      <c r="CZ534" s="2">
        <f t="shared" si="470"/>
        <v>0</v>
      </c>
      <c r="DA534" s="2"/>
      <c r="DB534" s="2"/>
      <c r="DC534" s="2" t="s">
        <v>3</v>
      </c>
      <c r="DD534" s="2" t="s">
        <v>3</v>
      </c>
      <c r="DE534" s="2" t="s">
        <v>3</v>
      </c>
      <c r="DF534" s="2" t="s">
        <v>3</v>
      </c>
      <c r="DG534" s="2" t="s">
        <v>3</v>
      </c>
      <c r="DH534" s="2" t="s">
        <v>3</v>
      </c>
      <c r="DI534" s="2" t="s">
        <v>3</v>
      </c>
      <c r="DJ534" s="2" t="s">
        <v>3</v>
      </c>
      <c r="DK534" s="2" t="s">
        <v>3</v>
      </c>
      <c r="DL534" s="2" t="s">
        <v>3</v>
      </c>
      <c r="DM534" s="2" t="s">
        <v>3</v>
      </c>
      <c r="DN534" s="2">
        <v>0</v>
      </c>
      <c r="DO534" s="2">
        <v>0</v>
      </c>
      <c r="DP534" s="2">
        <v>1</v>
      </c>
      <c r="DQ534" s="2">
        <v>1</v>
      </c>
      <c r="DR534" s="2"/>
      <c r="DS534" s="2"/>
      <c r="DT534" s="2"/>
      <c r="DU534" s="2">
        <v>1013</v>
      </c>
      <c r="DV534" s="2" t="s">
        <v>390</v>
      </c>
      <c r="DW534" s="2" t="s">
        <v>390</v>
      </c>
      <c r="DX534" s="2">
        <v>1</v>
      </c>
      <c r="DY534" s="2"/>
      <c r="DZ534" s="2" t="s">
        <v>3</v>
      </c>
      <c r="EA534" s="2" t="s">
        <v>3</v>
      </c>
      <c r="EB534" s="2" t="s">
        <v>3</v>
      </c>
      <c r="EC534" s="2" t="s">
        <v>3</v>
      </c>
      <c r="ED534" s="2"/>
      <c r="EE534" s="2">
        <v>57042957</v>
      </c>
      <c r="EF534" s="2">
        <v>40</v>
      </c>
      <c r="EG534" s="2" t="s">
        <v>30</v>
      </c>
      <c r="EH534" s="2">
        <v>0</v>
      </c>
      <c r="EI534" s="2" t="s">
        <v>3</v>
      </c>
      <c r="EJ534" s="2">
        <v>2</v>
      </c>
      <c r="EK534" s="2">
        <v>67</v>
      </c>
      <c r="EL534" s="2" t="s">
        <v>80</v>
      </c>
      <c r="EM534" s="2" t="s">
        <v>81</v>
      </c>
      <c r="EN534" s="2"/>
      <c r="EO534" s="2" t="s">
        <v>109</v>
      </c>
      <c r="EP534" s="2"/>
      <c r="EQ534" s="2">
        <v>2098176</v>
      </c>
      <c r="ER534" s="2">
        <v>0</v>
      </c>
      <c r="ES534" s="2">
        <v>21.05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>
        <v>0</v>
      </c>
      <c r="FR534" s="2">
        <v>0</v>
      </c>
      <c r="FS534" s="2">
        <v>0</v>
      </c>
      <c r="FT534" s="2"/>
      <c r="FU534" s="2"/>
      <c r="FV534" s="2"/>
      <c r="FW534" s="2"/>
      <c r="FX534" s="2">
        <v>97</v>
      </c>
      <c r="FY534" s="2">
        <v>51</v>
      </c>
      <c r="FZ534" s="2"/>
      <c r="GA534" s="2" t="s">
        <v>407</v>
      </c>
      <c r="GB534" s="2"/>
      <c r="GC534" s="2"/>
      <c r="GD534" s="2">
        <v>1</v>
      </c>
      <c r="GE534" s="2"/>
      <c r="GF534" s="2">
        <v>-1270377880</v>
      </c>
      <c r="GG534" s="2">
        <v>2</v>
      </c>
      <c r="GH534" s="2">
        <v>4</v>
      </c>
      <c r="GI534" s="2">
        <v>-2</v>
      </c>
      <c r="GJ534" s="2">
        <v>0</v>
      </c>
      <c r="GK534" s="2">
        <v>0</v>
      </c>
      <c r="GL534" s="2">
        <f t="shared" si="451"/>
        <v>0</v>
      </c>
      <c r="GM534" s="2">
        <f t="shared" si="452"/>
        <v>2168.15</v>
      </c>
      <c r="GN534" s="2">
        <f t="shared" si="453"/>
        <v>0</v>
      </c>
      <c r="GO534" s="2">
        <f t="shared" si="454"/>
        <v>2168.15</v>
      </c>
      <c r="GP534" s="2">
        <f t="shared" si="455"/>
        <v>0</v>
      </c>
      <c r="GQ534" s="2"/>
      <c r="GR534" s="2">
        <v>0</v>
      </c>
      <c r="GS534" s="2">
        <v>2</v>
      </c>
      <c r="GT534" s="2">
        <v>0</v>
      </c>
      <c r="GU534" s="2" t="s">
        <v>3</v>
      </c>
      <c r="GV534" s="2">
        <f t="shared" si="456"/>
        <v>0</v>
      </c>
      <c r="GW534" s="2">
        <v>1</v>
      </c>
      <c r="GX534" s="2">
        <f t="shared" si="457"/>
        <v>0</v>
      </c>
      <c r="GY534" s="2"/>
      <c r="GZ534" s="2"/>
      <c r="HA534" s="2">
        <v>0</v>
      </c>
      <c r="HB534" s="2">
        <v>0</v>
      </c>
      <c r="HC534" s="2">
        <f t="shared" si="458"/>
        <v>0</v>
      </c>
      <c r="HD534" s="2"/>
      <c r="HE534" s="2" t="s">
        <v>347</v>
      </c>
      <c r="HF534" s="2" t="s">
        <v>34</v>
      </c>
      <c r="HG534" s="2"/>
      <c r="HH534" s="2"/>
      <c r="HI534" s="2"/>
      <c r="HJ534" s="2"/>
      <c r="HK534" s="2"/>
      <c r="HL534" s="2"/>
      <c r="HM534" s="2" t="s">
        <v>104</v>
      </c>
      <c r="HN534" s="2" t="s">
        <v>3</v>
      </c>
      <c r="HO534" s="2" t="s">
        <v>3</v>
      </c>
      <c r="HP534" s="2" t="s">
        <v>3</v>
      </c>
      <c r="HQ534" s="2" t="s">
        <v>3</v>
      </c>
      <c r="HR534" s="2"/>
      <c r="HS534" s="2">
        <v>0</v>
      </c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>
        <v>0</v>
      </c>
      <c r="IL534" s="2"/>
      <c r="IM534" s="2"/>
      <c r="IN534" s="2"/>
      <c r="IO534" s="2"/>
      <c r="IP534" s="2"/>
      <c r="IQ534" s="2"/>
      <c r="IR534" s="2"/>
      <c r="IS534" s="2"/>
      <c r="IT534" s="2"/>
      <c r="IU534" s="2"/>
    </row>
    <row r="535" spans="1:255" x14ac:dyDescent="0.25">
      <c r="A535" s="3">
        <v>18</v>
      </c>
      <c r="B535" s="3">
        <v>1</v>
      </c>
      <c r="C535" s="3">
        <v>352</v>
      </c>
      <c r="E535" s="3" t="s">
        <v>3</v>
      </c>
      <c r="F535" s="3" t="s">
        <v>405</v>
      </c>
      <c r="G535" s="3" t="s">
        <v>406</v>
      </c>
      <c r="H535" s="3" t="s">
        <v>390</v>
      </c>
      <c r="I535" s="3">
        <f>I529*J535</f>
        <v>103</v>
      </c>
      <c r="J535" s="3">
        <v>34.333333333333336</v>
      </c>
      <c r="K535" s="3">
        <v>34.3333333</v>
      </c>
      <c r="O535" s="3">
        <f t="shared" si="434"/>
        <v>21334.6</v>
      </c>
      <c r="P535" s="3">
        <f t="shared" si="435"/>
        <v>21334.6</v>
      </c>
      <c r="Q535" s="3">
        <f t="shared" si="459"/>
        <v>0</v>
      </c>
      <c r="R535" s="3">
        <f t="shared" si="460"/>
        <v>0</v>
      </c>
      <c r="S535" s="3">
        <f t="shared" si="436"/>
        <v>0</v>
      </c>
      <c r="T535" s="3">
        <f t="shared" si="437"/>
        <v>0</v>
      </c>
      <c r="U535" s="3">
        <f t="shared" si="438"/>
        <v>0</v>
      </c>
      <c r="V535" s="3">
        <f t="shared" si="439"/>
        <v>0</v>
      </c>
      <c r="W535" s="3">
        <f t="shared" si="440"/>
        <v>0</v>
      </c>
      <c r="X535" s="3">
        <f t="shared" si="461"/>
        <v>0</v>
      </c>
      <c r="Y535" s="3">
        <f t="shared" si="462"/>
        <v>0</v>
      </c>
      <c r="AA535" s="3">
        <v>-1</v>
      </c>
      <c r="AB535" s="3">
        <f t="shared" si="441"/>
        <v>21.05</v>
      </c>
      <c r="AC535" s="3">
        <f t="shared" si="463"/>
        <v>21.05</v>
      </c>
      <c r="AD535" s="3">
        <f t="shared" si="464"/>
        <v>0</v>
      </c>
      <c r="AE535" s="3">
        <f t="shared" si="465"/>
        <v>0</v>
      </c>
      <c r="AF535" s="3">
        <f t="shared" si="465"/>
        <v>0</v>
      </c>
      <c r="AG535" s="3">
        <f t="shared" si="442"/>
        <v>0</v>
      </c>
      <c r="AH535" s="3">
        <f t="shared" si="466"/>
        <v>0</v>
      </c>
      <c r="AI535" s="3">
        <f t="shared" si="466"/>
        <v>0</v>
      </c>
      <c r="AJ535" s="3">
        <f t="shared" si="443"/>
        <v>0</v>
      </c>
      <c r="AK535" s="3">
        <v>21.05</v>
      </c>
      <c r="AL535" s="3">
        <v>21.05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97</v>
      </c>
      <c r="AU535" s="3">
        <v>51</v>
      </c>
      <c r="AV535" s="3">
        <v>1</v>
      </c>
      <c r="AW535" s="3">
        <v>1</v>
      </c>
      <c r="AZ535" s="3">
        <v>1</v>
      </c>
      <c r="BA535" s="3">
        <v>1</v>
      </c>
      <c r="BB535" s="3">
        <v>1</v>
      </c>
      <c r="BC535" s="3">
        <v>9.84</v>
      </c>
      <c r="BD535" s="3" t="s">
        <v>3</v>
      </c>
      <c r="BE535" s="3" t="s">
        <v>3</v>
      </c>
      <c r="BF535" s="3" t="s">
        <v>3</v>
      </c>
      <c r="BG535" s="3" t="s">
        <v>3</v>
      </c>
      <c r="BH535" s="3">
        <v>3</v>
      </c>
      <c r="BI535" s="3">
        <v>2</v>
      </c>
      <c r="BJ535" s="3" t="s">
        <v>3</v>
      </c>
      <c r="BM535" s="3">
        <v>67</v>
      </c>
      <c r="BN535" s="3">
        <v>0</v>
      </c>
      <c r="BO535" s="3" t="s">
        <v>3</v>
      </c>
      <c r="BP535" s="3">
        <v>0</v>
      </c>
      <c r="BQ535" s="3">
        <v>40</v>
      </c>
      <c r="BR535" s="3">
        <v>0</v>
      </c>
      <c r="BS535" s="3">
        <v>1</v>
      </c>
      <c r="BT535" s="3">
        <v>1</v>
      </c>
      <c r="BU535" s="3">
        <v>1</v>
      </c>
      <c r="BV535" s="3">
        <v>1</v>
      </c>
      <c r="BW535" s="3">
        <v>1</v>
      </c>
      <c r="BX535" s="3">
        <v>1</v>
      </c>
      <c r="BY535" s="3" t="s">
        <v>3</v>
      </c>
      <c r="BZ535" s="3">
        <v>97</v>
      </c>
      <c r="CA535" s="3">
        <v>51</v>
      </c>
      <c r="CB535" s="3" t="s">
        <v>3</v>
      </c>
      <c r="CE535" s="3">
        <v>1566</v>
      </c>
      <c r="CF535" s="3">
        <v>0</v>
      </c>
      <c r="CG535" s="3">
        <v>0</v>
      </c>
      <c r="CM535" s="3">
        <v>0</v>
      </c>
      <c r="CN535" s="3" t="s">
        <v>615</v>
      </c>
      <c r="CO535" s="3">
        <v>0</v>
      </c>
      <c r="CP535" s="3">
        <f t="shared" si="444"/>
        <v>21334.6</v>
      </c>
      <c r="CQ535" s="3">
        <f t="shared" si="445"/>
        <v>207.13</v>
      </c>
      <c r="CR535" s="3">
        <f t="shared" si="467"/>
        <v>0</v>
      </c>
      <c r="CS535" s="3">
        <f t="shared" si="468"/>
        <v>0</v>
      </c>
      <c r="CT535" s="3">
        <f t="shared" si="446"/>
        <v>0</v>
      </c>
      <c r="CU535" s="3">
        <f t="shared" si="447"/>
        <v>0</v>
      </c>
      <c r="CV535" s="3">
        <f t="shared" si="448"/>
        <v>0</v>
      </c>
      <c r="CW535" s="3">
        <f t="shared" si="449"/>
        <v>0</v>
      </c>
      <c r="CX535" s="3">
        <f t="shared" si="450"/>
        <v>0</v>
      </c>
      <c r="CY535" s="3">
        <f t="shared" si="469"/>
        <v>0</v>
      </c>
      <c r="CZ535" s="3">
        <f t="shared" si="470"/>
        <v>0</v>
      </c>
      <c r="DC535" s="3" t="s">
        <v>3</v>
      </c>
      <c r="DD535" s="3" t="s">
        <v>3</v>
      </c>
      <c r="DE535" s="3" t="s">
        <v>3</v>
      </c>
      <c r="DF535" s="3" t="s">
        <v>3</v>
      </c>
      <c r="DG535" s="3" t="s">
        <v>3</v>
      </c>
      <c r="DH535" s="3" t="s">
        <v>3</v>
      </c>
      <c r="DI535" s="3" t="s">
        <v>3</v>
      </c>
      <c r="DJ535" s="3" t="s">
        <v>3</v>
      </c>
      <c r="DK535" s="3" t="s">
        <v>3</v>
      </c>
      <c r="DL535" s="3" t="s">
        <v>3</v>
      </c>
      <c r="DM535" s="3" t="s">
        <v>3</v>
      </c>
      <c r="DN535" s="3">
        <v>0</v>
      </c>
      <c r="DO535" s="3">
        <v>0</v>
      </c>
      <c r="DP535" s="3">
        <v>1</v>
      </c>
      <c r="DQ535" s="3">
        <v>1</v>
      </c>
      <c r="DU535" s="3">
        <v>1013</v>
      </c>
      <c r="DV535" s="3" t="s">
        <v>390</v>
      </c>
      <c r="DW535" s="3" t="s">
        <v>390</v>
      </c>
      <c r="DX535" s="3">
        <v>1</v>
      </c>
      <c r="DZ535" s="3" t="s">
        <v>3</v>
      </c>
      <c r="EA535" s="3" t="s">
        <v>3</v>
      </c>
      <c r="EB535" s="3" t="s">
        <v>3</v>
      </c>
      <c r="EC535" s="3" t="s">
        <v>3</v>
      </c>
      <c r="EE535" s="3">
        <v>57042957</v>
      </c>
      <c r="EF535" s="3">
        <v>40</v>
      </c>
      <c r="EG535" s="3" t="s">
        <v>30</v>
      </c>
      <c r="EH535" s="3">
        <v>0</v>
      </c>
      <c r="EI535" s="3" t="s">
        <v>3</v>
      </c>
      <c r="EJ535" s="3">
        <v>2</v>
      </c>
      <c r="EK535" s="3">
        <v>67</v>
      </c>
      <c r="EL535" s="3" t="s">
        <v>80</v>
      </c>
      <c r="EM535" s="3" t="s">
        <v>81</v>
      </c>
      <c r="EO535" s="3" t="s">
        <v>109</v>
      </c>
      <c r="EQ535" s="3">
        <v>2098176</v>
      </c>
      <c r="ER535" s="3">
        <v>21.05</v>
      </c>
      <c r="ES535" s="3">
        <v>21.05</v>
      </c>
      <c r="ET535" s="3">
        <v>0</v>
      </c>
      <c r="EU535" s="3">
        <v>0</v>
      </c>
      <c r="EV535" s="3">
        <v>0</v>
      </c>
      <c r="EW535" s="3">
        <v>0</v>
      </c>
      <c r="EX535" s="3">
        <v>0</v>
      </c>
      <c r="EZ535" s="3">
        <v>5</v>
      </c>
      <c r="FC535" s="3">
        <v>1</v>
      </c>
      <c r="FD535" s="3">
        <v>18</v>
      </c>
      <c r="FF535" s="3">
        <v>247.8</v>
      </c>
      <c r="FQ535" s="3">
        <v>0</v>
      </c>
      <c r="FR535" s="3">
        <v>0</v>
      </c>
      <c r="FS535" s="3">
        <v>0</v>
      </c>
      <c r="FX535" s="3">
        <v>97</v>
      </c>
      <c r="FY535" s="3">
        <v>51</v>
      </c>
      <c r="GA535" s="3" t="s">
        <v>407</v>
      </c>
      <c r="GD535" s="3">
        <v>1</v>
      </c>
      <c r="GF535" s="3">
        <v>-1270377880</v>
      </c>
      <c r="GG535" s="3">
        <v>2</v>
      </c>
      <c r="GH535" s="3">
        <v>3</v>
      </c>
      <c r="GI535" s="3">
        <v>5</v>
      </c>
      <c r="GJ535" s="3">
        <v>0</v>
      </c>
      <c r="GK535" s="3">
        <v>0</v>
      </c>
      <c r="GL535" s="3">
        <f t="shared" si="451"/>
        <v>0</v>
      </c>
      <c r="GM535" s="3">
        <f t="shared" si="452"/>
        <v>21334.6</v>
      </c>
      <c r="GN535" s="3">
        <f t="shared" si="453"/>
        <v>0</v>
      </c>
      <c r="GO535" s="3">
        <f t="shared" si="454"/>
        <v>21334.6</v>
      </c>
      <c r="GP535" s="3">
        <f t="shared" si="455"/>
        <v>0</v>
      </c>
      <c r="GR535" s="3">
        <v>1</v>
      </c>
      <c r="GS535" s="3">
        <v>1</v>
      </c>
      <c r="GT535" s="3">
        <v>0</v>
      </c>
      <c r="GU535" s="3" t="s">
        <v>3</v>
      </c>
      <c r="GV535" s="3">
        <f t="shared" si="456"/>
        <v>0</v>
      </c>
      <c r="GW535" s="3">
        <v>1</v>
      </c>
      <c r="GX535" s="3">
        <f t="shared" si="457"/>
        <v>0</v>
      </c>
      <c r="HA535" s="3">
        <v>0</v>
      </c>
      <c r="HB535" s="3">
        <v>0</v>
      </c>
      <c r="HC535" s="3">
        <f t="shared" si="458"/>
        <v>0</v>
      </c>
      <c r="HE535" s="3" t="s">
        <v>347</v>
      </c>
      <c r="HF535" s="3" t="s">
        <v>34</v>
      </c>
      <c r="HM535" s="3" t="s">
        <v>104</v>
      </c>
      <c r="HN535" s="3" t="s">
        <v>3</v>
      </c>
      <c r="HO535" s="3" t="s">
        <v>3</v>
      </c>
      <c r="HP535" s="3" t="s">
        <v>3</v>
      </c>
      <c r="HQ535" s="3" t="s">
        <v>3</v>
      </c>
      <c r="HS535" s="3">
        <v>0</v>
      </c>
      <c r="IK535" s="3">
        <v>0</v>
      </c>
    </row>
    <row r="536" spans="1:255" x14ac:dyDescent="0.25">
      <c r="A536" s="2">
        <v>17</v>
      </c>
      <c r="B536" s="2">
        <v>1</v>
      </c>
      <c r="C536" s="2">
        <f>ROW(SmtRes!A361)</f>
        <v>361</v>
      </c>
      <c r="D536" s="2">
        <f>ROW(EtalonRes!A367)</f>
        <v>367</v>
      </c>
      <c r="E536" s="2" t="s">
        <v>3</v>
      </c>
      <c r="F536" s="2" t="s">
        <v>422</v>
      </c>
      <c r="G536" s="2" t="s">
        <v>423</v>
      </c>
      <c r="H536" s="2" t="s">
        <v>99</v>
      </c>
      <c r="I536" s="2">
        <f>ROUND((4250)/100,9)</f>
        <v>42.5</v>
      </c>
      <c r="J536" s="2">
        <v>0</v>
      </c>
      <c r="K536" s="2">
        <f>ROUND((4250)/100,9)</f>
        <v>42.5</v>
      </c>
      <c r="L536" s="2"/>
      <c r="M536" s="2"/>
      <c r="N536" s="2"/>
      <c r="O536" s="2">
        <f t="shared" si="434"/>
        <v>3699.35</v>
      </c>
      <c r="P536" s="2">
        <f t="shared" si="435"/>
        <v>2357.48</v>
      </c>
      <c r="Q536" s="2">
        <f>(ROUND((ROUND((((ET536*1.2))*AV536*I536),2)*BB536),2)+ROUND((ROUND(((AE536-((EU536*1.2)))*AV536*I536),2)*BS536),2))</f>
        <v>139.9</v>
      </c>
      <c r="R536" s="2">
        <f>(ROUND((ROUND((((EU536*1.2))*AV536*I536),2)*BS536),2)+ROUND((ROUND(((AE536-((EU536*1.2)))*AV536*I536),2)*BS536),2))</f>
        <v>16.02</v>
      </c>
      <c r="S536" s="2">
        <f t="shared" si="436"/>
        <v>1201.97</v>
      </c>
      <c r="T536" s="2">
        <f t="shared" si="437"/>
        <v>0</v>
      </c>
      <c r="U536" s="2">
        <f t="shared" si="438"/>
        <v>97.716509999999985</v>
      </c>
      <c r="V536" s="2">
        <f t="shared" si="439"/>
        <v>0</v>
      </c>
      <c r="W536" s="2">
        <f t="shared" si="440"/>
        <v>0</v>
      </c>
      <c r="X536" s="2">
        <f>(ROUND((((S536+ROUND((ROUND((((EU536*1.2))*AV536*I536),2)*BS536),2))*AT536)/100),2)+ROUND(((ROUND((ROUND(((AE536-((EU536*1.2)))*AV536*I536),2)*BS536),2)*AT536)/100),2))</f>
        <v>1181.45</v>
      </c>
      <c r="Y536" s="2">
        <f>(ROUND((((S536+ROUND((ROUND((((EU536*1.2))*AV536*I536),2)*BS536),2))*AU536)/100),2)+ROUND(((ROUND((ROUND(((AE536-((EU536*1.2)))*AV536*I536),2)*BS536),2)*AU536)/100),2))</f>
        <v>621.16999999999996</v>
      </c>
      <c r="Z536" s="2"/>
      <c r="AA536" s="2">
        <v>-1</v>
      </c>
      <c r="AB536" s="2">
        <f t="shared" si="441"/>
        <v>85.626000000000005</v>
      </c>
      <c r="AC536" s="2">
        <f>ROUND(((ES536*1)),6)</f>
        <v>55.47</v>
      </c>
      <c r="AD536" s="2">
        <f>ROUND(((((ET536*1.2))-((EU536*1.2)))+AE536),6)</f>
        <v>3.1440000000000001</v>
      </c>
      <c r="AE536" s="2">
        <f>ROUND(((EU536*1.2)),6)</f>
        <v>0.36</v>
      </c>
      <c r="AF536" s="2">
        <f>ROUND(((EV536*1.2)),6)</f>
        <v>27.012</v>
      </c>
      <c r="AG536" s="2">
        <f t="shared" si="442"/>
        <v>0</v>
      </c>
      <c r="AH536" s="2">
        <f>((EW536*1.2))</f>
        <v>2.1960000000000002</v>
      </c>
      <c r="AI536" s="2">
        <f>((EX536*1.2))</f>
        <v>0</v>
      </c>
      <c r="AJ536" s="2">
        <f t="shared" si="443"/>
        <v>0</v>
      </c>
      <c r="AK536" s="2">
        <v>80.599999999999994</v>
      </c>
      <c r="AL536" s="2">
        <v>55.47</v>
      </c>
      <c r="AM536" s="2">
        <v>2.62</v>
      </c>
      <c r="AN536" s="2">
        <v>0.3</v>
      </c>
      <c r="AO536" s="2">
        <v>22.51</v>
      </c>
      <c r="AP536" s="2">
        <v>0</v>
      </c>
      <c r="AQ536" s="2">
        <v>1.83</v>
      </c>
      <c r="AR536" s="2">
        <v>0</v>
      </c>
      <c r="AS536" s="2">
        <v>0</v>
      </c>
      <c r="AT536" s="2">
        <v>97</v>
      </c>
      <c r="AU536" s="2">
        <v>51</v>
      </c>
      <c r="AV536" s="2">
        <v>1.0469999999999999</v>
      </c>
      <c r="AW536" s="2">
        <v>1</v>
      </c>
      <c r="AX536" s="2"/>
      <c r="AY536" s="2"/>
      <c r="AZ536" s="2">
        <v>1</v>
      </c>
      <c r="BA536" s="2">
        <v>1</v>
      </c>
      <c r="BB536" s="2">
        <v>1</v>
      </c>
      <c r="BC536" s="2">
        <v>1</v>
      </c>
      <c r="BD536" s="2" t="s">
        <v>3</v>
      </c>
      <c r="BE536" s="2" t="s">
        <v>3</v>
      </c>
      <c r="BF536" s="2" t="s">
        <v>3</v>
      </c>
      <c r="BG536" s="2" t="s">
        <v>3</v>
      </c>
      <c r="BH536" s="2">
        <v>0</v>
      </c>
      <c r="BI536" s="2">
        <v>2</v>
      </c>
      <c r="BJ536" s="2" t="s">
        <v>424</v>
      </c>
      <c r="BK536" s="2"/>
      <c r="BL536" s="2"/>
      <c r="BM536" s="2">
        <v>67</v>
      </c>
      <c r="BN536" s="2">
        <v>0</v>
      </c>
      <c r="BO536" s="2" t="s">
        <v>422</v>
      </c>
      <c r="BP536" s="2">
        <v>1</v>
      </c>
      <c r="BQ536" s="2">
        <v>40</v>
      </c>
      <c r="BR536" s="2">
        <v>0</v>
      </c>
      <c r="BS536" s="2">
        <v>1</v>
      </c>
      <c r="BT536" s="2">
        <v>1</v>
      </c>
      <c r="BU536" s="2">
        <v>1</v>
      </c>
      <c r="BV536" s="2">
        <v>1</v>
      </c>
      <c r="BW536" s="2">
        <v>1</v>
      </c>
      <c r="BX536" s="2">
        <v>1</v>
      </c>
      <c r="BY536" s="2" t="s">
        <v>3</v>
      </c>
      <c r="BZ536" s="2">
        <v>97</v>
      </c>
      <c r="CA536" s="2">
        <v>51</v>
      </c>
      <c r="CB536" s="2" t="s">
        <v>3</v>
      </c>
      <c r="CC536" s="2"/>
      <c r="CD536" s="2"/>
      <c r="CE536" s="2">
        <v>1566</v>
      </c>
      <c r="CF536" s="2">
        <v>0</v>
      </c>
      <c r="CG536" s="2">
        <v>0</v>
      </c>
      <c r="CH536" s="2"/>
      <c r="CI536" s="2"/>
      <c r="CJ536" s="2"/>
      <c r="CK536" s="2"/>
      <c r="CL536" s="2"/>
      <c r="CM536" s="2">
        <v>0</v>
      </c>
      <c r="CN536" s="2" t="s">
        <v>614</v>
      </c>
      <c r="CO536" s="2">
        <v>0</v>
      </c>
      <c r="CP536" s="2">
        <f t="shared" si="444"/>
        <v>3699.3500000000004</v>
      </c>
      <c r="CQ536" s="2">
        <f t="shared" si="445"/>
        <v>55.47</v>
      </c>
      <c r="CR536" s="2">
        <f>(ROUND((ROUND((((ET536*1.2))*AV536*1),2)*BB536),2)+ROUND((ROUND(((AE536-((EU536*1.2)))*AV536*1),2)*BS536),2))</f>
        <v>3.29</v>
      </c>
      <c r="CS536" s="2">
        <f>(ROUND((ROUND((((EU536*1.2))*AV536*1),2)*BS536),2)+ROUND((ROUND(((AE536-((EU536*1.2)))*AV536*1),2)*BS536),2))</f>
        <v>0.38</v>
      </c>
      <c r="CT536" s="2">
        <f t="shared" si="446"/>
        <v>28.28</v>
      </c>
      <c r="CU536" s="2">
        <f t="shared" si="447"/>
        <v>0</v>
      </c>
      <c r="CV536" s="2">
        <f t="shared" si="448"/>
        <v>2.2992119999999998</v>
      </c>
      <c r="CW536" s="2">
        <f t="shared" si="449"/>
        <v>0</v>
      </c>
      <c r="CX536" s="2">
        <f t="shared" si="450"/>
        <v>0</v>
      </c>
      <c r="CY536" s="2">
        <f>(ROUND((((S536+ROUND((ROUND((((EU536*1.2))*AV536*1),2)*BS536),2))*AT536)/100),2)+ROUND(((ROUND((ROUND(((AE536-((EU536*1.2)))*AV536*1),2)*BS536),2)*AT536)/100),2))</f>
        <v>1166.28</v>
      </c>
      <c r="CZ536" s="2">
        <f>(ROUND((((S536+ROUND((ROUND((((EU536*1.2))*AV536*1),2)*BS536),2))*AU536)/100),2)+ROUND(((ROUND((ROUND(((AE536-((EU536*1.2)))*AV536*1),2)*BS536),2)*AU536)/100),2))</f>
        <v>613.20000000000005</v>
      </c>
      <c r="DA536" s="2"/>
      <c r="DB536" s="2">
        <v>141</v>
      </c>
      <c r="DC536" s="2" t="s">
        <v>3</v>
      </c>
      <c r="DD536" s="2" t="s">
        <v>104</v>
      </c>
      <c r="DE536" s="2" t="s">
        <v>105</v>
      </c>
      <c r="DF536" s="2" t="s">
        <v>105</v>
      </c>
      <c r="DG536" s="2" t="s">
        <v>105</v>
      </c>
      <c r="DH536" s="2" t="s">
        <v>3</v>
      </c>
      <c r="DI536" s="2" t="s">
        <v>105</v>
      </c>
      <c r="DJ536" s="2" t="s">
        <v>105</v>
      </c>
      <c r="DK536" s="2" t="s">
        <v>3</v>
      </c>
      <c r="DL536" s="2" t="s">
        <v>3</v>
      </c>
      <c r="DM536" s="2" t="s">
        <v>3</v>
      </c>
      <c r="DN536" s="2">
        <v>0</v>
      </c>
      <c r="DO536" s="2">
        <v>0</v>
      </c>
      <c r="DP536" s="2">
        <v>1</v>
      </c>
      <c r="DQ536" s="2">
        <v>1</v>
      </c>
      <c r="DR536" s="2"/>
      <c r="DS536" s="2"/>
      <c r="DT536" s="2"/>
      <c r="DU536" s="2">
        <v>1003</v>
      </c>
      <c r="DV536" s="2" t="s">
        <v>99</v>
      </c>
      <c r="DW536" s="2" t="s">
        <v>99</v>
      </c>
      <c r="DX536" s="2">
        <v>100</v>
      </c>
      <c r="DY536" s="2"/>
      <c r="DZ536" s="2" t="s">
        <v>3</v>
      </c>
      <c r="EA536" s="2" t="s">
        <v>3</v>
      </c>
      <c r="EB536" s="2" t="s">
        <v>3</v>
      </c>
      <c r="EC536" s="2" t="s">
        <v>3</v>
      </c>
      <c r="ED536" s="2"/>
      <c r="EE536" s="2">
        <v>57042957</v>
      </c>
      <c r="EF536" s="2">
        <v>40</v>
      </c>
      <c r="EG536" s="2" t="s">
        <v>30</v>
      </c>
      <c r="EH536" s="2">
        <v>0</v>
      </c>
      <c r="EI536" s="2" t="s">
        <v>3</v>
      </c>
      <c r="EJ536" s="2">
        <v>2</v>
      </c>
      <c r="EK536" s="2">
        <v>67</v>
      </c>
      <c r="EL536" s="2" t="s">
        <v>80</v>
      </c>
      <c r="EM536" s="2" t="s">
        <v>81</v>
      </c>
      <c r="EN536" s="2"/>
      <c r="EO536" s="2" t="s">
        <v>109</v>
      </c>
      <c r="EP536" s="2"/>
      <c r="EQ536" s="2">
        <v>132096</v>
      </c>
      <c r="ER536" s="2">
        <v>80.599999999999994</v>
      </c>
      <c r="ES536" s="2">
        <v>55.47</v>
      </c>
      <c r="ET536" s="2">
        <v>2.62</v>
      </c>
      <c r="EU536" s="2">
        <v>0.3</v>
      </c>
      <c r="EV536" s="2">
        <v>22.51</v>
      </c>
      <c r="EW536" s="2">
        <v>1.83</v>
      </c>
      <c r="EX536" s="2">
        <v>0</v>
      </c>
      <c r="EY536" s="2">
        <v>0</v>
      </c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>
        <v>0</v>
      </c>
      <c r="FR536" s="2">
        <v>0</v>
      </c>
      <c r="FS536" s="2">
        <v>0</v>
      </c>
      <c r="FT536" s="2"/>
      <c r="FU536" s="2"/>
      <c r="FV536" s="2"/>
      <c r="FW536" s="2"/>
      <c r="FX536" s="2">
        <v>97</v>
      </c>
      <c r="FY536" s="2">
        <v>51</v>
      </c>
      <c r="FZ536" s="2"/>
      <c r="GA536" s="2" t="s">
        <v>3</v>
      </c>
      <c r="GB536" s="2"/>
      <c r="GC536" s="2"/>
      <c r="GD536" s="2">
        <v>1</v>
      </c>
      <c r="GE536" s="2"/>
      <c r="GF536" s="2">
        <v>370634059</v>
      </c>
      <c r="GG536" s="2">
        <v>2</v>
      </c>
      <c r="GH536" s="2">
        <v>1</v>
      </c>
      <c r="GI536" s="2">
        <v>2</v>
      </c>
      <c r="GJ536" s="2">
        <v>0</v>
      </c>
      <c r="GK536" s="2">
        <v>0</v>
      </c>
      <c r="GL536" s="2">
        <f t="shared" si="451"/>
        <v>0</v>
      </c>
      <c r="GM536" s="2">
        <f t="shared" si="452"/>
        <v>5501.97</v>
      </c>
      <c r="GN536" s="2">
        <f t="shared" si="453"/>
        <v>0</v>
      </c>
      <c r="GO536" s="2">
        <f t="shared" si="454"/>
        <v>5501.97</v>
      </c>
      <c r="GP536" s="2">
        <f t="shared" si="455"/>
        <v>0</v>
      </c>
      <c r="GQ536" s="2"/>
      <c r="GR536" s="2">
        <v>0</v>
      </c>
      <c r="GS536" s="2">
        <v>3</v>
      </c>
      <c r="GT536" s="2">
        <v>0</v>
      </c>
      <c r="GU536" s="2" t="s">
        <v>3</v>
      </c>
      <c r="GV536" s="2">
        <f t="shared" si="456"/>
        <v>0</v>
      </c>
      <c r="GW536" s="2">
        <v>1</v>
      </c>
      <c r="GX536" s="2">
        <f t="shared" si="457"/>
        <v>0</v>
      </c>
      <c r="GY536" s="2"/>
      <c r="GZ536" s="2"/>
      <c r="HA536" s="2">
        <v>0</v>
      </c>
      <c r="HB536" s="2">
        <v>0</v>
      </c>
      <c r="HC536" s="2">
        <f t="shared" si="458"/>
        <v>0</v>
      </c>
      <c r="HD536" s="2"/>
      <c r="HE536" s="2" t="s">
        <v>3</v>
      </c>
      <c r="HF536" s="2" t="s">
        <v>3</v>
      </c>
      <c r="HG536" s="2"/>
      <c r="HH536" s="2"/>
      <c r="HI536" s="2"/>
      <c r="HJ536" s="2"/>
      <c r="HK536" s="2"/>
      <c r="HL536" s="2"/>
      <c r="HM536" s="2" t="s">
        <v>3</v>
      </c>
      <c r="HN536" s="2" t="s">
        <v>3</v>
      </c>
      <c r="HO536" s="2" t="s">
        <v>3</v>
      </c>
      <c r="HP536" s="2" t="s">
        <v>3</v>
      </c>
      <c r="HQ536" s="2" t="s">
        <v>3</v>
      </c>
      <c r="HR536" s="2"/>
      <c r="HS536" s="2">
        <v>0</v>
      </c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>
        <v>0</v>
      </c>
      <c r="IL536" s="2"/>
      <c r="IM536" s="2"/>
      <c r="IN536" s="2"/>
      <c r="IO536" s="2"/>
      <c r="IP536" s="2"/>
      <c r="IQ536" s="2"/>
      <c r="IR536" s="2"/>
      <c r="IS536" s="2"/>
      <c r="IT536" s="2"/>
      <c r="IU536" s="2"/>
    </row>
    <row r="537" spans="1:255" x14ac:dyDescent="0.25">
      <c r="A537" s="3">
        <v>17</v>
      </c>
      <c r="B537" s="3">
        <v>1</v>
      </c>
      <c r="C537" s="3">
        <f>ROW(SmtRes!A370)</f>
        <v>370</v>
      </c>
      <c r="D537" s="3">
        <f>ROW(EtalonRes!A376)</f>
        <v>376</v>
      </c>
      <c r="E537" s="3" t="s">
        <v>3</v>
      </c>
      <c r="F537" s="3" t="s">
        <v>422</v>
      </c>
      <c r="G537" s="3" t="s">
        <v>423</v>
      </c>
      <c r="H537" s="3" t="s">
        <v>99</v>
      </c>
      <c r="I537" s="3">
        <f>ROUND((4250)/100,9)</f>
        <v>42.5</v>
      </c>
      <c r="J537" s="3">
        <v>0</v>
      </c>
      <c r="K537" s="3">
        <f>ROUND((4250)/100,9)</f>
        <v>42.5</v>
      </c>
      <c r="O537" s="3">
        <f t="shared" si="434"/>
        <v>77224.02</v>
      </c>
      <c r="P537" s="3">
        <f t="shared" si="435"/>
        <v>7355.34</v>
      </c>
      <c r="Q537" s="3">
        <f>(ROUND((ROUND((((ET537*1.2))*AV537*I537),2)*BB537),2)+ROUND((ROUND(((AE537-((EU537*1.2)))*AV537*I537),2)*BS537),2))</f>
        <v>2137.67</v>
      </c>
      <c r="R537" s="3">
        <f>(ROUND((ROUND((((EU537*1.2))*AV537*I537),2)*BS537),2)+ROUND((ROUND(((AE537-((EU537*1.2)))*AV537*I537),2)*BS537),2))</f>
        <v>902.73</v>
      </c>
      <c r="S537" s="3">
        <f t="shared" si="436"/>
        <v>67731.009999999995</v>
      </c>
      <c r="T537" s="3">
        <f t="shared" si="437"/>
        <v>0</v>
      </c>
      <c r="U537" s="3">
        <f t="shared" si="438"/>
        <v>97.716509999999985</v>
      </c>
      <c r="V537" s="3">
        <f t="shared" si="439"/>
        <v>0</v>
      </c>
      <c r="W537" s="3">
        <f t="shared" si="440"/>
        <v>0</v>
      </c>
      <c r="X537" s="3">
        <f>(ROUND((((S537+ROUND((ROUND((((EU537*1.2))*AV537*I537),2)*BS537),2))*AT537)/100),2)+ROUND(((ROUND((ROUND(((AE537-((EU537*1.2)))*AV537*I537),2)*BS537),2)*AT537)/100),2))</f>
        <v>66574.73</v>
      </c>
      <c r="Y537" s="3">
        <f>(ROUND((((S537+ROUND((ROUND((((EU537*1.2))*AV537*I537),2)*BS537),2))*AU537)/100),2)+ROUND(((ROUND((ROUND(((AE537-((EU537*1.2)))*AV537*I537),2)*BS537),2)*AU537)/100),2))</f>
        <v>35003.21</v>
      </c>
      <c r="AA537" s="3">
        <v>-1</v>
      </c>
      <c r="AB537" s="3">
        <f t="shared" si="441"/>
        <v>85.626000000000005</v>
      </c>
      <c r="AC537" s="3">
        <f>ROUND(((ES537*1)),6)</f>
        <v>55.47</v>
      </c>
      <c r="AD537" s="3">
        <f>ROUND(((((ET537*1.2))-((EU537*1.2)))+AE537),6)</f>
        <v>3.1440000000000001</v>
      </c>
      <c r="AE537" s="3">
        <f>ROUND(((EU537*1.2)),6)</f>
        <v>0.36</v>
      </c>
      <c r="AF537" s="3">
        <f>ROUND(((EV537*1.2)),6)</f>
        <v>27.012</v>
      </c>
      <c r="AG537" s="3">
        <f t="shared" si="442"/>
        <v>0</v>
      </c>
      <c r="AH537" s="3">
        <f>((EW537*1.2))</f>
        <v>2.1960000000000002</v>
      </c>
      <c r="AI537" s="3">
        <f>((EX537*1.2))</f>
        <v>0</v>
      </c>
      <c r="AJ537" s="3">
        <f t="shared" si="443"/>
        <v>0</v>
      </c>
      <c r="AK537" s="3">
        <v>80.599999999999994</v>
      </c>
      <c r="AL537" s="3">
        <v>55.47</v>
      </c>
      <c r="AM537" s="3">
        <v>2.62</v>
      </c>
      <c r="AN537" s="3">
        <v>0.3</v>
      </c>
      <c r="AO537" s="3">
        <v>22.51</v>
      </c>
      <c r="AP537" s="3">
        <v>0</v>
      </c>
      <c r="AQ537" s="3">
        <v>1.83</v>
      </c>
      <c r="AR537" s="3">
        <v>0</v>
      </c>
      <c r="AS537" s="3">
        <v>0</v>
      </c>
      <c r="AT537" s="3">
        <v>97</v>
      </c>
      <c r="AU537" s="3">
        <v>51</v>
      </c>
      <c r="AV537" s="3">
        <v>1.0469999999999999</v>
      </c>
      <c r="AW537" s="3">
        <v>1</v>
      </c>
      <c r="AZ537" s="3">
        <v>1</v>
      </c>
      <c r="BA537" s="3">
        <v>56.35</v>
      </c>
      <c r="BB537" s="3">
        <v>15.28</v>
      </c>
      <c r="BC537" s="3">
        <v>3.12</v>
      </c>
      <c r="BD537" s="3" t="s">
        <v>3</v>
      </c>
      <c r="BE537" s="3" t="s">
        <v>3</v>
      </c>
      <c r="BF537" s="3" t="s">
        <v>3</v>
      </c>
      <c r="BG537" s="3" t="s">
        <v>3</v>
      </c>
      <c r="BH537" s="3">
        <v>0</v>
      </c>
      <c r="BI537" s="3">
        <v>2</v>
      </c>
      <c r="BJ537" s="3" t="s">
        <v>424</v>
      </c>
      <c r="BM537" s="3">
        <v>67</v>
      </c>
      <c r="BN537" s="3">
        <v>0</v>
      </c>
      <c r="BO537" s="3" t="s">
        <v>422</v>
      </c>
      <c r="BP537" s="3">
        <v>1</v>
      </c>
      <c r="BQ537" s="3">
        <v>40</v>
      </c>
      <c r="BR537" s="3">
        <v>0</v>
      </c>
      <c r="BS537" s="3">
        <v>56.35</v>
      </c>
      <c r="BT537" s="3">
        <v>1</v>
      </c>
      <c r="BU537" s="3">
        <v>1</v>
      </c>
      <c r="BV537" s="3">
        <v>1</v>
      </c>
      <c r="BW537" s="3">
        <v>1</v>
      </c>
      <c r="BX537" s="3">
        <v>1</v>
      </c>
      <c r="BY537" s="3" t="s">
        <v>3</v>
      </c>
      <c r="BZ537" s="3">
        <v>97</v>
      </c>
      <c r="CA537" s="3">
        <v>51</v>
      </c>
      <c r="CB537" s="3" t="s">
        <v>3</v>
      </c>
      <c r="CE537" s="3">
        <v>1566</v>
      </c>
      <c r="CF537" s="3">
        <v>0</v>
      </c>
      <c r="CG537" s="3">
        <v>0</v>
      </c>
      <c r="CM537" s="3">
        <v>0</v>
      </c>
      <c r="CN537" s="3" t="s">
        <v>614</v>
      </c>
      <c r="CO537" s="3">
        <v>0</v>
      </c>
      <c r="CP537" s="3">
        <f t="shared" si="444"/>
        <v>77224.01999999999</v>
      </c>
      <c r="CQ537" s="3">
        <f t="shared" si="445"/>
        <v>173.07</v>
      </c>
      <c r="CR537" s="3">
        <f>(ROUND((ROUND((((ET537*1.2))*AV537*1),2)*BB537),2)+ROUND((ROUND(((AE537-((EU537*1.2)))*AV537*1),2)*BS537),2))</f>
        <v>50.27</v>
      </c>
      <c r="CS537" s="3">
        <f>(ROUND((ROUND((((EU537*1.2))*AV537*1),2)*BS537),2)+ROUND((ROUND(((AE537-((EU537*1.2)))*AV537*1),2)*BS537),2))</f>
        <v>21.41</v>
      </c>
      <c r="CT537" s="3">
        <f t="shared" si="446"/>
        <v>1593.58</v>
      </c>
      <c r="CU537" s="3">
        <f t="shared" si="447"/>
        <v>0</v>
      </c>
      <c r="CV537" s="3">
        <f t="shared" si="448"/>
        <v>2.2992119999999998</v>
      </c>
      <c r="CW537" s="3">
        <f t="shared" si="449"/>
        <v>0</v>
      </c>
      <c r="CX537" s="3">
        <f t="shared" si="450"/>
        <v>0</v>
      </c>
      <c r="CY537" s="3">
        <f>(ROUND((((S537+ROUND((ROUND((((EU537*1.2))*AV537*1),2)*BS537),2))*AT537)/100),2)+ROUND(((ROUND((ROUND(((AE537-((EU537*1.2)))*AV537*1),2)*BS537),2)*AT537)/100),2))</f>
        <v>65719.850000000006</v>
      </c>
      <c r="CZ537" s="3">
        <f>(ROUND((((S537+ROUND((ROUND((((EU537*1.2))*AV537*1),2)*BS537),2))*AU537)/100),2)+ROUND(((ROUND((ROUND(((AE537-((EU537*1.2)))*AV537*1),2)*BS537),2)*AU537)/100),2))</f>
        <v>34553.730000000003</v>
      </c>
      <c r="DB537" s="3">
        <v>142</v>
      </c>
      <c r="DC537" s="3" t="s">
        <v>3</v>
      </c>
      <c r="DD537" s="3" t="s">
        <v>104</v>
      </c>
      <c r="DE537" s="3" t="s">
        <v>105</v>
      </c>
      <c r="DF537" s="3" t="s">
        <v>105</v>
      </c>
      <c r="DG537" s="3" t="s">
        <v>105</v>
      </c>
      <c r="DH537" s="3" t="s">
        <v>3</v>
      </c>
      <c r="DI537" s="3" t="s">
        <v>105</v>
      </c>
      <c r="DJ537" s="3" t="s">
        <v>105</v>
      </c>
      <c r="DK537" s="3" t="s">
        <v>3</v>
      </c>
      <c r="DL537" s="3" t="s">
        <v>3</v>
      </c>
      <c r="DM537" s="3" t="s">
        <v>3</v>
      </c>
      <c r="DN537" s="3">
        <v>0</v>
      </c>
      <c r="DO537" s="3">
        <v>0</v>
      </c>
      <c r="DP537" s="3">
        <v>1</v>
      </c>
      <c r="DQ537" s="3">
        <v>1</v>
      </c>
      <c r="DU537" s="3">
        <v>1003</v>
      </c>
      <c r="DV537" s="3" t="s">
        <v>99</v>
      </c>
      <c r="DW537" s="3" t="s">
        <v>99</v>
      </c>
      <c r="DX537" s="3">
        <v>100</v>
      </c>
      <c r="DZ537" s="3" t="s">
        <v>3</v>
      </c>
      <c r="EA537" s="3" t="s">
        <v>3</v>
      </c>
      <c r="EB537" s="3" t="s">
        <v>3</v>
      </c>
      <c r="EC537" s="3" t="s">
        <v>3</v>
      </c>
      <c r="EE537" s="3">
        <v>57042957</v>
      </c>
      <c r="EF537" s="3">
        <v>40</v>
      </c>
      <c r="EG537" s="3" t="s">
        <v>30</v>
      </c>
      <c r="EH537" s="3">
        <v>0</v>
      </c>
      <c r="EI537" s="3" t="s">
        <v>3</v>
      </c>
      <c r="EJ537" s="3">
        <v>2</v>
      </c>
      <c r="EK537" s="3">
        <v>67</v>
      </c>
      <c r="EL537" s="3" t="s">
        <v>80</v>
      </c>
      <c r="EM537" s="3" t="s">
        <v>81</v>
      </c>
      <c r="EO537" s="3" t="s">
        <v>109</v>
      </c>
      <c r="EQ537" s="3">
        <v>132096</v>
      </c>
      <c r="ER537" s="3">
        <v>80.599999999999994</v>
      </c>
      <c r="ES537" s="3">
        <v>55.47</v>
      </c>
      <c r="ET537" s="3">
        <v>2.62</v>
      </c>
      <c r="EU537" s="3">
        <v>0.3</v>
      </c>
      <c r="EV537" s="3">
        <v>22.51</v>
      </c>
      <c r="EW537" s="3">
        <v>1.83</v>
      </c>
      <c r="EX537" s="3">
        <v>0</v>
      </c>
      <c r="EY537" s="3">
        <v>0</v>
      </c>
      <c r="FQ537" s="3">
        <v>0</v>
      </c>
      <c r="FR537" s="3">
        <v>0</v>
      </c>
      <c r="FS537" s="3">
        <v>0</v>
      </c>
      <c r="FX537" s="3">
        <v>97</v>
      </c>
      <c r="FY537" s="3">
        <v>51</v>
      </c>
      <c r="GA537" s="3" t="s">
        <v>3</v>
      </c>
      <c r="GD537" s="3">
        <v>1</v>
      </c>
      <c r="GF537" s="3">
        <v>370634059</v>
      </c>
      <c r="GG537" s="3">
        <v>2</v>
      </c>
      <c r="GH537" s="3">
        <v>1</v>
      </c>
      <c r="GI537" s="3">
        <v>2</v>
      </c>
      <c r="GJ537" s="3">
        <v>0</v>
      </c>
      <c r="GK537" s="3">
        <v>0</v>
      </c>
      <c r="GL537" s="3">
        <f t="shared" si="451"/>
        <v>0</v>
      </c>
      <c r="GM537" s="3">
        <f t="shared" si="452"/>
        <v>178801.96</v>
      </c>
      <c r="GN537" s="3">
        <f t="shared" si="453"/>
        <v>0</v>
      </c>
      <c r="GO537" s="3">
        <f t="shared" si="454"/>
        <v>178801.96</v>
      </c>
      <c r="GP537" s="3">
        <f t="shared" si="455"/>
        <v>0</v>
      </c>
      <c r="GR537" s="3">
        <v>0</v>
      </c>
      <c r="GS537" s="3">
        <v>3</v>
      </c>
      <c r="GT537" s="3">
        <v>0</v>
      </c>
      <c r="GU537" s="3" t="s">
        <v>3</v>
      </c>
      <c r="GV537" s="3">
        <f t="shared" si="456"/>
        <v>0</v>
      </c>
      <c r="GW537" s="3">
        <v>1</v>
      </c>
      <c r="GX537" s="3">
        <f t="shared" si="457"/>
        <v>0</v>
      </c>
      <c r="HA537" s="3">
        <v>0</v>
      </c>
      <c r="HB537" s="3">
        <v>0</v>
      </c>
      <c r="HC537" s="3">
        <f t="shared" si="458"/>
        <v>0</v>
      </c>
      <c r="HE537" s="3" t="s">
        <v>3</v>
      </c>
      <c r="HF537" s="3" t="s">
        <v>3</v>
      </c>
      <c r="HM537" s="3" t="s">
        <v>3</v>
      </c>
      <c r="HN537" s="3" t="s">
        <v>3</v>
      </c>
      <c r="HO537" s="3" t="s">
        <v>3</v>
      </c>
      <c r="HP537" s="3" t="s">
        <v>3</v>
      </c>
      <c r="HQ537" s="3" t="s">
        <v>3</v>
      </c>
      <c r="HS537" s="3">
        <v>0</v>
      </c>
      <c r="IK537" s="3">
        <v>0</v>
      </c>
    </row>
    <row r="538" spans="1:255" x14ac:dyDescent="0.25">
      <c r="A538" s="2">
        <v>18</v>
      </c>
      <c r="B538" s="2">
        <v>1</v>
      </c>
      <c r="C538" s="2">
        <v>361</v>
      </c>
      <c r="D538" s="2"/>
      <c r="E538" s="2" t="s">
        <v>3</v>
      </c>
      <c r="F538" s="2" t="s">
        <v>388</v>
      </c>
      <c r="G538" s="2" t="s">
        <v>389</v>
      </c>
      <c r="H538" s="2" t="s">
        <v>390</v>
      </c>
      <c r="I538" s="2">
        <f>I536*J538</f>
        <v>4377.5</v>
      </c>
      <c r="J538" s="2">
        <v>103</v>
      </c>
      <c r="K538" s="2">
        <v>103</v>
      </c>
      <c r="L538" s="2"/>
      <c r="M538" s="2"/>
      <c r="N538" s="2"/>
      <c r="O538" s="2">
        <f t="shared" si="434"/>
        <v>41980.23</v>
      </c>
      <c r="P538" s="2">
        <f t="shared" si="435"/>
        <v>41980.23</v>
      </c>
      <c r="Q538" s="2">
        <f>(ROUND((ROUND(((ET538)*AV538*I538),2)*BB538),2)+ROUND((ROUND(((AE538-(EU538))*AV538*I538),2)*BS538),2))</f>
        <v>0</v>
      </c>
      <c r="R538" s="2">
        <f>(ROUND((ROUND(((EU538)*AV538*I538),2)*BS538),2)+ROUND((ROUND(((AE538-(EU538))*AV538*I538),2)*BS538),2))</f>
        <v>0</v>
      </c>
      <c r="S538" s="2">
        <f t="shared" si="436"/>
        <v>0</v>
      </c>
      <c r="T538" s="2">
        <f t="shared" si="437"/>
        <v>0</v>
      </c>
      <c r="U538" s="2">
        <f t="shared" si="438"/>
        <v>0</v>
      </c>
      <c r="V538" s="2">
        <f t="shared" si="439"/>
        <v>0</v>
      </c>
      <c r="W538" s="2">
        <f t="shared" si="440"/>
        <v>0</v>
      </c>
      <c r="X538" s="2">
        <f>(ROUND((((S538+ROUND((ROUND(((EU538)*AV538*I538),2)*BS538),2))*AT538)/100),2)+ROUND(((ROUND((ROUND(((AE538-(EU538))*AV538*I538),2)*BS538),2)*AT538)/100),2))</f>
        <v>0</v>
      </c>
      <c r="Y538" s="2">
        <f>(ROUND((((S538+ROUND((ROUND(((EU538)*AV538*I538),2)*BS538),2))*AU538)/100),2)+ROUND(((ROUND((ROUND(((AE538-(EU538))*AV538*I538),2)*BS538),2)*AU538)/100),2))</f>
        <v>0</v>
      </c>
      <c r="Z538" s="2"/>
      <c r="AA538" s="2">
        <v>-1</v>
      </c>
      <c r="AB538" s="2">
        <f t="shared" si="441"/>
        <v>9.59</v>
      </c>
      <c r="AC538" s="2">
        <f>ROUND((ES538),6)</f>
        <v>9.59</v>
      </c>
      <c r="AD538" s="2">
        <f>ROUND((((ET538)-(EU538))+AE538),6)</f>
        <v>0</v>
      </c>
      <c r="AE538" s="2">
        <f>ROUND((EU538),6)</f>
        <v>0</v>
      </c>
      <c r="AF538" s="2">
        <f>ROUND((EV538),6)</f>
        <v>0</v>
      </c>
      <c r="AG538" s="2">
        <f t="shared" si="442"/>
        <v>0</v>
      </c>
      <c r="AH538" s="2">
        <f>(EW538)</f>
        <v>0</v>
      </c>
      <c r="AI538" s="2">
        <f>(EX538)</f>
        <v>0</v>
      </c>
      <c r="AJ538" s="2">
        <f t="shared" si="443"/>
        <v>0</v>
      </c>
      <c r="AK538" s="2">
        <v>9.59</v>
      </c>
      <c r="AL538" s="2">
        <v>9.59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97</v>
      </c>
      <c r="AU538" s="2">
        <v>51</v>
      </c>
      <c r="AV538" s="2">
        <v>1</v>
      </c>
      <c r="AW538" s="2">
        <v>1</v>
      </c>
      <c r="AX538" s="2"/>
      <c r="AY538" s="2"/>
      <c r="AZ538" s="2">
        <v>1</v>
      </c>
      <c r="BA538" s="2">
        <v>1</v>
      </c>
      <c r="BB538" s="2">
        <v>1</v>
      </c>
      <c r="BC538" s="2">
        <v>1</v>
      </c>
      <c r="BD538" s="2" t="s">
        <v>3</v>
      </c>
      <c r="BE538" s="2" t="s">
        <v>3</v>
      </c>
      <c r="BF538" s="2" t="s">
        <v>3</v>
      </c>
      <c r="BG538" s="2" t="s">
        <v>3</v>
      </c>
      <c r="BH538" s="2">
        <v>3</v>
      </c>
      <c r="BI538" s="2">
        <v>2</v>
      </c>
      <c r="BJ538" s="2" t="s">
        <v>3</v>
      </c>
      <c r="BK538" s="2"/>
      <c r="BL538" s="2"/>
      <c r="BM538" s="2">
        <v>67</v>
      </c>
      <c r="BN538" s="2">
        <v>0</v>
      </c>
      <c r="BO538" s="2" t="s">
        <v>3</v>
      </c>
      <c r="BP538" s="2">
        <v>0</v>
      </c>
      <c r="BQ538" s="2">
        <v>40</v>
      </c>
      <c r="BR538" s="2">
        <v>0</v>
      </c>
      <c r="BS538" s="2">
        <v>1</v>
      </c>
      <c r="BT538" s="2">
        <v>1</v>
      </c>
      <c r="BU538" s="2">
        <v>1</v>
      </c>
      <c r="BV538" s="2">
        <v>1</v>
      </c>
      <c r="BW538" s="2">
        <v>1</v>
      </c>
      <c r="BX538" s="2">
        <v>1</v>
      </c>
      <c r="BY538" s="2" t="s">
        <v>3</v>
      </c>
      <c r="BZ538" s="2">
        <v>97</v>
      </c>
      <c r="CA538" s="2">
        <v>51</v>
      </c>
      <c r="CB538" s="2" t="s">
        <v>3</v>
      </c>
      <c r="CC538" s="2"/>
      <c r="CD538" s="2"/>
      <c r="CE538" s="2">
        <v>1566</v>
      </c>
      <c r="CF538" s="2">
        <v>0</v>
      </c>
      <c r="CG538" s="2">
        <v>0</v>
      </c>
      <c r="CH538" s="2"/>
      <c r="CI538" s="2"/>
      <c r="CJ538" s="2"/>
      <c r="CK538" s="2"/>
      <c r="CL538" s="2"/>
      <c r="CM538" s="2">
        <v>0</v>
      </c>
      <c r="CN538" s="2" t="s">
        <v>615</v>
      </c>
      <c r="CO538" s="2">
        <v>0</v>
      </c>
      <c r="CP538" s="2">
        <f t="shared" si="444"/>
        <v>41980.23</v>
      </c>
      <c r="CQ538" s="2">
        <f t="shared" si="445"/>
        <v>9.59</v>
      </c>
      <c r="CR538" s="2">
        <f>(ROUND((ROUND(((ET538)*AV538*1),2)*BB538),2)+ROUND((ROUND(((AE538-(EU538))*AV538*1),2)*BS538),2))</f>
        <v>0</v>
      </c>
      <c r="CS538" s="2">
        <f>(ROUND((ROUND(((EU538)*AV538*1),2)*BS538),2)+ROUND((ROUND(((AE538-(EU538))*AV538*1),2)*BS538),2))</f>
        <v>0</v>
      </c>
      <c r="CT538" s="2">
        <f t="shared" si="446"/>
        <v>0</v>
      </c>
      <c r="CU538" s="2">
        <f t="shared" si="447"/>
        <v>0</v>
      </c>
      <c r="CV538" s="2">
        <f t="shared" si="448"/>
        <v>0</v>
      </c>
      <c r="CW538" s="2">
        <f t="shared" si="449"/>
        <v>0</v>
      </c>
      <c r="CX538" s="2">
        <f t="shared" si="450"/>
        <v>0</v>
      </c>
      <c r="CY538" s="2">
        <f>(ROUND((((S538+ROUND((ROUND(((EU538)*AV538*1),2)*BS538),2))*AT538)/100),2)+ROUND(((ROUND((ROUND(((AE538-(EU538))*AV538*1),2)*BS538),2)*AT538)/100),2))</f>
        <v>0</v>
      </c>
      <c r="CZ538" s="2">
        <f>(ROUND((((S538+ROUND((ROUND(((EU538)*AV538*1),2)*BS538),2))*AU538)/100),2)+ROUND(((ROUND((ROUND(((AE538-(EU538))*AV538*1),2)*BS538),2)*AU538)/100),2))</f>
        <v>0</v>
      </c>
      <c r="DA538" s="2"/>
      <c r="DB538" s="2"/>
      <c r="DC538" s="2" t="s">
        <v>3</v>
      </c>
      <c r="DD538" s="2" t="s">
        <v>3</v>
      </c>
      <c r="DE538" s="2" t="s">
        <v>3</v>
      </c>
      <c r="DF538" s="2" t="s">
        <v>3</v>
      </c>
      <c r="DG538" s="2" t="s">
        <v>3</v>
      </c>
      <c r="DH538" s="2" t="s">
        <v>3</v>
      </c>
      <c r="DI538" s="2" t="s">
        <v>3</v>
      </c>
      <c r="DJ538" s="2" t="s">
        <v>3</v>
      </c>
      <c r="DK538" s="2" t="s">
        <v>3</v>
      </c>
      <c r="DL538" s="2" t="s">
        <v>3</v>
      </c>
      <c r="DM538" s="2" t="s">
        <v>3</v>
      </c>
      <c r="DN538" s="2">
        <v>0</v>
      </c>
      <c r="DO538" s="2">
        <v>0</v>
      </c>
      <c r="DP538" s="2">
        <v>1</v>
      </c>
      <c r="DQ538" s="2">
        <v>1</v>
      </c>
      <c r="DR538" s="2"/>
      <c r="DS538" s="2"/>
      <c r="DT538" s="2"/>
      <c r="DU538" s="2">
        <v>1013</v>
      </c>
      <c r="DV538" s="2" t="s">
        <v>390</v>
      </c>
      <c r="DW538" s="2" t="s">
        <v>390</v>
      </c>
      <c r="DX538" s="2">
        <v>1</v>
      </c>
      <c r="DY538" s="2"/>
      <c r="DZ538" s="2" t="s">
        <v>3</v>
      </c>
      <c r="EA538" s="2" t="s">
        <v>3</v>
      </c>
      <c r="EB538" s="2" t="s">
        <v>3</v>
      </c>
      <c r="EC538" s="2" t="s">
        <v>3</v>
      </c>
      <c r="ED538" s="2"/>
      <c r="EE538" s="2">
        <v>57042957</v>
      </c>
      <c r="EF538" s="2">
        <v>40</v>
      </c>
      <c r="EG538" s="2" t="s">
        <v>30</v>
      </c>
      <c r="EH538" s="2">
        <v>0</v>
      </c>
      <c r="EI538" s="2" t="s">
        <v>3</v>
      </c>
      <c r="EJ538" s="2">
        <v>2</v>
      </c>
      <c r="EK538" s="2">
        <v>67</v>
      </c>
      <c r="EL538" s="2" t="s">
        <v>80</v>
      </c>
      <c r="EM538" s="2" t="s">
        <v>81</v>
      </c>
      <c r="EN538" s="2"/>
      <c r="EO538" s="2" t="s">
        <v>109</v>
      </c>
      <c r="EP538" s="2"/>
      <c r="EQ538" s="2">
        <v>2098176</v>
      </c>
      <c r="ER538" s="2">
        <v>0</v>
      </c>
      <c r="ES538" s="2">
        <v>9.59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>
        <v>0</v>
      </c>
      <c r="FR538" s="2">
        <v>0</v>
      </c>
      <c r="FS538" s="2">
        <v>0</v>
      </c>
      <c r="FT538" s="2"/>
      <c r="FU538" s="2"/>
      <c r="FV538" s="2"/>
      <c r="FW538" s="2"/>
      <c r="FX538" s="2">
        <v>97</v>
      </c>
      <c r="FY538" s="2">
        <v>51</v>
      </c>
      <c r="FZ538" s="2"/>
      <c r="GA538" s="2" t="s">
        <v>391</v>
      </c>
      <c r="GB538" s="2"/>
      <c r="GC538" s="2"/>
      <c r="GD538" s="2">
        <v>1</v>
      </c>
      <c r="GE538" s="2"/>
      <c r="GF538" s="2">
        <v>-820338689</v>
      </c>
      <c r="GG538" s="2">
        <v>2</v>
      </c>
      <c r="GH538" s="2">
        <v>4</v>
      </c>
      <c r="GI538" s="2">
        <v>-2</v>
      </c>
      <c r="GJ538" s="2">
        <v>0</v>
      </c>
      <c r="GK538" s="2">
        <v>0</v>
      </c>
      <c r="GL538" s="2">
        <f t="shared" si="451"/>
        <v>0</v>
      </c>
      <c r="GM538" s="2">
        <f t="shared" si="452"/>
        <v>41980.23</v>
      </c>
      <c r="GN538" s="2">
        <f t="shared" si="453"/>
        <v>0</v>
      </c>
      <c r="GO538" s="2">
        <f t="shared" si="454"/>
        <v>41980.23</v>
      </c>
      <c r="GP538" s="2">
        <f t="shared" si="455"/>
        <v>0</v>
      </c>
      <c r="GQ538" s="2"/>
      <c r="GR538" s="2">
        <v>0</v>
      </c>
      <c r="GS538" s="2">
        <v>2</v>
      </c>
      <c r="GT538" s="2">
        <v>0</v>
      </c>
      <c r="GU538" s="2" t="s">
        <v>3</v>
      </c>
      <c r="GV538" s="2">
        <f t="shared" si="456"/>
        <v>0</v>
      </c>
      <c r="GW538" s="2">
        <v>1</v>
      </c>
      <c r="GX538" s="2">
        <f t="shared" si="457"/>
        <v>0</v>
      </c>
      <c r="GY538" s="2"/>
      <c r="GZ538" s="2"/>
      <c r="HA538" s="2">
        <v>0</v>
      </c>
      <c r="HB538" s="2">
        <v>0</v>
      </c>
      <c r="HC538" s="2">
        <f t="shared" si="458"/>
        <v>0</v>
      </c>
      <c r="HD538" s="2"/>
      <c r="HE538" s="2" t="s">
        <v>347</v>
      </c>
      <c r="HF538" s="2" t="s">
        <v>34</v>
      </c>
      <c r="HG538" s="2"/>
      <c r="HH538" s="2"/>
      <c r="HI538" s="2"/>
      <c r="HJ538" s="2"/>
      <c r="HK538" s="2"/>
      <c r="HL538" s="2"/>
      <c r="HM538" s="2" t="s">
        <v>104</v>
      </c>
      <c r="HN538" s="2" t="s">
        <v>3</v>
      </c>
      <c r="HO538" s="2" t="s">
        <v>3</v>
      </c>
      <c r="HP538" s="2" t="s">
        <v>3</v>
      </c>
      <c r="HQ538" s="2" t="s">
        <v>3</v>
      </c>
      <c r="HR538" s="2"/>
      <c r="HS538" s="2">
        <v>0</v>
      </c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>
        <v>0</v>
      </c>
      <c r="IL538" s="2"/>
      <c r="IM538" s="2"/>
      <c r="IN538" s="2"/>
      <c r="IO538" s="2"/>
      <c r="IP538" s="2"/>
      <c r="IQ538" s="2"/>
      <c r="IR538" s="2"/>
      <c r="IS538" s="2"/>
      <c r="IT538" s="2"/>
      <c r="IU538" s="2"/>
    </row>
    <row r="539" spans="1:255" x14ac:dyDescent="0.25">
      <c r="A539" s="3">
        <v>18</v>
      </c>
      <c r="B539" s="3">
        <v>1</v>
      </c>
      <c r="C539" s="3">
        <v>370</v>
      </c>
      <c r="E539" s="3" t="s">
        <v>3</v>
      </c>
      <c r="F539" s="3" t="s">
        <v>388</v>
      </c>
      <c r="G539" s="3" t="s">
        <v>389</v>
      </c>
      <c r="H539" s="3" t="s">
        <v>390</v>
      </c>
      <c r="I539" s="3">
        <f>I537*J539</f>
        <v>4377.5</v>
      </c>
      <c r="J539" s="3">
        <v>103</v>
      </c>
      <c r="K539" s="3">
        <v>103</v>
      </c>
      <c r="O539" s="3">
        <f t="shared" si="434"/>
        <v>413085.46</v>
      </c>
      <c r="P539" s="3">
        <f t="shared" si="435"/>
        <v>413085.46</v>
      </c>
      <c r="Q539" s="3">
        <f>(ROUND((ROUND(((ET539)*AV539*I539),2)*BB539),2)+ROUND((ROUND(((AE539-(EU539))*AV539*I539),2)*BS539),2))</f>
        <v>0</v>
      </c>
      <c r="R539" s="3">
        <f>(ROUND((ROUND(((EU539)*AV539*I539),2)*BS539),2)+ROUND((ROUND(((AE539-(EU539))*AV539*I539),2)*BS539),2))</f>
        <v>0</v>
      </c>
      <c r="S539" s="3">
        <f t="shared" si="436"/>
        <v>0</v>
      </c>
      <c r="T539" s="3">
        <f t="shared" si="437"/>
        <v>0</v>
      </c>
      <c r="U539" s="3">
        <f t="shared" si="438"/>
        <v>0</v>
      </c>
      <c r="V539" s="3">
        <f t="shared" si="439"/>
        <v>0</v>
      </c>
      <c r="W539" s="3">
        <f t="shared" si="440"/>
        <v>0</v>
      </c>
      <c r="X539" s="3">
        <f>(ROUND((((S539+ROUND((ROUND(((EU539)*AV539*I539),2)*BS539),2))*AT539)/100),2)+ROUND(((ROUND((ROUND(((AE539-(EU539))*AV539*I539),2)*BS539),2)*AT539)/100),2))</f>
        <v>0</v>
      </c>
      <c r="Y539" s="3">
        <f>(ROUND((((S539+ROUND((ROUND(((EU539)*AV539*I539),2)*BS539),2))*AU539)/100),2)+ROUND(((ROUND((ROUND(((AE539-(EU539))*AV539*I539),2)*BS539),2)*AU539)/100),2))</f>
        <v>0</v>
      </c>
      <c r="AA539" s="3">
        <v>-1</v>
      </c>
      <c r="AB539" s="3">
        <f t="shared" si="441"/>
        <v>9.59</v>
      </c>
      <c r="AC539" s="3">
        <f>ROUND((ES539),6)</f>
        <v>9.59</v>
      </c>
      <c r="AD539" s="3">
        <f>ROUND((((ET539)-(EU539))+AE539),6)</f>
        <v>0</v>
      </c>
      <c r="AE539" s="3">
        <f>ROUND((EU539),6)</f>
        <v>0</v>
      </c>
      <c r="AF539" s="3">
        <f>ROUND((EV539),6)</f>
        <v>0</v>
      </c>
      <c r="AG539" s="3">
        <f t="shared" si="442"/>
        <v>0</v>
      </c>
      <c r="AH539" s="3">
        <f>(EW539)</f>
        <v>0</v>
      </c>
      <c r="AI539" s="3">
        <f>(EX539)</f>
        <v>0</v>
      </c>
      <c r="AJ539" s="3">
        <f t="shared" si="443"/>
        <v>0</v>
      </c>
      <c r="AK539" s="3">
        <v>9.59</v>
      </c>
      <c r="AL539" s="3">
        <v>9.59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97</v>
      </c>
      <c r="AU539" s="3">
        <v>51</v>
      </c>
      <c r="AV539" s="3">
        <v>1</v>
      </c>
      <c r="AW539" s="3">
        <v>1</v>
      </c>
      <c r="AZ539" s="3">
        <v>1</v>
      </c>
      <c r="BA539" s="3">
        <v>1</v>
      </c>
      <c r="BB539" s="3">
        <v>1</v>
      </c>
      <c r="BC539" s="3">
        <v>9.84</v>
      </c>
      <c r="BD539" s="3" t="s">
        <v>3</v>
      </c>
      <c r="BE539" s="3" t="s">
        <v>3</v>
      </c>
      <c r="BF539" s="3" t="s">
        <v>3</v>
      </c>
      <c r="BG539" s="3" t="s">
        <v>3</v>
      </c>
      <c r="BH539" s="3">
        <v>3</v>
      </c>
      <c r="BI539" s="3">
        <v>2</v>
      </c>
      <c r="BJ539" s="3" t="s">
        <v>3</v>
      </c>
      <c r="BM539" s="3">
        <v>67</v>
      </c>
      <c r="BN539" s="3">
        <v>0</v>
      </c>
      <c r="BO539" s="3" t="s">
        <v>3</v>
      </c>
      <c r="BP539" s="3">
        <v>0</v>
      </c>
      <c r="BQ539" s="3">
        <v>40</v>
      </c>
      <c r="BR539" s="3">
        <v>0</v>
      </c>
      <c r="BS539" s="3">
        <v>1</v>
      </c>
      <c r="BT539" s="3">
        <v>1</v>
      </c>
      <c r="BU539" s="3">
        <v>1</v>
      </c>
      <c r="BV539" s="3">
        <v>1</v>
      </c>
      <c r="BW539" s="3">
        <v>1</v>
      </c>
      <c r="BX539" s="3">
        <v>1</v>
      </c>
      <c r="BY539" s="3" t="s">
        <v>3</v>
      </c>
      <c r="BZ539" s="3">
        <v>97</v>
      </c>
      <c r="CA539" s="3">
        <v>51</v>
      </c>
      <c r="CB539" s="3" t="s">
        <v>3</v>
      </c>
      <c r="CE539" s="3">
        <v>1566</v>
      </c>
      <c r="CF539" s="3">
        <v>0</v>
      </c>
      <c r="CG539" s="3">
        <v>0</v>
      </c>
      <c r="CM539" s="3">
        <v>0</v>
      </c>
      <c r="CN539" s="3" t="s">
        <v>615</v>
      </c>
      <c r="CO539" s="3">
        <v>0</v>
      </c>
      <c r="CP539" s="3">
        <f t="shared" si="444"/>
        <v>413085.46</v>
      </c>
      <c r="CQ539" s="3">
        <f t="shared" si="445"/>
        <v>94.37</v>
      </c>
      <c r="CR539" s="3">
        <f>(ROUND((ROUND(((ET539)*AV539*1),2)*BB539),2)+ROUND((ROUND(((AE539-(EU539))*AV539*1),2)*BS539),2))</f>
        <v>0</v>
      </c>
      <c r="CS539" s="3">
        <f>(ROUND((ROUND(((EU539)*AV539*1),2)*BS539),2)+ROUND((ROUND(((AE539-(EU539))*AV539*1),2)*BS539),2))</f>
        <v>0</v>
      </c>
      <c r="CT539" s="3">
        <f t="shared" si="446"/>
        <v>0</v>
      </c>
      <c r="CU539" s="3">
        <f t="shared" si="447"/>
        <v>0</v>
      </c>
      <c r="CV539" s="3">
        <f t="shared" si="448"/>
        <v>0</v>
      </c>
      <c r="CW539" s="3">
        <f t="shared" si="449"/>
        <v>0</v>
      </c>
      <c r="CX539" s="3">
        <f t="shared" si="450"/>
        <v>0</v>
      </c>
      <c r="CY539" s="3">
        <f>(ROUND((((S539+ROUND((ROUND(((EU539)*AV539*1),2)*BS539),2))*AT539)/100),2)+ROUND(((ROUND((ROUND(((AE539-(EU539))*AV539*1),2)*BS539),2)*AT539)/100),2))</f>
        <v>0</v>
      </c>
      <c r="CZ539" s="3">
        <f>(ROUND((((S539+ROUND((ROUND(((EU539)*AV539*1),2)*BS539),2))*AU539)/100),2)+ROUND(((ROUND((ROUND(((AE539-(EU539))*AV539*1),2)*BS539),2)*AU539)/100),2))</f>
        <v>0</v>
      </c>
      <c r="DC539" s="3" t="s">
        <v>3</v>
      </c>
      <c r="DD539" s="3" t="s">
        <v>3</v>
      </c>
      <c r="DE539" s="3" t="s">
        <v>3</v>
      </c>
      <c r="DF539" s="3" t="s">
        <v>3</v>
      </c>
      <c r="DG539" s="3" t="s">
        <v>3</v>
      </c>
      <c r="DH539" s="3" t="s">
        <v>3</v>
      </c>
      <c r="DI539" s="3" t="s">
        <v>3</v>
      </c>
      <c r="DJ539" s="3" t="s">
        <v>3</v>
      </c>
      <c r="DK539" s="3" t="s">
        <v>3</v>
      </c>
      <c r="DL539" s="3" t="s">
        <v>3</v>
      </c>
      <c r="DM539" s="3" t="s">
        <v>3</v>
      </c>
      <c r="DN539" s="3">
        <v>0</v>
      </c>
      <c r="DO539" s="3">
        <v>0</v>
      </c>
      <c r="DP539" s="3">
        <v>1</v>
      </c>
      <c r="DQ539" s="3">
        <v>1</v>
      </c>
      <c r="DU539" s="3">
        <v>1013</v>
      </c>
      <c r="DV539" s="3" t="s">
        <v>390</v>
      </c>
      <c r="DW539" s="3" t="s">
        <v>390</v>
      </c>
      <c r="DX539" s="3">
        <v>1</v>
      </c>
      <c r="DZ539" s="3" t="s">
        <v>3</v>
      </c>
      <c r="EA539" s="3" t="s">
        <v>3</v>
      </c>
      <c r="EB539" s="3" t="s">
        <v>3</v>
      </c>
      <c r="EC539" s="3" t="s">
        <v>3</v>
      </c>
      <c r="EE539" s="3">
        <v>57042957</v>
      </c>
      <c r="EF539" s="3">
        <v>40</v>
      </c>
      <c r="EG539" s="3" t="s">
        <v>30</v>
      </c>
      <c r="EH539" s="3">
        <v>0</v>
      </c>
      <c r="EI539" s="3" t="s">
        <v>3</v>
      </c>
      <c r="EJ539" s="3">
        <v>2</v>
      </c>
      <c r="EK539" s="3">
        <v>67</v>
      </c>
      <c r="EL539" s="3" t="s">
        <v>80</v>
      </c>
      <c r="EM539" s="3" t="s">
        <v>81</v>
      </c>
      <c r="EO539" s="3" t="s">
        <v>109</v>
      </c>
      <c r="EQ539" s="3">
        <v>2098176</v>
      </c>
      <c r="ER539" s="3">
        <v>9.59</v>
      </c>
      <c r="ES539" s="3">
        <v>9.59</v>
      </c>
      <c r="ET539" s="3">
        <v>0</v>
      </c>
      <c r="EU539" s="3">
        <v>0</v>
      </c>
      <c r="EV539" s="3">
        <v>0</v>
      </c>
      <c r="EW539" s="3">
        <v>0</v>
      </c>
      <c r="EX539" s="3">
        <v>0</v>
      </c>
      <c r="EZ539" s="3">
        <v>5</v>
      </c>
      <c r="FC539" s="3">
        <v>1</v>
      </c>
      <c r="FD539" s="3">
        <v>18</v>
      </c>
      <c r="FF539" s="3">
        <v>112.8</v>
      </c>
      <c r="FQ539" s="3">
        <v>0</v>
      </c>
      <c r="FR539" s="3">
        <v>0</v>
      </c>
      <c r="FS539" s="3">
        <v>0</v>
      </c>
      <c r="FX539" s="3">
        <v>97</v>
      </c>
      <c r="FY539" s="3">
        <v>51</v>
      </c>
      <c r="GA539" s="3" t="s">
        <v>391</v>
      </c>
      <c r="GD539" s="3">
        <v>1</v>
      </c>
      <c r="GF539" s="3">
        <v>-820338689</v>
      </c>
      <c r="GG539" s="3">
        <v>2</v>
      </c>
      <c r="GH539" s="3">
        <v>3</v>
      </c>
      <c r="GI539" s="3">
        <v>5</v>
      </c>
      <c r="GJ539" s="3">
        <v>0</v>
      </c>
      <c r="GK539" s="3">
        <v>0</v>
      </c>
      <c r="GL539" s="3">
        <f t="shared" si="451"/>
        <v>0</v>
      </c>
      <c r="GM539" s="3">
        <f t="shared" si="452"/>
        <v>413085.46</v>
      </c>
      <c r="GN539" s="3">
        <f t="shared" si="453"/>
        <v>0</v>
      </c>
      <c r="GO539" s="3">
        <f t="shared" si="454"/>
        <v>413085.46</v>
      </c>
      <c r="GP539" s="3">
        <f t="shared" si="455"/>
        <v>0</v>
      </c>
      <c r="GR539" s="3">
        <v>1</v>
      </c>
      <c r="GS539" s="3">
        <v>1</v>
      </c>
      <c r="GT539" s="3">
        <v>0</v>
      </c>
      <c r="GU539" s="3" t="s">
        <v>3</v>
      </c>
      <c r="GV539" s="3">
        <f t="shared" si="456"/>
        <v>0</v>
      </c>
      <c r="GW539" s="3">
        <v>1</v>
      </c>
      <c r="GX539" s="3">
        <f t="shared" si="457"/>
        <v>0</v>
      </c>
      <c r="HA539" s="3">
        <v>0</v>
      </c>
      <c r="HB539" s="3">
        <v>0</v>
      </c>
      <c r="HC539" s="3">
        <f t="shared" si="458"/>
        <v>0</v>
      </c>
      <c r="HE539" s="3" t="s">
        <v>347</v>
      </c>
      <c r="HF539" s="3" t="s">
        <v>34</v>
      </c>
      <c r="HM539" s="3" t="s">
        <v>104</v>
      </c>
      <c r="HN539" s="3" t="s">
        <v>3</v>
      </c>
      <c r="HO539" s="3" t="s">
        <v>3</v>
      </c>
      <c r="HP539" s="3" t="s">
        <v>3</v>
      </c>
      <c r="HQ539" s="3" t="s">
        <v>3</v>
      </c>
      <c r="HS539" s="3">
        <v>0</v>
      </c>
      <c r="IK539" s="3">
        <v>0</v>
      </c>
    </row>
    <row r="540" spans="1:255" x14ac:dyDescent="0.25">
      <c r="A540" s="2">
        <v>17</v>
      </c>
      <c r="B540" s="2">
        <v>1</v>
      </c>
      <c r="C540" s="2">
        <f>ROW(SmtRes!A373)</f>
        <v>373</v>
      </c>
      <c r="D540" s="2">
        <f>ROW(EtalonRes!A378)</f>
        <v>378</v>
      </c>
      <c r="E540" s="2" t="s">
        <v>3</v>
      </c>
      <c r="F540" s="2" t="s">
        <v>425</v>
      </c>
      <c r="G540" s="2" t="s">
        <v>426</v>
      </c>
      <c r="H540" s="2" t="s">
        <v>427</v>
      </c>
      <c r="I540" s="2">
        <f>ROUND((9000+100+100+100+100)/100,9)</f>
        <v>94</v>
      </c>
      <c r="J540" s="2">
        <v>0</v>
      </c>
      <c r="K540" s="2">
        <f>ROUND((9000+100+100+100+100)/100,9)</f>
        <v>94</v>
      </c>
      <c r="L540" s="2"/>
      <c r="M540" s="2"/>
      <c r="N540" s="2"/>
      <c r="O540" s="2">
        <f t="shared" si="434"/>
        <v>1886.52</v>
      </c>
      <c r="P540" s="2">
        <f t="shared" si="435"/>
        <v>53.58</v>
      </c>
      <c r="Q540" s="2">
        <f>(ROUND((ROUND((((ET540*1.2))*AV540*I540),2)*BB540),2)+ROUND((ROUND(((AE540-((EU540*1.2)))*AV540*I540),2)*BS540),2))</f>
        <v>0</v>
      </c>
      <c r="R540" s="2">
        <f>(ROUND((ROUND((((EU540*1.2))*AV540*I540),2)*BS540),2)+ROUND((ROUND(((AE540-((EU540*1.2)))*AV540*I540),2)*BS540),2))</f>
        <v>0</v>
      </c>
      <c r="S540" s="2">
        <f t="shared" si="436"/>
        <v>1832.94</v>
      </c>
      <c r="T540" s="2">
        <f t="shared" si="437"/>
        <v>0</v>
      </c>
      <c r="U540" s="2">
        <f t="shared" si="438"/>
        <v>148.80801599999998</v>
      </c>
      <c r="V540" s="2">
        <f t="shared" si="439"/>
        <v>0</v>
      </c>
      <c r="W540" s="2">
        <f t="shared" si="440"/>
        <v>0</v>
      </c>
      <c r="X540" s="2">
        <f>(ROUND((((S540+ROUND((ROUND((((EU540*1.2))*AV540*I540),2)*BS540),2))*AT540)/100),2)+ROUND(((ROUND((ROUND(((AE540-((EU540*1.2)))*AV540*I540),2)*BS540),2)*AT540)/100),2))</f>
        <v>1777.95</v>
      </c>
      <c r="Y540" s="2">
        <f>(ROUND((((S540+ROUND((ROUND((((EU540*1.2))*AV540*I540),2)*BS540),2))*AU540)/100),2)+ROUND(((ROUND((ROUND(((AE540-((EU540*1.2)))*AV540*I540),2)*BS540),2)*AU540)/100),2))</f>
        <v>934.8</v>
      </c>
      <c r="Z540" s="2"/>
      <c r="AA540" s="2">
        <v>-1</v>
      </c>
      <c r="AB540" s="2">
        <f t="shared" si="441"/>
        <v>19.193999999999999</v>
      </c>
      <c r="AC540" s="2">
        <f>ROUND(((ES540*1)),6)</f>
        <v>0.56999999999999995</v>
      </c>
      <c r="AD540" s="2">
        <f>ROUND(((((ET540*1.2))-((EU540*1.2)))+AE540),6)</f>
        <v>0</v>
      </c>
      <c r="AE540" s="2">
        <f>ROUND(((EU540*1.2)),6)</f>
        <v>0</v>
      </c>
      <c r="AF540" s="2">
        <f>ROUND(((EV540*1.2)),6)</f>
        <v>18.623999999999999</v>
      </c>
      <c r="AG540" s="2">
        <f t="shared" si="442"/>
        <v>0</v>
      </c>
      <c r="AH540" s="2">
        <f>((EW540*1.2))</f>
        <v>1.512</v>
      </c>
      <c r="AI540" s="2">
        <f>((EX540*1.2))</f>
        <v>0</v>
      </c>
      <c r="AJ540" s="2">
        <f t="shared" si="443"/>
        <v>0</v>
      </c>
      <c r="AK540" s="2">
        <v>16.09</v>
      </c>
      <c r="AL540" s="2">
        <v>0.56999999999999995</v>
      </c>
      <c r="AM540" s="2">
        <v>0</v>
      </c>
      <c r="AN540" s="2">
        <v>0</v>
      </c>
      <c r="AO540" s="2">
        <v>15.52</v>
      </c>
      <c r="AP540" s="2">
        <v>0</v>
      </c>
      <c r="AQ540" s="2">
        <v>1.26</v>
      </c>
      <c r="AR540" s="2">
        <v>0</v>
      </c>
      <c r="AS540" s="2">
        <v>0</v>
      </c>
      <c r="AT540" s="2">
        <v>97</v>
      </c>
      <c r="AU540" s="2">
        <v>51</v>
      </c>
      <c r="AV540" s="2">
        <v>1.0469999999999999</v>
      </c>
      <c r="AW540" s="2">
        <v>1</v>
      </c>
      <c r="AX540" s="2"/>
      <c r="AY540" s="2"/>
      <c r="AZ540" s="2">
        <v>1</v>
      </c>
      <c r="BA540" s="2">
        <v>1</v>
      </c>
      <c r="BB540" s="2">
        <v>1</v>
      </c>
      <c r="BC540" s="2">
        <v>1</v>
      </c>
      <c r="BD540" s="2" t="s">
        <v>3</v>
      </c>
      <c r="BE540" s="2" t="s">
        <v>3</v>
      </c>
      <c r="BF540" s="2" t="s">
        <v>3</v>
      </c>
      <c r="BG540" s="2" t="s">
        <v>3</v>
      </c>
      <c r="BH540" s="2">
        <v>0</v>
      </c>
      <c r="BI540" s="2">
        <v>2</v>
      </c>
      <c r="BJ540" s="2" t="s">
        <v>428</v>
      </c>
      <c r="BK540" s="2"/>
      <c r="BL540" s="2"/>
      <c r="BM540" s="2">
        <v>67</v>
      </c>
      <c r="BN540" s="2">
        <v>0</v>
      </c>
      <c r="BO540" s="2" t="s">
        <v>425</v>
      </c>
      <c r="BP540" s="2">
        <v>1</v>
      </c>
      <c r="BQ540" s="2">
        <v>40</v>
      </c>
      <c r="BR540" s="2">
        <v>0</v>
      </c>
      <c r="BS540" s="2">
        <v>1</v>
      </c>
      <c r="BT540" s="2">
        <v>1</v>
      </c>
      <c r="BU540" s="2">
        <v>1</v>
      </c>
      <c r="BV540" s="2">
        <v>1</v>
      </c>
      <c r="BW540" s="2">
        <v>1</v>
      </c>
      <c r="BX540" s="2">
        <v>1</v>
      </c>
      <c r="BY540" s="2" t="s">
        <v>3</v>
      </c>
      <c r="BZ540" s="2">
        <v>97</v>
      </c>
      <c r="CA540" s="2">
        <v>51</v>
      </c>
      <c r="CB540" s="2" t="s">
        <v>3</v>
      </c>
      <c r="CC540" s="2"/>
      <c r="CD540" s="2"/>
      <c r="CE540" s="2">
        <v>1566</v>
      </c>
      <c r="CF540" s="2">
        <v>0</v>
      </c>
      <c r="CG540" s="2">
        <v>0</v>
      </c>
      <c r="CH540" s="2"/>
      <c r="CI540" s="2"/>
      <c r="CJ540" s="2"/>
      <c r="CK540" s="2"/>
      <c r="CL540" s="2"/>
      <c r="CM540" s="2">
        <v>0</v>
      </c>
      <c r="CN540" s="2" t="s">
        <v>614</v>
      </c>
      <c r="CO540" s="2">
        <v>0</v>
      </c>
      <c r="CP540" s="2">
        <f t="shared" si="444"/>
        <v>1886.52</v>
      </c>
      <c r="CQ540" s="2">
        <f t="shared" si="445"/>
        <v>0.56999999999999995</v>
      </c>
      <c r="CR540" s="2">
        <f>(ROUND((ROUND((((ET540*1.2))*AV540*1),2)*BB540),2)+ROUND((ROUND(((AE540-((EU540*1.2)))*AV540*1),2)*BS540),2))</f>
        <v>0</v>
      </c>
      <c r="CS540" s="2">
        <f>(ROUND((ROUND((((EU540*1.2))*AV540*1),2)*BS540),2)+ROUND((ROUND(((AE540-((EU540*1.2)))*AV540*1),2)*BS540),2))</f>
        <v>0</v>
      </c>
      <c r="CT540" s="2">
        <f t="shared" si="446"/>
        <v>19.5</v>
      </c>
      <c r="CU540" s="2">
        <f t="shared" si="447"/>
        <v>0</v>
      </c>
      <c r="CV540" s="2">
        <f t="shared" si="448"/>
        <v>1.5830639999999998</v>
      </c>
      <c r="CW540" s="2">
        <f t="shared" si="449"/>
        <v>0</v>
      </c>
      <c r="CX540" s="2">
        <f t="shared" si="450"/>
        <v>0</v>
      </c>
      <c r="CY540" s="2">
        <f>(ROUND((((S540+ROUND((ROUND((((EU540*1.2))*AV540*1),2)*BS540),2))*AT540)/100),2)+ROUND(((ROUND((ROUND(((AE540-((EU540*1.2)))*AV540*1),2)*BS540),2)*AT540)/100),2))</f>
        <v>1777.95</v>
      </c>
      <c r="CZ540" s="2">
        <f>(ROUND((((S540+ROUND((ROUND((((EU540*1.2))*AV540*1),2)*BS540),2))*AU540)/100),2)+ROUND(((ROUND((ROUND(((AE540-((EU540*1.2)))*AV540*1),2)*BS540),2)*AU540)/100),2))</f>
        <v>934.8</v>
      </c>
      <c r="DA540" s="2"/>
      <c r="DB540" s="2">
        <v>143</v>
      </c>
      <c r="DC540" s="2" t="s">
        <v>3</v>
      </c>
      <c r="DD540" s="2" t="s">
        <v>104</v>
      </c>
      <c r="DE540" s="2" t="s">
        <v>105</v>
      </c>
      <c r="DF540" s="2" t="s">
        <v>105</v>
      </c>
      <c r="DG540" s="2" t="s">
        <v>105</v>
      </c>
      <c r="DH540" s="2" t="s">
        <v>3</v>
      </c>
      <c r="DI540" s="2" t="s">
        <v>105</v>
      </c>
      <c r="DJ540" s="2" t="s">
        <v>105</v>
      </c>
      <c r="DK540" s="2" t="s">
        <v>3</v>
      </c>
      <c r="DL540" s="2" t="s">
        <v>3</v>
      </c>
      <c r="DM540" s="2" t="s">
        <v>3</v>
      </c>
      <c r="DN540" s="2">
        <v>0</v>
      </c>
      <c r="DO540" s="2">
        <v>0</v>
      </c>
      <c r="DP540" s="2">
        <v>1</v>
      </c>
      <c r="DQ540" s="2">
        <v>1</v>
      </c>
      <c r="DR540" s="2"/>
      <c r="DS540" s="2"/>
      <c r="DT540" s="2"/>
      <c r="DU540" s="2">
        <v>1013</v>
      </c>
      <c r="DV540" s="2" t="s">
        <v>427</v>
      </c>
      <c r="DW540" s="2" t="s">
        <v>427</v>
      </c>
      <c r="DX540" s="2">
        <v>1</v>
      </c>
      <c r="DY540" s="2"/>
      <c r="DZ540" s="2" t="s">
        <v>3</v>
      </c>
      <c r="EA540" s="2" t="s">
        <v>3</v>
      </c>
      <c r="EB540" s="2" t="s">
        <v>3</v>
      </c>
      <c r="EC540" s="2" t="s">
        <v>3</v>
      </c>
      <c r="ED540" s="2"/>
      <c r="EE540" s="2">
        <v>57042957</v>
      </c>
      <c r="EF540" s="2">
        <v>40</v>
      </c>
      <c r="EG540" s="2" t="s">
        <v>30</v>
      </c>
      <c r="EH540" s="2">
        <v>0</v>
      </c>
      <c r="EI540" s="2" t="s">
        <v>3</v>
      </c>
      <c r="EJ540" s="2">
        <v>2</v>
      </c>
      <c r="EK540" s="2">
        <v>67</v>
      </c>
      <c r="EL540" s="2" t="s">
        <v>80</v>
      </c>
      <c r="EM540" s="2" t="s">
        <v>81</v>
      </c>
      <c r="EN540" s="2"/>
      <c r="EO540" s="2" t="s">
        <v>109</v>
      </c>
      <c r="EP540" s="2"/>
      <c r="EQ540" s="2">
        <v>132096</v>
      </c>
      <c r="ER540" s="2">
        <v>16.09</v>
      </c>
      <c r="ES540" s="2">
        <v>0.56999999999999995</v>
      </c>
      <c r="ET540" s="2">
        <v>0</v>
      </c>
      <c r="EU540" s="2">
        <v>0</v>
      </c>
      <c r="EV540" s="2">
        <v>15.52</v>
      </c>
      <c r="EW540" s="2">
        <v>1.26</v>
      </c>
      <c r="EX540" s="2">
        <v>0</v>
      </c>
      <c r="EY540" s="2">
        <v>0</v>
      </c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>
        <v>0</v>
      </c>
      <c r="FR540" s="2">
        <v>0</v>
      </c>
      <c r="FS540" s="2">
        <v>0</v>
      </c>
      <c r="FT540" s="2"/>
      <c r="FU540" s="2"/>
      <c r="FV540" s="2"/>
      <c r="FW540" s="2"/>
      <c r="FX540" s="2">
        <v>97</v>
      </c>
      <c r="FY540" s="2">
        <v>51</v>
      </c>
      <c r="FZ540" s="2"/>
      <c r="GA540" s="2" t="s">
        <v>3</v>
      </c>
      <c r="GB540" s="2"/>
      <c r="GC540" s="2"/>
      <c r="GD540" s="2">
        <v>1</v>
      </c>
      <c r="GE540" s="2"/>
      <c r="GF540" s="2">
        <v>2037938139</v>
      </c>
      <c r="GG540" s="2">
        <v>2</v>
      </c>
      <c r="GH540" s="2">
        <v>1</v>
      </c>
      <c r="GI540" s="2">
        <v>2</v>
      </c>
      <c r="GJ540" s="2">
        <v>0</v>
      </c>
      <c r="GK540" s="2">
        <v>0</v>
      </c>
      <c r="GL540" s="2">
        <f t="shared" si="451"/>
        <v>0</v>
      </c>
      <c r="GM540" s="2">
        <f t="shared" si="452"/>
        <v>4599.2700000000004</v>
      </c>
      <c r="GN540" s="2">
        <f t="shared" si="453"/>
        <v>0</v>
      </c>
      <c r="GO540" s="2">
        <f t="shared" si="454"/>
        <v>4599.2700000000004</v>
      </c>
      <c r="GP540" s="2">
        <f t="shared" si="455"/>
        <v>0</v>
      </c>
      <c r="GQ540" s="2"/>
      <c r="GR540" s="2">
        <v>0</v>
      </c>
      <c r="GS540" s="2">
        <v>3</v>
      </c>
      <c r="GT540" s="2">
        <v>0</v>
      </c>
      <c r="GU540" s="2" t="s">
        <v>3</v>
      </c>
      <c r="GV540" s="2">
        <f t="shared" si="456"/>
        <v>0</v>
      </c>
      <c r="GW540" s="2">
        <v>1</v>
      </c>
      <c r="GX540" s="2">
        <f t="shared" si="457"/>
        <v>0</v>
      </c>
      <c r="GY540" s="2"/>
      <c r="GZ540" s="2"/>
      <c r="HA540" s="2">
        <v>0</v>
      </c>
      <c r="HB540" s="2">
        <v>0</v>
      </c>
      <c r="HC540" s="2">
        <f t="shared" si="458"/>
        <v>0</v>
      </c>
      <c r="HD540" s="2"/>
      <c r="HE540" s="2" t="s">
        <v>3</v>
      </c>
      <c r="HF540" s="2" t="s">
        <v>3</v>
      </c>
      <c r="HG540" s="2"/>
      <c r="HH540" s="2"/>
      <c r="HI540" s="2"/>
      <c r="HJ540" s="2"/>
      <c r="HK540" s="2"/>
      <c r="HL540" s="2"/>
      <c r="HM540" s="2" t="s">
        <v>3</v>
      </c>
      <c r="HN540" s="2" t="s">
        <v>3</v>
      </c>
      <c r="HO540" s="2" t="s">
        <v>3</v>
      </c>
      <c r="HP540" s="2" t="s">
        <v>3</v>
      </c>
      <c r="HQ540" s="2" t="s">
        <v>3</v>
      </c>
      <c r="HR540" s="2"/>
      <c r="HS540" s="2">
        <v>0</v>
      </c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>
        <v>0</v>
      </c>
      <c r="IL540" s="2"/>
      <c r="IM540" s="2"/>
      <c r="IN540" s="2"/>
      <c r="IO540" s="2"/>
      <c r="IP540" s="2"/>
      <c r="IQ540" s="2"/>
      <c r="IR540" s="2"/>
      <c r="IS540" s="2"/>
      <c r="IT540" s="2"/>
      <c r="IU540" s="2"/>
    </row>
    <row r="541" spans="1:255" x14ac:dyDescent="0.25">
      <c r="A541" s="3">
        <v>17</v>
      </c>
      <c r="B541" s="3">
        <v>1</v>
      </c>
      <c r="C541" s="3">
        <f>ROW(SmtRes!A376)</f>
        <v>376</v>
      </c>
      <c r="D541" s="3">
        <f>ROW(EtalonRes!A380)</f>
        <v>380</v>
      </c>
      <c r="E541" s="3" t="s">
        <v>3</v>
      </c>
      <c r="F541" s="3" t="s">
        <v>425</v>
      </c>
      <c r="G541" s="3" t="s">
        <v>426</v>
      </c>
      <c r="H541" s="3" t="s">
        <v>427</v>
      </c>
      <c r="I541" s="3">
        <f>ROUND((9000+100+100+100+100)/100,9)</f>
        <v>94</v>
      </c>
      <c r="J541" s="3">
        <v>0</v>
      </c>
      <c r="K541" s="3">
        <f>ROUND((9000+100+100+100+100)/100,9)</f>
        <v>94</v>
      </c>
      <c r="O541" s="3">
        <f t="shared" si="434"/>
        <v>104260.79</v>
      </c>
      <c r="P541" s="3">
        <f t="shared" si="435"/>
        <v>974.62</v>
      </c>
      <c r="Q541" s="3">
        <f>(ROUND((ROUND((((ET541*1.2))*AV541*I541),2)*BB541),2)+ROUND((ROUND(((AE541-((EU541*1.2)))*AV541*I541),2)*BS541),2))</f>
        <v>0</v>
      </c>
      <c r="R541" s="3">
        <f>(ROUND((ROUND((((EU541*1.2))*AV541*I541),2)*BS541),2)+ROUND((ROUND(((AE541-((EU541*1.2)))*AV541*I541),2)*BS541),2))</f>
        <v>0</v>
      </c>
      <c r="S541" s="3">
        <f t="shared" si="436"/>
        <v>103286.17</v>
      </c>
      <c r="T541" s="3">
        <f t="shared" si="437"/>
        <v>0</v>
      </c>
      <c r="U541" s="3">
        <f t="shared" si="438"/>
        <v>148.80801599999998</v>
      </c>
      <c r="V541" s="3">
        <f t="shared" si="439"/>
        <v>0</v>
      </c>
      <c r="W541" s="3">
        <f t="shared" si="440"/>
        <v>0</v>
      </c>
      <c r="X541" s="3">
        <f>(ROUND((((S541+ROUND((ROUND((((EU541*1.2))*AV541*I541),2)*BS541),2))*AT541)/100),2)+ROUND(((ROUND((ROUND(((AE541-((EU541*1.2)))*AV541*I541),2)*BS541),2)*AT541)/100),2))</f>
        <v>100187.58</v>
      </c>
      <c r="Y541" s="3">
        <f>(ROUND((((S541+ROUND((ROUND((((EU541*1.2))*AV541*I541),2)*BS541),2))*AU541)/100),2)+ROUND(((ROUND((ROUND(((AE541-((EU541*1.2)))*AV541*I541),2)*BS541),2)*AU541)/100),2))</f>
        <v>52675.95</v>
      </c>
      <c r="AA541" s="3">
        <v>-1</v>
      </c>
      <c r="AB541" s="3">
        <f t="shared" si="441"/>
        <v>19.193999999999999</v>
      </c>
      <c r="AC541" s="3">
        <f>ROUND(((ES541*1)),6)</f>
        <v>0.56999999999999995</v>
      </c>
      <c r="AD541" s="3">
        <f>ROUND(((((ET541*1.2))-((EU541*1.2)))+AE541),6)</f>
        <v>0</v>
      </c>
      <c r="AE541" s="3">
        <f>ROUND(((EU541*1.2)),6)</f>
        <v>0</v>
      </c>
      <c r="AF541" s="3">
        <f>ROUND(((EV541*1.2)),6)</f>
        <v>18.623999999999999</v>
      </c>
      <c r="AG541" s="3">
        <f t="shared" si="442"/>
        <v>0</v>
      </c>
      <c r="AH541" s="3">
        <f>((EW541*1.2))</f>
        <v>1.512</v>
      </c>
      <c r="AI541" s="3">
        <f>((EX541*1.2))</f>
        <v>0</v>
      </c>
      <c r="AJ541" s="3">
        <f t="shared" si="443"/>
        <v>0</v>
      </c>
      <c r="AK541" s="3">
        <v>16.09</v>
      </c>
      <c r="AL541" s="3">
        <v>0.56999999999999995</v>
      </c>
      <c r="AM541" s="3">
        <v>0</v>
      </c>
      <c r="AN541" s="3">
        <v>0</v>
      </c>
      <c r="AO541" s="3">
        <v>15.52</v>
      </c>
      <c r="AP541" s="3">
        <v>0</v>
      </c>
      <c r="AQ541" s="3">
        <v>1.26</v>
      </c>
      <c r="AR541" s="3">
        <v>0</v>
      </c>
      <c r="AS541" s="3">
        <v>0</v>
      </c>
      <c r="AT541" s="3">
        <v>97</v>
      </c>
      <c r="AU541" s="3">
        <v>51</v>
      </c>
      <c r="AV541" s="3">
        <v>1.0469999999999999</v>
      </c>
      <c r="AW541" s="3">
        <v>1</v>
      </c>
      <c r="AZ541" s="3">
        <v>1</v>
      </c>
      <c r="BA541" s="3">
        <v>56.35</v>
      </c>
      <c r="BB541" s="3">
        <v>1</v>
      </c>
      <c r="BC541" s="3">
        <v>18.190000000000001</v>
      </c>
      <c r="BD541" s="3" t="s">
        <v>3</v>
      </c>
      <c r="BE541" s="3" t="s">
        <v>3</v>
      </c>
      <c r="BF541" s="3" t="s">
        <v>3</v>
      </c>
      <c r="BG541" s="3" t="s">
        <v>3</v>
      </c>
      <c r="BH541" s="3">
        <v>0</v>
      </c>
      <c r="BI541" s="3">
        <v>2</v>
      </c>
      <c r="BJ541" s="3" t="s">
        <v>428</v>
      </c>
      <c r="BM541" s="3">
        <v>67</v>
      </c>
      <c r="BN541" s="3">
        <v>0</v>
      </c>
      <c r="BO541" s="3" t="s">
        <v>425</v>
      </c>
      <c r="BP541" s="3">
        <v>1</v>
      </c>
      <c r="BQ541" s="3">
        <v>40</v>
      </c>
      <c r="BR541" s="3">
        <v>0</v>
      </c>
      <c r="BS541" s="3">
        <v>56.35</v>
      </c>
      <c r="BT541" s="3">
        <v>1</v>
      </c>
      <c r="BU541" s="3">
        <v>1</v>
      </c>
      <c r="BV541" s="3">
        <v>1</v>
      </c>
      <c r="BW541" s="3">
        <v>1</v>
      </c>
      <c r="BX541" s="3">
        <v>1</v>
      </c>
      <c r="BY541" s="3" t="s">
        <v>3</v>
      </c>
      <c r="BZ541" s="3">
        <v>97</v>
      </c>
      <c r="CA541" s="3">
        <v>51</v>
      </c>
      <c r="CB541" s="3" t="s">
        <v>3</v>
      </c>
      <c r="CE541" s="3">
        <v>1566</v>
      </c>
      <c r="CF541" s="3">
        <v>0</v>
      </c>
      <c r="CG541" s="3">
        <v>0</v>
      </c>
      <c r="CM541" s="3">
        <v>0</v>
      </c>
      <c r="CN541" s="3" t="s">
        <v>614</v>
      </c>
      <c r="CO541" s="3">
        <v>0</v>
      </c>
      <c r="CP541" s="3">
        <f t="shared" si="444"/>
        <v>104260.79</v>
      </c>
      <c r="CQ541" s="3">
        <f t="shared" si="445"/>
        <v>10.37</v>
      </c>
      <c r="CR541" s="3">
        <f>(ROUND((ROUND((((ET541*1.2))*AV541*1),2)*BB541),2)+ROUND((ROUND(((AE541-((EU541*1.2)))*AV541*1),2)*BS541),2))</f>
        <v>0</v>
      </c>
      <c r="CS541" s="3">
        <f>(ROUND((ROUND((((EU541*1.2))*AV541*1),2)*BS541),2)+ROUND((ROUND(((AE541-((EU541*1.2)))*AV541*1),2)*BS541),2))</f>
        <v>0</v>
      </c>
      <c r="CT541" s="3">
        <f t="shared" si="446"/>
        <v>1098.83</v>
      </c>
      <c r="CU541" s="3">
        <f t="shared" si="447"/>
        <v>0</v>
      </c>
      <c r="CV541" s="3">
        <f t="shared" si="448"/>
        <v>1.5830639999999998</v>
      </c>
      <c r="CW541" s="3">
        <f t="shared" si="449"/>
        <v>0</v>
      </c>
      <c r="CX541" s="3">
        <f t="shared" si="450"/>
        <v>0</v>
      </c>
      <c r="CY541" s="3">
        <f>(ROUND((((S541+ROUND((ROUND((((EU541*1.2))*AV541*1),2)*BS541),2))*AT541)/100),2)+ROUND(((ROUND((ROUND(((AE541-((EU541*1.2)))*AV541*1),2)*BS541),2)*AT541)/100),2))</f>
        <v>100187.58</v>
      </c>
      <c r="CZ541" s="3">
        <f>(ROUND((((S541+ROUND((ROUND((((EU541*1.2))*AV541*1),2)*BS541),2))*AU541)/100),2)+ROUND(((ROUND((ROUND(((AE541-((EU541*1.2)))*AV541*1),2)*BS541),2)*AU541)/100),2))</f>
        <v>52675.95</v>
      </c>
      <c r="DB541" s="3">
        <v>144</v>
      </c>
      <c r="DC541" s="3" t="s">
        <v>3</v>
      </c>
      <c r="DD541" s="3" t="s">
        <v>104</v>
      </c>
      <c r="DE541" s="3" t="s">
        <v>105</v>
      </c>
      <c r="DF541" s="3" t="s">
        <v>105</v>
      </c>
      <c r="DG541" s="3" t="s">
        <v>105</v>
      </c>
      <c r="DH541" s="3" t="s">
        <v>3</v>
      </c>
      <c r="DI541" s="3" t="s">
        <v>105</v>
      </c>
      <c r="DJ541" s="3" t="s">
        <v>105</v>
      </c>
      <c r="DK541" s="3" t="s">
        <v>3</v>
      </c>
      <c r="DL541" s="3" t="s">
        <v>3</v>
      </c>
      <c r="DM541" s="3" t="s">
        <v>3</v>
      </c>
      <c r="DN541" s="3">
        <v>0</v>
      </c>
      <c r="DO541" s="3">
        <v>0</v>
      </c>
      <c r="DP541" s="3">
        <v>1</v>
      </c>
      <c r="DQ541" s="3">
        <v>1</v>
      </c>
      <c r="DU541" s="3">
        <v>1013</v>
      </c>
      <c r="DV541" s="3" t="s">
        <v>427</v>
      </c>
      <c r="DW541" s="3" t="s">
        <v>427</v>
      </c>
      <c r="DX541" s="3">
        <v>1</v>
      </c>
      <c r="DZ541" s="3" t="s">
        <v>3</v>
      </c>
      <c r="EA541" s="3" t="s">
        <v>3</v>
      </c>
      <c r="EB541" s="3" t="s">
        <v>3</v>
      </c>
      <c r="EC541" s="3" t="s">
        <v>3</v>
      </c>
      <c r="EE541" s="3">
        <v>57042957</v>
      </c>
      <c r="EF541" s="3">
        <v>40</v>
      </c>
      <c r="EG541" s="3" t="s">
        <v>30</v>
      </c>
      <c r="EH541" s="3">
        <v>0</v>
      </c>
      <c r="EI541" s="3" t="s">
        <v>3</v>
      </c>
      <c r="EJ541" s="3">
        <v>2</v>
      </c>
      <c r="EK541" s="3">
        <v>67</v>
      </c>
      <c r="EL541" s="3" t="s">
        <v>80</v>
      </c>
      <c r="EM541" s="3" t="s">
        <v>81</v>
      </c>
      <c r="EO541" s="3" t="s">
        <v>109</v>
      </c>
      <c r="EQ541" s="3">
        <v>132096</v>
      </c>
      <c r="ER541" s="3">
        <v>16.09</v>
      </c>
      <c r="ES541" s="3">
        <v>0.56999999999999995</v>
      </c>
      <c r="ET541" s="3">
        <v>0</v>
      </c>
      <c r="EU541" s="3">
        <v>0</v>
      </c>
      <c r="EV541" s="3">
        <v>15.52</v>
      </c>
      <c r="EW541" s="3">
        <v>1.26</v>
      </c>
      <c r="EX541" s="3">
        <v>0</v>
      </c>
      <c r="EY541" s="3">
        <v>0</v>
      </c>
      <c r="FQ541" s="3">
        <v>0</v>
      </c>
      <c r="FR541" s="3">
        <v>0</v>
      </c>
      <c r="FS541" s="3">
        <v>0</v>
      </c>
      <c r="FX541" s="3">
        <v>97</v>
      </c>
      <c r="FY541" s="3">
        <v>51</v>
      </c>
      <c r="GA541" s="3" t="s">
        <v>3</v>
      </c>
      <c r="GD541" s="3">
        <v>1</v>
      </c>
      <c r="GF541" s="3">
        <v>2037938139</v>
      </c>
      <c r="GG541" s="3">
        <v>2</v>
      </c>
      <c r="GH541" s="3">
        <v>1</v>
      </c>
      <c r="GI541" s="3">
        <v>2</v>
      </c>
      <c r="GJ541" s="3">
        <v>0</v>
      </c>
      <c r="GK541" s="3">
        <v>0</v>
      </c>
      <c r="GL541" s="3">
        <f t="shared" si="451"/>
        <v>0</v>
      </c>
      <c r="GM541" s="3">
        <f t="shared" si="452"/>
        <v>257124.32</v>
      </c>
      <c r="GN541" s="3">
        <f t="shared" si="453"/>
        <v>0</v>
      </c>
      <c r="GO541" s="3">
        <f t="shared" si="454"/>
        <v>257124.32</v>
      </c>
      <c r="GP541" s="3">
        <f t="shared" si="455"/>
        <v>0</v>
      </c>
      <c r="GR541" s="3">
        <v>0</v>
      </c>
      <c r="GS541" s="3">
        <v>3</v>
      </c>
      <c r="GT541" s="3">
        <v>0</v>
      </c>
      <c r="GU541" s="3" t="s">
        <v>3</v>
      </c>
      <c r="GV541" s="3">
        <f t="shared" si="456"/>
        <v>0</v>
      </c>
      <c r="GW541" s="3">
        <v>1</v>
      </c>
      <c r="GX541" s="3">
        <f t="shared" si="457"/>
        <v>0</v>
      </c>
      <c r="HA541" s="3">
        <v>0</v>
      </c>
      <c r="HB541" s="3">
        <v>0</v>
      </c>
      <c r="HC541" s="3">
        <f t="shared" si="458"/>
        <v>0</v>
      </c>
      <c r="HE541" s="3" t="s">
        <v>3</v>
      </c>
      <c r="HF541" s="3" t="s">
        <v>3</v>
      </c>
      <c r="HM541" s="3" t="s">
        <v>3</v>
      </c>
      <c r="HN541" s="3" t="s">
        <v>3</v>
      </c>
      <c r="HO541" s="3" t="s">
        <v>3</v>
      </c>
      <c r="HP541" s="3" t="s">
        <v>3</v>
      </c>
      <c r="HQ541" s="3" t="s">
        <v>3</v>
      </c>
      <c r="HS541" s="3">
        <v>0</v>
      </c>
      <c r="IK541" s="3">
        <v>0</v>
      </c>
    </row>
    <row r="542" spans="1:255" x14ac:dyDescent="0.25">
      <c r="A542" s="2">
        <v>18</v>
      </c>
      <c r="B542" s="2">
        <v>1</v>
      </c>
      <c r="C542" s="2">
        <v>372</v>
      </c>
      <c r="D542" s="2"/>
      <c r="E542" s="2" t="s">
        <v>3</v>
      </c>
      <c r="F542" s="2" t="s">
        <v>429</v>
      </c>
      <c r="G542" s="2" t="s">
        <v>430</v>
      </c>
      <c r="H542" s="2" t="s">
        <v>299</v>
      </c>
      <c r="I542" s="2">
        <f>I540*J542</f>
        <v>-2.82E-3</v>
      </c>
      <c r="J542" s="2">
        <v>-3.0000000000000001E-5</v>
      </c>
      <c r="K542" s="2">
        <v>-3.0000000000000001E-5</v>
      </c>
      <c r="L542" s="2"/>
      <c r="M542" s="2"/>
      <c r="N542" s="2"/>
      <c r="O542" s="2">
        <f t="shared" si="434"/>
        <v>-53.57</v>
      </c>
      <c r="P542" s="2">
        <f t="shared" si="435"/>
        <v>-53.57</v>
      </c>
      <c r="Q542" s="2">
        <f t="shared" ref="Q542:Q547" si="471">(ROUND((ROUND(((ET542)*AV542*I542),2)*BB542),2)+ROUND((ROUND(((AE542-(EU542))*AV542*I542),2)*BS542),2))</f>
        <v>0</v>
      </c>
      <c r="R542" s="2">
        <f t="shared" ref="R542:R547" si="472">(ROUND((ROUND(((EU542)*AV542*I542),2)*BS542),2)+ROUND((ROUND(((AE542-(EU542))*AV542*I542),2)*BS542),2))</f>
        <v>0</v>
      </c>
      <c r="S542" s="2">
        <f t="shared" si="436"/>
        <v>0</v>
      </c>
      <c r="T542" s="2">
        <f t="shared" si="437"/>
        <v>0</v>
      </c>
      <c r="U542" s="2">
        <f t="shared" si="438"/>
        <v>0</v>
      </c>
      <c r="V542" s="2">
        <f t="shared" si="439"/>
        <v>0</v>
      </c>
      <c r="W542" s="2">
        <f t="shared" si="440"/>
        <v>0</v>
      </c>
      <c r="X542" s="2">
        <f t="shared" ref="X542:X547" si="473">(ROUND((((S542+ROUND((ROUND(((EU542)*AV542*I542),2)*BS542),2))*AT542)/100),2)+ROUND(((ROUND((ROUND(((AE542-(EU542))*AV542*I542),2)*BS542),2)*AT542)/100),2))</f>
        <v>0</v>
      </c>
      <c r="Y542" s="2">
        <f t="shared" ref="Y542:Y547" si="474">(ROUND((((S542+ROUND((ROUND(((EU542)*AV542*I542),2)*BS542),2))*AU542)/100),2)+ROUND(((ROUND((ROUND(((AE542-(EU542))*AV542*I542),2)*BS542),2)*AU542)/100),2))</f>
        <v>0</v>
      </c>
      <c r="Z542" s="2"/>
      <c r="AA542" s="2">
        <v>-1</v>
      </c>
      <c r="AB542" s="2">
        <f t="shared" si="441"/>
        <v>18995.22</v>
      </c>
      <c r="AC542" s="2">
        <f t="shared" ref="AC542:AC547" si="475">ROUND((ES542),6)</f>
        <v>18995.22</v>
      </c>
      <c r="AD542" s="2">
        <f t="shared" ref="AD542:AD547" si="476">ROUND((((ET542)-(EU542))+AE542),6)</f>
        <v>0</v>
      </c>
      <c r="AE542" s="2">
        <f t="shared" ref="AE542:AF547" si="477">ROUND((EU542),6)</f>
        <v>0</v>
      </c>
      <c r="AF542" s="2">
        <f t="shared" si="477"/>
        <v>0</v>
      </c>
      <c r="AG542" s="2">
        <f t="shared" si="442"/>
        <v>0</v>
      </c>
      <c r="AH542" s="2">
        <f t="shared" ref="AH542:AI547" si="478">(EW542)</f>
        <v>0</v>
      </c>
      <c r="AI542" s="2">
        <f t="shared" si="478"/>
        <v>0</v>
      </c>
      <c r="AJ542" s="2">
        <f t="shared" si="443"/>
        <v>0</v>
      </c>
      <c r="AK542" s="2">
        <v>18995.22</v>
      </c>
      <c r="AL542" s="2">
        <v>18995.22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97</v>
      </c>
      <c r="AU542" s="2">
        <v>51</v>
      </c>
      <c r="AV542" s="2">
        <v>1.0469999999999999</v>
      </c>
      <c r="AW542" s="2">
        <v>1</v>
      </c>
      <c r="AX542" s="2"/>
      <c r="AY542" s="2"/>
      <c r="AZ542" s="2">
        <v>1</v>
      </c>
      <c r="BA542" s="2">
        <v>1</v>
      </c>
      <c r="BB542" s="2">
        <v>1</v>
      </c>
      <c r="BC542" s="2">
        <v>1</v>
      </c>
      <c r="BD542" s="2" t="s">
        <v>3</v>
      </c>
      <c r="BE542" s="2" t="s">
        <v>3</v>
      </c>
      <c r="BF542" s="2" t="s">
        <v>3</v>
      </c>
      <c r="BG542" s="2" t="s">
        <v>3</v>
      </c>
      <c r="BH542" s="2">
        <v>3</v>
      </c>
      <c r="BI542" s="2">
        <v>2</v>
      </c>
      <c r="BJ542" s="2" t="s">
        <v>431</v>
      </c>
      <c r="BK542" s="2"/>
      <c r="BL542" s="2"/>
      <c r="BM542" s="2">
        <v>67</v>
      </c>
      <c r="BN542" s="2">
        <v>0</v>
      </c>
      <c r="BO542" s="2" t="s">
        <v>3</v>
      </c>
      <c r="BP542" s="2">
        <v>0</v>
      </c>
      <c r="BQ542" s="2">
        <v>40</v>
      </c>
      <c r="BR542" s="2">
        <v>1</v>
      </c>
      <c r="BS542" s="2">
        <v>1</v>
      </c>
      <c r="BT542" s="2">
        <v>1</v>
      </c>
      <c r="BU542" s="2">
        <v>1</v>
      </c>
      <c r="BV542" s="2">
        <v>1</v>
      </c>
      <c r="BW542" s="2">
        <v>1</v>
      </c>
      <c r="BX542" s="2">
        <v>1</v>
      </c>
      <c r="BY542" s="2" t="s">
        <v>3</v>
      </c>
      <c r="BZ542" s="2">
        <v>97</v>
      </c>
      <c r="CA542" s="2">
        <v>51</v>
      </c>
      <c r="CB542" s="2" t="s">
        <v>3</v>
      </c>
      <c r="CC542" s="2"/>
      <c r="CD542" s="2"/>
      <c r="CE542" s="2">
        <v>1566</v>
      </c>
      <c r="CF542" s="2">
        <v>0</v>
      </c>
      <c r="CG542" s="2">
        <v>0</v>
      </c>
      <c r="CH542" s="2"/>
      <c r="CI542" s="2"/>
      <c r="CJ542" s="2"/>
      <c r="CK542" s="2"/>
      <c r="CL542" s="2"/>
      <c r="CM542" s="2">
        <v>0</v>
      </c>
      <c r="CN542" s="2" t="s">
        <v>615</v>
      </c>
      <c r="CO542" s="2">
        <v>0</v>
      </c>
      <c r="CP542" s="2">
        <f t="shared" si="444"/>
        <v>-53.57</v>
      </c>
      <c r="CQ542" s="2">
        <f t="shared" si="445"/>
        <v>18995.22</v>
      </c>
      <c r="CR542" s="2">
        <f t="shared" ref="CR542:CR547" si="479">(ROUND((ROUND(((ET542)*AV542*1),2)*BB542),2)+ROUND((ROUND(((AE542-(EU542))*AV542*1),2)*BS542),2))</f>
        <v>0</v>
      </c>
      <c r="CS542" s="2">
        <f t="shared" ref="CS542:CS547" si="480">(ROUND((ROUND(((EU542)*AV542*1),2)*BS542),2)+ROUND((ROUND(((AE542-(EU542))*AV542*1),2)*BS542),2))</f>
        <v>0</v>
      </c>
      <c r="CT542" s="2">
        <f t="shared" si="446"/>
        <v>0</v>
      </c>
      <c r="CU542" s="2">
        <f t="shared" si="447"/>
        <v>0</v>
      </c>
      <c r="CV542" s="2">
        <f t="shared" si="448"/>
        <v>0</v>
      </c>
      <c r="CW542" s="2">
        <f t="shared" si="449"/>
        <v>0</v>
      </c>
      <c r="CX542" s="2">
        <f t="shared" si="450"/>
        <v>0</v>
      </c>
      <c r="CY542" s="2">
        <f t="shared" ref="CY542:CY547" si="481">(ROUND((((S542+ROUND((ROUND(((EU542)*AV542*1),2)*BS542),2))*AT542)/100),2)+ROUND(((ROUND((ROUND(((AE542-(EU542))*AV542*1),2)*BS542),2)*AT542)/100),2))</f>
        <v>0</v>
      </c>
      <c r="CZ542" s="2">
        <f t="shared" ref="CZ542:CZ547" si="482">(ROUND((((S542+ROUND((ROUND(((EU542)*AV542*1),2)*BS542),2))*AU542)/100),2)+ROUND(((ROUND((ROUND(((AE542-(EU542))*AV542*1),2)*BS542),2)*AU542)/100),2))</f>
        <v>0</v>
      </c>
      <c r="DA542" s="2"/>
      <c r="DB542" s="2"/>
      <c r="DC542" s="2" t="s">
        <v>3</v>
      </c>
      <c r="DD542" s="2" t="s">
        <v>3</v>
      </c>
      <c r="DE542" s="2" t="s">
        <v>3</v>
      </c>
      <c r="DF542" s="2" t="s">
        <v>3</v>
      </c>
      <c r="DG542" s="2" t="s">
        <v>3</v>
      </c>
      <c r="DH542" s="2" t="s">
        <v>3</v>
      </c>
      <c r="DI542" s="2" t="s">
        <v>3</v>
      </c>
      <c r="DJ542" s="2" t="s">
        <v>3</v>
      </c>
      <c r="DK542" s="2" t="s">
        <v>3</v>
      </c>
      <c r="DL542" s="2" t="s">
        <v>3</v>
      </c>
      <c r="DM542" s="2" t="s">
        <v>3</v>
      </c>
      <c r="DN542" s="2">
        <v>0</v>
      </c>
      <c r="DO542" s="2">
        <v>0</v>
      </c>
      <c r="DP542" s="2">
        <v>1</v>
      </c>
      <c r="DQ542" s="2">
        <v>1</v>
      </c>
      <c r="DR542" s="2"/>
      <c r="DS542" s="2"/>
      <c r="DT542" s="2"/>
      <c r="DU542" s="2">
        <v>1009</v>
      </c>
      <c r="DV542" s="2" t="s">
        <v>299</v>
      </c>
      <c r="DW542" s="2" t="s">
        <v>299</v>
      </c>
      <c r="DX542" s="2">
        <v>1000</v>
      </c>
      <c r="DY542" s="2"/>
      <c r="DZ542" s="2" t="s">
        <v>3</v>
      </c>
      <c r="EA542" s="2" t="s">
        <v>3</v>
      </c>
      <c r="EB542" s="2" t="s">
        <v>3</v>
      </c>
      <c r="EC542" s="2" t="s">
        <v>3</v>
      </c>
      <c r="ED542" s="2"/>
      <c r="EE542" s="2">
        <v>57042957</v>
      </c>
      <c r="EF542" s="2">
        <v>40</v>
      </c>
      <c r="EG542" s="2" t="s">
        <v>30</v>
      </c>
      <c r="EH542" s="2">
        <v>0</v>
      </c>
      <c r="EI542" s="2" t="s">
        <v>3</v>
      </c>
      <c r="EJ542" s="2">
        <v>2</v>
      </c>
      <c r="EK542" s="2">
        <v>67</v>
      </c>
      <c r="EL542" s="2" t="s">
        <v>80</v>
      </c>
      <c r="EM542" s="2" t="s">
        <v>81</v>
      </c>
      <c r="EN542" s="2"/>
      <c r="EO542" s="2" t="s">
        <v>109</v>
      </c>
      <c r="EP542" s="2"/>
      <c r="EQ542" s="2">
        <v>1024</v>
      </c>
      <c r="ER542" s="2">
        <v>18995.22</v>
      </c>
      <c r="ES542" s="2">
        <v>18995.22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>
        <v>0</v>
      </c>
      <c r="FR542" s="2">
        <v>0</v>
      </c>
      <c r="FS542" s="2">
        <v>0</v>
      </c>
      <c r="FT542" s="2"/>
      <c r="FU542" s="2"/>
      <c r="FV542" s="2"/>
      <c r="FW542" s="2"/>
      <c r="FX542" s="2">
        <v>97</v>
      </c>
      <c r="FY542" s="2">
        <v>51</v>
      </c>
      <c r="FZ542" s="2"/>
      <c r="GA542" s="2" t="s">
        <v>3</v>
      </c>
      <c r="GB542" s="2"/>
      <c r="GC542" s="2"/>
      <c r="GD542" s="2">
        <v>1</v>
      </c>
      <c r="GE542" s="2"/>
      <c r="GF542" s="2">
        <v>1438006865</v>
      </c>
      <c r="GG542" s="2">
        <v>2</v>
      </c>
      <c r="GH542" s="2">
        <v>1</v>
      </c>
      <c r="GI542" s="2">
        <v>-2</v>
      </c>
      <c r="GJ542" s="2">
        <v>0</v>
      </c>
      <c r="GK542" s="2">
        <v>0</v>
      </c>
      <c r="GL542" s="2">
        <f t="shared" si="451"/>
        <v>0</v>
      </c>
      <c r="GM542" s="2">
        <f t="shared" si="452"/>
        <v>-53.57</v>
      </c>
      <c r="GN542" s="2">
        <f t="shared" si="453"/>
        <v>0</v>
      </c>
      <c r="GO542" s="2">
        <f t="shared" si="454"/>
        <v>-53.57</v>
      </c>
      <c r="GP542" s="2">
        <f t="shared" si="455"/>
        <v>0</v>
      </c>
      <c r="GQ542" s="2"/>
      <c r="GR542" s="2">
        <v>0</v>
      </c>
      <c r="GS542" s="2">
        <v>3</v>
      </c>
      <c r="GT542" s="2">
        <v>0</v>
      </c>
      <c r="GU542" s="2" t="s">
        <v>3</v>
      </c>
      <c r="GV542" s="2">
        <f t="shared" si="456"/>
        <v>0</v>
      </c>
      <c r="GW542" s="2">
        <v>1</v>
      </c>
      <c r="GX542" s="2">
        <f t="shared" si="457"/>
        <v>0</v>
      </c>
      <c r="GY542" s="2"/>
      <c r="GZ542" s="2"/>
      <c r="HA542" s="2">
        <v>0</v>
      </c>
      <c r="HB542" s="2">
        <v>0</v>
      </c>
      <c r="HC542" s="2">
        <f t="shared" si="458"/>
        <v>0</v>
      </c>
      <c r="HD542" s="2"/>
      <c r="HE542" s="2" t="s">
        <v>3</v>
      </c>
      <c r="HF542" s="2" t="s">
        <v>3</v>
      </c>
      <c r="HG542" s="2"/>
      <c r="HH542" s="2"/>
      <c r="HI542" s="2"/>
      <c r="HJ542" s="2"/>
      <c r="HK542" s="2"/>
      <c r="HL542" s="2"/>
      <c r="HM542" s="2" t="s">
        <v>104</v>
      </c>
      <c r="HN542" s="2" t="s">
        <v>3</v>
      </c>
      <c r="HO542" s="2" t="s">
        <v>3</v>
      </c>
      <c r="HP542" s="2" t="s">
        <v>3</v>
      </c>
      <c r="HQ542" s="2" t="s">
        <v>3</v>
      </c>
      <c r="HR542" s="2"/>
      <c r="HS542" s="2">
        <v>0</v>
      </c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>
        <v>0</v>
      </c>
      <c r="IL542" s="2"/>
      <c r="IM542" s="2"/>
      <c r="IN542" s="2"/>
      <c r="IO542" s="2"/>
      <c r="IP542" s="2"/>
      <c r="IQ542" s="2"/>
      <c r="IR542" s="2"/>
      <c r="IS542" s="2"/>
      <c r="IT542" s="2"/>
      <c r="IU542" s="2"/>
    </row>
    <row r="543" spans="1:255" x14ac:dyDescent="0.25">
      <c r="A543" s="3">
        <v>18</v>
      </c>
      <c r="B543" s="3">
        <v>1</v>
      </c>
      <c r="C543" s="3">
        <v>375</v>
      </c>
      <c r="E543" s="3" t="s">
        <v>3</v>
      </c>
      <c r="F543" s="3" t="s">
        <v>429</v>
      </c>
      <c r="G543" s="3" t="s">
        <v>430</v>
      </c>
      <c r="H543" s="3" t="s">
        <v>299</v>
      </c>
      <c r="I543" s="3">
        <f>I541*J543</f>
        <v>-2.82E-3</v>
      </c>
      <c r="J543" s="3">
        <v>-3.0000000000000001E-5</v>
      </c>
      <c r="K543" s="3">
        <v>-3.0000000000000001E-5</v>
      </c>
      <c r="O543" s="3">
        <f t="shared" si="434"/>
        <v>-974.44</v>
      </c>
      <c r="P543" s="3">
        <f t="shared" si="435"/>
        <v>-974.44</v>
      </c>
      <c r="Q543" s="3">
        <f t="shared" si="471"/>
        <v>0</v>
      </c>
      <c r="R543" s="3">
        <f t="shared" si="472"/>
        <v>0</v>
      </c>
      <c r="S543" s="3">
        <f t="shared" si="436"/>
        <v>0</v>
      </c>
      <c r="T543" s="3">
        <f t="shared" si="437"/>
        <v>0</v>
      </c>
      <c r="U543" s="3">
        <f t="shared" si="438"/>
        <v>0</v>
      </c>
      <c r="V543" s="3">
        <f t="shared" si="439"/>
        <v>0</v>
      </c>
      <c r="W543" s="3">
        <f t="shared" si="440"/>
        <v>0</v>
      </c>
      <c r="X543" s="3">
        <f t="shared" si="473"/>
        <v>0</v>
      </c>
      <c r="Y543" s="3">
        <f t="shared" si="474"/>
        <v>0</v>
      </c>
      <c r="AA543" s="3">
        <v>-1</v>
      </c>
      <c r="AB543" s="3">
        <f t="shared" si="441"/>
        <v>18995.22</v>
      </c>
      <c r="AC543" s="3">
        <f t="shared" si="475"/>
        <v>18995.22</v>
      </c>
      <c r="AD543" s="3">
        <f t="shared" si="476"/>
        <v>0</v>
      </c>
      <c r="AE543" s="3">
        <f t="shared" si="477"/>
        <v>0</v>
      </c>
      <c r="AF543" s="3">
        <f t="shared" si="477"/>
        <v>0</v>
      </c>
      <c r="AG543" s="3">
        <f t="shared" si="442"/>
        <v>0</v>
      </c>
      <c r="AH543" s="3">
        <f t="shared" si="478"/>
        <v>0</v>
      </c>
      <c r="AI543" s="3">
        <f t="shared" si="478"/>
        <v>0</v>
      </c>
      <c r="AJ543" s="3">
        <f t="shared" si="443"/>
        <v>0</v>
      </c>
      <c r="AK543" s="3">
        <v>18995.22</v>
      </c>
      <c r="AL543" s="3">
        <v>18995.22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97</v>
      </c>
      <c r="AU543" s="3">
        <v>51</v>
      </c>
      <c r="AV543" s="3">
        <v>1.0469999999999999</v>
      </c>
      <c r="AW543" s="3">
        <v>1</v>
      </c>
      <c r="AZ543" s="3">
        <v>1</v>
      </c>
      <c r="BA543" s="3">
        <v>1</v>
      </c>
      <c r="BB543" s="3">
        <v>1</v>
      </c>
      <c r="BC543" s="3">
        <v>18.190000000000001</v>
      </c>
      <c r="BD543" s="3" t="s">
        <v>3</v>
      </c>
      <c r="BE543" s="3" t="s">
        <v>3</v>
      </c>
      <c r="BF543" s="3" t="s">
        <v>3</v>
      </c>
      <c r="BG543" s="3" t="s">
        <v>3</v>
      </c>
      <c r="BH543" s="3">
        <v>3</v>
      </c>
      <c r="BI543" s="3">
        <v>2</v>
      </c>
      <c r="BJ543" s="3" t="s">
        <v>431</v>
      </c>
      <c r="BM543" s="3">
        <v>67</v>
      </c>
      <c r="BN543" s="3">
        <v>0</v>
      </c>
      <c r="BO543" s="3" t="s">
        <v>429</v>
      </c>
      <c r="BP543" s="3">
        <v>1</v>
      </c>
      <c r="BQ543" s="3">
        <v>40</v>
      </c>
      <c r="BR543" s="3">
        <v>1</v>
      </c>
      <c r="BS543" s="3">
        <v>1</v>
      </c>
      <c r="BT543" s="3">
        <v>1</v>
      </c>
      <c r="BU543" s="3">
        <v>1</v>
      </c>
      <c r="BV543" s="3">
        <v>1</v>
      </c>
      <c r="BW543" s="3">
        <v>1</v>
      </c>
      <c r="BX543" s="3">
        <v>1</v>
      </c>
      <c r="BY543" s="3" t="s">
        <v>3</v>
      </c>
      <c r="BZ543" s="3">
        <v>97</v>
      </c>
      <c r="CA543" s="3">
        <v>51</v>
      </c>
      <c r="CB543" s="3" t="s">
        <v>3</v>
      </c>
      <c r="CE543" s="3">
        <v>1566</v>
      </c>
      <c r="CF543" s="3">
        <v>0</v>
      </c>
      <c r="CG543" s="3">
        <v>0</v>
      </c>
      <c r="CM543" s="3">
        <v>0</v>
      </c>
      <c r="CN543" s="3" t="s">
        <v>615</v>
      </c>
      <c r="CO543" s="3">
        <v>0</v>
      </c>
      <c r="CP543" s="3">
        <f t="shared" si="444"/>
        <v>-974.44</v>
      </c>
      <c r="CQ543" s="3">
        <f t="shared" si="445"/>
        <v>345523.05</v>
      </c>
      <c r="CR543" s="3">
        <f t="shared" si="479"/>
        <v>0</v>
      </c>
      <c r="CS543" s="3">
        <f t="shared" si="480"/>
        <v>0</v>
      </c>
      <c r="CT543" s="3">
        <f t="shared" si="446"/>
        <v>0</v>
      </c>
      <c r="CU543" s="3">
        <f t="shared" si="447"/>
        <v>0</v>
      </c>
      <c r="CV543" s="3">
        <f t="shared" si="448"/>
        <v>0</v>
      </c>
      <c r="CW543" s="3">
        <f t="shared" si="449"/>
        <v>0</v>
      </c>
      <c r="CX543" s="3">
        <f t="shared" si="450"/>
        <v>0</v>
      </c>
      <c r="CY543" s="3">
        <f t="shared" si="481"/>
        <v>0</v>
      </c>
      <c r="CZ543" s="3">
        <f t="shared" si="482"/>
        <v>0</v>
      </c>
      <c r="DC543" s="3" t="s">
        <v>3</v>
      </c>
      <c r="DD543" s="3" t="s">
        <v>3</v>
      </c>
      <c r="DE543" s="3" t="s">
        <v>3</v>
      </c>
      <c r="DF543" s="3" t="s">
        <v>3</v>
      </c>
      <c r="DG543" s="3" t="s">
        <v>3</v>
      </c>
      <c r="DH543" s="3" t="s">
        <v>3</v>
      </c>
      <c r="DI543" s="3" t="s">
        <v>3</v>
      </c>
      <c r="DJ543" s="3" t="s">
        <v>3</v>
      </c>
      <c r="DK543" s="3" t="s">
        <v>3</v>
      </c>
      <c r="DL543" s="3" t="s">
        <v>3</v>
      </c>
      <c r="DM543" s="3" t="s">
        <v>3</v>
      </c>
      <c r="DN543" s="3">
        <v>0</v>
      </c>
      <c r="DO543" s="3">
        <v>0</v>
      </c>
      <c r="DP543" s="3">
        <v>1</v>
      </c>
      <c r="DQ543" s="3">
        <v>1</v>
      </c>
      <c r="DU543" s="3">
        <v>1009</v>
      </c>
      <c r="DV543" s="3" t="s">
        <v>299</v>
      </c>
      <c r="DW543" s="3" t="s">
        <v>299</v>
      </c>
      <c r="DX543" s="3">
        <v>1000</v>
      </c>
      <c r="DZ543" s="3" t="s">
        <v>3</v>
      </c>
      <c r="EA543" s="3" t="s">
        <v>3</v>
      </c>
      <c r="EB543" s="3" t="s">
        <v>3</v>
      </c>
      <c r="EC543" s="3" t="s">
        <v>3</v>
      </c>
      <c r="EE543" s="3">
        <v>57042957</v>
      </c>
      <c r="EF543" s="3">
        <v>40</v>
      </c>
      <c r="EG543" s="3" t="s">
        <v>30</v>
      </c>
      <c r="EH543" s="3">
        <v>0</v>
      </c>
      <c r="EI543" s="3" t="s">
        <v>3</v>
      </c>
      <c r="EJ543" s="3">
        <v>2</v>
      </c>
      <c r="EK543" s="3">
        <v>67</v>
      </c>
      <c r="EL543" s="3" t="s">
        <v>80</v>
      </c>
      <c r="EM543" s="3" t="s">
        <v>81</v>
      </c>
      <c r="EO543" s="3" t="s">
        <v>109</v>
      </c>
      <c r="EQ543" s="3">
        <v>1024</v>
      </c>
      <c r="ER543" s="3">
        <v>18995.22</v>
      </c>
      <c r="ES543" s="3">
        <v>18995.22</v>
      </c>
      <c r="ET543" s="3">
        <v>0</v>
      </c>
      <c r="EU543" s="3">
        <v>0</v>
      </c>
      <c r="EV543" s="3">
        <v>0</v>
      </c>
      <c r="EW543" s="3">
        <v>0</v>
      </c>
      <c r="EX543" s="3">
        <v>0</v>
      </c>
      <c r="FQ543" s="3">
        <v>0</v>
      </c>
      <c r="FR543" s="3">
        <v>0</v>
      </c>
      <c r="FS543" s="3">
        <v>0</v>
      </c>
      <c r="FX543" s="3">
        <v>97</v>
      </c>
      <c r="FY543" s="3">
        <v>51</v>
      </c>
      <c r="GA543" s="3" t="s">
        <v>3</v>
      </c>
      <c r="GD543" s="3">
        <v>1</v>
      </c>
      <c r="GF543" s="3">
        <v>1438006865</v>
      </c>
      <c r="GG543" s="3">
        <v>2</v>
      </c>
      <c r="GH543" s="3">
        <v>1</v>
      </c>
      <c r="GI543" s="3">
        <v>2</v>
      </c>
      <c r="GJ543" s="3">
        <v>0</v>
      </c>
      <c r="GK543" s="3">
        <v>0</v>
      </c>
      <c r="GL543" s="3">
        <f t="shared" si="451"/>
        <v>0</v>
      </c>
      <c r="GM543" s="3">
        <f t="shared" si="452"/>
        <v>-974.44</v>
      </c>
      <c r="GN543" s="3">
        <f t="shared" si="453"/>
        <v>0</v>
      </c>
      <c r="GO543" s="3">
        <f t="shared" si="454"/>
        <v>-974.44</v>
      </c>
      <c r="GP543" s="3">
        <f t="shared" si="455"/>
        <v>0</v>
      </c>
      <c r="GR543" s="3">
        <v>0</v>
      </c>
      <c r="GS543" s="3">
        <v>3</v>
      </c>
      <c r="GT543" s="3">
        <v>0</v>
      </c>
      <c r="GU543" s="3" t="s">
        <v>3</v>
      </c>
      <c r="GV543" s="3">
        <f t="shared" si="456"/>
        <v>0</v>
      </c>
      <c r="GW543" s="3">
        <v>1</v>
      </c>
      <c r="GX543" s="3">
        <f t="shared" si="457"/>
        <v>0</v>
      </c>
      <c r="HA543" s="3">
        <v>0</v>
      </c>
      <c r="HB543" s="3">
        <v>0</v>
      </c>
      <c r="HC543" s="3">
        <f t="shared" si="458"/>
        <v>0</v>
      </c>
      <c r="HE543" s="3" t="s">
        <v>3</v>
      </c>
      <c r="HF543" s="3" t="s">
        <v>3</v>
      </c>
      <c r="HM543" s="3" t="s">
        <v>104</v>
      </c>
      <c r="HN543" s="3" t="s">
        <v>3</v>
      </c>
      <c r="HO543" s="3" t="s">
        <v>3</v>
      </c>
      <c r="HP543" s="3" t="s">
        <v>3</v>
      </c>
      <c r="HQ543" s="3" t="s">
        <v>3</v>
      </c>
      <c r="HS543" s="3">
        <v>0</v>
      </c>
      <c r="IK543" s="3">
        <v>0</v>
      </c>
    </row>
    <row r="544" spans="1:255" x14ac:dyDescent="0.25">
      <c r="A544" s="2">
        <v>18</v>
      </c>
      <c r="B544" s="2">
        <v>1</v>
      </c>
      <c r="C544" s="2">
        <v>373</v>
      </c>
      <c r="D544" s="2"/>
      <c r="E544" s="2" t="s">
        <v>3</v>
      </c>
      <c r="F544" s="2" t="s">
        <v>432</v>
      </c>
      <c r="G544" s="2" t="s">
        <v>620</v>
      </c>
      <c r="H544" s="2" t="s">
        <v>433</v>
      </c>
      <c r="I544" s="2">
        <f>I540*J544</f>
        <v>15</v>
      </c>
      <c r="J544" s="2">
        <v>0.15957446808510639</v>
      </c>
      <c r="K544" s="2">
        <v>0.15957447</v>
      </c>
      <c r="L544" s="2"/>
      <c r="M544" s="2"/>
      <c r="N544" s="2"/>
      <c r="O544" s="2">
        <f t="shared" si="434"/>
        <v>5208.6000000000004</v>
      </c>
      <c r="P544" s="2">
        <f t="shared" si="435"/>
        <v>5208.6000000000004</v>
      </c>
      <c r="Q544" s="2">
        <f t="shared" si="471"/>
        <v>0</v>
      </c>
      <c r="R544" s="2">
        <f t="shared" si="472"/>
        <v>0</v>
      </c>
      <c r="S544" s="2">
        <f t="shared" si="436"/>
        <v>0</v>
      </c>
      <c r="T544" s="2">
        <f t="shared" si="437"/>
        <v>0</v>
      </c>
      <c r="U544" s="2">
        <f t="shared" si="438"/>
        <v>0</v>
      </c>
      <c r="V544" s="2">
        <f t="shared" si="439"/>
        <v>0</v>
      </c>
      <c r="W544" s="2">
        <f t="shared" si="440"/>
        <v>0</v>
      </c>
      <c r="X544" s="2">
        <f t="shared" si="473"/>
        <v>0</v>
      </c>
      <c r="Y544" s="2">
        <f t="shared" si="474"/>
        <v>0</v>
      </c>
      <c r="Z544" s="2"/>
      <c r="AA544" s="2">
        <v>-1</v>
      </c>
      <c r="AB544" s="2">
        <f t="shared" si="441"/>
        <v>347.24</v>
      </c>
      <c r="AC544" s="2">
        <f t="shared" si="475"/>
        <v>347.24</v>
      </c>
      <c r="AD544" s="2">
        <f t="shared" si="476"/>
        <v>0</v>
      </c>
      <c r="AE544" s="2">
        <f t="shared" si="477"/>
        <v>0</v>
      </c>
      <c r="AF544" s="2">
        <f t="shared" si="477"/>
        <v>0</v>
      </c>
      <c r="AG544" s="2">
        <f t="shared" si="442"/>
        <v>0</v>
      </c>
      <c r="AH544" s="2">
        <f t="shared" si="478"/>
        <v>0</v>
      </c>
      <c r="AI544" s="2">
        <f t="shared" si="478"/>
        <v>0</v>
      </c>
      <c r="AJ544" s="2">
        <f t="shared" si="443"/>
        <v>0</v>
      </c>
      <c r="AK544" s="2">
        <v>347.24</v>
      </c>
      <c r="AL544" s="2">
        <v>347.24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97</v>
      </c>
      <c r="AU544" s="2">
        <v>51</v>
      </c>
      <c r="AV544" s="2">
        <v>1</v>
      </c>
      <c r="AW544" s="2">
        <v>1</v>
      </c>
      <c r="AX544" s="2"/>
      <c r="AY544" s="2"/>
      <c r="AZ544" s="2">
        <v>1</v>
      </c>
      <c r="BA544" s="2">
        <v>1</v>
      </c>
      <c r="BB544" s="2">
        <v>1</v>
      </c>
      <c r="BC544" s="2">
        <v>1</v>
      </c>
      <c r="BD544" s="2" t="s">
        <v>3</v>
      </c>
      <c r="BE544" s="2" t="s">
        <v>3</v>
      </c>
      <c r="BF544" s="2" t="s">
        <v>3</v>
      </c>
      <c r="BG544" s="2" t="s">
        <v>3</v>
      </c>
      <c r="BH544" s="2">
        <v>3</v>
      </c>
      <c r="BI544" s="2">
        <v>2</v>
      </c>
      <c r="BJ544" s="2" t="s">
        <v>434</v>
      </c>
      <c r="BK544" s="2"/>
      <c r="BL544" s="2"/>
      <c r="BM544" s="2">
        <v>67</v>
      </c>
      <c r="BN544" s="2">
        <v>0</v>
      </c>
      <c r="BO544" s="2" t="s">
        <v>3</v>
      </c>
      <c r="BP544" s="2">
        <v>0</v>
      </c>
      <c r="BQ544" s="2">
        <v>40</v>
      </c>
      <c r="BR544" s="2">
        <v>0</v>
      </c>
      <c r="BS544" s="2">
        <v>1</v>
      </c>
      <c r="BT544" s="2">
        <v>1</v>
      </c>
      <c r="BU544" s="2">
        <v>1</v>
      </c>
      <c r="BV544" s="2">
        <v>1</v>
      </c>
      <c r="BW544" s="2">
        <v>1</v>
      </c>
      <c r="BX544" s="2">
        <v>1</v>
      </c>
      <c r="BY544" s="2" t="s">
        <v>3</v>
      </c>
      <c r="BZ544" s="2">
        <v>97</v>
      </c>
      <c r="CA544" s="2">
        <v>51</v>
      </c>
      <c r="CB544" s="2" t="s">
        <v>3</v>
      </c>
      <c r="CC544" s="2"/>
      <c r="CD544" s="2"/>
      <c r="CE544" s="2">
        <v>1566</v>
      </c>
      <c r="CF544" s="2">
        <v>0</v>
      </c>
      <c r="CG544" s="2">
        <v>0</v>
      </c>
      <c r="CH544" s="2"/>
      <c r="CI544" s="2"/>
      <c r="CJ544" s="2"/>
      <c r="CK544" s="2"/>
      <c r="CL544" s="2"/>
      <c r="CM544" s="2">
        <v>0</v>
      </c>
      <c r="CN544" s="2" t="s">
        <v>615</v>
      </c>
      <c r="CO544" s="2">
        <v>0</v>
      </c>
      <c r="CP544" s="2">
        <f t="shared" si="444"/>
        <v>5208.6000000000004</v>
      </c>
      <c r="CQ544" s="2">
        <f t="shared" si="445"/>
        <v>347.24</v>
      </c>
      <c r="CR544" s="2">
        <f t="shared" si="479"/>
        <v>0</v>
      </c>
      <c r="CS544" s="2">
        <f t="shared" si="480"/>
        <v>0</v>
      </c>
      <c r="CT544" s="2">
        <f t="shared" si="446"/>
        <v>0</v>
      </c>
      <c r="CU544" s="2">
        <f t="shared" si="447"/>
        <v>0</v>
      </c>
      <c r="CV544" s="2">
        <f t="shared" si="448"/>
        <v>0</v>
      </c>
      <c r="CW544" s="2">
        <f t="shared" si="449"/>
        <v>0</v>
      </c>
      <c r="CX544" s="2">
        <f t="shared" si="450"/>
        <v>0</v>
      </c>
      <c r="CY544" s="2">
        <f t="shared" si="481"/>
        <v>0</v>
      </c>
      <c r="CZ544" s="2">
        <f t="shared" si="482"/>
        <v>0</v>
      </c>
      <c r="DA544" s="2"/>
      <c r="DB544" s="2"/>
      <c r="DC544" s="2" t="s">
        <v>3</v>
      </c>
      <c r="DD544" s="2" t="s">
        <v>3</v>
      </c>
      <c r="DE544" s="2" t="s">
        <v>3</v>
      </c>
      <c r="DF544" s="2" t="s">
        <v>3</v>
      </c>
      <c r="DG544" s="2" t="s">
        <v>3</v>
      </c>
      <c r="DH544" s="2" t="s">
        <v>3</v>
      </c>
      <c r="DI544" s="2" t="s">
        <v>3</v>
      </c>
      <c r="DJ544" s="2" t="s">
        <v>3</v>
      </c>
      <c r="DK544" s="2" t="s">
        <v>3</v>
      </c>
      <c r="DL544" s="2" t="s">
        <v>3</v>
      </c>
      <c r="DM544" s="2" t="s">
        <v>3</v>
      </c>
      <c r="DN544" s="2">
        <v>0</v>
      </c>
      <c r="DO544" s="2">
        <v>0</v>
      </c>
      <c r="DP544" s="2">
        <v>1</v>
      </c>
      <c r="DQ544" s="2">
        <v>1</v>
      </c>
      <c r="DR544" s="2"/>
      <c r="DS544" s="2"/>
      <c r="DT544" s="2"/>
      <c r="DU544" s="2">
        <v>1009</v>
      </c>
      <c r="DV544" s="2" t="s">
        <v>433</v>
      </c>
      <c r="DW544" s="2" t="s">
        <v>433</v>
      </c>
      <c r="DX544" s="2">
        <v>1</v>
      </c>
      <c r="DY544" s="2"/>
      <c r="DZ544" s="2" t="s">
        <v>3</v>
      </c>
      <c r="EA544" s="2" t="s">
        <v>3</v>
      </c>
      <c r="EB544" s="2" t="s">
        <v>3</v>
      </c>
      <c r="EC544" s="2" t="s">
        <v>3</v>
      </c>
      <c r="ED544" s="2"/>
      <c r="EE544" s="2">
        <v>57042957</v>
      </c>
      <c r="EF544" s="2">
        <v>40</v>
      </c>
      <c r="EG544" s="2" t="s">
        <v>30</v>
      </c>
      <c r="EH544" s="2">
        <v>0</v>
      </c>
      <c r="EI544" s="2" t="s">
        <v>3</v>
      </c>
      <c r="EJ544" s="2">
        <v>2</v>
      </c>
      <c r="EK544" s="2">
        <v>67</v>
      </c>
      <c r="EL544" s="2" t="s">
        <v>80</v>
      </c>
      <c r="EM544" s="2" t="s">
        <v>81</v>
      </c>
      <c r="EN544" s="2"/>
      <c r="EO544" s="2" t="s">
        <v>109</v>
      </c>
      <c r="EP544" s="2"/>
      <c r="EQ544" s="2">
        <v>1024</v>
      </c>
      <c r="ER544" s="2">
        <v>347.24</v>
      </c>
      <c r="ES544" s="2">
        <v>347.24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>
        <v>0</v>
      </c>
      <c r="FR544" s="2">
        <v>0</v>
      </c>
      <c r="FS544" s="2">
        <v>0</v>
      </c>
      <c r="FT544" s="2"/>
      <c r="FU544" s="2"/>
      <c r="FV544" s="2"/>
      <c r="FW544" s="2"/>
      <c r="FX544" s="2">
        <v>97</v>
      </c>
      <c r="FY544" s="2">
        <v>51</v>
      </c>
      <c r="FZ544" s="2"/>
      <c r="GA544" s="2" t="s">
        <v>3</v>
      </c>
      <c r="GB544" s="2"/>
      <c r="GC544" s="2"/>
      <c r="GD544" s="2">
        <v>1</v>
      </c>
      <c r="GE544" s="2"/>
      <c r="GF544" s="2">
        <v>-1684521540</v>
      </c>
      <c r="GG544" s="2">
        <v>2</v>
      </c>
      <c r="GH544" s="2">
        <v>1</v>
      </c>
      <c r="GI544" s="2">
        <v>-2</v>
      </c>
      <c r="GJ544" s="2">
        <v>0</v>
      </c>
      <c r="GK544" s="2">
        <v>0</v>
      </c>
      <c r="GL544" s="2">
        <f t="shared" si="451"/>
        <v>0</v>
      </c>
      <c r="GM544" s="2">
        <f t="shared" si="452"/>
        <v>5208.6000000000004</v>
      </c>
      <c r="GN544" s="2">
        <f t="shared" si="453"/>
        <v>0</v>
      </c>
      <c r="GO544" s="2">
        <f t="shared" si="454"/>
        <v>5208.6000000000004</v>
      </c>
      <c r="GP544" s="2">
        <f t="shared" si="455"/>
        <v>0</v>
      </c>
      <c r="GQ544" s="2"/>
      <c r="GR544" s="2">
        <v>0</v>
      </c>
      <c r="GS544" s="2">
        <v>3</v>
      </c>
      <c r="GT544" s="2">
        <v>0</v>
      </c>
      <c r="GU544" s="2" t="s">
        <v>3</v>
      </c>
      <c r="GV544" s="2">
        <f t="shared" si="456"/>
        <v>0</v>
      </c>
      <c r="GW544" s="2">
        <v>1</v>
      </c>
      <c r="GX544" s="2">
        <f t="shared" si="457"/>
        <v>0</v>
      </c>
      <c r="GY544" s="2"/>
      <c r="GZ544" s="2"/>
      <c r="HA544" s="2">
        <v>0</v>
      </c>
      <c r="HB544" s="2">
        <v>0</v>
      </c>
      <c r="HC544" s="2">
        <f t="shared" si="458"/>
        <v>0</v>
      </c>
      <c r="HD544" s="2"/>
      <c r="HE544" s="2" t="s">
        <v>3</v>
      </c>
      <c r="HF544" s="2" t="s">
        <v>3</v>
      </c>
      <c r="HG544" s="2"/>
      <c r="HH544" s="2"/>
      <c r="HI544" s="2"/>
      <c r="HJ544" s="2"/>
      <c r="HK544" s="2"/>
      <c r="HL544" s="2"/>
      <c r="HM544" s="2" t="s">
        <v>104</v>
      </c>
      <c r="HN544" s="2" t="s">
        <v>3</v>
      </c>
      <c r="HO544" s="2" t="s">
        <v>3</v>
      </c>
      <c r="HP544" s="2" t="s">
        <v>3</v>
      </c>
      <c r="HQ544" s="2" t="s">
        <v>3</v>
      </c>
      <c r="HR544" s="2"/>
      <c r="HS544" s="2">
        <v>0</v>
      </c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>
        <v>0</v>
      </c>
      <c r="IL544" s="2"/>
      <c r="IM544" s="2"/>
      <c r="IN544" s="2"/>
      <c r="IO544" s="2"/>
      <c r="IP544" s="2"/>
      <c r="IQ544" s="2"/>
      <c r="IR544" s="2"/>
      <c r="IS544" s="2"/>
      <c r="IT544" s="2"/>
      <c r="IU544" s="2"/>
    </row>
    <row r="545" spans="1:255" x14ac:dyDescent="0.25">
      <c r="A545" s="3">
        <v>18</v>
      </c>
      <c r="B545" s="3">
        <v>1</v>
      </c>
      <c r="C545" s="3">
        <v>376</v>
      </c>
      <c r="E545" s="3" t="s">
        <v>3</v>
      </c>
      <c r="F545" s="3" t="s">
        <v>432</v>
      </c>
      <c r="G545" s="3" t="s">
        <v>620</v>
      </c>
      <c r="H545" s="3" t="s">
        <v>433</v>
      </c>
      <c r="I545" s="3">
        <f>I541*J545</f>
        <v>15</v>
      </c>
      <c r="J545" s="3">
        <v>0.15957446808510639</v>
      </c>
      <c r="K545" s="3">
        <v>0.15957447</v>
      </c>
      <c r="O545" s="3">
        <f t="shared" si="434"/>
        <v>28386.87</v>
      </c>
      <c r="P545" s="3">
        <f t="shared" si="435"/>
        <v>28386.87</v>
      </c>
      <c r="Q545" s="3">
        <f t="shared" si="471"/>
        <v>0</v>
      </c>
      <c r="R545" s="3">
        <f t="shared" si="472"/>
        <v>0</v>
      </c>
      <c r="S545" s="3">
        <f t="shared" si="436"/>
        <v>0</v>
      </c>
      <c r="T545" s="3">
        <f t="shared" si="437"/>
        <v>0</v>
      </c>
      <c r="U545" s="3">
        <f t="shared" si="438"/>
        <v>0</v>
      </c>
      <c r="V545" s="3">
        <f t="shared" si="439"/>
        <v>0</v>
      </c>
      <c r="W545" s="3">
        <f t="shared" si="440"/>
        <v>0</v>
      </c>
      <c r="X545" s="3">
        <f t="shared" si="473"/>
        <v>0</v>
      </c>
      <c r="Y545" s="3">
        <f t="shared" si="474"/>
        <v>0</v>
      </c>
      <c r="AA545" s="3">
        <v>-1</v>
      </c>
      <c r="AB545" s="3">
        <f t="shared" si="441"/>
        <v>347.24</v>
      </c>
      <c r="AC545" s="3">
        <f t="shared" si="475"/>
        <v>347.24</v>
      </c>
      <c r="AD545" s="3">
        <f t="shared" si="476"/>
        <v>0</v>
      </c>
      <c r="AE545" s="3">
        <f t="shared" si="477"/>
        <v>0</v>
      </c>
      <c r="AF545" s="3">
        <f t="shared" si="477"/>
        <v>0</v>
      </c>
      <c r="AG545" s="3">
        <f t="shared" si="442"/>
        <v>0</v>
      </c>
      <c r="AH545" s="3">
        <f t="shared" si="478"/>
        <v>0</v>
      </c>
      <c r="AI545" s="3">
        <f t="shared" si="478"/>
        <v>0</v>
      </c>
      <c r="AJ545" s="3">
        <f t="shared" si="443"/>
        <v>0</v>
      </c>
      <c r="AK545" s="3">
        <v>347.24</v>
      </c>
      <c r="AL545" s="3">
        <v>347.24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97</v>
      </c>
      <c r="AU545" s="3">
        <v>51</v>
      </c>
      <c r="AV545" s="3">
        <v>1</v>
      </c>
      <c r="AW545" s="3">
        <v>1</v>
      </c>
      <c r="AZ545" s="3">
        <v>1</v>
      </c>
      <c r="BA545" s="3">
        <v>1</v>
      </c>
      <c r="BB545" s="3">
        <v>1</v>
      </c>
      <c r="BC545" s="3">
        <v>5.45</v>
      </c>
      <c r="BD545" s="3" t="s">
        <v>3</v>
      </c>
      <c r="BE545" s="3" t="s">
        <v>3</v>
      </c>
      <c r="BF545" s="3" t="s">
        <v>3</v>
      </c>
      <c r="BG545" s="3" t="s">
        <v>3</v>
      </c>
      <c r="BH545" s="3">
        <v>3</v>
      </c>
      <c r="BI545" s="3">
        <v>2</v>
      </c>
      <c r="BJ545" s="3" t="s">
        <v>434</v>
      </c>
      <c r="BM545" s="3">
        <v>67</v>
      </c>
      <c r="BN545" s="3">
        <v>0</v>
      </c>
      <c r="BO545" s="3" t="s">
        <v>432</v>
      </c>
      <c r="BP545" s="3">
        <v>1</v>
      </c>
      <c r="BQ545" s="3">
        <v>40</v>
      </c>
      <c r="BR545" s="3">
        <v>0</v>
      </c>
      <c r="BS545" s="3">
        <v>1</v>
      </c>
      <c r="BT545" s="3">
        <v>1</v>
      </c>
      <c r="BU545" s="3">
        <v>1</v>
      </c>
      <c r="BV545" s="3">
        <v>1</v>
      </c>
      <c r="BW545" s="3">
        <v>1</v>
      </c>
      <c r="BX545" s="3">
        <v>1</v>
      </c>
      <c r="BY545" s="3" t="s">
        <v>3</v>
      </c>
      <c r="BZ545" s="3">
        <v>97</v>
      </c>
      <c r="CA545" s="3">
        <v>51</v>
      </c>
      <c r="CB545" s="3" t="s">
        <v>3</v>
      </c>
      <c r="CE545" s="3">
        <v>1566</v>
      </c>
      <c r="CF545" s="3">
        <v>0</v>
      </c>
      <c r="CG545" s="3">
        <v>0</v>
      </c>
      <c r="CM545" s="3">
        <v>0</v>
      </c>
      <c r="CN545" s="3" t="s">
        <v>615</v>
      </c>
      <c r="CO545" s="3">
        <v>0</v>
      </c>
      <c r="CP545" s="3">
        <f t="shared" si="444"/>
        <v>28386.87</v>
      </c>
      <c r="CQ545" s="3">
        <f t="shared" si="445"/>
        <v>1892.46</v>
      </c>
      <c r="CR545" s="3">
        <f t="shared" si="479"/>
        <v>0</v>
      </c>
      <c r="CS545" s="3">
        <f t="shared" si="480"/>
        <v>0</v>
      </c>
      <c r="CT545" s="3">
        <f t="shared" si="446"/>
        <v>0</v>
      </c>
      <c r="CU545" s="3">
        <f t="shared" si="447"/>
        <v>0</v>
      </c>
      <c r="CV545" s="3">
        <f t="shared" si="448"/>
        <v>0</v>
      </c>
      <c r="CW545" s="3">
        <f t="shared" si="449"/>
        <v>0</v>
      </c>
      <c r="CX545" s="3">
        <f t="shared" si="450"/>
        <v>0</v>
      </c>
      <c r="CY545" s="3">
        <f t="shared" si="481"/>
        <v>0</v>
      </c>
      <c r="CZ545" s="3">
        <f t="shared" si="482"/>
        <v>0</v>
      </c>
      <c r="DC545" s="3" t="s">
        <v>3</v>
      </c>
      <c r="DD545" s="3" t="s">
        <v>3</v>
      </c>
      <c r="DE545" s="3" t="s">
        <v>3</v>
      </c>
      <c r="DF545" s="3" t="s">
        <v>3</v>
      </c>
      <c r="DG545" s="3" t="s">
        <v>3</v>
      </c>
      <c r="DH545" s="3" t="s">
        <v>3</v>
      </c>
      <c r="DI545" s="3" t="s">
        <v>3</v>
      </c>
      <c r="DJ545" s="3" t="s">
        <v>3</v>
      </c>
      <c r="DK545" s="3" t="s">
        <v>3</v>
      </c>
      <c r="DL545" s="3" t="s">
        <v>3</v>
      </c>
      <c r="DM545" s="3" t="s">
        <v>3</v>
      </c>
      <c r="DN545" s="3">
        <v>0</v>
      </c>
      <c r="DO545" s="3">
        <v>0</v>
      </c>
      <c r="DP545" s="3">
        <v>1</v>
      </c>
      <c r="DQ545" s="3">
        <v>1</v>
      </c>
      <c r="DU545" s="3">
        <v>1009</v>
      </c>
      <c r="DV545" s="3" t="s">
        <v>433</v>
      </c>
      <c r="DW545" s="3" t="s">
        <v>433</v>
      </c>
      <c r="DX545" s="3">
        <v>1</v>
      </c>
      <c r="DZ545" s="3" t="s">
        <v>3</v>
      </c>
      <c r="EA545" s="3" t="s">
        <v>3</v>
      </c>
      <c r="EB545" s="3" t="s">
        <v>3</v>
      </c>
      <c r="EC545" s="3" t="s">
        <v>3</v>
      </c>
      <c r="EE545" s="3">
        <v>57042957</v>
      </c>
      <c r="EF545" s="3">
        <v>40</v>
      </c>
      <c r="EG545" s="3" t="s">
        <v>30</v>
      </c>
      <c r="EH545" s="3">
        <v>0</v>
      </c>
      <c r="EI545" s="3" t="s">
        <v>3</v>
      </c>
      <c r="EJ545" s="3">
        <v>2</v>
      </c>
      <c r="EK545" s="3">
        <v>67</v>
      </c>
      <c r="EL545" s="3" t="s">
        <v>80</v>
      </c>
      <c r="EM545" s="3" t="s">
        <v>81</v>
      </c>
      <c r="EO545" s="3" t="s">
        <v>109</v>
      </c>
      <c r="EQ545" s="3">
        <v>1024</v>
      </c>
      <c r="ER545" s="3">
        <v>347.24</v>
      </c>
      <c r="ES545" s="3">
        <v>347.24</v>
      </c>
      <c r="ET545" s="3">
        <v>0</v>
      </c>
      <c r="EU545" s="3">
        <v>0</v>
      </c>
      <c r="EV545" s="3">
        <v>0</v>
      </c>
      <c r="EW545" s="3">
        <v>0</v>
      </c>
      <c r="EX545" s="3">
        <v>0</v>
      </c>
      <c r="FQ545" s="3">
        <v>0</v>
      </c>
      <c r="FR545" s="3">
        <v>0</v>
      </c>
      <c r="FS545" s="3">
        <v>0</v>
      </c>
      <c r="FX545" s="3">
        <v>97</v>
      </c>
      <c r="FY545" s="3">
        <v>51</v>
      </c>
      <c r="GA545" s="3" t="s">
        <v>3</v>
      </c>
      <c r="GD545" s="3">
        <v>1</v>
      </c>
      <c r="GF545" s="3">
        <v>-1684521540</v>
      </c>
      <c r="GG545" s="3">
        <v>2</v>
      </c>
      <c r="GH545" s="3">
        <v>1</v>
      </c>
      <c r="GI545" s="3">
        <v>2</v>
      </c>
      <c r="GJ545" s="3">
        <v>0</v>
      </c>
      <c r="GK545" s="3">
        <v>0</v>
      </c>
      <c r="GL545" s="3">
        <f t="shared" si="451"/>
        <v>0</v>
      </c>
      <c r="GM545" s="3">
        <f t="shared" si="452"/>
        <v>28386.87</v>
      </c>
      <c r="GN545" s="3">
        <f t="shared" si="453"/>
        <v>0</v>
      </c>
      <c r="GO545" s="3">
        <f t="shared" si="454"/>
        <v>28386.87</v>
      </c>
      <c r="GP545" s="3">
        <f t="shared" si="455"/>
        <v>0</v>
      </c>
      <c r="GR545" s="3">
        <v>0</v>
      </c>
      <c r="GS545" s="3">
        <v>3</v>
      </c>
      <c r="GT545" s="3">
        <v>0</v>
      </c>
      <c r="GU545" s="3" t="s">
        <v>3</v>
      </c>
      <c r="GV545" s="3">
        <f t="shared" si="456"/>
        <v>0</v>
      </c>
      <c r="GW545" s="3">
        <v>1</v>
      </c>
      <c r="GX545" s="3">
        <f t="shared" si="457"/>
        <v>0</v>
      </c>
      <c r="HA545" s="3">
        <v>0</v>
      </c>
      <c r="HB545" s="3">
        <v>0</v>
      </c>
      <c r="HC545" s="3">
        <f t="shared" si="458"/>
        <v>0</v>
      </c>
      <c r="HE545" s="3" t="s">
        <v>3</v>
      </c>
      <c r="HF545" s="3" t="s">
        <v>3</v>
      </c>
      <c r="HM545" s="3" t="s">
        <v>104</v>
      </c>
      <c r="HN545" s="3" t="s">
        <v>3</v>
      </c>
      <c r="HO545" s="3" t="s">
        <v>3</v>
      </c>
      <c r="HP545" s="3" t="s">
        <v>3</v>
      </c>
      <c r="HQ545" s="3" t="s">
        <v>3</v>
      </c>
      <c r="HS545" s="3">
        <v>0</v>
      </c>
      <c r="IK545" s="3">
        <v>0</v>
      </c>
    </row>
    <row r="546" spans="1:255" x14ac:dyDescent="0.25">
      <c r="A546" s="2">
        <v>17</v>
      </c>
      <c r="B546" s="2">
        <v>1</v>
      </c>
      <c r="C546" s="2"/>
      <c r="D546" s="2"/>
      <c r="E546" s="2" t="s">
        <v>435</v>
      </c>
      <c r="F546" s="2" t="s">
        <v>432</v>
      </c>
      <c r="G546" s="2" t="s">
        <v>620</v>
      </c>
      <c r="H546" s="2" t="s">
        <v>433</v>
      </c>
      <c r="I546" s="2">
        <v>15</v>
      </c>
      <c r="J546" s="2">
        <v>0</v>
      </c>
      <c r="K546" s="2">
        <v>15</v>
      </c>
      <c r="L546" s="2"/>
      <c r="M546" s="2"/>
      <c r="N546" s="2"/>
      <c r="O546" s="2">
        <f t="shared" si="434"/>
        <v>5208.6000000000004</v>
      </c>
      <c r="P546" s="2">
        <f t="shared" si="435"/>
        <v>5208.6000000000004</v>
      </c>
      <c r="Q546" s="2">
        <f t="shared" si="471"/>
        <v>0</v>
      </c>
      <c r="R546" s="2">
        <f t="shared" si="472"/>
        <v>0</v>
      </c>
      <c r="S546" s="2">
        <f t="shared" si="436"/>
        <v>0</v>
      </c>
      <c r="T546" s="2">
        <f t="shared" si="437"/>
        <v>0</v>
      </c>
      <c r="U546" s="2">
        <f t="shared" si="438"/>
        <v>0</v>
      </c>
      <c r="V546" s="2">
        <f t="shared" si="439"/>
        <v>0</v>
      </c>
      <c r="W546" s="2">
        <f t="shared" si="440"/>
        <v>0</v>
      </c>
      <c r="X546" s="2">
        <f t="shared" si="473"/>
        <v>0</v>
      </c>
      <c r="Y546" s="2">
        <f t="shared" si="474"/>
        <v>0</v>
      </c>
      <c r="Z546" s="2"/>
      <c r="AA546" s="2">
        <v>57034452</v>
      </c>
      <c r="AB546" s="2">
        <f t="shared" si="441"/>
        <v>347.24</v>
      </c>
      <c r="AC546" s="2">
        <f t="shared" si="475"/>
        <v>347.24</v>
      </c>
      <c r="AD546" s="2">
        <f t="shared" si="476"/>
        <v>0</v>
      </c>
      <c r="AE546" s="2">
        <f t="shared" si="477"/>
        <v>0</v>
      </c>
      <c r="AF546" s="2">
        <f t="shared" si="477"/>
        <v>0</v>
      </c>
      <c r="AG546" s="2">
        <f t="shared" si="442"/>
        <v>0</v>
      </c>
      <c r="AH546" s="2">
        <f t="shared" si="478"/>
        <v>0</v>
      </c>
      <c r="AI546" s="2">
        <f t="shared" si="478"/>
        <v>0</v>
      </c>
      <c r="AJ546" s="2">
        <f t="shared" si="443"/>
        <v>0</v>
      </c>
      <c r="AK546" s="2">
        <v>347.24</v>
      </c>
      <c r="AL546" s="2">
        <v>347.24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97</v>
      </c>
      <c r="AU546" s="2">
        <v>51</v>
      </c>
      <c r="AV546" s="2">
        <v>1</v>
      </c>
      <c r="AW546" s="2">
        <v>1</v>
      </c>
      <c r="AX546" s="2"/>
      <c r="AY546" s="2"/>
      <c r="AZ546" s="2">
        <v>1</v>
      </c>
      <c r="BA546" s="2">
        <v>1</v>
      </c>
      <c r="BB546" s="2">
        <v>1</v>
      </c>
      <c r="BC546" s="2">
        <v>1</v>
      </c>
      <c r="BD546" s="2" t="s">
        <v>3</v>
      </c>
      <c r="BE546" s="2" t="s">
        <v>3</v>
      </c>
      <c r="BF546" s="2" t="s">
        <v>3</v>
      </c>
      <c r="BG546" s="2" t="s">
        <v>3</v>
      </c>
      <c r="BH546" s="2">
        <v>3</v>
      </c>
      <c r="BI546" s="2">
        <v>2</v>
      </c>
      <c r="BJ546" s="2" t="s">
        <v>434</v>
      </c>
      <c r="BK546" s="2"/>
      <c r="BL546" s="2"/>
      <c r="BM546" s="2">
        <v>67</v>
      </c>
      <c r="BN546" s="2">
        <v>0</v>
      </c>
      <c r="BO546" s="2" t="s">
        <v>3</v>
      </c>
      <c r="BP546" s="2">
        <v>0</v>
      </c>
      <c r="BQ546" s="2">
        <v>40</v>
      </c>
      <c r="BR546" s="2">
        <v>0</v>
      </c>
      <c r="BS546" s="2">
        <v>1</v>
      </c>
      <c r="BT546" s="2">
        <v>1</v>
      </c>
      <c r="BU546" s="2">
        <v>1</v>
      </c>
      <c r="BV546" s="2">
        <v>1</v>
      </c>
      <c r="BW546" s="2">
        <v>1</v>
      </c>
      <c r="BX546" s="2">
        <v>1</v>
      </c>
      <c r="BY546" s="2" t="s">
        <v>3</v>
      </c>
      <c r="BZ546" s="2">
        <v>97</v>
      </c>
      <c r="CA546" s="2">
        <v>51</v>
      </c>
      <c r="CB546" s="2" t="s">
        <v>3</v>
      </c>
      <c r="CC546" s="2"/>
      <c r="CD546" s="2"/>
      <c r="CE546" s="2">
        <v>1566</v>
      </c>
      <c r="CF546" s="2">
        <v>0</v>
      </c>
      <c r="CG546" s="2">
        <v>0</v>
      </c>
      <c r="CH546" s="2"/>
      <c r="CI546" s="2"/>
      <c r="CJ546" s="2"/>
      <c r="CK546" s="2"/>
      <c r="CL546" s="2"/>
      <c r="CM546" s="2">
        <v>0</v>
      </c>
      <c r="CN546" s="2" t="s">
        <v>615</v>
      </c>
      <c r="CO546" s="2">
        <v>0</v>
      </c>
      <c r="CP546" s="2">
        <f t="shared" si="444"/>
        <v>5208.6000000000004</v>
      </c>
      <c r="CQ546" s="2">
        <f t="shared" si="445"/>
        <v>347.24</v>
      </c>
      <c r="CR546" s="2">
        <f t="shared" si="479"/>
        <v>0</v>
      </c>
      <c r="CS546" s="2">
        <f t="shared" si="480"/>
        <v>0</v>
      </c>
      <c r="CT546" s="2">
        <f t="shared" si="446"/>
        <v>0</v>
      </c>
      <c r="CU546" s="2">
        <f t="shared" si="447"/>
        <v>0</v>
      </c>
      <c r="CV546" s="2">
        <f t="shared" si="448"/>
        <v>0</v>
      </c>
      <c r="CW546" s="2">
        <f t="shared" si="449"/>
        <v>0</v>
      </c>
      <c r="CX546" s="2">
        <f t="shared" si="450"/>
        <v>0</v>
      </c>
      <c r="CY546" s="2">
        <f t="shared" si="481"/>
        <v>0</v>
      </c>
      <c r="CZ546" s="2">
        <f t="shared" si="482"/>
        <v>0</v>
      </c>
      <c r="DA546" s="2"/>
      <c r="DB546" s="2"/>
      <c r="DC546" s="2" t="s">
        <v>3</v>
      </c>
      <c r="DD546" s="2" t="s">
        <v>3</v>
      </c>
      <c r="DE546" s="2" t="s">
        <v>3</v>
      </c>
      <c r="DF546" s="2" t="s">
        <v>3</v>
      </c>
      <c r="DG546" s="2" t="s">
        <v>3</v>
      </c>
      <c r="DH546" s="2" t="s">
        <v>3</v>
      </c>
      <c r="DI546" s="2" t="s">
        <v>3</v>
      </c>
      <c r="DJ546" s="2" t="s">
        <v>3</v>
      </c>
      <c r="DK546" s="2" t="s">
        <v>3</v>
      </c>
      <c r="DL546" s="2" t="s">
        <v>3</v>
      </c>
      <c r="DM546" s="2" t="s">
        <v>3</v>
      </c>
      <c r="DN546" s="2">
        <v>0</v>
      </c>
      <c r="DO546" s="2">
        <v>0</v>
      </c>
      <c r="DP546" s="2">
        <v>1</v>
      </c>
      <c r="DQ546" s="2">
        <v>1</v>
      </c>
      <c r="DR546" s="2"/>
      <c r="DS546" s="2"/>
      <c r="DT546" s="2"/>
      <c r="DU546" s="2">
        <v>1009</v>
      </c>
      <c r="DV546" s="2" t="s">
        <v>433</v>
      </c>
      <c r="DW546" s="2" t="s">
        <v>433</v>
      </c>
      <c r="DX546" s="2">
        <v>1</v>
      </c>
      <c r="DY546" s="2"/>
      <c r="DZ546" s="2" t="s">
        <v>3</v>
      </c>
      <c r="EA546" s="2" t="s">
        <v>3</v>
      </c>
      <c r="EB546" s="2" t="s">
        <v>3</v>
      </c>
      <c r="EC546" s="2" t="s">
        <v>3</v>
      </c>
      <c r="ED546" s="2"/>
      <c r="EE546" s="2">
        <v>57042957</v>
      </c>
      <c r="EF546" s="2">
        <v>40</v>
      </c>
      <c r="EG546" s="2" t="s">
        <v>30</v>
      </c>
      <c r="EH546" s="2">
        <v>0</v>
      </c>
      <c r="EI546" s="2" t="s">
        <v>3</v>
      </c>
      <c r="EJ546" s="2">
        <v>2</v>
      </c>
      <c r="EK546" s="2">
        <v>67</v>
      </c>
      <c r="EL546" s="2" t="s">
        <v>80</v>
      </c>
      <c r="EM546" s="2" t="s">
        <v>81</v>
      </c>
      <c r="EN546" s="2"/>
      <c r="EO546" s="2" t="s">
        <v>109</v>
      </c>
      <c r="EP546" s="2"/>
      <c r="EQ546" s="2">
        <v>0</v>
      </c>
      <c r="ER546" s="2">
        <v>347.24</v>
      </c>
      <c r="ES546" s="2">
        <v>347.24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>
        <v>0</v>
      </c>
      <c r="FR546" s="2">
        <v>0</v>
      </c>
      <c r="FS546" s="2">
        <v>0</v>
      </c>
      <c r="FT546" s="2"/>
      <c r="FU546" s="2"/>
      <c r="FV546" s="2"/>
      <c r="FW546" s="2"/>
      <c r="FX546" s="2">
        <v>97</v>
      </c>
      <c r="FY546" s="2">
        <v>51</v>
      </c>
      <c r="FZ546" s="2"/>
      <c r="GA546" s="2" t="s">
        <v>3</v>
      </c>
      <c r="GB546" s="2"/>
      <c r="GC546" s="2"/>
      <c r="GD546" s="2">
        <v>1</v>
      </c>
      <c r="GE546" s="2"/>
      <c r="GF546" s="2">
        <v>-1684521540</v>
      </c>
      <c r="GG546" s="2">
        <v>2</v>
      </c>
      <c r="GH546" s="2">
        <v>1</v>
      </c>
      <c r="GI546" s="2">
        <v>-2</v>
      </c>
      <c r="GJ546" s="2">
        <v>0</v>
      </c>
      <c r="GK546" s="2">
        <v>0</v>
      </c>
      <c r="GL546" s="2">
        <f t="shared" si="451"/>
        <v>0</v>
      </c>
      <c r="GM546" s="2">
        <f t="shared" si="452"/>
        <v>5208.6000000000004</v>
      </c>
      <c r="GN546" s="2">
        <f t="shared" si="453"/>
        <v>0</v>
      </c>
      <c r="GO546" s="2">
        <f t="shared" si="454"/>
        <v>5208.6000000000004</v>
      </c>
      <c r="GP546" s="2">
        <f t="shared" si="455"/>
        <v>0</v>
      </c>
      <c r="GQ546" s="2"/>
      <c r="GR546" s="2">
        <v>0</v>
      </c>
      <c r="GS546" s="2">
        <v>3</v>
      </c>
      <c r="GT546" s="2">
        <v>0</v>
      </c>
      <c r="GU546" s="2" t="s">
        <v>3</v>
      </c>
      <c r="GV546" s="2">
        <f t="shared" si="456"/>
        <v>0</v>
      </c>
      <c r="GW546" s="2">
        <v>1</v>
      </c>
      <c r="GX546" s="2">
        <f t="shared" si="457"/>
        <v>0</v>
      </c>
      <c r="GY546" s="2"/>
      <c r="GZ546" s="2"/>
      <c r="HA546" s="2">
        <v>0</v>
      </c>
      <c r="HB546" s="2">
        <v>0</v>
      </c>
      <c r="HC546" s="2">
        <f t="shared" si="458"/>
        <v>0</v>
      </c>
      <c r="HD546" s="2"/>
      <c r="HE546" s="2" t="s">
        <v>3</v>
      </c>
      <c r="HF546" s="2" t="s">
        <v>3</v>
      </c>
      <c r="HG546" s="2"/>
      <c r="HH546" s="2"/>
      <c r="HI546" s="2"/>
      <c r="HJ546" s="2"/>
      <c r="HK546" s="2"/>
      <c r="HL546" s="2"/>
      <c r="HM546" s="2" t="s">
        <v>3</v>
      </c>
      <c r="HN546" s="2" t="s">
        <v>3</v>
      </c>
      <c r="HO546" s="2" t="s">
        <v>3</v>
      </c>
      <c r="HP546" s="2" t="s">
        <v>3</v>
      </c>
      <c r="HQ546" s="2" t="s">
        <v>3</v>
      </c>
      <c r="HR546" s="2"/>
      <c r="HS546" s="2">
        <v>0</v>
      </c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>
        <v>0</v>
      </c>
      <c r="IL546" s="2"/>
      <c r="IM546" s="2"/>
      <c r="IN546" s="2"/>
      <c r="IO546" s="2"/>
      <c r="IP546" s="2"/>
      <c r="IQ546" s="2"/>
      <c r="IR546" s="2"/>
      <c r="IS546" s="2"/>
      <c r="IT546" s="2"/>
      <c r="IU546" s="2"/>
    </row>
    <row r="547" spans="1:255" x14ac:dyDescent="0.25">
      <c r="A547" s="3">
        <v>17</v>
      </c>
      <c r="B547" s="3">
        <v>1</v>
      </c>
      <c r="E547" s="3" t="s">
        <v>435</v>
      </c>
      <c r="F547" s="3" t="s">
        <v>432</v>
      </c>
      <c r="G547" s="3" t="s">
        <v>620</v>
      </c>
      <c r="H547" s="3" t="s">
        <v>433</v>
      </c>
      <c r="I547" s="3">
        <v>15</v>
      </c>
      <c r="J547" s="3">
        <v>0</v>
      </c>
      <c r="K547" s="3">
        <v>15</v>
      </c>
      <c r="O547" s="3">
        <f t="shared" si="434"/>
        <v>28386.87</v>
      </c>
      <c r="P547" s="3">
        <f t="shared" si="435"/>
        <v>28386.87</v>
      </c>
      <c r="Q547" s="3">
        <f t="shared" si="471"/>
        <v>0</v>
      </c>
      <c r="R547" s="3">
        <f t="shared" si="472"/>
        <v>0</v>
      </c>
      <c r="S547" s="3">
        <f t="shared" si="436"/>
        <v>0</v>
      </c>
      <c r="T547" s="3">
        <f t="shared" si="437"/>
        <v>0</v>
      </c>
      <c r="U547" s="3">
        <f t="shared" si="438"/>
        <v>0</v>
      </c>
      <c r="V547" s="3">
        <f t="shared" si="439"/>
        <v>0</v>
      </c>
      <c r="W547" s="3">
        <f t="shared" si="440"/>
        <v>0</v>
      </c>
      <c r="X547" s="3">
        <f t="shared" si="473"/>
        <v>0</v>
      </c>
      <c r="Y547" s="3">
        <f t="shared" si="474"/>
        <v>0</v>
      </c>
      <c r="AA547" s="3">
        <v>57034454</v>
      </c>
      <c r="AB547" s="3">
        <f t="shared" si="441"/>
        <v>347.24</v>
      </c>
      <c r="AC547" s="3">
        <f t="shared" si="475"/>
        <v>347.24</v>
      </c>
      <c r="AD547" s="3">
        <f t="shared" si="476"/>
        <v>0</v>
      </c>
      <c r="AE547" s="3">
        <f t="shared" si="477"/>
        <v>0</v>
      </c>
      <c r="AF547" s="3">
        <f t="shared" si="477"/>
        <v>0</v>
      </c>
      <c r="AG547" s="3">
        <f t="shared" si="442"/>
        <v>0</v>
      </c>
      <c r="AH547" s="3">
        <f t="shared" si="478"/>
        <v>0</v>
      </c>
      <c r="AI547" s="3">
        <f t="shared" si="478"/>
        <v>0</v>
      </c>
      <c r="AJ547" s="3">
        <f t="shared" si="443"/>
        <v>0</v>
      </c>
      <c r="AK547" s="3">
        <v>347.24</v>
      </c>
      <c r="AL547" s="3">
        <v>347.24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97</v>
      </c>
      <c r="AU547" s="3">
        <v>51</v>
      </c>
      <c r="AV547" s="3">
        <v>1</v>
      </c>
      <c r="AW547" s="3">
        <v>1</v>
      </c>
      <c r="AZ547" s="3">
        <v>1</v>
      </c>
      <c r="BA547" s="3">
        <v>1</v>
      </c>
      <c r="BB547" s="3">
        <v>1</v>
      </c>
      <c r="BC547" s="3">
        <v>5.45</v>
      </c>
      <c r="BD547" s="3" t="s">
        <v>3</v>
      </c>
      <c r="BE547" s="3" t="s">
        <v>3</v>
      </c>
      <c r="BF547" s="3" t="s">
        <v>3</v>
      </c>
      <c r="BG547" s="3" t="s">
        <v>3</v>
      </c>
      <c r="BH547" s="3">
        <v>3</v>
      </c>
      <c r="BI547" s="3">
        <v>2</v>
      </c>
      <c r="BJ547" s="3" t="s">
        <v>434</v>
      </c>
      <c r="BM547" s="3">
        <v>67</v>
      </c>
      <c r="BN547" s="3">
        <v>0</v>
      </c>
      <c r="BO547" s="3" t="s">
        <v>432</v>
      </c>
      <c r="BP547" s="3">
        <v>1</v>
      </c>
      <c r="BQ547" s="3">
        <v>40</v>
      </c>
      <c r="BR547" s="3">
        <v>0</v>
      </c>
      <c r="BS547" s="3">
        <v>1</v>
      </c>
      <c r="BT547" s="3">
        <v>1</v>
      </c>
      <c r="BU547" s="3">
        <v>1</v>
      </c>
      <c r="BV547" s="3">
        <v>1</v>
      </c>
      <c r="BW547" s="3">
        <v>1</v>
      </c>
      <c r="BX547" s="3">
        <v>1</v>
      </c>
      <c r="BY547" s="3" t="s">
        <v>3</v>
      </c>
      <c r="BZ547" s="3">
        <v>97</v>
      </c>
      <c r="CA547" s="3">
        <v>51</v>
      </c>
      <c r="CB547" s="3" t="s">
        <v>3</v>
      </c>
      <c r="CE547" s="3">
        <v>1566</v>
      </c>
      <c r="CF547" s="3">
        <v>0</v>
      </c>
      <c r="CG547" s="3">
        <v>0</v>
      </c>
      <c r="CM547" s="3">
        <v>0</v>
      </c>
      <c r="CN547" s="3" t="s">
        <v>615</v>
      </c>
      <c r="CO547" s="3">
        <v>0</v>
      </c>
      <c r="CP547" s="3">
        <f t="shared" si="444"/>
        <v>28386.87</v>
      </c>
      <c r="CQ547" s="3">
        <f t="shared" si="445"/>
        <v>1892.46</v>
      </c>
      <c r="CR547" s="3">
        <f t="shared" si="479"/>
        <v>0</v>
      </c>
      <c r="CS547" s="3">
        <f t="shared" si="480"/>
        <v>0</v>
      </c>
      <c r="CT547" s="3">
        <f t="shared" si="446"/>
        <v>0</v>
      </c>
      <c r="CU547" s="3">
        <f t="shared" si="447"/>
        <v>0</v>
      </c>
      <c r="CV547" s="3">
        <f t="shared" si="448"/>
        <v>0</v>
      </c>
      <c r="CW547" s="3">
        <f t="shared" si="449"/>
        <v>0</v>
      </c>
      <c r="CX547" s="3">
        <f t="shared" si="450"/>
        <v>0</v>
      </c>
      <c r="CY547" s="3">
        <f t="shared" si="481"/>
        <v>0</v>
      </c>
      <c r="CZ547" s="3">
        <f t="shared" si="482"/>
        <v>0</v>
      </c>
      <c r="DC547" s="3" t="s">
        <v>3</v>
      </c>
      <c r="DD547" s="3" t="s">
        <v>3</v>
      </c>
      <c r="DE547" s="3" t="s">
        <v>3</v>
      </c>
      <c r="DF547" s="3" t="s">
        <v>3</v>
      </c>
      <c r="DG547" s="3" t="s">
        <v>3</v>
      </c>
      <c r="DH547" s="3" t="s">
        <v>3</v>
      </c>
      <c r="DI547" s="3" t="s">
        <v>3</v>
      </c>
      <c r="DJ547" s="3" t="s">
        <v>3</v>
      </c>
      <c r="DK547" s="3" t="s">
        <v>3</v>
      </c>
      <c r="DL547" s="3" t="s">
        <v>3</v>
      </c>
      <c r="DM547" s="3" t="s">
        <v>3</v>
      </c>
      <c r="DN547" s="3">
        <v>0</v>
      </c>
      <c r="DO547" s="3">
        <v>0</v>
      </c>
      <c r="DP547" s="3">
        <v>1</v>
      </c>
      <c r="DQ547" s="3">
        <v>1</v>
      </c>
      <c r="DU547" s="3">
        <v>1009</v>
      </c>
      <c r="DV547" s="3" t="s">
        <v>433</v>
      </c>
      <c r="DW547" s="3" t="s">
        <v>433</v>
      </c>
      <c r="DX547" s="3">
        <v>1</v>
      </c>
      <c r="DZ547" s="3" t="s">
        <v>3</v>
      </c>
      <c r="EA547" s="3" t="s">
        <v>3</v>
      </c>
      <c r="EB547" s="3" t="s">
        <v>3</v>
      </c>
      <c r="EC547" s="3" t="s">
        <v>3</v>
      </c>
      <c r="EE547" s="3">
        <v>57042957</v>
      </c>
      <c r="EF547" s="3">
        <v>40</v>
      </c>
      <c r="EG547" s="3" t="s">
        <v>30</v>
      </c>
      <c r="EH547" s="3">
        <v>0</v>
      </c>
      <c r="EI547" s="3" t="s">
        <v>3</v>
      </c>
      <c r="EJ547" s="3">
        <v>2</v>
      </c>
      <c r="EK547" s="3">
        <v>67</v>
      </c>
      <c r="EL547" s="3" t="s">
        <v>80</v>
      </c>
      <c r="EM547" s="3" t="s">
        <v>81</v>
      </c>
      <c r="EO547" s="3" t="s">
        <v>109</v>
      </c>
      <c r="EQ547" s="3">
        <v>0</v>
      </c>
      <c r="ER547" s="3">
        <v>347.24</v>
      </c>
      <c r="ES547" s="3">
        <v>347.24</v>
      </c>
      <c r="ET547" s="3">
        <v>0</v>
      </c>
      <c r="EU547" s="3">
        <v>0</v>
      </c>
      <c r="EV547" s="3">
        <v>0</v>
      </c>
      <c r="EW547" s="3">
        <v>0</v>
      </c>
      <c r="EX547" s="3">
        <v>0</v>
      </c>
      <c r="EY547" s="3">
        <v>0</v>
      </c>
      <c r="FQ547" s="3">
        <v>0</v>
      </c>
      <c r="FR547" s="3">
        <v>0</v>
      </c>
      <c r="FS547" s="3">
        <v>0</v>
      </c>
      <c r="FX547" s="3">
        <v>97</v>
      </c>
      <c r="FY547" s="3">
        <v>51</v>
      </c>
      <c r="GA547" s="3" t="s">
        <v>3</v>
      </c>
      <c r="GD547" s="3">
        <v>1</v>
      </c>
      <c r="GF547" s="3">
        <v>-1684521540</v>
      </c>
      <c r="GG547" s="3">
        <v>2</v>
      </c>
      <c r="GH547" s="3">
        <v>1</v>
      </c>
      <c r="GI547" s="3">
        <v>2</v>
      </c>
      <c r="GJ547" s="3">
        <v>0</v>
      </c>
      <c r="GK547" s="3">
        <v>0</v>
      </c>
      <c r="GL547" s="3">
        <f t="shared" si="451"/>
        <v>0</v>
      </c>
      <c r="GM547" s="3">
        <f t="shared" si="452"/>
        <v>28386.87</v>
      </c>
      <c r="GN547" s="3">
        <f t="shared" si="453"/>
        <v>0</v>
      </c>
      <c r="GO547" s="3">
        <f t="shared" si="454"/>
        <v>28386.87</v>
      </c>
      <c r="GP547" s="3">
        <f t="shared" si="455"/>
        <v>0</v>
      </c>
      <c r="GR547" s="3">
        <v>0</v>
      </c>
      <c r="GS547" s="3">
        <v>3</v>
      </c>
      <c r="GT547" s="3">
        <v>0</v>
      </c>
      <c r="GU547" s="3" t="s">
        <v>3</v>
      </c>
      <c r="GV547" s="3">
        <f t="shared" si="456"/>
        <v>0</v>
      </c>
      <c r="GW547" s="3">
        <v>1</v>
      </c>
      <c r="GX547" s="3">
        <f t="shared" si="457"/>
        <v>0</v>
      </c>
      <c r="HA547" s="3">
        <v>0</v>
      </c>
      <c r="HB547" s="3">
        <v>0</v>
      </c>
      <c r="HC547" s="3">
        <f t="shared" si="458"/>
        <v>0</v>
      </c>
      <c r="HE547" s="3" t="s">
        <v>3</v>
      </c>
      <c r="HF547" s="3" t="s">
        <v>3</v>
      </c>
      <c r="HM547" s="3" t="s">
        <v>3</v>
      </c>
      <c r="HN547" s="3" t="s">
        <v>3</v>
      </c>
      <c r="HO547" s="3" t="s">
        <v>3</v>
      </c>
      <c r="HP547" s="3" t="s">
        <v>3</v>
      </c>
      <c r="HQ547" s="3" t="s">
        <v>3</v>
      </c>
      <c r="HS547" s="3">
        <v>0</v>
      </c>
      <c r="IK547" s="3">
        <v>0</v>
      </c>
    </row>
    <row r="549" spans="1:255" ht="13" x14ac:dyDescent="0.3">
      <c r="A549" s="11">
        <v>51</v>
      </c>
      <c r="B549" s="11">
        <f>B492</f>
        <v>1</v>
      </c>
      <c r="C549" s="11">
        <f>A492</f>
        <v>4</v>
      </c>
      <c r="D549" s="11">
        <f>ROW(A492)</f>
        <v>492</v>
      </c>
      <c r="E549" s="11"/>
      <c r="F549" s="11" t="str">
        <f>IF(F492&lt;&gt;"",F492,"")</f>
        <v>Новый раздел</v>
      </c>
      <c r="G549" s="11" t="str">
        <f>IF(G492&lt;&gt;"",G492,"")</f>
        <v>Кабельная продукция и материалы.</v>
      </c>
      <c r="H549" s="11">
        <v>0</v>
      </c>
      <c r="I549" s="11"/>
      <c r="J549" s="11"/>
      <c r="K549" s="11"/>
      <c r="L549" s="11"/>
      <c r="M549" s="11"/>
      <c r="N549" s="11"/>
      <c r="O549" s="11">
        <f t="shared" ref="O549:T549" si="483">ROUND(AB549,2)</f>
        <v>154505.47</v>
      </c>
      <c r="P549" s="11">
        <f t="shared" si="483"/>
        <v>127433.71</v>
      </c>
      <c r="Q549" s="11">
        <f t="shared" si="483"/>
        <v>452.29</v>
      </c>
      <c r="R549" s="11">
        <f t="shared" si="483"/>
        <v>0</v>
      </c>
      <c r="S549" s="11">
        <f t="shared" si="483"/>
        <v>26619.47</v>
      </c>
      <c r="T549" s="11">
        <f t="shared" si="483"/>
        <v>0</v>
      </c>
      <c r="U549" s="11">
        <f>AH549</f>
        <v>2239.4262059999996</v>
      </c>
      <c r="V549" s="11">
        <f>AI549</f>
        <v>0</v>
      </c>
      <c r="W549" s="11">
        <f>ROUND(AJ549,2)</f>
        <v>0</v>
      </c>
      <c r="X549" s="11">
        <f>ROUND(AK549,2)</f>
        <v>23957.52</v>
      </c>
      <c r="Y549" s="11">
        <f>ROUND(AL549,2)</f>
        <v>12244.96</v>
      </c>
      <c r="Z549" s="11"/>
      <c r="AA549" s="11"/>
      <c r="AB549" s="11">
        <f>ROUND(SUMIF(AA496:AA547,"=57034452",O496:O547),2)</f>
        <v>154505.47</v>
      </c>
      <c r="AC549" s="11">
        <f>ROUND(SUMIF(AA496:AA547,"=57034452",P496:P547),2)</f>
        <v>127433.71</v>
      </c>
      <c r="AD549" s="11">
        <f>ROUND(SUMIF(AA496:AA547,"=57034452",Q496:Q547),2)</f>
        <v>452.29</v>
      </c>
      <c r="AE549" s="11">
        <f>ROUND(SUMIF(AA496:AA547,"=57034452",R496:R547),2)</f>
        <v>0</v>
      </c>
      <c r="AF549" s="11">
        <f>ROUND(SUMIF(AA496:AA547,"=57034452",S496:S547),2)</f>
        <v>26619.47</v>
      </c>
      <c r="AG549" s="11">
        <f>ROUND(SUMIF(AA496:AA547,"=57034452",T496:T547),2)</f>
        <v>0</v>
      </c>
      <c r="AH549" s="11">
        <f>SUMIF(AA496:AA547,"=57034452",U496:U547)</f>
        <v>2239.4262059999996</v>
      </c>
      <c r="AI549" s="11">
        <f>SUMIF(AA496:AA547,"=57034452",V496:V547)</f>
        <v>0</v>
      </c>
      <c r="AJ549" s="11">
        <f>ROUND(SUMIF(AA496:AA547,"=57034452",W496:W547),2)</f>
        <v>0</v>
      </c>
      <c r="AK549" s="11">
        <f>ROUND(SUMIF(AA496:AA547,"=57034452",X496:X547),2)</f>
        <v>23957.52</v>
      </c>
      <c r="AL549" s="11">
        <f>ROUND(SUMIF(AA496:AA547,"=57034452",Y496:Y547),2)</f>
        <v>12244.96</v>
      </c>
      <c r="AM549" s="11"/>
      <c r="AN549" s="11"/>
      <c r="AO549" s="11">
        <f t="shared" ref="AO549:BD549" si="484">ROUND(BX549,2)</f>
        <v>0</v>
      </c>
      <c r="AP549" s="11">
        <f t="shared" si="484"/>
        <v>0</v>
      </c>
      <c r="AQ549" s="11">
        <f t="shared" si="484"/>
        <v>0</v>
      </c>
      <c r="AR549" s="11">
        <f t="shared" si="484"/>
        <v>190707.95</v>
      </c>
      <c r="AS549" s="11">
        <f t="shared" si="484"/>
        <v>0</v>
      </c>
      <c r="AT549" s="11">
        <f t="shared" si="484"/>
        <v>190707.95</v>
      </c>
      <c r="AU549" s="11">
        <f t="shared" si="484"/>
        <v>0</v>
      </c>
      <c r="AV549" s="11">
        <f t="shared" si="484"/>
        <v>127433.71</v>
      </c>
      <c r="AW549" s="11">
        <f t="shared" si="484"/>
        <v>127433.71</v>
      </c>
      <c r="AX549" s="11">
        <f t="shared" si="484"/>
        <v>0</v>
      </c>
      <c r="AY549" s="11">
        <f t="shared" si="484"/>
        <v>127433.71</v>
      </c>
      <c r="AZ549" s="11">
        <f t="shared" si="484"/>
        <v>0</v>
      </c>
      <c r="BA549" s="11">
        <f t="shared" si="484"/>
        <v>0</v>
      </c>
      <c r="BB549" s="11">
        <f t="shared" si="484"/>
        <v>0</v>
      </c>
      <c r="BC549" s="11">
        <f t="shared" si="484"/>
        <v>0</v>
      </c>
      <c r="BD549" s="11">
        <f t="shared" si="484"/>
        <v>0</v>
      </c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>
        <f>ROUND(SUMIF(AA496:AA547,"=57034452",FQ496:FQ547),2)</f>
        <v>0</v>
      </c>
      <c r="BY549" s="11">
        <f>ROUND(SUMIF(AA496:AA547,"=57034452",FR496:FR547),2)</f>
        <v>0</v>
      </c>
      <c r="BZ549" s="11">
        <f>ROUND(SUMIF(AA496:AA547,"=57034452",GL496:GL547),2)</f>
        <v>0</v>
      </c>
      <c r="CA549" s="11">
        <f>ROUND(SUMIF(AA496:AA547,"=57034452",GM496:GM547),2)</f>
        <v>190707.95</v>
      </c>
      <c r="CB549" s="11">
        <f>ROUND(SUMIF(AA496:AA547,"=57034452",GN496:GN547),2)</f>
        <v>0</v>
      </c>
      <c r="CC549" s="11">
        <f>ROUND(SUMIF(AA496:AA547,"=57034452",GO496:GO547),2)</f>
        <v>190707.95</v>
      </c>
      <c r="CD549" s="11">
        <f>ROUND(SUMIF(AA496:AA547,"=57034452",GP496:GP547),2)</f>
        <v>0</v>
      </c>
      <c r="CE549" s="11">
        <f>AC549-BX549</f>
        <v>127433.71</v>
      </c>
      <c r="CF549" s="11">
        <f>AC549-BY549</f>
        <v>127433.71</v>
      </c>
      <c r="CG549" s="11">
        <f>BX549-BZ549</f>
        <v>0</v>
      </c>
      <c r="CH549" s="11">
        <f>AC549-BX549-BY549+BZ549</f>
        <v>127433.71</v>
      </c>
      <c r="CI549" s="11">
        <f>BY549-BZ549</f>
        <v>0</v>
      </c>
      <c r="CJ549" s="11">
        <f>ROUND(SUMIF(AA496:AA547,"=57034452",GX496:GX547),2)</f>
        <v>0</v>
      </c>
      <c r="CK549" s="11">
        <f>ROUND(SUMIF(AA496:AA547,"=57034452",GY496:GY547),2)</f>
        <v>0</v>
      </c>
      <c r="CL549" s="11">
        <f>ROUND(SUMIF(AA496:AA547,"=57034452",GZ496:GZ547),2)</f>
        <v>0</v>
      </c>
      <c r="CM549" s="11">
        <f>ROUND(SUMIF(AA496:AA547,"=57034452",HD496:HD547),2)</f>
        <v>0</v>
      </c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2">
        <f t="shared" ref="DG549:DL549" si="485">ROUND(DT549,2)</f>
        <v>2586772.12</v>
      </c>
      <c r="DH549" s="12">
        <f t="shared" si="485"/>
        <v>1082423.01</v>
      </c>
      <c r="DI549" s="12">
        <f t="shared" si="485"/>
        <v>4341.9799999999996</v>
      </c>
      <c r="DJ549" s="12">
        <f t="shared" si="485"/>
        <v>0</v>
      </c>
      <c r="DK549" s="12">
        <f t="shared" si="485"/>
        <v>1500007.13</v>
      </c>
      <c r="DL549" s="12">
        <f t="shared" si="485"/>
        <v>0</v>
      </c>
      <c r="DM549" s="12">
        <f>DZ549</f>
        <v>2239.4262059999996</v>
      </c>
      <c r="DN549" s="12">
        <f>EA549</f>
        <v>0</v>
      </c>
      <c r="DO549" s="12">
        <f>ROUND(EB549,2)</f>
        <v>0</v>
      </c>
      <c r="DP549" s="12">
        <f>ROUND(EC549,2)</f>
        <v>1350006.42</v>
      </c>
      <c r="DQ549" s="12">
        <f>ROUND(ED549,2)</f>
        <v>690003.28</v>
      </c>
      <c r="DR549" s="12"/>
      <c r="DS549" s="12"/>
      <c r="DT549" s="12">
        <f>ROUND(SUMIF(AA496:AA547,"=57034454",O496:O547),2)</f>
        <v>2586772.12</v>
      </c>
      <c r="DU549" s="12">
        <f>ROUND(SUMIF(AA496:AA547,"=57034454",P496:P547),2)</f>
        <v>1082423.01</v>
      </c>
      <c r="DV549" s="12">
        <f>ROUND(SUMIF(AA496:AA547,"=57034454",Q496:Q547),2)</f>
        <v>4341.9799999999996</v>
      </c>
      <c r="DW549" s="12">
        <f>ROUND(SUMIF(AA496:AA547,"=57034454",R496:R547),2)</f>
        <v>0</v>
      </c>
      <c r="DX549" s="12">
        <f>ROUND(SUMIF(AA496:AA547,"=57034454",S496:S547),2)</f>
        <v>1500007.13</v>
      </c>
      <c r="DY549" s="12">
        <f>ROUND(SUMIF(AA496:AA547,"=57034454",T496:T547),2)</f>
        <v>0</v>
      </c>
      <c r="DZ549" s="12">
        <f>SUMIF(AA496:AA547,"=57034454",U496:U547)</f>
        <v>2239.4262059999996</v>
      </c>
      <c r="EA549" s="12">
        <f>SUMIF(AA496:AA547,"=57034454",V496:V547)</f>
        <v>0</v>
      </c>
      <c r="EB549" s="12">
        <f>ROUND(SUMIF(AA496:AA547,"=57034454",W496:W547),2)</f>
        <v>0</v>
      </c>
      <c r="EC549" s="12">
        <f>ROUND(SUMIF(AA496:AA547,"=57034454",X496:X547),2)</f>
        <v>1350006.42</v>
      </c>
      <c r="ED549" s="12">
        <f>ROUND(SUMIF(AA496:AA547,"=57034454",Y496:Y547),2)</f>
        <v>690003.28</v>
      </c>
      <c r="EE549" s="12"/>
      <c r="EF549" s="12"/>
      <c r="EG549" s="12">
        <f t="shared" ref="EG549:EV549" si="486">ROUND(FP549,2)</f>
        <v>0</v>
      </c>
      <c r="EH549" s="12">
        <f t="shared" si="486"/>
        <v>0</v>
      </c>
      <c r="EI549" s="12">
        <f t="shared" si="486"/>
        <v>0</v>
      </c>
      <c r="EJ549" s="12">
        <f t="shared" si="486"/>
        <v>4626781.82</v>
      </c>
      <c r="EK549" s="12">
        <f t="shared" si="486"/>
        <v>0</v>
      </c>
      <c r="EL549" s="12">
        <f t="shared" si="486"/>
        <v>4626781.82</v>
      </c>
      <c r="EM549" s="12">
        <f t="shared" si="486"/>
        <v>0</v>
      </c>
      <c r="EN549" s="12">
        <f t="shared" si="486"/>
        <v>1082423.01</v>
      </c>
      <c r="EO549" s="12">
        <f t="shared" si="486"/>
        <v>1082423.01</v>
      </c>
      <c r="EP549" s="12">
        <f t="shared" si="486"/>
        <v>0</v>
      </c>
      <c r="EQ549" s="12">
        <f t="shared" si="486"/>
        <v>1082423.01</v>
      </c>
      <c r="ER549" s="12">
        <f t="shared" si="486"/>
        <v>0</v>
      </c>
      <c r="ES549" s="12">
        <f t="shared" si="486"/>
        <v>0</v>
      </c>
      <c r="ET549" s="12">
        <f t="shared" si="486"/>
        <v>0</v>
      </c>
      <c r="EU549" s="12">
        <f t="shared" si="486"/>
        <v>0</v>
      </c>
      <c r="EV549" s="12">
        <f t="shared" si="486"/>
        <v>0</v>
      </c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>
        <f>ROUND(SUMIF(AA496:AA547,"=57034454",FQ496:FQ547),2)</f>
        <v>0</v>
      </c>
      <c r="FQ549" s="12">
        <f>ROUND(SUMIF(AA496:AA547,"=57034454",FR496:FR547),2)</f>
        <v>0</v>
      </c>
      <c r="FR549" s="12">
        <f>ROUND(SUMIF(AA496:AA547,"=57034454",GL496:GL547),2)</f>
        <v>0</v>
      </c>
      <c r="FS549" s="12">
        <f>ROUND(SUMIF(AA496:AA547,"=57034454",GM496:GM547),2)</f>
        <v>4626781.82</v>
      </c>
      <c r="FT549" s="12">
        <f>ROUND(SUMIF(AA496:AA547,"=57034454",GN496:GN547),2)</f>
        <v>0</v>
      </c>
      <c r="FU549" s="12">
        <f>ROUND(SUMIF(AA496:AA547,"=57034454",GO496:GO547),2)</f>
        <v>4626781.82</v>
      </c>
      <c r="FV549" s="12">
        <f>ROUND(SUMIF(AA496:AA547,"=57034454",GP496:GP547),2)</f>
        <v>0</v>
      </c>
      <c r="FW549" s="12">
        <f>DU549-FP549</f>
        <v>1082423.01</v>
      </c>
      <c r="FX549" s="12">
        <f>DU549-FQ549</f>
        <v>1082423.01</v>
      </c>
      <c r="FY549" s="12">
        <f>FP549-FR549</f>
        <v>0</v>
      </c>
      <c r="FZ549" s="12">
        <f>DU549-FP549-FQ549+FR549</f>
        <v>1082423.01</v>
      </c>
      <c r="GA549" s="12">
        <f>FQ549-FR549</f>
        <v>0</v>
      </c>
      <c r="GB549" s="12">
        <f>ROUND(SUMIF(AA496:AA547,"=57034454",GX496:GX547),2)</f>
        <v>0</v>
      </c>
      <c r="GC549" s="12">
        <f>ROUND(SUMIF(AA496:AA547,"=57034454",GY496:GY547),2)</f>
        <v>0</v>
      </c>
      <c r="GD549" s="12">
        <f>ROUND(SUMIF(AA496:AA547,"=57034454",GZ496:GZ547),2)</f>
        <v>0</v>
      </c>
      <c r="GE549" s="12">
        <f>ROUND(SUMIF(AA496:AA547,"=57034454",HD496:HD547),2)</f>
        <v>0</v>
      </c>
      <c r="GF549" s="12"/>
      <c r="GG549" s="12"/>
      <c r="GH549" s="12"/>
      <c r="GI549" s="12"/>
      <c r="GJ549" s="12"/>
      <c r="GK549" s="12"/>
      <c r="GL549" s="12"/>
      <c r="GM549" s="12"/>
      <c r="GN549" s="12"/>
      <c r="GO549" s="12"/>
      <c r="GP549" s="12"/>
      <c r="GQ549" s="12"/>
      <c r="GR549" s="12"/>
      <c r="GS549" s="12"/>
      <c r="GT549" s="12"/>
      <c r="GU549" s="12"/>
      <c r="GV549" s="12"/>
      <c r="GW549" s="12"/>
      <c r="GX549" s="12">
        <v>0</v>
      </c>
    </row>
    <row r="551" spans="1:255" ht="13" x14ac:dyDescent="0.3">
      <c r="A551" s="13">
        <v>50</v>
      </c>
      <c r="B551" s="13">
        <v>0</v>
      </c>
      <c r="C551" s="13">
        <v>0</v>
      </c>
      <c r="D551" s="13">
        <v>1</v>
      </c>
      <c r="E551" s="13">
        <v>201</v>
      </c>
      <c r="F551" s="13">
        <f>ROUND(Source!O549,O551)</f>
        <v>154505.47</v>
      </c>
      <c r="G551" s="13" t="s">
        <v>117</v>
      </c>
      <c r="H551" s="13" t="s">
        <v>118</v>
      </c>
      <c r="I551" s="13"/>
      <c r="J551" s="13"/>
      <c r="K551" s="13">
        <v>201</v>
      </c>
      <c r="L551" s="13">
        <v>1</v>
      </c>
      <c r="M551" s="13">
        <v>3</v>
      </c>
      <c r="N551" s="13" t="s">
        <v>3</v>
      </c>
      <c r="O551" s="13">
        <v>2</v>
      </c>
      <c r="P551" s="13">
        <f>ROUND(Source!DG549,O551)</f>
        <v>2586772.12</v>
      </c>
      <c r="Q551" s="13"/>
      <c r="R551" s="13"/>
      <c r="S551" s="13"/>
      <c r="T551" s="13"/>
      <c r="U551" s="13"/>
      <c r="V551" s="13"/>
      <c r="W551" s="13">
        <v>154505.47</v>
      </c>
      <c r="X551" s="13">
        <v>1</v>
      </c>
      <c r="Y551" s="13">
        <v>154505.47</v>
      </c>
      <c r="Z551" s="13">
        <v>2586772.12</v>
      </c>
      <c r="AA551" s="13">
        <v>1</v>
      </c>
      <c r="AB551" s="13">
        <v>2586772.12</v>
      </c>
    </row>
    <row r="552" spans="1:255" ht="13" x14ac:dyDescent="0.3">
      <c r="A552" s="13">
        <v>50</v>
      </c>
      <c r="B552" s="13">
        <v>0</v>
      </c>
      <c r="C552" s="13">
        <v>0</v>
      </c>
      <c r="D552" s="13">
        <v>1</v>
      </c>
      <c r="E552" s="13">
        <v>202</v>
      </c>
      <c r="F552" s="13">
        <f>ROUND(Source!P549,O552)</f>
        <v>127433.71</v>
      </c>
      <c r="G552" s="13" t="s">
        <v>119</v>
      </c>
      <c r="H552" s="13" t="s">
        <v>120</v>
      </c>
      <c r="I552" s="13"/>
      <c r="J552" s="13"/>
      <c r="K552" s="13">
        <v>202</v>
      </c>
      <c r="L552" s="13">
        <v>2</v>
      </c>
      <c r="M552" s="13">
        <v>3</v>
      </c>
      <c r="N552" s="13" t="s">
        <v>3</v>
      </c>
      <c r="O552" s="13">
        <v>2</v>
      </c>
      <c r="P552" s="13">
        <f>ROUND(Source!DH549,O552)</f>
        <v>1082423.01</v>
      </c>
      <c r="Q552" s="13"/>
      <c r="R552" s="13"/>
      <c r="S552" s="13"/>
      <c r="T552" s="13"/>
      <c r="U552" s="13"/>
      <c r="V552" s="13"/>
      <c r="W552" s="13">
        <v>127433.71</v>
      </c>
      <c r="X552" s="13">
        <v>1</v>
      </c>
      <c r="Y552" s="13">
        <v>127433.71</v>
      </c>
      <c r="Z552" s="13">
        <v>1082423.01</v>
      </c>
      <c r="AA552" s="13">
        <v>1</v>
      </c>
      <c r="AB552" s="13">
        <v>1082423.01</v>
      </c>
    </row>
    <row r="553" spans="1:255" ht="13" x14ac:dyDescent="0.3">
      <c r="A553" s="13">
        <v>50</v>
      </c>
      <c r="B553" s="13">
        <v>0</v>
      </c>
      <c r="C553" s="13">
        <v>0</v>
      </c>
      <c r="D553" s="13">
        <v>1</v>
      </c>
      <c r="E553" s="13">
        <v>222</v>
      </c>
      <c r="F553" s="13">
        <f>ROUND(Source!AO549,O553)</f>
        <v>0</v>
      </c>
      <c r="G553" s="13" t="s">
        <v>121</v>
      </c>
      <c r="H553" s="13" t="s">
        <v>122</v>
      </c>
      <c r="I553" s="13"/>
      <c r="J553" s="13"/>
      <c r="K553" s="13">
        <v>222</v>
      </c>
      <c r="L553" s="13">
        <v>3</v>
      </c>
      <c r="M553" s="13">
        <v>3</v>
      </c>
      <c r="N553" s="13" t="s">
        <v>3</v>
      </c>
      <c r="O553" s="13">
        <v>2</v>
      </c>
      <c r="P553" s="13">
        <f>ROUND(Source!EG549,O553)</f>
        <v>0</v>
      </c>
      <c r="Q553" s="13"/>
      <c r="R553" s="13"/>
      <c r="S553" s="13"/>
      <c r="T553" s="13"/>
      <c r="U553" s="13"/>
      <c r="V553" s="13"/>
      <c r="W553" s="13">
        <v>0</v>
      </c>
      <c r="X553" s="13">
        <v>1</v>
      </c>
      <c r="Y553" s="13">
        <v>0</v>
      </c>
      <c r="Z553" s="13">
        <v>0</v>
      </c>
      <c r="AA553" s="13">
        <v>1</v>
      </c>
      <c r="AB553" s="13">
        <v>0</v>
      </c>
    </row>
    <row r="554" spans="1:255" ht="13" x14ac:dyDescent="0.3">
      <c r="A554" s="13">
        <v>50</v>
      </c>
      <c r="B554" s="13">
        <v>0</v>
      </c>
      <c r="C554" s="13">
        <v>0</v>
      </c>
      <c r="D554" s="13">
        <v>1</v>
      </c>
      <c r="E554" s="13">
        <v>225</v>
      </c>
      <c r="F554" s="13">
        <f>ROUND(Source!AV549,O554)</f>
        <v>127433.71</v>
      </c>
      <c r="G554" s="13" t="s">
        <v>123</v>
      </c>
      <c r="H554" s="13" t="s">
        <v>124</v>
      </c>
      <c r="I554" s="13"/>
      <c r="J554" s="13"/>
      <c r="K554" s="13">
        <v>225</v>
      </c>
      <c r="L554" s="13">
        <v>4</v>
      </c>
      <c r="M554" s="13">
        <v>3</v>
      </c>
      <c r="N554" s="13" t="s">
        <v>3</v>
      </c>
      <c r="O554" s="13">
        <v>2</v>
      </c>
      <c r="P554" s="13">
        <f>ROUND(Source!EN549,O554)</f>
        <v>1082423.01</v>
      </c>
      <c r="Q554" s="13"/>
      <c r="R554" s="13"/>
      <c r="S554" s="13"/>
      <c r="T554" s="13"/>
      <c r="U554" s="13"/>
      <c r="V554" s="13"/>
      <c r="W554" s="13">
        <v>127433.71</v>
      </c>
      <c r="X554" s="13">
        <v>1</v>
      </c>
      <c r="Y554" s="13">
        <v>127433.71</v>
      </c>
      <c r="Z554" s="13">
        <v>1082423.01</v>
      </c>
      <c r="AA554" s="13">
        <v>1</v>
      </c>
      <c r="AB554" s="13">
        <v>1082423.01</v>
      </c>
    </row>
    <row r="555" spans="1:255" ht="13" x14ac:dyDescent="0.3">
      <c r="A555" s="13">
        <v>50</v>
      </c>
      <c r="B555" s="13">
        <v>0</v>
      </c>
      <c r="C555" s="13">
        <v>0</v>
      </c>
      <c r="D555" s="13">
        <v>1</v>
      </c>
      <c r="E555" s="13">
        <v>226</v>
      </c>
      <c r="F555" s="13">
        <f>ROUND(Source!AW549,O555)</f>
        <v>127433.71</v>
      </c>
      <c r="G555" s="13" t="s">
        <v>125</v>
      </c>
      <c r="H555" s="13" t="s">
        <v>126</v>
      </c>
      <c r="I555" s="13"/>
      <c r="J555" s="13"/>
      <c r="K555" s="13">
        <v>226</v>
      </c>
      <c r="L555" s="13">
        <v>5</v>
      </c>
      <c r="M555" s="13">
        <v>3</v>
      </c>
      <c r="N555" s="13" t="s">
        <v>3</v>
      </c>
      <c r="O555" s="13">
        <v>2</v>
      </c>
      <c r="P555" s="13">
        <f>ROUND(Source!EO549,O555)</f>
        <v>1082423.01</v>
      </c>
      <c r="Q555" s="13"/>
      <c r="R555" s="13"/>
      <c r="S555" s="13"/>
      <c r="T555" s="13"/>
      <c r="U555" s="13"/>
      <c r="V555" s="13"/>
      <c r="W555" s="13">
        <v>127433.71</v>
      </c>
      <c r="X555" s="13">
        <v>1</v>
      </c>
      <c r="Y555" s="13">
        <v>127433.71</v>
      </c>
      <c r="Z555" s="13">
        <v>1082423.01</v>
      </c>
      <c r="AA555" s="13">
        <v>1</v>
      </c>
      <c r="AB555" s="13">
        <v>1082423.01</v>
      </c>
    </row>
    <row r="556" spans="1:255" ht="13" x14ac:dyDescent="0.3">
      <c r="A556" s="13">
        <v>50</v>
      </c>
      <c r="B556" s="13">
        <v>0</v>
      </c>
      <c r="C556" s="13">
        <v>0</v>
      </c>
      <c r="D556" s="13">
        <v>1</v>
      </c>
      <c r="E556" s="13">
        <v>227</v>
      </c>
      <c r="F556" s="13">
        <f>ROUND(Source!AX549,O556)</f>
        <v>0</v>
      </c>
      <c r="G556" s="13" t="s">
        <v>127</v>
      </c>
      <c r="H556" s="13" t="s">
        <v>128</v>
      </c>
      <c r="I556" s="13"/>
      <c r="J556" s="13"/>
      <c r="K556" s="13">
        <v>227</v>
      </c>
      <c r="L556" s="13">
        <v>6</v>
      </c>
      <c r="M556" s="13">
        <v>3</v>
      </c>
      <c r="N556" s="13" t="s">
        <v>3</v>
      </c>
      <c r="O556" s="13">
        <v>2</v>
      </c>
      <c r="P556" s="13">
        <f>ROUND(Source!EP549,O556)</f>
        <v>0</v>
      </c>
      <c r="Q556" s="13"/>
      <c r="R556" s="13"/>
      <c r="S556" s="13"/>
      <c r="T556" s="13"/>
      <c r="U556" s="13"/>
      <c r="V556" s="13"/>
      <c r="W556" s="13">
        <v>0</v>
      </c>
      <c r="X556" s="13">
        <v>1</v>
      </c>
      <c r="Y556" s="13">
        <v>0</v>
      </c>
      <c r="Z556" s="13">
        <v>0</v>
      </c>
      <c r="AA556" s="13">
        <v>1</v>
      </c>
      <c r="AB556" s="13">
        <v>0</v>
      </c>
    </row>
    <row r="557" spans="1:255" ht="13" x14ac:dyDescent="0.3">
      <c r="A557" s="13">
        <v>50</v>
      </c>
      <c r="B557" s="13">
        <v>0</v>
      </c>
      <c r="C557" s="13">
        <v>0</v>
      </c>
      <c r="D557" s="13">
        <v>1</v>
      </c>
      <c r="E557" s="13">
        <v>228</v>
      </c>
      <c r="F557" s="13">
        <f>ROUND(Source!AY549,O557)</f>
        <v>127433.71</v>
      </c>
      <c r="G557" s="13" t="s">
        <v>129</v>
      </c>
      <c r="H557" s="13" t="s">
        <v>130</v>
      </c>
      <c r="I557" s="13"/>
      <c r="J557" s="13"/>
      <c r="K557" s="13">
        <v>228</v>
      </c>
      <c r="L557" s="13">
        <v>7</v>
      </c>
      <c r="M557" s="13">
        <v>3</v>
      </c>
      <c r="N557" s="13" t="s">
        <v>3</v>
      </c>
      <c r="O557" s="13">
        <v>2</v>
      </c>
      <c r="P557" s="13">
        <f>ROUND(Source!EQ549,O557)</f>
        <v>1082423.01</v>
      </c>
      <c r="Q557" s="13"/>
      <c r="R557" s="13"/>
      <c r="S557" s="13"/>
      <c r="T557" s="13"/>
      <c r="U557" s="13"/>
      <c r="V557" s="13"/>
      <c r="W557" s="13">
        <v>127433.71</v>
      </c>
      <c r="X557" s="13">
        <v>1</v>
      </c>
      <c r="Y557" s="13">
        <v>127433.71</v>
      </c>
      <c r="Z557" s="13">
        <v>1082423.01</v>
      </c>
      <c r="AA557" s="13">
        <v>1</v>
      </c>
      <c r="AB557" s="13">
        <v>1082423.01</v>
      </c>
    </row>
    <row r="558" spans="1:255" ht="13" x14ac:dyDescent="0.3">
      <c r="A558" s="13">
        <v>50</v>
      </c>
      <c r="B558" s="13">
        <v>0</v>
      </c>
      <c r="C558" s="13">
        <v>0</v>
      </c>
      <c r="D558" s="13">
        <v>1</v>
      </c>
      <c r="E558" s="13">
        <v>216</v>
      </c>
      <c r="F558" s="13">
        <f>ROUND(Source!AP549,O558)</f>
        <v>0</v>
      </c>
      <c r="G558" s="13" t="s">
        <v>131</v>
      </c>
      <c r="H558" s="13" t="s">
        <v>132</v>
      </c>
      <c r="I558" s="13"/>
      <c r="J558" s="13"/>
      <c r="K558" s="13">
        <v>216</v>
      </c>
      <c r="L558" s="13">
        <v>8</v>
      </c>
      <c r="M558" s="13">
        <v>3</v>
      </c>
      <c r="N558" s="13" t="s">
        <v>3</v>
      </c>
      <c r="O558" s="13">
        <v>2</v>
      </c>
      <c r="P558" s="13">
        <f>ROUND(Source!EH549,O558)</f>
        <v>0</v>
      </c>
      <c r="Q558" s="13"/>
      <c r="R558" s="13"/>
      <c r="S558" s="13"/>
      <c r="T558" s="13"/>
      <c r="U558" s="13"/>
      <c r="V558" s="13"/>
      <c r="W558" s="13">
        <v>0</v>
      </c>
      <c r="X558" s="13">
        <v>1</v>
      </c>
      <c r="Y558" s="13">
        <v>0</v>
      </c>
      <c r="Z558" s="13">
        <v>0</v>
      </c>
      <c r="AA558" s="13">
        <v>1</v>
      </c>
      <c r="AB558" s="13">
        <v>0</v>
      </c>
    </row>
    <row r="559" spans="1:255" ht="13" x14ac:dyDescent="0.3">
      <c r="A559" s="13">
        <v>50</v>
      </c>
      <c r="B559" s="13">
        <v>0</v>
      </c>
      <c r="C559" s="13">
        <v>0</v>
      </c>
      <c r="D559" s="13">
        <v>1</v>
      </c>
      <c r="E559" s="13">
        <v>223</v>
      </c>
      <c r="F559" s="13">
        <f>ROUND(Source!AQ549,O559)</f>
        <v>0</v>
      </c>
      <c r="G559" s="13" t="s">
        <v>133</v>
      </c>
      <c r="H559" s="13" t="s">
        <v>134</v>
      </c>
      <c r="I559" s="13"/>
      <c r="J559" s="13"/>
      <c r="K559" s="13">
        <v>223</v>
      </c>
      <c r="L559" s="13">
        <v>9</v>
      </c>
      <c r="M559" s="13">
        <v>3</v>
      </c>
      <c r="N559" s="13" t="s">
        <v>3</v>
      </c>
      <c r="O559" s="13">
        <v>2</v>
      </c>
      <c r="P559" s="13">
        <f>ROUND(Source!EI549,O559)</f>
        <v>0</v>
      </c>
      <c r="Q559" s="13"/>
      <c r="R559" s="13"/>
      <c r="S559" s="13"/>
      <c r="T559" s="13"/>
      <c r="U559" s="13"/>
      <c r="V559" s="13"/>
      <c r="W559" s="13">
        <v>0</v>
      </c>
      <c r="X559" s="13">
        <v>1</v>
      </c>
      <c r="Y559" s="13">
        <v>0</v>
      </c>
      <c r="Z559" s="13">
        <v>0</v>
      </c>
      <c r="AA559" s="13">
        <v>1</v>
      </c>
      <c r="AB559" s="13">
        <v>0</v>
      </c>
    </row>
    <row r="560" spans="1:255" ht="13" x14ac:dyDescent="0.3">
      <c r="A560" s="13">
        <v>50</v>
      </c>
      <c r="B560" s="13">
        <v>0</v>
      </c>
      <c r="C560" s="13">
        <v>0</v>
      </c>
      <c r="D560" s="13">
        <v>1</v>
      </c>
      <c r="E560" s="13">
        <v>229</v>
      </c>
      <c r="F560" s="13">
        <f>ROUND(Source!AZ549,O560)</f>
        <v>0</v>
      </c>
      <c r="G560" s="13" t="s">
        <v>135</v>
      </c>
      <c r="H560" s="13" t="s">
        <v>136</v>
      </c>
      <c r="I560" s="13"/>
      <c r="J560" s="13"/>
      <c r="K560" s="13">
        <v>229</v>
      </c>
      <c r="L560" s="13">
        <v>10</v>
      </c>
      <c r="M560" s="13">
        <v>3</v>
      </c>
      <c r="N560" s="13" t="s">
        <v>3</v>
      </c>
      <c r="O560" s="13">
        <v>2</v>
      </c>
      <c r="P560" s="13">
        <f>ROUND(Source!ER549,O560)</f>
        <v>0</v>
      </c>
      <c r="Q560" s="13"/>
      <c r="R560" s="13"/>
      <c r="S560" s="13"/>
      <c r="T560" s="13"/>
      <c r="U560" s="13"/>
      <c r="V560" s="13"/>
      <c r="W560" s="13">
        <v>0</v>
      </c>
      <c r="X560" s="13">
        <v>1</v>
      </c>
      <c r="Y560" s="13">
        <v>0</v>
      </c>
      <c r="Z560" s="13">
        <v>0</v>
      </c>
      <c r="AA560" s="13">
        <v>1</v>
      </c>
      <c r="AB560" s="13">
        <v>0</v>
      </c>
    </row>
    <row r="561" spans="1:28" ht="13" x14ac:dyDescent="0.3">
      <c r="A561" s="13">
        <v>50</v>
      </c>
      <c r="B561" s="13">
        <v>0</v>
      </c>
      <c r="C561" s="13">
        <v>0</v>
      </c>
      <c r="D561" s="13">
        <v>1</v>
      </c>
      <c r="E561" s="13">
        <v>203</v>
      </c>
      <c r="F561" s="13">
        <f>ROUND(Source!Q549,O561)</f>
        <v>452.29</v>
      </c>
      <c r="G561" s="13" t="s">
        <v>137</v>
      </c>
      <c r="H561" s="13" t="s">
        <v>138</v>
      </c>
      <c r="I561" s="13"/>
      <c r="J561" s="13"/>
      <c r="K561" s="13">
        <v>203</v>
      </c>
      <c r="L561" s="13">
        <v>11</v>
      </c>
      <c r="M561" s="13">
        <v>3</v>
      </c>
      <c r="N561" s="13" t="s">
        <v>3</v>
      </c>
      <c r="O561" s="13">
        <v>2</v>
      </c>
      <c r="P561" s="13">
        <f>ROUND(Source!DI549,O561)</f>
        <v>4341.9799999999996</v>
      </c>
      <c r="Q561" s="13"/>
      <c r="R561" s="13"/>
      <c r="S561" s="13"/>
      <c r="T561" s="13"/>
      <c r="U561" s="13"/>
      <c r="V561" s="13"/>
      <c r="W561" s="13">
        <v>452.29</v>
      </c>
      <c r="X561" s="13">
        <v>1</v>
      </c>
      <c r="Y561" s="13">
        <v>452.29</v>
      </c>
      <c r="Z561" s="13">
        <v>4341.9799999999996</v>
      </c>
      <c r="AA561" s="13">
        <v>1</v>
      </c>
      <c r="AB561" s="13">
        <v>4341.9799999999996</v>
      </c>
    </row>
    <row r="562" spans="1:28" ht="13" x14ac:dyDescent="0.3">
      <c r="A562" s="13">
        <v>50</v>
      </c>
      <c r="B562" s="13">
        <v>0</v>
      </c>
      <c r="C562" s="13">
        <v>0</v>
      </c>
      <c r="D562" s="13">
        <v>1</v>
      </c>
      <c r="E562" s="13">
        <v>231</v>
      </c>
      <c r="F562" s="13">
        <f>ROUND(Source!BB549,O562)</f>
        <v>0</v>
      </c>
      <c r="G562" s="13" t="s">
        <v>139</v>
      </c>
      <c r="H562" s="13" t="s">
        <v>140</v>
      </c>
      <c r="I562" s="13"/>
      <c r="J562" s="13"/>
      <c r="K562" s="13">
        <v>231</v>
      </c>
      <c r="L562" s="13">
        <v>12</v>
      </c>
      <c r="M562" s="13">
        <v>3</v>
      </c>
      <c r="N562" s="13" t="s">
        <v>3</v>
      </c>
      <c r="O562" s="13">
        <v>2</v>
      </c>
      <c r="P562" s="13">
        <f>ROUND(Source!ET549,O562)</f>
        <v>0</v>
      </c>
      <c r="Q562" s="13"/>
      <c r="R562" s="13"/>
      <c r="S562" s="13"/>
      <c r="T562" s="13"/>
      <c r="U562" s="13"/>
      <c r="V562" s="13"/>
      <c r="W562" s="13">
        <v>0</v>
      </c>
      <c r="X562" s="13">
        <v>1</v>
      </c>
      <c r="Y562" s="13">
        <v>0</v>
      </c>
      <c r="Z562" s="13">
        <v>0</v>
      </c>
      <c r="AA562" s="13">
        <v>1</v>
      </c>
      <c r="AB562" s="13">
        <v>0</v>
      </c>
    </row>
    <row r="563" spans="1:28" ht="13" x14ac:dyDescent="0.3">
      <c r="A563" s="13">
        <v>50</v>
      </c>
      <c r="B563" s="13">
        <v>0</v>
      </c>
      <c r="C563" s="13">
        <v>0</v>
      </c>
      <c r="D563" s="13">
        <v>1</v>
      </c>
      <c r="E563" s="13">
        <v>204</v>
      </c>
      <c r="F563" s="13">
        <f>ROUND(Source!R549,O563)</f>
        <v>0</v>
      </c>
      <c r="G563" s="13" t="s">
        <v>141</v>
      </c>
      <c r="H563" s="13" t="s">
        <v>142</v>
      </c>
      <c r="I563" s="13"/>
      <c r="J563" s="13"/>
      <c r="K563" s="13">
        <v>204</v>
      </c>
      <c r="L563" s="13">
        <v>13</v>
      </c>
      <c r="M563" s="13">
        <v>3</v>
      </c>
      <c r="N563" s="13" t="s">
        <v>3</v>
      </c>
      <c r="O563" s="13">
        <v>2</v>
      </c>
      <c r="P563" s="13">
        <f>ROUND(Source!DJ549,O563)</f>
        <v>0</v>
      </c>
      <c r="Q563" s="13"/>
      <c r="R563" s="13"/>
      <c r="S563" s="13"/>
      <c r="T563" s="13"/>
      <c r="U563" s="13"/>
      <c r="V563" s="13"/>
      <c r="W563" s="13">
        <v>0</v>
      </c>
      <c r="X563" s="13">
        <v>1</v>
      </c>
      <c r="Y563" s="13">
        <v>0</v>
      </c>
      <c r="Z563" s="13">
        <v>0</v>
      </c>
      <c r="AA563" s="13">
        <v>1</v>
      </c>
      <c r="AB563" s="13">
        <v>0</v>
      </c>
    </row>
    <row r="564" spans="1:28" ht="13" x14ac:dyDescent="0.3">
      <c r="A564" s="13">
        <v>50</v>
      </c>
      <c r="B564" s="13">
        <v>0</v>
      </c>
      <c r="C564" s="13">
        <v>0</v>
      </c>
      <c r="D564" s="13">
        <v>1</v>
      </c>
      <c r="E564" s="13">
        <v>205</v>
      </c>
      <c r="F564" s="13">
        <f>ROUND(Source!S549,O564)</f>
        <v>26619.47</v>
      </c>
      <c r="G564" s="13" t="s">
        <v>143</v>
      </c>
      <c r="H564" s="13" t="s">
        <v>144</v>
      </c>
      <c r="I564" s="13"/>
      <c r="J564" s="13"/>
      <c r="K564" s="13">
        <v>205</v>
      </c>
      <c r="L564" s="13">
        <v>14</v>
      </c>
      <c r="M564" s="13">
        <v>3</v>
      </c>
      <c r="N564" s="13" t="s">
        <v>3</v>
      </c>
      <c r="O564" s="13">
        <v>2</v>
      </c>
      <c r="P564" s="13">
        <f>ROUND(Source!DK549,O564)</f>
        <v>1500007.13</v>
      </c>
      <c r="Q564" s="13"/>
      <c r="R564" s="13"/>
      <c r="S564" s="13"/>
      <c r="T564" s="13"/>
      <c r="U564" s="13"/>
      <c r="V564" s="13"/>
      <c r="W564" s="13">
        <v>26619.47</v>
      </c>
      <c r="X564" s="13">
        <v>1</v>
      </c>
      <c r="Y564" s="13">
        <v>26619.47</v>
      </c>
      <c r="Z564" s="13">
        <v>1500007.13</v>
      </c>
      <c r="AA564" s="13">
        <v>1</v>
      </c>
      <c r="AB564" s="13">
        <v>1500007.13</v>
      </c>
    </row>
    <row r="565" spans="1:28" ht="13" x14ac:dyDescent="0.3">
      <c r="A565" s="13">
        <v>50</v>
      </c>
      <c r="B565" s="13">
        <v>0</v>
      </c>
      <c r="C565" s="13">
        <v>0</v>
      </c>
      <c r="D565" s="13">
        <v>1</v>
      </c>
      <c r="E565" s="13">
        <v>232</v>
      </c>
      <c r="F565" s="13">
        <f>ROUND(Source!BC549,O565)</f>
        <v>0</v>
      </c>
      <c r="G565" s="13" t="s">
        <v>145</v>
      </c>
      <c r="H565" s="13" t="s">
        <v>146</v>
      </c>
      <c r="I565" s="13"/>
      <c r="J565" s="13"/>
      <c r="K565" s="13">
        <v>232</v>
      </c>
      <c r="L565" s="13">
        <v>15</v>
      </c>
      <c r="M565" s="13">
        <v>3</v>
      </c>
      <c r="N565" s="13" t="s">
        <v>3</v>
      </c>
      <c r="O565" s="13">
        <v>2</v>
      </c>
      <c r="P565" s="13">
        <f>ROUND(Source!EU549,O565)</f>
        <v>0</v>
      </c>
      <c r="Q565" s="13"/>
      <c r="R565" s="13"/>
      <c r="S565" s="13"/>
      <c r="T565" s="13"/>
      <c r="U565" s="13"/>
      <c r="V565" s="13"/>
      <c r="W565" s="13">
        <v>0</v>
      </c>
      <c r="X565" s="13">
        <v>1</v>
      </c>
      <c r="Y565" s="13">
        <v>0</v>
      </c>
      <c r="Z565" s="13">
        <v>0</v>
      </c>
      <c r="AA565" s="13">
        <v>1</v>
      </c>
      <c r="AB565" s="13">
        <v>0</v>
      </c>
    </row>
    <row r="566" spans="1:28" ht="13" x14ac:dyDescent="0.3">
      <c r="A566" s="13">
        <v>50</v>
      </c>
      <c r="B566" s="13">
        <v>0</v>
      </c>
      <c r="C566" s="13">
        <v>0</v>
      </c>
      <c r="D566" s="13">
        <v>1</v>
      </c>
      <c r="E566" s="13">
        <v>214</v>
      </c>
      <c r="F566" s="13">
        <f>ROUND(Source!AS549,O566)</f>
        <v>0</v>
      </c>
      <c r="G566" s="13" t="s">
        <v>147</v>
      </c>
      <c r="H566" s="13" t="s">
        <v>148</v>
      </c>
      <c r="I566" s="13"/>
      <c r="J566" s="13"/>
      <c r="K566" s="13">
        <v>214</v>
      </c>
      <c r="L566" s="13">
        <v>16</v>
      </c>
      <c r="M566" s="13">
        <v>3</v>
      </c>
      <c r="N566" s="13" t="s">
        <v>3</v>
      </c>
      <c r="O566" s="13">
        <v>2</v>
      </c>
      <c r="P566" s="13">
        <f>ROUND(Source!EK549,O566)</f>
        <v>0</v>
      </c>
      <c r="Q566" s="13"/>
      <c r="R566" s="13"/>
      <c r="S566" s="13"/>
      <c r="T566" s="13"/>
      <c r="U566" s="13"/>
      <c r="V566" s="13"/>
      <c r="W566" s="13">
        <v>0</v>
      </c>
      <c r="X566" s="13">
        <v>1</v>
      </c>
      <c r="Y566" s="13">
        <v>0</v>
      </c>
      <c r="Z566" s="13">
        <v>0</v>
      </c>
      <c r="AA566" s="13">
        <v>1</v>
      </c>
      <c r="AB566" s="13">
        <v>0</v>
      </c>
    </row>
    <row r="567" spans="1:28" ht="13" x14ac:dyDescent="0.3">
      <c r="A567" s="13">
        <v>50</v>
      </c>
      <c r="B567" s="13">
        <v>0</v>
      </c>
      <c r="C567" s="13">
        <v>0</v>
      </c>
      <c r="D567" s="13">
        <v>1</v>
      </c>
      <c r="E567" s="13">
        <v>215</v>
      </c>
      <c r="F567" s="13">
        <f>ROUND(Source!AT549,O567)</f>
        <v>190707.95</v>
      </c>
      <c r="G567" s="13" t="s">
        <v>149</v>
      </c>
      <c r="H567" s="13" t="s">
        <v>150</v>
      </c>
      <c r="I567" s="13"/>
      <c r="J567" s="13"/>
      <c r="K567" s="13">
        <v>215</v>
      </c>
      <c r="L567" s="13">
        <v>17</v>
      </c>
      <c r="M567" s="13">
        <v>3</v>
      </c>
      <c r="N567" s="13" t="s">
        <v>3</v>
      </c>
      <c r="O567" s="13">
        <v>2</v>
      </c>
      <c r="P567" s="13">
        <f>ROUND(Source!EL549,O567)</f>
        <v>4626781.82</v>
      </c>
      <c r="Q567" s="13"/>
      <c r="R567" s="13"/>
      <c r="S567" s="13"/>
      <c r="T567" s="13"/>
      <c r="U567" s="13"/>
      <c r="V567" s="13"/>
      <c r="W567" s="13">
        <v>190707.95</v>
      </c>
      <c r="X567" s="13">
        <v>1</v>
      </c>
      <c r="Y567" s="13">
        <v>190707.95</v>
      </c>
      <c r="Z567" s="13">
        <v>4626781.82</v>
      </c>
      <c r="AA567" s="13">
        <v>1</v>
      </c>
      <c r="AB567" s="13">
        <v>4626781.82</v>
      </c>
    </row>
    <row r="568" spans="1:28" ht="13" x14ac:dyDescent="0.3">
      <c r="A568" s="13">
        <v>50</v>
      </c>
      <c r="B568" s="13">
        <v>0</v>
      </c>
      <c r="C568" s="13">
        <v>0</v>
      </c>
      <c r="D568" s="13">
        <v>1</v>
      </c>
      <c r="E568" s="13">
        <v>217</v>
      </c>
      <c r="F568" s="13">
        <f>ROUND(Source!AU549,O568)</f>
        <v>0</v>
      </c>
      <c r="G568" s="13" t="s">
        <v>151</v>
      </c>
      <c r="H568" s="13" t="s">
        <v>152</v>
      </c>
      <c r="I568" s="13"/>
      <c r="J568" s="13"/>
      <c r="K568" s="13">
        <v>217</v>
      </c>
      <c r="L568" s="13">
        <v>18</v>
      </c>
      <c r="M568" s="13">
        <v>3</v>
      </c>
      <c r="N568" s="13" t="s">
        <v>3</v>
      </c>
      <c r="O568" s="13">
        <v>2</v>
      </c>
      <c r="P568" s="13">
        <f>ROUND(Source!EM549,O568)</f>
        <v>0</v>
      </c>
      <c r="Q568" s="13"/>
      <c r="R568" s="13"/>
      <c r="S568" s="13"/>
      <c r="T568" s="13"/>
      <c r="U568" s="13"/>
      <c r="V568" s="13"/>
      <c r="W568" s="13">
        <v>0</v>
      </c>
      <c r="X568" s="13">
        <v>1</v>
      </c>
      <c r="Y568" s="13">
        <v>0</v>
      </c>
      <c r="Z568" s="13">
        <v>0</v>
      </c>
      <c r="AA568" s="13">
        <v>1</v>
      </c>
      <c r="AB568" s="13">
        <v>0</v>
      </c>
    </row>
    <row r="569" spans="1:28" ht="13" x14ac:dyDescent="0.3">
      <c r="A569" s="13">
        <v>50</v>
      </c>
      <c r="B569" s="13">
        <v>0</v>
      </c>
      <c r="C569" s="13">
        <v>0</v>
      </c>
      <c r="D569" s="13">
        <v>1</v>
      </c>
      <c r="E569" s="13">
        <v>230</v>
      </c>
      <c r="F569" s="13">
        <f>ROUND(Source!BA549,O569)</f>
        <v>0</v>
      </c>
      <c r="G569" s="13" t="s">
        <v>153</v>
      </c>
      <c r="H569" s="13" t="s">
        <v>154</v>
      </c>
      <c r="I569" s="13"/>
      <c r="J569" s="13"/>
      <c r="K569" s="13">
        <v>230</v>
      </c>
      <c r="L569" s="13">
        <v>19</v>
      </c>
      <c r="M569" s="13">
        <v>3</v>
      </c>
      <c r="N569" s="13" t="s">
        <v>3</v>
      </c>
      <c r="O569" s="13">
        <v>2</v>
      </c>
      <c r="P569" s="13">
        <f>ROUND(Source!ES549,O569)</f>
        <v>0</v>
      </c>
      <c r="Q569" s="13"/>
      <c r="R569" s="13"/>
      <c r="S569" s="13"/>
      <c r="T569" s="13"/>
      <c r="U569" s="13"/>
      <c r="V569" s="13"/>
      <c r="W569" s="13">
        <v>0</v>
      </c>
      <c r="X569" s="13">
        <v>1</v>
      </c>
      <c r="Y569" s="13">
        <v>0</v>
      </c>
      <c r="Z569" s="13">
        <v>0</v>
      </c>
      <c r="AA569" s="13">
        <v>1</v>
      </c>
      <c r="AB569" s="13">
        <v>0</v>
      </c>
    </row>
    <row r="570" spans="1:28" ht="13" x14ac:dyDescent="0.3">
      <c r="A570" s="13">
        <v>50</v>
      </c>
      <c r="B570" s="13">
        <v>0</v>
      </c>
      <c r="C570" s="13">
        <v>0</v>
      </c>
      <c r="D570" s="13">
        <v>1</v>
      </c>
      <c r="E570" s="13">
        <v>206</v>
      </c>
      <c r="F570" s="13">
        <f>ROUND(Source!T549,O570)</f>
        <v>0</v>
      </c>
      <c r="G570" s="13" t="s">
        <v>155</v>
      </c>
      <c r="H570" s="13" t="s">
        <v>156</v>
      </c>
      <c r="I570" s="13"/>
      <c r="J570" s="13"/>
      <c r="K570" s="13">
        <v>206</v>
      </c>
      <c r="L570" s="13">
        <v>20</v>
      </c>
      <c r="M570" s="13">
        <v>3</v>
      </c>
      <c r="N570" s="13" t="s">
        <v>3</v>
      </c>
      <c r="O570" s="13">
        <v>2</v>
      </c>
      <c r="P570" s="13">
        <f>ROUND(Source!DL549,O570)</f>
        <v>0</v>
      </c>
      <c r="Q570" s="13"/>
      <c r="R570" s="13"/>
      <c r="S570" s="13"/>
      <c r="T570" s="13"/>
      <c r="U570" s="13"/>
      <c r="V570" s="13"/>
      <c r="W570" s="13">
        <v>0</v>
      </c>
      <c r="X570" s="13">
        <v>1</v>
      </c>
      <c r="Y570" s="13">
        <v>0</v>
      </c>
      <c r="Z570" s="13">
        <v>0</v>
      </c>
      <c r="AA570" s="13">
        <v>1</v>
      </c>
      <c r="AB570" s="13">
        <v>0</v>
      </c>
    </row>
    <row r="571" spans="1:28" ht="13" x14ac:dyDescent="0.3">
      <c r="A571" s="13">
        <v>50</v>
      </c>
      <c r="B571" s="13">
        <v>0</v>
      </c>
      <c r="C571" s="13">
        <v>0</v>
      </c>
      <c r="D571" s="13">
        <v>1</v>
      </c>
      <c r="E571" s="13">
        <v>207</v>
      </c>
      <c r="F571" s="13">
        <f>Source!U549</f>
        <v>2239.4262059999996</v>
      </c>
      <c r="G571" s="13" t="s">
        <v>157</v>
      </c>
      <c r="H571" s="13" t="s">
        <v>158</v>
      </c>
      <c r="I571" s="13"/>
      <c r="J571" s="13"/>
      <c r="K571" s="13">
        <v>207</v>
      </c>
      <c r="L571" s="13">
        <v>21</v>
      </c>
      <c r="M571" s="13">
        <v>3</v>
      </c>
      <c r="N571" s="13" t="s">
        <v>3</v>
      </c>
      <c r="O571" s="13">
        <v>-1</v>
      </c>
      <c r="P571" s="13">
        <f>Source!DM549</f>
        <v>2239.4262059999996</v>
      </c>
      <c r="Q571" s="13"/>
      <c r="R571" s="13"/>
      <c r="S571" s="13"/>
      <c r="T571" s="13"/>
      <c r="U571" s="13"/>
      <c r="V571" s="13"/>
      <c r="W571" s="13">
        <v>2239.4262059999996</v>
      </c>
      <c r="X571" s="13">
        <v>1</v>
      </c>
      <c r="Y571" s="13">
        <v>2239.4262059999996</v>
      </c>
      <c r="Z571" s="13">
        <v>2239.4262059999996</v>
      </c>
      <c r="AA571" s="13">
        <v>1</v>
      </c>
      <c r="AB571" s="13">
        <v>2239.4262059999996</v>
      </c>
    </row>
    <row r="572" spans="1:28" ht="13" x14ac:dyDescent="0.3">
      <c r="A572" s="13">
        <v>50</v>
      </c>
      <c r="B572" s="13">
        <v>0</v>
      </c>
      <c r="C572" s="13">
        <v>0</v>
      </c>
      <c r="D572" s="13">
        <v>1</v>
      </c>
      <c r="E572" s="13">
        <v>208</v>
      </c>
      <c r="F572" s="13">
        <f>Source!V549</f>
        <v>0</v>
      </c>
      <c r="G572" s="13" t="s">
        <v>159</v>
      </c>
      <c r="H572" s="13" t="s">
        <v>160</v>
      </c>
      <c r="I572" s="13"/>
      <c r="J572" s="13"/>
      <c r="K572" s="13">
        <v>208</v>
      </c>
      <c r="L572" s="13">
        <v>22</v>
      </c>
      <c r="M572" s="13">
        <v>3</v>
      </c>
      <c r="N572" s="13" t="s">
        <v>3</v>
      </c>
      <c r="O572" s="13">
        <v>-1</v>
      </c>
      <c r="P572" s="13">
        <f>Source!DN549</f>
        <v>0</v>
      </c>
      <c r="Q572" s="13"/>
      <c r="R572" s="13"/>
      <c r="S572" s="13"/>
      <c r="T572" s="13"/>
      <c r="U572" s="13"/>
      <c r="V572" s="13"/>
      <c r="W572" s="13">
        <v>0</v>
      </c>
      <c r="X572" s="13">
        <v>1</v>
      </c>
      <c r="Y572" s="13">
        <v>0</v>
      </c>
      <c r="Z572" s="13">
        <v>0</v>
      </c>
      <c r="AA572" s="13">
        <v>1</v>
      </c>
      <c r="AB572" s="13">
        <v>0</v>
      </c>
    </row>
    <row r="573" spans="1:28" ht="13" x14ac:dyDescent="0.3">
      <c r="A573" s="13">
        <v>50</v>
      </c>
      <c r="B573" s="13">
        <v>0</v>
      </c>
      <c r="C573" s="13">
        <v>0</v>
      </c>
      <c r="D573" s="13">
        <v>1</v>
      </c>
      <c r="E573" s="13">
        <v>209</v>
      </c>
      <c r="F573" s="13">
        <f>ROUND(Source!W549,O573)</f>
        <v>0</v>
      </c>
      <c r="G573" s="13" t="s">
        <v>161</v>
      </c>
      <c r="H573" s="13" t="s">
        <v>162</v>
      </c>
      <c r="I573" s="13"/>
      <c r="J573" s="13"/>
      <c r="K573" s="13">
        <v>209</v>
      </c>
      <c r="L573" s="13">
        <v>23</v>
      </c>
      <c r="M573" s="13">
        <v>3</v>
      </c>
      <c r="N573" s="13" t="s">
        <v>3</v>
      </c>
      <c r="O573" s="13">
        <v>2</v>
      </c>
      <c r="P573" s="13">
        <f>ROUND(Source!DO549,O573)</f>
        <v>0</v>
      </c>
      <c r="Q573" s="13"/>
      <c r="R573" s="13"/>
      <c r="S573" s="13"/>
      <c r="T573" s="13"/>
      <c r="U573" s="13"/>
      <c r="V573" s="13"/>
      <c r="W573" s="13">
        <v>0</v>
      </c>
      <c r="X573" s="13">
        <v>1</v>
      </c>
      <c r="Y573" s="13">
        <v>0</v>
      </c>
      <c r="Z573" s="13">
        <v>0</v>
      </c>
      <c r="AA573" s="13">
        <v>1</v>
      </c>
      <c r="AB573" s="13">
        <v>0</v>
      </c>
    </row>
    <row r="574" spans="1:28" ht="13" x14ac:dyDescent="0.3">
      <c r="A574" s="13">
        <v>50</v>
      </c>
      <c r="B574" s="13">
        <v>0</v>
      </c>
      <c r="C574" s="13">
        <v>0</v>
      </c>
      <c r="D574" s="13">
        <v>1</v>
      </c>
      <c r="E574" s="13">
        <v>233</v>
      </c>
      <c r="F574" s="13">
        <f>ROUND(Source!BD549,O574)</f>
        <v>0</v>
      </c>
      <c r="G574" s="13" t="s">
        <v>163</v>
      </c>
      <c r="H574" s="13" t="s">
        <v>164</v>
      </c>
      <c r="I574" s="13"/>
      <c r="J574" s="13"/>
      <c r="K574" s="13">
        <v>233</v>
      </c>
      <c r="L574" s="13">
        <v>24</v>
      </c>
      <c r="M574" s="13">
        <v>3</v>
      </c>
      <c r="N574" s="13" t="s">
        <v>3</v>
      </c>
      <c r="O574" s="13">
        <v>2</v>
      </c>
      <c r="P574" s="13">
        <f>ROUND(Source!EV549,O574)</f>
        <v>0</v>
      </c>
      <c r="Q574" s="13"/>
      <c r="R574" s="13"/>
      <c r="S574" s="13"/>
      <c r="T574" s="13"/>
      <c r="U574" s="13"/>
      <c r="V574" s="13"/>
      <c r="W574" s="13">
        <v>0</v>
      </c>
      <c r="X574" s="13">
        <v>1</v>
      </c>
      <c r="Y574" s="13">
        <v>0</v>
      </c>
      <c r="Z574" s="13">
        <v>0</v>
      </c>
      <c r="AA574" s="13">
        <v>1</v>
      </c>
      <c r="AB574" s="13">
        <v>0</v>
      </c>
    </row>
    <row r="575" spans="1:28" ht="13" x14ac:dyDescent="0.3">
      <c r="A575" s="13">
        <v>50</v>
      </c>
      <c r="B575" s="13">
        <v>0</v>
      </c>
      <c r="C575" s="13">
        <v>0</v>
      </c>
      <c r="D575" s="13">
        <v>1</v>
      </c>
      <c r="E575" s="13">
        <v>210</v>
      </c>
      <c r="F575" s="13">
        <f>ROUND(Source!X549,O575)</f>
        <v>23957.52</v>
      </c>
      <c r="G575" s="13" t="s">
        <v>165</v>
      </c>
      <c r="H575" s="13" t="s">
        <v>166</v>
      </c>
      <c r="I575" s="13"/>
      <c r="J575" s="13"/>
      <c r="K575" s="13">
        <v>210</v>
      </c>
      <c r="L575" s="13">
        <v>25</v>
      </c>
      <c r="M575" s="13">
        <v>3</v>
      </c>
      <c r="N575" s="13" t="s">
        <v>3</v>
      </c>
      <c r="O575" s="13">
        <v>2</v>
      </c>
      <c r="P575" s="13">
        <f>ROUND(Source!DP549,O575)</f>
        <v>1350006.42</v>
      </c>
      <c r="Q575" s="13"/>
      <c r="R575" s="13"/>
      <c r="S575" s="13"/>
      <c r="T575" s="13"/>
      <c r="U575" s="13"/>
      <c r="V575" s="13"/>
      <c r="W575" s="13">
        <v>23957.52</v>
      </c>
      <c r="X575" s="13">
        <v>1</v>
      </c>
      <c r="Y575" s="13">
        <v>23957.52</v>
      </c>
      <c r="Z575" s="13">
        <v>1350006.42</v>
      </c>
      <c r="AA575" s="13">
        <v>1</v>
      </c>
      <c r="AB575" s="13">
        <v>1350006.42</v>
      </c>
    </row>
    <row r="576" spans="1:28" ht="13" x14ac:dyDescent="0.3">
      <c r="A576" s="13">
        <v>50</v>
      </c>
      <c r="B576" s="13">
        <v>0</v>
      </c>
      <c r="C576" s="13">
        <v>0</v>
      </c>
      <c r="D576" s="13">
        <v>1</v>
      </c>
      <c r="E576" s="13">
        <v>211</v>
      </c>
      <c r="F576" s="13">
        <f>ROUND(Source!Y549,O576)</f>
        <v>12244.96</v>
      </c>
      <c r="G576" s="13" t="s">
        <v>167</v>
      </c>
      <c r="H576" s="13" t="s">
        <v>168</v>
      </c>
      <c r="I576" s="13"/>
      <c r="J576" s="13"/>
      <c r="K576" s="13">
        <v>211</v>
      </c>
      <c r="L576" s="13">
        <v>26</v>
      </c>
      <c r="M576" s="13">
        <v>3</v>
      </c>
      <c r="N576" s="13" t="s">
        <v>3</v>
      </c>
      <c r="O576" s="13">
        <v>2</v>
      </c>
      <c r="P576" s="13">
        <f>ROUND(Source!DQ549,O576)</f>
        <v>690003.28</v>
      </c>
      <c r="Q576" s="13"/>
      <c r="R576" s="13"/>
      <c r="S576" s="13"/>
      <c r="T576" s="13"/>
      <c r="U576" s="13"/>
      <c r="V576" s="13"/>
      <c r="W576" s="13">
        <v>12244.96</v>
      </c>
      <c r="X576" s="13">
        <v>1</v>
      </c>
      <c r="Y576" s="13">
        <v>12244.96</v>
      </c>
      <c r="Z576" s="13">
        <v>690003.28</v>
      </c>
      <c r="AA576" s="13">
        <v>1</v>
      </c>
      <c r="AB576" s="13">
        <v>690003.28</v>
      </c>
    </row>
    <row r="577" spans="1:206" ht="13" x14ac:dyDescent="0.3">
      <c r="A577" s="13">
        <v>50</v>
      </c>
      <c r="B577" s="13">
        <v>0</v>
      </c>
      <c r="C577" s="13">
        <v>0</v>
      </c>
      <c r="D577" s="13">
        <v>1</v>
      </c>
      <c r="E577" s="13">
        <v>224</v>
      </c>
      <c r="F577" s="13">
        <f>ROUND(Source!AR549,O577)</f>
        <v>190707.95</v>
      </c>
      <c r="G577" s="13" t="s">
        <v>169</v>
      </c>
      <c r="H577" s="13" t="s">
        <v>170</v>
      </c>
      <c r="I577" s="13"/>
      <c r="J577" s="13"/>
      <c r="K577" s="13">
        <v>224</v>
      </c>
      <c r="L577" s="13">
        <v>27</v>
      </c>
      <c r="M577" s="13">
        <v>3</v>
      </c>
      <c r="N577" s="13" t="s">
        <v>3</v>
      </c>
      <c r="O577" s="13">
        <v>2</v>
      </c>
      <c r="P577" s="13">
        <f>ROUND(Source!EJ549,O577)</f>
        <v>4626781.82</v>
      </c>
      <c r="Q577" s="13"/>
      <c r="R577" s="13"/>
      <c r="S577" s="13"/>
      <c r="T577" s="13"/>
      <c r="U577" s="13"/>
      <c r="V577" s="13"/>
      <c r="W577" s="13">
        <v>190707.95</v>
      </c>
      <c r="X577" s="13">
        <v>1</v>
      </c>
      <c r="Y577" s="13">
        <v>190707.95</v>
      </c>
      <c r="Z577" s="13">
        <v>4626781.82</v>
      </c>
      <c r="AA577" s="13">
        <v>1</v>
      </c>
      <c r="AB577" s="13">
        <v>4626781.82</v>
      </c>
    </row>
    <row r="579" spans="1:206" ht="13" x14ac:dyDescent="0.3">
      <c r="A579" s="11">
        <v>51</v>
      </c>
      <c r="B579" s="11">
        <f>B20</f>
        <v>1</v>
      </c>
      <c r="C579" s="11">
        <f>A20</f>
        <v>3</v>
      </c>
      <c r="D579" s="11">
        <f>ROW(A20)</f>
        <v>20</v>
      </c>
      <c r="E579" s="11"/>
      <c r="F579" s="11" t="str">
        <f>IF(F20&lt;&gt;"",F20,"")</f>
        <v>02-01-08</v>
      </c>
      <c r="G579" s="11" t="str">
        <f>IF(G20&lt;&gt;"",G20,"")</f>
        <v>Система пожарной сигнализации. Автоматизация систем противопожарной защиты.</v>
      </c>
      <c r="H579" s="11">
        <v>0</v>
      </c>
      <c r="I579" s="11"/>
      <c r="J579" s="11"/>
      <c r="K579" s="11"/>
      <c r="L579" s="11"/>
      <c r="M579" s="11"/>
      <c r="N579" s="11"/>
      <c r="O579" s="11">
        <f t="shared" ref="O579:T579" si="487">ROUND(O73+O112+O167+O240+O281+O334+O423+O462+O549+AB579,2)</f>
        <v>712919.19</v>
      </c>
      <c r="P579" s="11">
        <f t="shared" si="487"/>
        <v>641673.85</v>
      </c>
      <c r="Q579" s="11">
        <f t="shared" si="487"/>
        <v>1768.42</v>
      </c>
      <c r="R579" s="11">
        <f t="shared" si="487"/>
        <v>136.9</v>
      </c>
      <c r="S579" s="11">
        <f t="shared" si="487"/>
        <v>69476.92</v>
      </c>
      <c r="T579" s="11">
        <f t="shared" si="487"/>
        <v>0</v>
      </c>
      <c r="U579" s="11">
        <f>U73+U112+U167+U240+U281+U334+U423+U462+U549+AH579</f>
        <v>5666.8005989999992</v>
      </c>
      <c r="V579" s="11">
        <f>V73+V112+V167+V240+V281+V334+V423+V462+V549+AI579</f>
        <v>0</v>
      </c>
      <c r="W579" s="11">
        <f>ROUND(W73+W112+W167+W240+W281+W334+W423+W462+W549+AJ579,2)</f>
        <v>0</v>
      </c>
      <c r="X579" s="11">
        <f>ROUND(X73+X112+X167+X240+X281+X334+X423+X462+X549+AK579,2)</f>
        <v>62893.27</v>
      </c>
      <c r="Y579" s="11">
        <f>ROUND(Y73+Y112+Y167+Y240+Y281+Y334+Y423+Y462+Y549+AL579,2)</f>
        <v>32264.82</v>
      </c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>
        <f t="shared" ref="AO579:BD579" si="488">ROUND(AO73+AO112+AO167+AO240+AO281+AO334+AO423+AO462+AO549+BX579,2)</f>
        <v>0</v>
      </c>
      <c r="AP579" s="11">
        <f t="shared" si="488"/>
        <v>506854.61</v>
      </c>
      <c r="AQ579" s="11">
        <f t="shared" si="488"/>
        <v>0</v>
      </c>
      <c r="AR579" s="11">
        <f t="shared" si="488"/>
        <v>808077.28</v>
      </c>
      <c r="AS579" s="11">
        <f t="shared" si="488"/>
        <v>3071.8</v>
      </c>
      <c r="AT579" s="11">
        <f t="shared" si="488"/>
        <v>298150.87</v>
      </c>
      <c r="AU579" s="11">
        <f t="shared" si="488"/>
        <v>0</v>
      </c>
      <c r="AV579" s="11">
        <f t="shared" si="488"/>
        <v>641673.85</v>
      </c>
      <c r="AW579" s="11">
        <f t="shared" si="488"/>
        <v>134819.24</v>
      </c>
      <c r="AX579" s="11">
        <f t="shared" si="488"/>
        <v>0</v>
      </c>
      <c r="AY579" s="11">
        <f t="shared" si="488"/>
        <v>134819.24</v>
      </c>
      <c r="AZ579" s="11">
        <f t="shared" si="488"/>
        <v>506854.61</v>
      </c>
      <c r="BA579" s="11">
        <f t="shared" si="488"/>
        <v>0</v>
      </c>
      <c r="BB579" s="11">
        <f t="shared" si="488"/>
        <v>0</v>
      </c>
      <c r="BC579" s="11">
        <f t="shared" si="488"/>
        <v>0</v>
      </c>
      <c r="BD579" s="11">
        <f t="shared" si="488"/>
        <v>0</v>
      </c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  <c r="DC579" s="11"/>
      <c r="DD579" s="11"/>
      <c r="DE579" s="11"/>
      <c r="DF579" s="11"/>
      <c r="DG579" s="12">
        <f t="shared" ref="DG579:DL579" si="489">ROUND(DG73+DG112+DG167+DG240+DG281+DG334+DG423+DG462+DG549+DT579,2)</f>
        <v>8946275.1500000004</v>
      </c>
      <c r="DH579" s="12">
        <f t="shared" si="489"/>
        <v>5006903.7</v>
      </c>
      <c r="DI579" s="12">
        <f t="shared" si="489"/>
        <v>24346.99</v>
      </c>
      <c r="DJ579" s="12">
        <f t="shared" si="489"/>
        <v>7714.3</v>
      </c>
      <c r="DK579" s="12">
        <f t="shared" si="489"/>
        <v>3915024.46</v>
      </c>
      <c r="DL579" s="12">
        <f t="shared" si="489"/>
        <v>0</v>
      </c>
      <c r="DM579" s="12">
        <f>DM73+DM112+DM167+DM240+DM281+DM334+DM423+DM462+DM549+DZ579</f>
        <v>5666.8005989999992</v>
      </c>
      <c r="DN579" s="12">
        <f>DN73+DN112+DN167+DN240+DN281+DN334+DN423+DN462+DN549+EA579</f>
        <v>0</v>
      </c>
      <c r="DO579" s="12">
        <f>ROUND(DO73+DO112+DO167+DO240+DO281+DO334+DO423+DO462+DO549+EB579,2)</f>
        <v>0</v>
      </c>
      <c r="DP579" s="12">
        <f>ROUND(DP73+DP112+DP167+DP240+DP281+DP334+DP423+DP462+DP549+EC579,2)</f>
        <v>3544034.03</v>
      </c>
      <c r="DQ579" s="12">
        <f>ROUND(DQ73+DQ112+DQ167+DQ240+DQ281+DQ334+DQ423+DQ462+DQ549+ED579,2)</f>
        <v>1818122.35</v>
      </c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>
        <f t="shared" ref="EG579:EV579" si="490">ROUND(EG73+EG112+EG167+EG240+EG281+EG334+EG423+EG462+EG549+FP579,2)</f>
        <v>0</v>
      </c>
      <c r="EH579" s="12">
        <f t="shared" si="490"/>
        <v>3861290.61</v>
      </c>
      <c r="EI579" s="12">
        <f t="shared" si="490"/>
        <v>0</v>
      </c>
      <c r="EJ579" s="12">
        <f t="shared" si="490"/>
        <v>14308431.529999999</v>
      </c>
      <c r="EK579" s="12">
        <f t="shared" si="490"/>
        <v>173095.65</v>
      </c>
      <c r="EL579" s="12">
        <f t="shared" si="490"/>
        <v>10274045.27</v>
      </c>
      <c r="EM579" s="12">
        <f t="shared" si="490"/>
        <v>0</v>
      </c>
      <c r="EN579" s="12">
        <f t="shared" si="490"/>
        <v>5006903.7</v>
      </c>
      <c r="EO579" s="12">
        <f t="shared" si="490"/>
        <v>1145613.0900000001</v>
      </c>
      <c r="EP579" s="12">
        <f t="shared" si="490"/>
        <v>0</v>
      </c>
      <c r="EQ579" s="12">
        <f t="shared" si="490"/>
        <v>1145613.0900000001</v>
      </c>
      <c r="ER579" s="12">
        <f t="shared" si="490"/>
        <v>3861290.61</v>
      </c>
      <c r="ES579" s="12">
        <f t="shared" si="490"/>
        <v>0</v>
      </c>
      <c r="ET579" s="12">
        <f t="shared" si="490"/>
        <v>0</v>
      </c>
      <c r="EU579" s="12">
        <f t="shared" si="490"/>
        <v>0</v>
      </c>
      <c r="EV579" s="12">
        <f t="shared" si="490"/>
        <v>0</v>
      </c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12"/>
      <c r="GH579" s="12"/>
      <c r="GI579" s="12"/>
      <c r="GJ579" s="12"/>
      <c r="GK579" s="12"/>
      <c r="GL579" s="12"/>
      <c r="GM579" s="12"/>
      <c r="GN579" s="12"/>
      <c r="GO579" s="12"/>
      <c r="GP579" s="12"/>
      <c r="GQ579" s="12"/>
      <c r="GR579" s="12"/>
      <c r="GS579" s="12"/>
      <c r="GT579" s="12"/>
      <c r="GU579" s="12"/>
      <c r="GV579" s="12"/>
      <c r="GW579" s="12"/>
      <c r="GX579" s="12">
        <v>0</v>
      </c>
    </row>
    <row r="581" spans="1:206" ht="13" x14ac:dyDescent="0.3">
      <c r="A581" s="13">
        <v>50</v>
      </c>
      <c r="B581" s="13">
        <v>0</v>
      </c>
      <c r="C581" s="13">
        <v>0</v>
      </c>
      <c r="D581" s="13">
        <v>1</v>
      </c>
      <c r="E581" s="13">
        <v>201</v>
      </c>
      <c r="F581" s="13">
        <f>ROUND(Source!O579,O581)</f>
        <v>712919.19</v>
      </c>
      <c r="G581" s="13" t="s">
        <v>117</v>
      </c>
      <c r="H581" s="13" t="s">
        <v>118</v>
      </c>
      <c r="I581" s="13"/>
      <c r="J581" s="13"/>
      <c r="K581" s="13">
        <v>201</v>
      </c>
      <c r="L581" s="13">
        <v>1</v>
      </c>
      <c r="M581" s="13">
        <v>3</v>
      </c>
      <c r="N581" s="13" t="s">
        <v>3</v>
      </c>
      <c r="O581" s="13">
        <v>2</v>
      </c>
      <c r="P581" s="13">
        <f>ROUND(Source!DG579,O581)</f>
        <v>8946275.1500000004</v>
      </c>
      <c r="Q581" s="13"/>
      <c r="R581" s="13"/>
      <c r="S581" s="13"/>
      <c r="T581" s="13"/>
      <c r="U581" s="13"/>
      <c r="V581" s="13"/>
      <c r="W581" s="13">
        <v>712919.19</v>
      </c>
      <c r="X581" s="13">
        <v>1</v>
      </c>
      <c r="Y581" s="13">
        <v>712919.19</v>
      </c>
      <c r="Z581" s="13">
        <v>8946275.1500000004</v>
      </c>
      <c r="AA581" s="13">
        <v>1</v>
      </c>
      <c r="AB581" s="13">
        <v>8946275.1500000004</v>
      </c>
    </row>
    <row r="582" spans="1:206" ht="13" x14ac:dyDescent="0.3">
      <c r="A582" s="13">
        <v>50</v>
      </c>
      <c r="B582" s="13">
        <v>0</v>
      </c>
      <c r="C582" s="13">
        <v>0</v>
      </c>
      <c r="D582" s="13">
        <v>1</v>
      </c>
      <c r="E582" s="13">
        <v>202</v>
      </c>
      <c r="F582" s="13">
        <f>ROUND(Source!P579,O582)</f>
        <v>641673.85</v>
      </c>
      <c r="G582" s="13" t="s">
        <v>119</v>
      </c>
      <c r="H582" s="13" t="s">
        <v>120</v>
      </c>
      <c r="I582" s="13"/>
      <c r="J582" s="13"/>
      <c r="K582" s="13">
        <v>202</v>
      </c>
      <c r="L582" s="13">
        <v>2</v>
      </c>
      <c r="M582" s="13">
        <v>3</v>
      </c>
      <c r="N582" s="13" t="s">
        <v>3</v>
      </c>
      <c r="O582" s="13">
        <v>2</v>
      </c>
      <c r="P582" s="13">
        <f>ROUND(Source!DH579,O582)</f>
        <v>5006903.7</v>
      </c>
      <c r="Q582" s="13"/>
      <c r="R582" s="13"/>
      <c r="S582" s="13"/>
      <c r="T582" s="13"/>
      <c r="U582" s="13"/>
      <c r="V582" s="13"/>
      <c r="W582" s="13">
        <v>641673.85</v>
      </c>
      <c r="X582" s="13">
        <v>1</v>
      </c>
      <c r="Y582" s="13">
        <v>641673.85</v>
      </c>
      <c r="Z582" s="13">
        <v>5006903.7</v>
      </c>
      <c r="AA582" s="13">
        <v>1</v>
      </c>
      <c r="AB582" s="13">
        <v>5006903.7</v>
      </c>
    </row>
    <row r="583" spans="1:206" ht="13" x14ac:dyDescent="0.3">
      <c r="A583" s="13">
        <v>50</v>
      </c>
      <c r="B583" s="13">
        <v>0</v>
      </c>
      <c r="C583" s="13">
        <v>0</v>
      </c>
      <c r="D583" s="13">
        <v>1</v>
      </c>
      <c r="E583" s="13">
        <v>222</v>
      </c>
      <c r="F583" s="13">
        <f>ROUND(Source!AO579,O583)</f>
        <v>0</v>
      </c>
      <c r="G583" s="13" t="s">
        <v>121</v>
      </c>
      <c r="H583" s="13" t="s">
        <v>122</v>
      </c>
      <c r="I583" s="13"/>
      <c r="J583" s="13"/>
      <c r="K583" s="13">
        <v>222</v>
      </c>
      <c r="L583" s="13">
        <v>3</v>
      </c>
      <c r="M583" s="13">
        <v>3</v>
      </c>
      <c r="N583" s="13" t="s">
        <v>3</v>
      </c>
      <c r="O583" s="13">
        <v>2</v>
      </c>
      <c r="P583" s="13">
        <f>ROUND(Source!EG579,O583)</f>
        <v>0</v>
      </c>
      <c r="Q583" s="13"/>
      <c r="R583" s="13"/>
      <c r="S583" s="13"/>
      <c r="T583" s="13"/>
      <c r="U583" s="13"/>
      <c r="V583" s="13"/>
      <c r="W583" s="13">
        <v>0</v>
      </c>
      <c r="X583" s="13">
        <v>1</v>
      </c>
      <c r="Y583" s="13">
        <v>0</v>
      </c>
      <c r="Z583" s="13">
        <v>0</v>
      </c>
      <c r="AA583" s="13">
        <v>1</v>
      </c>
      <c r="AB583" s="13">
        <v>0</v>
      </c>
    </row>
    <row r="584" spans="1:206" ht="13" x14ac:dyDescent="0.3">
      <c r="A584" s="13">
        <v>50</v>
      </c>
      <c r="B584" s="13">
        <v>0</v>
      </c>
      <c r="C584" s="13">
        <v>0</v>
      </c>
      <c r="D584" s="13">
        <v>1</v>
      </c>
      <c r="E584" s="13">
        <v>225</v>
      </c>
      <c r="F584" s="13">
        <f>ROUND(Source!AV579,O584)</f>
        <v>641673.85</v>
      </c>
      <c r="G584" s="13" t="s">
        <v>123</v>
      </c>
      <c r="H584" s="13" t="s">
        <v>124</v>
      </c>
      <c r="I584" s="13"/>
      <c r="J584" s="13"/>
      <c r="K584" s="13">
        <v>225</v>
      </c>
      <c r="L584" s="13">
        <v>4</v>
      </c>
      <c r="M584" s="13">
        <v>3</v>
      </c>
      <c r="N584" s="13" t="s">
        <v>3</v>
      </c>
      <c r="O584" s="13">
        <v>2</v>
      </c>
      <c r="P584" s="13">
        <f>ROUND(Source!EN579,O584)</f>
        <v>5006903.7</v>
      </c>
      <c r="Q584" s="13"/>
      <c r="R584" s="13"/>
      <c r="S584" s="13"/>
      <c r="T584" s="13"/>
      <c r="U584" s="13"/>
      <c r="V584" s="13"/>
      <c r="W584" s="13">
        <v>641673.85</v>
      </c>
      <c r="X584" s="13">
        <v>1</v>
      </c>
      <c r="Y584" s="13">
        <v>641673.85</v>
      </c>
      <c r="Z584" s="13">
        <v>5006903.7</v>
      </c>
      <c r="AA584" s="13">
        <v>1</v>
      </c>
      <c r="AB584" s="13">
        <v>5006903.7</v>
      </c>
    </row>
    <row r="585" spans="1:206" ht="13" x14ac:dyDescent="0.3">
      <c r="A585" s="13">
        <v>50</v>
      </c>
      <c r="B585" s="13">
        <v>0</v>
      </c>
      <c r="C585" s="13">
        <v>0</v>
      </c>
      <c r="D585" s="13">
        <v>1</v>
      </c>
      <c r="E585" s="13">
        <v>226</v>
      </c>
      <c r="F585" s="13">
        <f>ROUND(Source!AW579,O585)</f>
        <v>134819.24</v>
      </c>
      <c r="G585" s="13" t="s">
        <v>125</v>
      </c>
      <c r="H585" s="13" t="s">
        <v>126</v>
      </c>
      <c r="I585" s="13"/>
      <c r="J585" s="13"/>
      <c r="K585" s="13">
        <v>226</v>
      </c>
      <c r="L585" s="13">
        <v>5</v>
      </c>
      <c r="M585" s="13">
        <v>3</v>
      </c>
      <c r="N585" s="13" t="s">
        <v>3</v>
      </c>
      <c r="O585" s="13">
        <v>2</v>
      </c>
      <c r="P585" s="13">
        <f>ROUND(Source!EO579,O585)</f>
        <v>1145613.0900000001</v>
      </c>
      <c r="Q585" s="13"/>
      <c r="R585" s="13"/>
      <c r="S585" s="13"/>
      <c r="T585" s="13"/>
      <c r="U585" s="13"/>
      <c r="V585" s="13"/>
      <c r="W585" s="13">
        <v>134819.24</v>
      </c>
      <c r="X585" s="13">
        <v>1</v>
      </c>
      <c r="Y585" s="13">
        <v>134819.24</v>
      </c>
      <c r="Z585" s="13">
        <v>1145613.0900000001</v>
      </c>
      <c r="AA585" s="13">
        <v>1</v>
      </c>
      <c r="AB585" s="13">
        <v>1145613.0900000001</v>
      </c>
    </row>
    <row r="586" spans="1:206" ht="13" x14ac:dyDescent="0.3">
      <c r="A586" s="13">
        <v>50</v>
      </c>
      <c r="B586" s="13">
        <v>0</v>
      </c>
      <c r="C586" s="13">
        <v>0</v>
      </c>
      <c r="D586" s="13">
        <v>1</v>
      </c>
      <c r="E586" s="13">
        <v>227</v>
      </c>
      <c r="F586" s="13">
        <f>ROUND(Source!AX579,O586)</f>
        <v>0</v>
      </c>
      <c r="G586" s="13" t="s">
        <v>127</v>
      </c>
      <c r="H586" s="13" t="s">
        <v>128</v>
      </c>
      <c r="I586" s="13"/>
      <c r="J586" s="13"/>
      <c r="K586" s="13">
        <v>227</v>
      </c>
      <c r="L586" s="13">
        <v>6</v>
      </c>
      <c r="M586" s="13">
        <v>3</v>
      </c>
      <c r="N586" s="13" t="s">
        <v>3</v>
      </c>
      <c r="O586" s="13">
        <v>2</v>
      </c>
      <c r="P586" s="13">
        <f>ROUND(Source!EP579,O586)</f>
        <v>0</v>
      </c>
      <c r="Q586" s="13"/>
      <c r="R586" s="13"/>
      <c r="S586" s="13"/>
      <c r="T586" s="13"/>
      <c r="U586" s="13"/>
      <c r="V586" s="13"/>
      <c r="W586" s="13">
        <v>0</v>
      </c>
      <c r="X586" s="13">
        <v>1</v>
      </c>
      <c r="Y586" s="13">
        <v>0</v>
      </c>
      <c r="Z586" s="13">
        <v>0</v>
      </c>
      <c r="AA586" s="13">
        <v>1</v>
      </c>
      <c r="AB586" s="13">
        <v>0</v>
      </c>
    </row>
    <row r="587" spans="1:206" ht="13" x14ac:dyDescent="0.3">
      <c r="A587" s="13">
        <v>50</v>
      </c>
      <c r="B587" s="13">
        <v>0</v>
      </c>
      <c r="C587" s="13">
        <v>0</v>
      </c>
      <c r="D587" s="13">
        <v>1</v>
      </c>
      <c r="E587" s="13">
        <v>228</v>
      </c>
      <c r="F587" s="13">
        <f>ROUND(Source!AY579,O587)</f>
        <v>134819.24</v>
      </c>
      <c r="G587" s="13" t="s">
        <v>129</v>
      </c>
      <c r="H587" s="13" t="s">
        <v>130</v>
      </c>
      <c r="I587" s="13"/>
      <c r="J587" s="13"/>
      <c r="K587" s="13">
        <v>228</v>
      </c>
      <c r="L587" s="13">
        <v>7</v>
      </c>
      <c r="M587" s="13">
        <v>3</v>
      </c>
      <c r="N587" s="13" t="s">
        <v>3</v>
      </c>
      <c r="O587" s="13">
        <v>2</v>
      </c>
      <c r="P587" s="13">
        <f>ROUND(Source!EQ579,O587)</f>
        <v>1145613.0900000001</v>
      </c>
      <c r="Q587" s="13"/>
      <c r="R587" s="13"/>
      <c r="S587" s="13"/>
      <c r="T587" s="13"/>
      <c r="U587" s="13"/>
      <c r="V587" s="13"/>
      <c r="W587" s="13">
        <v>134819.24</v>
      </c>
      <c r="X587" s="13">
        <v>1</v>
      </c>
      <c r="Y587" s="13">
        <v>134819.24</v>
      </c>
      <c r="Z587" s="13">
        <v>1145613.0900000001</v>
      </c>
      <c r="AA587" s="13">
        <v>1</v>
      </c>
      <c r="AB587" s="13">
        <v>1145613.0900000001</v>
      </c>
    </row>
    <row r="588" spans="1:206" ht="13" x14ac:dyDescent="0.3">
      <c r="A588" s="13">
        <v>50</v>
      </c>
      <c r="B588" s="13">
        <v>0</v>
      </c>
      <c r="C588" s="13">
        <v>0</v>
      </c>
      <c r="D588" s="13">
        <v>1</v>
      </c>
      <c r="E588" s="13">
        <v>216</v>
      </c>
      <c r="F588" s="13">
        <f>ROUND(Source!AP579,O588)</f>
        <v>506854.61</v>
      </c>
      <c r="G588" s="13" t="s">
        <v>131</v>
      </c>
      <c r="H588" s="13" t="s">
        <v>132</v>
      </c>
      <c r="I588" s="13"/>
      <c r="J588" s="13"/>
      <c r="K588" s="13">
        <v>216</v>
      </c>
      <c r="L588" s="13">
        <v>8</v>
      </c>
      <c r="M588" s="13">
        <v>3</v>
      </c>
      <c r="N588" s="13" t="s">
        <v>3</v>
      </c>
      <c r="O588" s="13">
        <v>2</v>
      </c>
      <c r="P588" s="13">
        <f>ROUND(Source!EH579,O588)</f>
        <v>3861290.61</v>
      </c>
      <c r="Q588" s="13"/>
      <c r="R588" s="13"/>
      <c r="S588" s="13"/>
      <c r="T588" s="13"/>
      <c r="U588" s="13"/>
      <c r="V588" s="13"/>
      <c r="W588" s="13">
        <v>506854.61</v>
      </c>
      <c r="X588" s="13">
        <v>1</v>
      </c>
      <c r="Y588" s="13">
        <v>506854.61</v>
      </c>
      <c r="Z588" s="13">
        <v>3861290.61</v>
      </c>
      <c r="AA588" s="13">
        <v>1</v>
      </c>
      <c r="AB588" s="13">
        <v>3861290.61</v>
      </c>
    </row>
    <row r="589" spans="1:206" ht="13" x14ac:dyDescent="0.3">
      <c r="A589" s="13">
        <v>50</v>
      </c>
      <c r="B589" s="13">
        <v>0</v>
      </c>
      <c r="C589" s="13">
        <v>0</v>
      </c>
      <c r="D589" s="13">
        <v>1</v>
      </c>
      <c r="E589" s="13">
        <v>223</v>
      </c>
      <c r="F589" s="13">
        <f>ROUND(Source!AQ579,O589)</f>
        <v>0</v>
      </c>
      <c r="G589" s="13" t="s">
        <v>133</v>
      </c>
      <c r="H589" s="13" t="s">
        <v>134</v>
      </c>
      <c r="I589" s="13"/>
      <c r="J589" s="13"/>
      <c r="K589" s="13">
        <v>223</v>
      </c>
      <c r="L589" s="13">
        <v>9</v>
      </c>
      <c r="M589" s="13">
        <v>3</v>
      </c>
      <c r="N589" s="13" t="s">
        <v>3</v>
      </c>
      <c r="O589" s="13">
        <v>2</v>
      </c>
      <c r="P589" s="13">
        <f>ROUND(Source!EI579,O589)</f>
        <v>0</v>
      </c>
      <c r="Q589" s="13"/>
      <c r="R589" s="13"/>
      <c r="S589" s="13"/>
      <c r="T589" s="13"/>
      <c r="U589" s="13"/>
      <c r="V589" s="13"/>
      <c r="W589" s="13">
        <v>0</v>
      </c>
      <c r="X589" s="13">
        <v>1</v>
      </c>
      <c r="Y589" s="13">
        <v>0</v>
      </c>
      <c r="Z589" s="13">
        <v>0</v>
      </c>
      <c r="AA589" s="13">
        <v>1</v>
      </c>
      <c r="AB589" s="13">
        <v>0</v>
      </c>
    </row>
    <row r="590" spans="1:206" ht="13" x14ac:dyDescent="0.3">
      <c r="A590" s="13">
        <v>50</v>
      </c>
      <c r="B590" s="13">
        <v>0</v>
      </c>
      <c r="C590" s="13">
        <v>0</v>
      </c>
      <c r="D590" s="13">
        <v>1</v>
      </c>
      <c r="E590" s="13">
        <v>229</v>
      </c>
      <c r="F590" s="13">
        <f>ROUND(Source!AZ579,O590)</f>
        <v>506854.61</v>
      </c>
      <c r="G590" s="13" t="s">
        <v>135</v>
      </c>
      <c r="H590" s="13" t="s">
        <v>136</v>
      </c>
      <c r="I590" s="13"/>
      <c r="J590" s="13"/>
      <c r="K590" s="13">
        <v>229</v>
      </c>
      <c r="L590" s="13">
        <v>10</v>
      </c>
      <c r="M590" s="13">
        <v>3</v>
      </c>
      <c r="N590" s="13" t="s">
        <v>3</v>
      </c>
      <c r="O590" s="13">
        <v>2</v>
      </c>
      <c r="P590" s="13">
        <f>ROUND(Source!ER579,O590)</f>
        <v>3861290.61</v>
      </c>
      <c r="Q590" s="13"/>
      <c r="R590" s="13"/>
      <c r="S590" s="13"/>
      <c r="T590" s="13"/>
      <c r="U590" s="13"/>
      <c r="V590" s="13"/>
      <c r="W590" s="13">
        <v>506854.61</v>
      </c>
      <c r="X590" s="13">
        <v>1</v>
      </c>
      <c r="Y590" s="13">
        <v>506854.61</v>
      </c>
      <c r="Z590" s="13">
        <v>3861290.61</v>
      </c>
      <c r="AA590" s="13">
        <v>1</v>
      </c>
      <c r="AB590" s="13">
        <v>3861290.61</v>
      </c>
    </row>
    <row r="591" spans="1:206" ht="13" x14ac:dyDescent="0.3">
      <c r="A591" s="13">
        <v>50</v>
      </c>
      <c r="B591" s="13">
        <v>0</v>
      </c>
      <c r="C591" s="13">
        <v>0</v>
      </c>
      <c r="D591" s="13">
        <v>1</v>
      </c>
      <c r="E591" s="13">
        <v>203</v>
      </c>
      <c r="F591" s="13">
        <f>ROUND(Source!Q579,O591)</f>
        <v>1768.42</v>
      </c>
      <c r="G591" s="13" t="s">
        <v>137</v>
      </c>
      <c r="H591" s="13" t="s">
        <v>138</v>
      </c>
      <c r="I591" s="13"/>
      <c r="J591" s="13"/>
      <c r="K591" s="13">
        <v>203</v>
      </c>
      <c r="L591" s="13">
        <v>11</v>
      </c>
      <c r="M591" s="13">
        <v>3</v>
      </c>
      <c r="N591" s="13" t="s">
        <v>3</v>
      </c>
      <c r="O591" s="13">
        <v>2</v>
      </c>
      <c r="P591" s="13">
        <f>ROUND(Source!DI579,O591)</f>
        <v>24346.99</v>
      </c>
      <c r="Q591" s="13"/>
      <c r="R591" s="13"/>
      <c r="S591" s="13"/>
      <c r="T591" s="13"/>
      <c r="U591" s="13"/>
      <c r="V591" s="13"/>
      <c r="W591" s="13">
        <v>1768.42</v>
      </c>
      <c r="X591" s="13">
        <v>1</v>
      </c>
      <c r="Y591" s="13">
        <v>1768.42</v>
      </c>
      <c r="Z591" s="13">
        <v>24346.99</v>
      </c>
      <c r="AA591" s="13">
        <v>1</v>
      </c>
      <c r="AB591" s="13">
        <v>24346.99</v>
      </c>
    </row>
    <row r="592" spans="1:206" ht="13" x14ac:dyDescent="0.3">
      <c r="A592" s="13">
        <v>50</v>
      </c>
      <c r="B592" s="13">
        <v>0</v>
      </c>
      <c r="C592" s="13">
        <v>0</v>
      </c>
      <c r="D592" s="13">
        <v>1</v>
      </c>
      <c r="E592" s="13">
        <v>231</v>
      </c>
      <c r="F592" s="13">
        <f>ROUND(Source!BB579,O592)</f>
        <v>0</v>
      </c>
      <c r="G592" s="13" t="s">
        <v>139</v>
      </c>
      <c r="H592" s="13" t="s">
        <v>140</v>
      </c>
      <c r="I592" s="13"/>
      <c r="J592" s="13"/>
      <c r="K592" s="13">
        <v>231</v>
      </c>
      <c r="L592" s="13">
        <v>12</v>
      </c>
      <c r="M592" s="13">
        <v>3</v>
      </c>
      <c r="N592" s="13" t="s">
        <v>3</v>
      </c>
      <c r="O592" s="13">
        <v>2</v>
      </c>
      <c r="P592" s="13">
        <f>ROUND(Source!ET579,O592)</f>
        <v>0</v>
      </c>
      <c r="Q592" s="13"/>
      <c r="R592" s="13"/>
      <c r="S592" s="13"/>
      <c r="T592" s="13"/>
      <c r="U592" s="13"/>
      <c r="V592" s="13"/>
      <c r="W592" s="13">
        <v>0</v>
      </c>
      <c r="X592" s="13">
        <v>1</v>
      </c>
      <c r="Y592" s="13">
        <v>0</v>
      </c>
      <c r="Z592" s="13">
        <v>0</v>
      </c>
      <c r="AA592" s="13">
        <v>1</v>
      </c>
      <c r="AB592" s="13">
        <v>0</v>
      </c>
    </row>
    <row r="593" spans="1:28" ht="13" x14ac:dyDescent="0.3">
      <c r="A593" s="13">
        <v>50</v>
      </c>
      <c r="B593" s="13">
        <v>0</v>
      </c>
      <c r="C593" s="13">
        <v>0</v>
      </c>
      <c r="D593" s="13">
        <v>1</v>
      </c>
      <c r="E593" s="13">
        <v>204</v>
      </c>
      <c r="F593" s="13">
        <f>ROUND(Source!R579,O593)</f>
        <v>136.9</v>
      </c>
      <c r="G593" s="13" t="s">
        <v>141</v>
      </c>
      <c r="H593" s="13" t="s">
        <v>142</v>
      </c>
      <c r="I593" s="13"/>
      <c r="J593" s="13"/>
      <c r="K593" s="13">
        <v>204</v>
      </c>
      <c r="L593" s="13">
        <v>13</v>
      </c>
      <c r="M593" s="13">
        <v>3</v>
      </c>
      <c r="N593" s="13" t="s">
        <v>3</v>
      </c>
      <c r="O593" s="13">
        <v>2</v>
      </c>
      <c r="P593" s="13">
        <f>ROUND(Source!DJ579,O593)</f>
        <v>7714.3</v>
      </c>
      <c r="Q593" s="13"/>
      <c r="R593" s="13"/>
      <c r="S593" s="13"/>
      <c r="T593" s="13"/>
      <c r="U593" s="13"/>
      <c r="V593" s="13"/>
      <c r="W593" s="13">
        <v>136.9</v>
      </c>
      <c r="X593" s="13">
        <v>1</v>
      </c>
      <c r="Y593" s="13">
        <v>136.9</v>
      </c>
      <c r="Z593" s="13">
        <v>7714.3</v>
      </c>
      <c r="AA593" s="13">
        <v>1</v>
      </c>
      <c r="AB593" s="13">
        <v>7714.3</v>
      </c>
    </row>
    <row r="594" spans="1:28" ht="13" x14ac:dyDescent="0.3">
      <c r="A594" s="13">
        <v>50</v>
      </c>
      <c r="B594" s="13">
        <v>0</v>
      </c>
      <c r="C594" s="13">
        <v>0</v>
      </c>
      <c r="D594" s="13">
        <v>1</v>
      </c>
      <c r="E594" s="13">
        <v>205</v>
      </c>
      <c r="F594" s="13">
        <f>ROUND(Source!S579,O594)</f>
        <v>69476.92</v>
      </c>
      <c r="G594" s="13" t="s">
        <v>143</v>
      </c>
      <c r="H594" s="13" t="s">
        <v>144</v>
      </c>
      <c r="I594" s="13"/>
      <c r="J594" s="13"/>
      <c r="K594" s="13">
        <v>205</v>
      </c>
      <c r="L594" s="13">
        <v>14</v>
      </c>
      <c r="M594" s="13">
        <v>3</v>
      </c>
      <c r="N594" s="13" t="s">
        <v>3</v>
      </c>
      <c r="O594" s="13">
        <v>2</v>
      </c>
      <c r="P594" s="13">
        <f>ROUND(Source!DK579,O594)</f>
        <v>3915024.46</v>
      </c>
      <c r="Q594" s="13"/>
      <c r="R594" s="13"/>
      <c r="S594" s="13"/>
      <c r="T594" s="13"/>
      <c r="U594" s="13"/>
      <c r="V594" s="13"/>
      <c r="W594" s="13">
        <v>69476.92</v>
      </c>
      <c r="X594" s="13">
        <v>1</v>
      </c>
      <c r="Y594" s="13">
        <v>69476.92</v>
      </c>
      <c r="Z594" s="13">
        <v>3915024.46</v>
      </c>
      <c r="AA594" s="13">
        <v>1</v>
      </c>
      <c r="AB594" s="13">
        <v>3915024.46</v>
      </c>
    </row>
    <row r="595" spans="1:28" ht="13" x14ac:dyDescent="0.3">
      <c r="A595" s="13">
        <v>50</v>
      </c>
      <c r="B595" s="13">
        <v>0</v>
      </c>
      <c r="C595" s="13">
        <v>0</v>
      </c>
      <c r="D595" s="13">
        <v>1</v>
      </c>
      <c r="E595" s="13">
        <v>232</v>
      </c>
      <c r="F595" s="13">
        <f>ROUND(Source!BC579,O595)</f>
        <v>0</v>
      </c>
      <c r="G595" s="13" t="s">
        <v>145</v>
      </c>
      <c r="H595" s="13" t="s">
        <v>146</v>
      </c>
      <c r="I595" s="13"/>
      <c r="J595" s="13"/>
      <c r="K595" s="13">
        <v>232</v>
      </c>
      <c r="L595" s="13">
        <v>15</v>
      </c>
      <c r="M595" s="13">
        <v>3</v>
      </c>
      <c r="N595" s="13" t="s">
        <v>3</v>
      </c>
      <c r="O595" s="13">
        <v>2</v>
      </c>
      <c r="P595" s="13">
        <f>ROUND(Source!EU579,O595)</f>
        <v>0</v>
      </c>
      <c r="Q595" s="13"/>
      <c r="R595" s="13"/>
      <c r="S595" s="13"/>
      <c r="T595" s="13"/>
      <c r="U595" s="13"/>
      <c r="V595" s="13"/>
      <c r="W595" s="13">
        <v>0</v>
      </c>
      <c r="X595" s="13">
        <v>1</v>
      </c>
      <c r="Y595" s="13">
        <v>0</v>
      </c>
      <c r="Z595" s="13">
        <v>0</v>
      </c>
      <c r="AA595" s="13">
        <v>1</v>
      </c>
      <c r="AB595" s="13">
        <v>0</v>
      </c>
    </row>
    <row r="596" spans="1:28" ht="13" x14ac:dyDescent="0.3">
      <c r="A596" s="13">
        <v>50</v>
      </c>
      <c r="B596" s="13">
        <v>0</v>
      </c>
      <c r="C596" s="13">
        <v>0</v>
      </c>
      <c r="D596" s="13">
        <v>1</v>
      </c>
      <c r="E596" s="13">
        <v>214</v>
      </c>
      <c r="F596" s="13">
        <f>ROUND(Source!AS579,O596)</f>
        <v>3071.8</v>
      </c>
      <c r="G596" s="13" t="s">
        <v>147</v>
      </c>
      <c r="H596" s="13" t="s">
        <v>148</v>
      </c>
      <c r="I596" s="13"/>
      <c r="J596" s="13"/>
      <c r="K596" s="13">
        <v>214</v>
      </c>
      <c r="L596" s="13">
        <v>16</v>
      </c>
      <c r="M596" s="13">
        <v>3</v>
      </c>
      <c r="N596" s="13" t="s">
        <v>3</v>
      </c>
      <c r="O596" s="13">
        <v>2</v>
      </c>
      <c r="P596" s="13">
        <f>ROUND(Source!EK579,O596)</f>
        <v>173095.65</v>
      </c>
      <c r="Q596" s="13"/>
      <c r="R596" s="13"/>
      <c r="S596" s="13"/>
      <c r="T596" s="13"/>
      <c r="U596" s="13"/>
      <c r="V596" s="13"/>
      <c r="W596" s="13">
        <v>3071.8</v>
      </c>
      <c r="X596" s="13">
        <v>1</v>
      </c>
      <c r="Y596" s="13">
        <v>3071.8</v>
      </c>
      <c r="Z596" s="13">
        <v>173095.65</v>
      </c>
      <c r="AA596" s="13">
        <v>1</v>
      </c>
      <c r="AB596" s="13">
        <v>173095.65</v>
      </c>
    </row>
    <row r="597" spans="1:28" ht="13" x14ac:dyDescent="0.3">
      <c r="A597" s="13">
        <v>50</v>
      </c>
      <c r="B597" s="13">
        <v>0</v>
      </c>
      <c r="C597" s="13">
        <v>0</v>
      </c>
      <c r="D597" s="13">
        <v>1</v>
      </c>
      <c r="E597" s="13">
        <v>215</v>
      </c>
      <c r="F597" s="13">
        <f>ROUND(Source!AT579,O597)</f>
        <v>298150.87</v>
      </c>
      <c r="G597" s="13" t="s">
        <v>149</v>
      </c>
      <c r="H597" s="13" t="s">
        <v>150</v>
      </c>
      <c r="I597" s="13"/>
      <c r="J597" s="13"/>
      <c r="K597" s="13">
        <v>215</v>
      </c>
      <c r="L597" s="13">
        <v>17</v>
      </c>
      <c r="M597" s="13">
        <v>3</v>
      </c>
      <c r="N597" s="13" t="s">
        <v>3</v>
      </c>
      <c r="O597" s="13">
        <v>2</v>
      </c>
      <c r="P597" s="13">
        <f>ROUND(Source!EL579,O597)</f>
        <v>10274045.27</v>
      </c>
      <c r="Q597" s="13"/>
      <c r="R597" s="13"/>
      <c r="S597" s="13"/>
      <c r="T597" s="13"/>
      <c r="U597" s="13"/>
      <c r="V597" s="13"/>
      <c r="W597" s="13">
        <v>298150.87</v>
      </c>
      <c r="X597" s="13">
        <v>1</v>
      </c>
      <c r="Y597" s="13">
        <v>298150.87</v>
      </c>
      <c r="Z597" s="13">
        <v>10274045.27</v>
      </c>
      <c r="AA597" s="13">
        <v>1</v>
      </c>
      <c r="AB597" s="13">
        <v>10274045.27</v>
      </c>
    </row>
    <row r="598" spans="1:28" ht="13" x14ac:dyDescent="0.3">
      <c r="A598" s="13">
        <v>50</v>
      </c>
      <c r="B598" s="13">
        <v>0</v>
      </c>
      <c r="C598" s="13">
        <v>0</v>
      </c>
      <c r="D598" s="13">
        <v>1</v>
      </c>
      <c r="E598" s="13">
        <v>217</v>
      </c>
      <c r="F598" s="13">
        <f>ROUND(Source!AU579,O598)</f>
        <v>0</v>
      </c>
      <c r="G598" s="13" t="s">
        <v>151</v>
      </c>
      <c r="H598" s="13" t="s">
        <v>152</v>
      </c>
      <c r="I598" s="13"/>
      <c r="J598" s="13"/>
      <c r="K598" s="13">
        <v>217</v>
      </c>
      <c r="L598" s="13">
        <v>18</v>
      </c>
      <c r="M598" s="13">
        <v>3</v>
      </c>
      <c r="N598" s="13" t="s">
        <v>3</v>
      </c>
      <c r="O598" s="13">
        <v>2</v>
      </c>
      <c r="P598" s="13">
        <f>ROUND(Source!EM579,O598)</f>
        <v>0</v>
      </c>
      <c r="Q598" s="13"/>
      <c r="R598" s="13"/>
      <c r="S598" s="13"/>
      <c r="T598" s="13"/>
      <c r="U598" s="13"/>
      <c r="V598" s="13"/>
      <c r="W598" s="13">
        <v>0</v>
      </c>
      <c r="X598" s="13">
        <v>1</v>
      </c>
      <c r="Y598" s="13">
        <v>0</v>
      </c>
      <c r="Z598" s="13">
        <v>0</v>
      </c>
      <c r="AA598" s="13">
        <v>1</v>
      </c>
      <c r="AB598" s="13">
        <v>0</v>
      </c>
    </row>
    <row r="599" spans="1:28" ht="13" x14ac:dyDescent="0.3">
      <c r="A599" s="13">
        <v>50</v>
      </c>
      <c r="B599" s="13">
        <v>0</v>
      </c>
      <c r="C599" s="13">
        <v>0</v>
      </c>
      <c r="D599" s="13">
        <v>1</v>
      </c>
      <c r="E599" s="13">
        <v>230</v>
      </c>
      <c r="F599" s="13">
        <f>ROUND(Source!BA579,O599)</f>
        <v>0</v>
      </c>
      <c r="G599" s="13" t="s">
        <v>153</v>
      </c>
      <c r="H599" s="13" t="s">
        <v>154</v>
      </c>
      <c r="I599" s="13"/>
      <c r="J599" s="13"/>
      <c r="K599" s="13">
        <v>230</v>
      </c>
      <c r="L599" s="13">
        <v>19</v>
      </c>
      <c r="M599" s="13">
        <v>3</v>
      </c>
      <c r="N599" s="13" t="s">
        <v>3</v>
      </c>
      <c r="O599" s="13">
        <v>2</v>
      </c>
      <c r="P599" s="13">
        <f>ROUND(Source!ES579,O599)</f>
        <v>0</v>
      </c>
      <c r="Q599" s="13"/>
      <c r="R599" s="13"/>
      <c r="S599" s="13"/>
      <c r="T599" s="13"/>
      <c r="U599" s="13"/>
      <c r="V599" s="13"/>
      <c r="W599" s="13">
        <v>0</v>
      </c>
      <c r="X599" s="13">
        <v>1</v>
      </c>
      <c r="Y599" s="13">
        <v>0</v>
      </c>
      <c r="Z599" s="13">
        <v>0</v>
      </c>
      <c r="AA599" s="13">
        <v>1</v>
      </c>
      <c r="AB599" s="13">
        <v>0</v>
      </c>
    </row>
    <row r="600" spans="1:28" ht="13" x14ac:dyDescent="0.3">
      <c r="A600" s="13">
        <v>50</v>
      </c>
      <c r="B600" s="13">
        <v>0</v>
      </c>
      <c r="C600" s="13">
        <v>0</v>
      </c>
      <c r="D600" s="13">
        <v>1</v>
      </c>
      <c r="E600" s="13">
        <v>206</v>
      </c>
      <c r="F600" s="13">
        <f>ROUND(Source!T579,O600)</f>
        <v>0</v>
      </c>
      <c r="G600" s="13" t="s">
        <v>155</v>
      </c>
      <c r="H600" s="13" t="s">
        <v>156</v>
      </c>
      <c r="I600" s="13"/>
      <c r="J600" s="13"/>
      <c r="K600" s="13">
        <v>206</v>
      </c>
      <c r="L600" s="13">
        <v>20</v>
      </c>
      <c r="M600" s="13">
        <v>3</v>
      </c>
      <c r="N600" s="13" t="s">
        <v>3</v>
      </c>
      <c r="O600" s="13">
        <v>2</v>
      </c>
      <c r="P600" s="13">
        <f>ROUND(Source!DL579,O600)</f>
        <v>0</v>
      </c>
      <c r="Q600" s="13"/>
      <c r="R600" s="13"/>
      <c r="S600" s="13"/>
      <c r="T600" s="13"/>
      <c r="U600" s="13"/>
      <c r="V600" s="13"/>
      <c r="W600" s="13">
        <v>0</v>
      </c>
      <c r="X600" s="13">
        <v>1</v>
      </c>
      <c r="Y600" s="13">
        <v>0</v>
      </c>
      <c r="Z600" s="13">
        <v>0</v>
      </c>
      <c r="AA600" s="13">
        <v>1</v>
      </c>
      <c r="AB600" s="13">
        <v>0</v>
      </c>
    </row>
    <row r="601" spans="1:28" ht="13" x14ac:dyDescent="0.3">
      <c r="A601" s="13">
        <v>50</v>
      </c>
      <c r="B601" s="13">
        <v>0</v>
      </c>
      <c r="C601" s="13">
        <v>0</v>
      </c>
      <c r="D601" s="13">
        <v>1</v>
      </c>
      <c r="E601" s="13">
        <v>207</v>
      </c>
      <c r="F601" s="13">
        <f>Source!U579</f>
        <v>5666.8005989999992</v>
      </c>
      <c r="G601" s="13" t="s">
        <v>157</v>
      </c>
      <c r="H601" s="13" t="s">
        <v>158</v>
      </c>
      <c r="I601" s="13"/>
      <c r="J601" s="13"/>
      <c r="K601" s="13">
        <v>207</v>
      </c>
      <c r="L601" s="13">
        <v>21</v>
      </c>
      <c r="M601" s="13">
        <v>3</v>
      </c>
      <c r="N601" s="13" t="s">
        <v>3</v>
      </c>
      <c r="O601" s="13">
        <v>-1</v>
      </c>
      <c r="P601" s="13">
        <f>Source!DM579</f>
        <v>5666.8005989999992</v>
      </c>
      <c r="Q601" s="13"/>
      <c r="R601" s="13"/>
      <c r="S601" s="13"/>
      <c r="T601" s="13"/>
      <c r="U601" s="13"/>
      <c r="V601" s="13"/>
      <c r="W601" s="13">
        <v>5666.8005989999992</v>
      </c>
      <c r="X601" s="13">
        <v>1</v>
      </c>
      <c r="Y601" s="13">
        <v>5666.8005989999992</v>
      </c>
      <c r="Z601" s="13">
        <v>5666.8005989999992</v>
      </c>
      <c r="AA601" s="13">
        <v>1</v>
      </c>
      <c r="AB601" s="13">
        <v>5666.8005989999992</v>
      </c>
    </row>
    <row r="602" spans="1:28" ht="13" x14ac:dyDescent="0.3">
      <c r="A602" s="13">
        <v>50</v>
      </c>
      <c r="B602" s="13">
        <v>0</v>
      </c>
      <c r="C602" s="13">
        <v>0</v>
      </c>
      <c r="D602" s="13">
        <v>1</v>
      </c>
      <c r="E602" s="13">
        <v>208</v>
      </c>
      <c r="F602" s="13">
        <f>Source!V579</f>
        <v>0</v>
      </c>
      <c r="G602" s="13" t="s">
        <v>159</v>
      </c>
      <c r="H602" s="13" t="s">
        <v>160</v>
      </c>
      <c r="I602" s="13"/>
      <c r="J602" s="13"/>
      <c r="K602" s="13">
        <v>208</v>
      </c>
      <c r="L602" s="13">
        <v>22</v>
      </c>
      <c r="M602" s="13">
        <v>3</v>
      </c>
      <c r="N602" s="13" t="s">
        <v>3</v>
      </c>
      <c r="O602" s="13">
        <v>-1</v>
      </c>
      <c r="P602" s="13">
        <f>Source!DN579</f>
        <v>0</v>
      </c>
      <c r="Q602" s="13"/>
      <c r="R602" s="13"/>
      <c r="S602" s="13"/>
      <c r="T602" s="13"/>
      <c r="U602" s="13"/>
      <c r="V602" s="13"/>
      <c r="W602" s="13">
        <v>0</v>
      </c>
      <c r="X602" s="13">
        <v>1</v>
      </c>
      <c r="Y602" s="13">
        <v>0</v>
      </c>
      <c r="Z602" s="13">
        <v>0</v>
      </c>
      <c r="AA602" s="13">
        <v>1</v>
      </c>
      <c r="AB602" s="13">
        <v>0</v>
      </c>
    </row>
    <row r="603" spans="1:28" ht="13" x14ac:dyDescent="0.3">
      <c r="A603" s="13">
        <v>50</v>
      </c>
      <c r="B603" s="13">
        <v>0</v>
      </c>
      <c r="C603" s="13">
        <v>0</v>
      </c>
      <c r="D603" s="13">
        <v>1</v>
      </c>
      <c r="E603" s="13">
        <v>209</v>
      </c>
      <c r="F603" s="13">
        <f>ROUND(Source!W579,O603)</f>
        <v>0</v>
      </c>
      <c r="G603" s="13" t="s">
        <v>161</v>
      </c>
      <c r="H603" s="13" t="s">
        <v>162</v>
      </c>
      <c r="I603" s="13"/>
      <c r="J603" s="13"/>
      <c r="K603" s="13">
        <v>209</v>
      </c>
      <c r="L603" s="13">
        <v>23</v>
      </c>
      <c r="M603" s="13">
        <v>3</v>
      </c>
      <c r="N603" s="13" t="s">
        <v>3</v>
      </c>
      <c r="O603" s="13">
        <v>2</v>
      </c>
      <c r="P603" s="13">
        <f>ROUND(Source!DO579,O603)</f>
        <v>0</v>
      </c>
      <c r="Q603" s="13"/>
      <c r="R603" s="13"/>
      <c r="S603" s="13"/>
      <c r="T603" s="13"/>
      <c r="U603" s="13"/>
      <c r="V603" s="13"/>
      <c r="W603" s="13">
        <v>0</v>
      </c>
      <c r="X603" s="13">
        <v>1</v>
      </c>
      <c r="Y603" s="13">
        <v>0</v>
      </c>
      <c r="Z603" s="13">
        <v>0</v>
      </c>
      <c r="AA603" s="13">
        <v>1</v>
      </c>
      <c r="AB603" s="13">
        <v>0</v>
      </c>
    </row>
    <row r="604" spans="1:28" ht="13" x14ac:dyDescent="0.3">
      <c r="A604" s="13">
        <v>50</v>
      </c>
      <c r="B604" s="13">
        <v>0</v>
      </c>
      <c r="C604" s="13">
        <v>0</v>
      </c>
      <c r="D604" s="13">
        <v>1</v>
      </c>
      <c r="E604" s="13">
        <v>233</v>
      </c>
      <c r="F604" s="13">
        <f>ROUND(Source!BD579,O604)</f>
        <v>0</v>
      </c>
      <c r="G604" s="13" t="s">
        <v>163</v>
      </c>
      <c r="H604" s="13" t="s">
        <v>164</v>
      </c>
      <c r="I604" s="13"/>
      <c r="J604" s="13"/>
      <c r="K604" s="13">
        <v>233</v>
      </c>
      <c r="L604" s="13">
        <v>24</v>
      </c>
      <c r="M604" s="13">
        <v>3</v>
      </c>
      <c r="N604" s="13" t="s">
        <v>3</v>
      </c>
      <c r="O604" s="13">
        <v>2</v>
      </c>
      <c r="P604" s="13">
        <f>ROUND(Source!EV579,O604)</f>
        <v>0</v>
      </c>
      <c r="Q604" s="13"/>
      <c r="R604" s="13"/>
      <c r="S604" s="13"/>
      <c r="T604" s="13"/>
      <c r="U604" s="13"/>
      <c r="V604" s="13"/>
      <c r="W604" s="13">
        <v>0</v>
      </c>
      <c r="X604" s="13">
        <v>1</v>
      </c>
      <c r="Y604" s="13">
        <v>0</v>
      </c>
      <c r="Z604" s="13">
        <v>0</v>
      </c>
      <c r="AA604" s="13">
        <v>1</v>
      </c>
      <c r="AB604" s="13">
        <v>0</v>
      </c>
    </row>
    <row r="605" spans="1:28" ht="13" x14ac:dyDescent="0.3">
      <c r="A605" s="13">
        <v>50</v>
      </c>
      <c r="B605" s="13">
        <v>0</v>
      </c>
      <c r="C605" s="13">
        <v>0</v>
      </c>
      <c r="D605" s="13">
        <v>1</v>
      </c>
      <c r="E605" s="13">
        <v>210</v>
      </c>
      <c r="F605" s="13">
        <f>ROUND(Source!X579,O605)</f>
        <v>62893.27</v>
      </c>
      <c r="G605" s="13" t="s">
        <v>165</v>
      </c>
      <c r="H605" s="13" t="s">
        <v>166</v>
      </c>
      <c r="I605" s="13"/>
      <c r="J605" s="13"/>
      <c r="K605" s="13">
        <v>210</v>
      </c>
      <c r="L605" s="13">
        <v>25</v>
      </c>
      <c r="M605" s="13">
        <v>3</v>
      </c>
      <c r="N605" s="13" t="s">
        <v>3</v>
      </c>
      <c r="O605" s="13">
        <v>2</v>
      </c>
      <c r="P605" s="13">
        <f>ROUND(Source!DP579,O605)</f>
        <v>3544034.03</v>
      </c>
      <c r="Q605" s="13"/>
      <c r="R605" s="13"/>
      <c r="S605" s="13"/>
      <c r="T605" s="13"/>
      <c r="U605" s="13"/>
      <c r="V605" s="13"/>
      <c r="W605" s="13">
        <v>62893.27</v>
      </c>
      <c r="X605" s="13">
        <v>1</v>
      </c>
      <c r="Y605" s="13">
        <v>62893.27</v>
      </c>
      <c r="Z605" s="13">
        <v>3544034.03</v>
      </c>
      <c r="AA605" s="13">
        <v>1</v>
      </c>
      <c r="AB605" s="13">
        <v>3544034.03</v>
      </c>
    </row>
    <row r="606" spans="1:28" ht="13" x14ac:dyDescent="0.3">
      <c r="A606" s="13">
        <v>50</v>
      </c>
      <c r="B606" s="13">
        <v>0</v>
      </c>
      <c r="C606" s="13">
        <v>0</v>
      </c>
      <c r="D606" s="13">
        <v>1</v>
      </c>
      <c r="E606" s="13">
        <v>211</v>
      </c>
      <c r="F606" s="13">
        <f>ROUND(Source!Y579,O606)</f>
        <v>32264.82</v>
      </c>
      <c r="G606" s="13" t="s">
        <v>167</v>
      </c>
      <c r="H606" s="13" t="s">
        <v>168</v>
      </c>
      <c r="I606" s="13"/>
      <c r="J606" s="13"/>
      <c r="K606" s="13">
        <v>211</v>
      </c>
      <c r="L606" s="13">
        <v>26</v>
      </c>
      <c r="M606" s="13">
        <v>3</v>
      </c>
      <c r="N606" s="13" t="s">
        <v>3</v>
      </c>
      <c r="O606" s="13">
        <v>2</v>
      </c>
      <c r="P606" s="13">
        <f>ROUND(Source!DQ579,O606)</f>
        <v>1818122.35</v>
      </c>
      <c r="Q606" s="13"/>
      <c r="R606" s="13"/>
      <c r="S606" s="13"/>
      <c r="T606" s="13"/>
      <c r="U606" s="13"/>
      <c r="V606" s="13"/>
      <c r="W606" s="13">
        <v>32264.82</v>
      </c>
      <c r="X606" s="13">
        <v>1</v>
      </c>
      <c r="Y606" s="13">
        <v>32264.82</v>
      </c>
      <c r="Z606" s="13">
        <v>1818122.35</v>
      </c>
      <c r="AA606" s="13">
        <v>1</v>
      </c>
      <c r="AB606" s="13">
        <v>1818122.35</v>
      </c>
    </row>
    <row r="607" spans="1:28" ht="13" x14ac:dyDescent="0.3">
      <c r="A607" s="13">
        <v>50</v>
      </c>
      <c r="B607" s="13">
        <v>0</v>
      </c>
      <c r="C607" s="13">
        <v>0</v>
      </c>
      <c r="D607" s="13">
        <v>1</v>
      </c>
      <c r="E607" s="13">
        <v>224</v>
      </c>
      <c r="F607" s="13">
        <f>ROUND(Source!AR579,O607)</f>
        <v>808077.28</v>
      </c>
      <c r="G607" s="13" t="s">
        <v>169</v>
      </c>
      <c r="H607" s="13" t="s">
        <v>170</v>
      </c>
      <c r="I607" s="13"/>
      <c r="J607" s="13"/>
      <c r="K607" s="13">
        <v>224</v>
      </c>
      <c r="L607" s="13">
        <v>27</v>
      </c>
      <c r="M607" s="13">
        <v>3</v>
      </c>
      <c r="N607" s="13" t="s">
        <v>3</v>
      </c>
      <c r="O607" s="13">
        <v>2</v>
      </c>
      <c r="P607" s="13">
        <f>ROUND(Source!EJ579,O607)</f>
        <v>14308431.529999999</v>
      </c>
      <c r="Q607" s="13"/>
      <c r="R607" s="13"/>
      <c r="S607" s="13"/>
      <c r="T607" s="13"/>
      <c r="U607" s="13"/>
      <c r="V607" s="13"/>
      <c r="W607" s="13">
        <v>808077.28</v>
      </c>
      <c r="X607" s="13">
        <v>1</v>
      </c>
      <c r="Y607" s="13">
        <v>808077.28</v>
      </c>
      <c r="Z607" s="13">
        <v>14308431.529999999</v>
      </c>
      <c r="AA607" s="13">
        <v>1</v>
      </c>
      <c r="AB607" s="13">
        <v>14308431.529999999</v>
      </c>
    </row>
    <row r="608" spans="1:28" ht="13" x14ac:dyDescent="0.3">
      <c r="A608" s="13">
        <v>50</v>
      </c>
      <c r="B608" s="13">
        <v>1</v>
      </c>
      <c r="C608" s="13">
        <v>0</v>
      </c>
      <c r="D608" s="13">
        <v>2</v>
      </c>
      <c r="E608" s="13">
        <v>0</v>
      </c>
      <c r="F608" s="13">
        <f>ROUND(F607,O608)</f>
        <v>808077.28</v>
      </c>
      <c r="G608" s="13" t="s">
        <v>436</v>
      </c>
      <c r="H608" s="13" t="s">
        <v>437</v>
      </c>
      <c r="I608" s="13"/>
      <c r="J608" s="13"/>
      <c r="K608" s="13">
        <v>212</v>
      </c>
      <c r="L608" s="13">
        <v>28</v>
      </c>
      <c r="M608" s="13">
        <v>0</v>
      </c>
      <c r="N608" s="13" t="s">
        <v>3</v>
      </c>
      <c r="O608" s="13">
        <v>2</v>
      </c>
      <c r="P608" s="13">
        <f>ROUND(P607,O608)</f>
        <v>14308431.529999999</v>
      </c>
      <c r="Q608" s="13"/>
      <c r="R608" s="13"/>
      <c r="S608" s="13"/>
      <c r="T608" s="13"/>
      <c r="U608" s="13"/>
      <c r="V608" s="13"/>
      <c r="W608" s="13">
        <v>808077.28</v>
      </c>
      <c r="X608" s="13">
        <v>1</v>
      </c>
      <c r="Y608" s="13">
        <v>808077.28</v>
      </c>
      <c r="Z608" s="13">
        <v>14308431.529999999</v>
      </c>
      <c r="AA608" s="13">
        <v>1</v>
      </c>
      <c r="AB608" s="13">
        <v>14308431.529999999</v>
      </c>
    </row>
    <row r="609" spans="1:206" ht="13" x14ac:dyDescent="0.3">
      <c r="A609" s="13">
        <v>50</v>
      </c>
      <c r="B609" s="13">
        <v>1</v>
      </c>
      <c r="C609" s="13">
        <v>0</v>
      </c>
      <c r="D609" s="13">
        <v>2</v>
      </c>
      <c r="E609" s="13">
        <v>0</v>
      </c>
      <c r="F609" s="13">
        <f>ROUND(F608*0.2,O609)</f>
        <v>161615.46</v>
      </c>
      <c r="G609" s="13" t="s">
        <v>438</v>
      </c>
      <c r="H609" s="13" t="s">
        <v>439</v>
      </c>
      <c r="I609" s="13"/>
      <c r="J609" s="13"/>
      <c r="K609" s="13">
        <v>212</v>
      </c>
      <c r="L609" s="13">
        <v>29</v>
      </c>
      <c r="M609" s="13">
        <v>0</v>
      </c>
      <c r="N609" s="13" t="s">
        <v>3</v>
      </c>
      <c r="O609" s="13">
        <v>2</v>
      </c>
      <c r="P609" s="13">
        <f>ROUND(P608*0.2,O609)</f>
        <v>2861686.31</v>
      </c>
      <c r="Q609" s="13"/>
      <c r="R609" s="13"/>
      <c r="S609" s="13"/>
      <c r="T609" s="13"/>
      <c r="U609" s="13"/>
      <c r="V609" s="13"/>
      <c r="W609" s="13">
        <v>161615.46</v>
      </c>
      <c r="X609" s="13">
        <v>1</v>
      </c>
      <c r="Y609" s="13">
        <v>161615.46</v>
      </c>
      <c r="Z609" s="13">
        <v>2861686.31</v>
      </c>
      <c r="AA609" s="13">
        <v>1</v>
      </c>
      <c r="AB609" s="13">
        <v>2861686.31</v>
      </c>
    </row>
    <row r="610" spans="1:206" ht="13" x14ac:dyDescent="0.3">
      <c r="A610" s="13">
        <v>50</v>
      </c>
      <c r="B610" s="13">
        <v>1</v>
      </c>
      <c r="C610" s="13">
        <v>0</v>
      </c>
      <c r="D610" s="13">
        <v>2</v>
      </c>
      <c r="E610" s="13">
        <v>213</v>
      </c>
      <c r="F610" s="13">
        <f>ROUND(F608+F609,O610)</f>
        <v>969692.74</v>
      </c>
      <c r="G610" s="13" t="s">
        <v>440</v>
      </c>
      <c r="H610" s="13" t="s">
        <v>169</v>
      </c>
      <c r="I610" s="13"/>
      <c r="J610" s="13"/>
      <c r="K610" s="13">
        <v>212</v>
      </c>
      <c r="L610" s="13">
        <v>30</v>
      </c>
      <c r="M610" s="13">
        <v>0</v>
      </c>
      <c r="N610" s="13" t="s">
        <v>3</v>
      </c>
      <c r="O610" s="13">
        <v>2</v>
      </c>
      <c r="P610" s="13">
        <f>ROUND(P608+P609,O610)</f>
        <v>17170117.84</v>
      </c>
      <c r="Q610" s="13"/>
      <c r="R610" s="13"/>
      <c r="S610" s="13"/>
      <c r="T610" s="13"/>
      <c r="U610" s="13"/>
      <c r="V610" s="13"/>
      <c r="W610" s="13">
        <v>969692.74</v>
      </c>
      <c r="X610" s="13">
        <v>1</v>
      </c>
      <c r="Y610" s="13">
        <v>969692.74</v>
      </c>
      <c r="Z610" s="13">
        <v>17170117.84</v>
      </c>
      <c r="AA610" s="13">
        <v>1</v>
      </c>
      <c r="AB610" s="13">
        <v>17170117.84</v>
      </c>
    </row>
    <row r="612" spans="1:206" ht="13" x14ac:dyDescent="0.3">
      <c r="A612" s="11">
        <v>51</v>
      </c>
      <c r="B612" s="11">
        <f>B12</f>
        <v>654</v>
      </c>
      <c r="C612" s="11">
        <f>A12</f>
        <v>1</v>
      </c>
      <c r="D612" s="11">
        <f>ROW(A12)</f>
        <v>12</v>
      </c>
      <c r="E612" s="11"/>
      <c r="F612" s="11" t="str">
        <f>IF(F12&lt;&gt;"",F12,"")</f>
        <v>02-01-08</v>
      </c>
      <c r="G612" s="11" t="str">
        <f>IF(G12&lt;&gt;"",G12,"")</f>
        <v>02-01-08 СПС АСПЗ 20.07.26</v>
      </c>
      <c r="H612" s="11">
        <v>0</v>
      </c>
      <c r="I612" s="11"/>
      <c r="J612" s="11"/>
      <c r="K612" s="11"/>
      <c r="L612" s="11"/>
      <c r="M612" s="11"/>
      <c r="N612" s="11"/>
      <c r="O612" s="11">
        <f t="shared" ref="O612:T612" si="491">ROUND(O579,2)</f>
        <v>712919.19</v>
      </c>
      <c r="P612" s="11">
        <f t="shared" si="491"/>
        <v>641673.85</v>
      </c>
      <c r="Q612" s="11">
        <f t="shared" si="491"/>
        <v>1768.42</v>
      </c>
      <c r="R612" s="11">
        <f t="shared" si="491"/>
        <v>136.9</v>
      </c>
      <c r="S612" s="11">
        <f t="shared" si="491"/>
        <v>69476.92</v>
      </c>
      <c r="T612" s="11">
        <f t="shared" si="491"/>
        <v>0</v>
      </c>
      <c r="U612" s="11">
        <f>U579</f>
        <v>5666.8005989999992</v>
      </c>
      <c r="V612" s="11">
        <f>V579</f>
        <v>0</v>
      </c>
      <c r="W612" s="11">
        <f>ROUND(W579,2)</f>
        <v>0</v>
      </c>
      <c r="X612" s="11">
        <f>ROUND(X579,2)</f>
        <v>62893.27</v>
      </c>
      <c r="Y612" s="11">
        <f>ROUND(Y579,2)</f>
        <v>32264.82</v>
      </c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>
        <f t="shared" ref="AO612:BD612" si="492">ROUND(AO579,2)</f>
        <v>0</v>
      </c>
      <c r="AP612" s="11">
        <f t="shared" si="492"/>
        <v>506854.61</v>
      </c>
      <c r="AQ612" s="11">
        <f t="shared" si="492"/>
        <v>0</v>
      </c>
      <c r="AR612" s="11">
        <f t="shared" si="492"/>
        <v>808077.28</v>
      </c>
      <c r="AS612" s="11">
        <f t="shared" si="492"/>
        <v>3071.8</v>
      </c>
      <c r="AT612" s="11">
        <f t="shared" si="492"/>
        <v>298150.87</v>
      </c>
      <c r="AU612" s="11">
        <f t="shared" si="492"/>
        <v>0</v>
      </c>
      <c r="AV612" s="11">
        <f t="shared" si="492"/>
        <v>641673.85</v>
      </c>
      <c r="AW612" s="11">
        <f t="shared" si="492"/>
        <v>134819.24</v>
      </c>
      <c r="AX612" s="11">
        <f t="shared" si="492"/>
        <v>0</v>
      </c>
      <c r="AY612" s="11">
        <f t="shared" si="492"/>
        <v>134819.24</v>
      </c>
      <c r="AZ612" s="11">
        <f t="shared" si="492"/>
        <v>506854.61</v>
      </c>
      <c r="BA612" s="11">
        <f t="shared" si="492"/>
        <v>0</v>
      </c>
      <c r="BB612" s="11">
        <f t="shared" si="492"/>
        <v>0</v>
      </c>
      <c r="BC612" s="11">
        <f t="shared" si="492"/>
        <v>0</v>
      </c>
      <c r="BD612" s="11">
        <f t="shared" si="492"/>
        <v>0</v>
      </c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11"/>
      <c r="CX612" s="11"/>
      <c r="CY612" s="11"/>
      <c r="CZ612" s="11"/>
      <c r="DA612" s="11"/>
      <c r="DB612" s="11"/>
      <c r="DC612" s="11"/>
      <c r="DD612" s="11"/>
      <c r="DE612" s="11"/>
      <c r="DF612" s="11"/>
      <c r="DG612" s="12">
        <f t="shared" ref="DG612:DL612" si="493">ROUND(DG579,2)</f>
        <v>8946275.1500000004</v>
      </c>
      <c r="DH612" s="12">
        <f t="shared" si="493"/>
        <v>5006903.7</v>
      </c>
      <c r="DI612" s="12">
        <f t="shared" si="493"/>
        <v>24346.99</v>
      </c>
      <c r="DJ612" s="12">
        <f t="shared" si="493"/>
        <v>7714.3</v>
      </c>
      <c r="DK612" s="12">
        <f t="shared" si="493"/>
        <v>3915024.46</v>
      </c>
      <c r="DL612" s="12">
        <f t="shared" si="493"/>
        <v>0</v>
      </c>
      <c r="DM612" s="12">
        <f>DM579</f>
        <v>5666.8005989999992</v>
      </c>
      <c r="DN612" s="12">
        <f>DN579</f>
        <v>0</v>
      </c>
      <c r="DO612" s="12">
        <f>ROUND(DO579,2)</f>
        <v>0</v>
      </c>
      <c r="DP612" s="12">
        <f>ROUND(DP579,2)</f>
        <v>3544034.03</v>
      </c>
      <c r="DQ612" s="12">
        <f>ROUND(DQ579,2)</f>
        <v>1818122.35</v>
      </c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>
        <f t="shared" ref="EG612:EV612" si="494">ROUND(EG579,2)</f>
        <v>0</v>
      </c>
      <c r="EH612" s="12">
        <f t="shared" si="494"/>
        <v>3861290.61</v>
      </c>
      <c r="EI612" s="12">
        <f t="shared" si="494"/>
        <v>0</v>
      </c>
      <c r="EJ612" s="12">
        <f t="shared" si="494"/>
        <v>14308431.529999999</v>
      </c>
      <c r="EK612" s="12">
        <f t="shared" si="494"/>
        <v>173095.65</v>
      </c>
      <c r="EL612" s="12">
        <f t="shared" si="494"/>
        <v>10274045.27</v>
      </c>
      <c r="EM612" s="12">
        <f t="shared" si="494"/>
        <v>0</v>
      </c>
      <c r="EN612" s="12">
        <f t="shared" si="494"/>
        <v>5006903.7</v>
      </c>
      <c r="EO612" s="12">
        <f t="shared" si="494"/>
        <v>1145613.0900000001</v>
      </c>
      <c r="EP612" s="12">
        <f t="shared" si="494"/>
        <v>0</v>
      </c>
      <c r="EQ612" s="12">
        <f t="shared" si="494"/>
        <v>1145613.0900000001</v>
      </c>
      <c r="ER612" s="12">
        <f t="shared" si="494"/>
        <v>3861290.61</v>
      </c>
      <c r="ES612" s="12">
        <f t="shared" si="494"/>
        <v>0</v>
      </c>
      <c r="ET612" s="12">
        <f t="shared" si="494"/>
        <v>0</v>
      </c>
      <c r="EU612" s="12">
        <f t="shared" si="494"/>
        <v>0</v>
      </c>
      <c r="EV612" s="12">
        <f t="shared" si="494"/>
        <v>0</v>
      </c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12"/>
      <c r="GH612" s="12"/>
      <c r="GI612" s="12"/>
      <c r="GJ612" s="12"/>
      <c r="GK612" s="12"/>
      <c r="GL612" s="12"/>
      <c r="GM612" s="12"/>
      <c r="GN612" s="12"/>
      <c r="GO612" s="12"/>
      <c r="GP612" s="12"/>
      <c r="GQ612" s="12"/>
      <c r="GR612" s="12"/>
      <c r="GS612" s="12"/>
      <c r="GT612" s="12"/>
      <c r="GU612" s="12"/>
      <c r="GV612" s="12"/>
      <c r="GW612" s="12"/>
      <c r="GX612" s="12">
        <v>0</v>
      </c>
    </row>
    <row r="614" spans="1:206" ht="13" x14ac:dyDescent="0.3">
      <c r="A614" s="13">
        <v>50</v>
      </c>
      <c r="B614" s="13">
        <v>0</v>
      </c>
      <c r="C614" s="13">
        <v>0</v>
      </c>
      <c r="D614" s="13">
        <v>1</v>
      </c>
      <c r="E614" s="13">
        <v>201</v>
      </c>
      <c r="F614" s="13">
        <f>ROUND(Source!O612,O614)</f>
        <v>712919.19</v>
      </c>
      <c r="G614" s="13" t="s">
        <v>117</v>
      </c>
      <c r="H614" s="13" t="s">
        <v>118</v>
      </c>
      <c r="I614" s="13"/>
      <c r="J614" s="13"/>
      <c r="K614" s="13">
        <v>201</v>
      </c>
      <c r="L614" s="13">
        <v>1</v>
      </c>
      <c r="M614" s="13">
        <v>3</v>
      </c>
      <c r="N614" s="13" t="s">
        <v>3</v>
      </c>
      <c r="O614" s="13">
        <v>2</v>
      </c>
      <c r="P614" s="13">
        <f>ROUND(Source!DG612,O614)</f>
        <v>8946275.1500000004</v>
      </c>
      <c r="Q614" s="13"/>
      <c r="R614" s="13"/>
      <c r="S614" s="13"/>
      <c r="T614" s="13"/>
      <c r="U614" s="13"/>
      <c r="V614" s="13"/>
      <c r="W614" s="13">
        <v>712919.19</v>
      </c>
      <c r="X614" s="13">
        <v>1</v>
      </c>
      <c r="Y614" s="13">
        <v>712919.19</v>
      </c>
      <c r="Z614" s="13">
        <v>8946275.1500000004</v>
      </c>
      <c r="AA614" s="13">
        <v>1</v>
      </c>
      <c r="AB614" s="13">
        <v>8946275.1500000004</v>
      </c>
    </row>
    <row r="615" spans="1:206" ht="13" x14ac:dyDescent="0.3">
      <c r="A615" s="13">
        <v>50</v>
      </c>
      <c r="B615" s="13">
        <v>0</v>
      </c>
      <c r="C615" s="13">
        <v>0</v>
      </c>
      <c r="D615" s="13">
        <v>1</v>
      </c>
      <c r="E615" s="13">
        <v>202</v>
      </c>
      <c r="F615" s="13">
        <f>ROUND(Source!P612,O615)</f>
        <v>641673.85</v>
      </c>
      <c r="G615" s="13" t="s">
        <v>119</v>
      </c>
      <c r="H615" s="13" t="s">
        <v>120</v>
      </c>
      <c r="I615" s="13"/>
      <c r="J615" s="13"/>
      <c r="K615" s="13">
        <v>202</v>
      </c>
      <c r="L615" s="13">
        <v>2</v>
      </c>
      <c r="M615" s="13">
        <v>3</v>
      </c>
      <c r="N615" s="13" t="s">
        <v>3</v>
      </c>
      <c r="O615" s="13">
        <v>2</v>
      </c>
      <c r="P615" s="13">
        <f>ROUND(Source!DH612,O615)</f>
        <v>5006903.7</v>
      </c>
      <c r="Q615" s="13"/>
      <c r="R615" s="13"/>
      <c r="S615" s="13"/>
      <c r="T615" s="13"/>
      <c r="U615" s="13"/>
      <c r="V615" s="13"/>
      <c r="W615" s="13">
        <v>641673.85</v>
      </c>
      <c r="X615" s="13">
        <v>1</v>
      </c>
      <c r="Y615" s="13">
        <v>641673.85</v>
      </c>
      <c r="Z615" s="13">
        <v>5006903.7</v>
      </c>
      <c r="AA615" s="13">
        <v>1</v>
      </c>
      <c r="AB615" s="13">
        <v>5006903.7</v>
      </c>
    </row>
    <row r="616" spans="1:206" ht="13" x14ac:dyDescent="0.3">
      <c r="A616" s="13">
        <v>50</v>
      </c>
      <c r="B616" s="13">
        <v>0</v>
      </c>
      <c r="C616" s="13">
        <v>0</v>
      </c>
      <c r="D616" s="13">
        <v>1</v>
      </c>
      <c r="E616" s="13">
        <v>222</v>
      </c>
      <c r="F616" s="13">
        <f>ROUND(Source!AO612,O616)</f>
        <v>0</v>
      </c>
      <c r="G616" s="13" t="s">
        <v>121</v>
      </c>
      <c r="H616" s="13" t="s">
        <v>122</v>
      </c>
      <c r="I616" s="13"/>
      <c r="J616" s="13"/>
      <c r="K616" s="13">
        <v>222</v>
      </c>
      <c r="L616" s="13">
        <v>3</v>
      </c>
      <c r="M616" s="13">
        <v>3</v>
      </c>
      <c r="N616" s="13" t="s">
        <v>3</v>
      </c>
      <c r="O616" s="13">
        <v>2</v>
      </c>
      <c r="P616" s="13">
        <f>ROUND(Source!EG612,O616)</f>
        <v>0</v>
      </c>
      <c r="Q616" s="13"/>
      <c r="R616" s="13"/>
      <c r="S616" s="13"/>
      <c r="T616" s="13"/>
      <c r="U616" s="13"/>
      <c r="V616" s="13"/>
      <c r="W616" s="13">
        <v>0</v>
      </c>
      <c r="X616" s="13">
        <v>1</v>
      </c>
      <c r="Y616" s="13">
        <v>0</v>
      </c>
      <c r="Z616" s="13">
        <v>0</v>
      </c>
      <c r="AA616" s="13">
        <v>1</v>
      </c>
      <c r="AB616" s="13">
        <v>0</v>
      </c>
    </row>
    <row r="617" spans="1:206" ht="13" x14ac:dyDescent="0.3">
      <c r="A617" s="13">
        <v>50</v>
      </c>
      <c r="B617" s="13">
        <v>0</v>
      </c>
      <c r="C617" s="13">
        <v>0</v>
      </c>
      <c r="D617" s="13">
        <v>1</v>
      </c>
      <c r="E617" s="13">
        <v>225</v>
      </c>
      <c r="F617" s="13">
        <f>ROUND(Source!AV612,O617)</f>
        <v>641673.85</v>
      </c>
      <c r="G617" s="13" t="s">
        <v>123</v>
      </c>
      <c r="H617" s="13" t="s">
        <v>124</v>
      </c>
      <c r="I617" s="13"/>
      <c r="J617" s="13"/>
      <c r="K617" s="13">
        <v>225</v>
      </c>
      <c r="L617" s="13">
        <v>4</v>
      </c>
      <c r="M617" s="13">
        <v>3</v>
      </c>
      <c r="N617" s="13" t="s">
        <v>3</v>
      </c>
      <c r="O617" s="13">
        <v>2</v>
      </c>
      <c r="P617" s="13">
        <f>ROUND(Source!EN612,O617)</f>
        <v>5006903.7</v>
      </c>
      <c r="Q617" s="13"/>
      <c r="R617" s="13"/>
      <c r="S617" s="13"/>
      <c r="T617" s="13"/>
      <c r="U617" s="13"/>
      <c r="V617" s="13"/>
      <c r="W617" s="13">
        <v>641673.85</v>
      </c>
      <c r="X617" s="13">
        <v>1</v>
      </c>
      <c r="Y617" s="13">
        <v>641673.85</v>
      </c>
      <c r="Z617" s="13">
        <v>5006903.7</v>
      </c>
      <c r="AA617" s="13">
        <v>1</v>
      </c>
      <c r="AB617" s="13">
        <v>5006903.7</v>
      </c>
    </row>
    <row r="618" spans="1:206" ht="13" x14ac:dyDescent="0.3">
      <c r="A618" s="13">
        <v>50</v>
      </c>
      <c r="B618" s="13">
        <v>0</v>
      </c>
      <c r="C618" s="13">
        <v>0</v>
      </c>
      <c r="D618" s="13">
        <v>1</v>
      </c>
      <c r="E618" s="13">
        <v>226</v>
      </c>
      <c r="F618" s="13">
        <f>ROUND(Source!AW612,O618)</f>
        <v>134819.24</v>
      </c>
      <c r="G618" s="13" t="s">
        <v>125</v>
      </c>
      <c r="H618" s="13" t="s">
        <v>126</v>
      </c>
      <c r="I618" s="13"/>
      <c r="J618" s="13"/>
      <c r="K618" s="13">
        <v>226</v>
      </c>
      <c r="L618" s="13">
        <v>5</v>
      </c>
      <c r="M618" s="13">
        <v>3</v>
      </c>
      <c r="N618" s="13" t="s">
        <v>3</v>
      </c>
      <c r="O618" s="13">
        <v>2</v>
      </c>
      <c r="P618" s="13">
        <f>ROUND(Source!EO612,O618)</f>
        <v>1145613.0900000001</v>
      </c>
      <c r="Q618" s="13"/>
      <c r="R618" s="13"/>
      <c r="S618" s="13"/>
      <c r="T618" s="13"/>
      <c r="U618" s="13"/>
      <c r="V618" s="13"/>
      <c r="W618" s="13">
        <v>134819.24</v>
      </c>
      <c r="X618" s="13">
        <v>1</v>
      </c>
      <c r="Y618" s="13">
        <v>134819.24</v>
      </c>
      <c r="Z618" s="13">
        <v>1145613.0900000001</v>
      </c>
      <c r="AA618" s="13">
        <v>1</v>
      </c>
      <c r="AB618" s="13">
        <v>1145613.0900000001</v>
      </c>
    </row>
    <row r="619" spans="1:206" ht="13" x14ac:dyDescent="0.3">
      <c r="A619" s="13">
        <v>50</v>
      </c>
      <c r="B619" s="13">
        <v>0</v>
      </c>
      <c r="C619" s="13">
        <v>0</v>
      </c>
      <c r="D619" s="13">
        <v>1</v>
      </c>
      <c r="E619" s="13">
        <v>227</v>
      </c>
      <c r="F619" s="13">
        <f>ROUND(Source!AX612,O619)</f>
        <v>0</v>
      </c>
      <c r="G619" s="13" t="s">
        <v>127</v>
      </c>
      <c r="H619" s="13" t="s">
        <v>128</v>
      </c>
      <c r="I619" s="13"/>
      <c r="J619" s="13"/>
      <c r="K619" s="13">
        <v>227</v>
      </c>
      <c r="L619" s="13">
        <v>6</v>
      </c>
      <c r="M619" s="13">
        <v>3</v>
      </c>
      <c r="N619" s="13" t="s">
        <v>3</v>
      </c>
      <c r="O619" s="13">
        <v>2</v>
      </c>
      <c r="P619" s="13">
        <f>ROUND(Source!EP612,O619)</f>
        <v>0</v>
      </c>
      <c r="Q619" s="13"/>
      <c r="R619" s="13"/>
      <c r="S619" s="13"/>
      <c r="T619" s="13"/>
      <c r="U619" s="13"/>
      <c r="V619" s="13"/>
      <c r="W619" s="13">
        <v>0</v>
      </c>
      <c r="X619" s="13">
        <v>1</v>
      </c>
      <c r="Y619" s="13">
        <v>0</v>
      </c>
      <c r="Z619" s="13">
        <v>0</v>
      </c>
      <c r="AA619" s="13">
        <v>1</v>
      </c>
      <c r="AB619" s="13">
        <v>0</v>
      </c>
    </row>
    <row r="620" spans="1:206" ht="13" x14ac:dyDescent="0.3">
      <c r="A620" s="13">
        <v>50</v>
      </c>
      <c r="B620" s="13">
        <v>0</v>
      </c>
      <c r="C620" s="13">
        <v>0</v>
      </c>
      <c r="D620" s="13">
        <v>1</v>
      </c>
      <c r="E620" s="13">
        <v>228</v>
      </c>
      <c r="F620" s="13">
        <f>ROUND(Source!AY612,O620)</f>
        <v>134819.24</v>
      </c>
      <c r="G620" s="13" t="s">
        <v>129</v>
      </c>
      <c r="H620" s="13" t="s">
        <v>130</v>
      </c>
      <c r="I620" s="13"/>
      <c r="J620" s="13"/>
      <c r="K620" s="13">
        <v>228</v>
      </c>
      <c r="L620" s="13">
        <v>7</v>
      </c>
      <c r="M620" s="13">
        <v>3</v>
      </c>
      <c r="N620" s="13" t="s">
        <v>3</v>
      </c>
      <c r="O620" s="13">
        <v>2</v>
      </c>
      <c r="P620" s="13">
        <f>ROUND(Source!EQ612,O620)</f>
        <v>1145613.0900000001</v>
      </c>
      <c r="Q620" s="13"/>
      <c r="R620" s="13"/>
      <c r="S620" s="13"/>
      <c r="T620" s="13"/>
      <c r="U620" s="13"/>
      <c r="V620" s="13"/>
      <c r="W620" s="13">
        <v>134819.24</v>
      </c>
      <c r="X620" s="13">
        <v>1</v>
      </c>
      <c r="Y620" s="13">
        <v>134819.24</v>
      </c>
      <c r="Z620" s="13">
        <v>1145613.0900000001</v>
      </c>
      <c r="AA620" s="13">
        <v>1</v>
      </c>
      <c r="AB620" s="13">
        <v>1145613.0900000001</v>
      </c>
    </row>
    <row r="621" spans="1:206" ht="13" x14ac:dyDescent="0.3">
      <c r="A621" s="13">
        <v>50</v>
      </c>
      <c r="B621" s="13">
        <v>0</v>
      </c>
      <c r="C621" s="13">
        <v>0</v>
      </c>
      <c r="D621" s="13">
        <v>1</v>
      </c>
      <c r="E621" s="13">
        <v>216</v>
      </c>
      <c r="F621" s="13">
        <f>ROUND(Source!AP612,O621)</f>
        <v>506854.61</v>
      </c>
      <c r="G621" s="13" t="s">
        <v>131</v>
      </c>
      <c r="H621" s="13" t="s">
        <v>132</v>
      </c>
      <c r="I621" s="13"/>
      <c r="J621" s="13"/>
      <c r="K621" s="13">
        <v>216</v>
      </c>
      <c r="L621" s="13">
        <v>8</v>
      </c>
      <c r="M621" s="13">
        <v>3</v>
      </c>
      <c r="N621" s="13" t="s">
        <v>3</v>
      </c>
      <c r="O621" s="13">
        <v>2</v>
      </c>
      <c r="P621" s="13">
        <f>ROUND(Source!EH612,O621)</f>
        <v>3861290.61</v>
      </c>
      <c r="Q621" s="13"/>
      <c r="R621" s="13"/>
      <c r="S621" s="13"/>
      <c r="T621" s="13"/>
      <c r="U621" s="13"/>
      <c r="V621" s="13"/>
      <c r="W621" s="13">
        <v>506854.61</v>
      </c>
      <c r="X621" s="13">
        <v>1</v>
      </c>
      <c r="Y621" s="13">
        <v>506854.61</v>
      </c>
      <c r="Z621" s="13">
        <v>3861290.61</v>
      </c>
      <c r="AA621" s="13">
        <v>1</v>
      </c>
      <c r="AB621" s="13">
        <v>3861290.61</v>
      </c>
    </row>
    <row r="622" spans="1:206" ht="13" x14ac:dyDescent="0.3">
      <c r="A622" s="13">
        <v>50</v>
      </c>
      <c r="B622" s="13">
        <v>0</v>
      </c>
      <c r="C622" s="13">
        <v>0</v>
      </c>
      <c r="D622" s="13">
        <v>1</v>
      </c>
      <c r="E622" s="13">
        <v>223</v>
      </c>
      <c r="F622" s="13">
        <f>ROUND(Source!AQ612,O622)</f>
        <v>0</v>
      </c>
      <c r="G622" s="13" t="s">
        <v>133</v>
      </c>
      <c r="H622" s="13" t="s">
        <v>134</v>
      </c>
      <c r="I622" s="13"/>
      <c r="J622" s="13"/>
      <c r="K622" s="13">
        <v>223</v>
      </c>
      <c r="L622" s="13">
        <v>9</v>
      </c>
      <c r="M622" s="13">
        <v>3</v>
      </c>
      <c r="N622" s="13" t="s">
        <v>3</v>
      </c>
      <c r="O622" s="13">
        <v>2</v>
      </c>
      <c r="P622" s="13">
        <f>ROUND(Source!EI612,O622)</f>
        <v>0</v>
      </c>
      <c r="Q622" s="13"/>
      <c r="R622" s="13"/>
      <c r="S622" s="13"/>
      <c r="T622" s="13"/>
      <c r="U622" s="13"/>
      <c r="V622" s="13"/>
      <c r="W622" s="13">
        <v>0</v>
      </c>
      <c r="X622" s="13">
        <v>1</v>
      </c>
      <c r="Y622" s="13">
        <v>0</v>
      </c>
      <c r="Z622" s="13">
        <v>0</v>
      </c>
      <c r="AA622" s="13">
        <v>1</v>
      </c>
      <c r="AB622" s="13">
        <v>0</v>
      </c>
    </row>
    <row r="623" spans="1:206" ht="13" x14ac:dyDescent="0.3">
      <c r="A623" s="13">
        <v>50</v>
      </c>
      <c r="B623" s="13">
        <v>0</v>
      </c>
      <c r="C623" s="13">
        <v>0</v>
      </c>
      <c r="D623" s="13">
        <v>1</v>
      </c>
      <c r="E623" s="13">
        <v>229</v>
      </c>
      <c r="F623" s="13">
        <f>ROUND(Source!AZ612,O623)</f>
        <v>506854.61</v>
      </c>
      <c r="G623" s="13" t="s">
        <v>135</v>
      </c>
      <c r="H623" s="13" t="s">
        <v>136</v>
      </c>
      <c r="I623" s="13"/>
      <c r="J623" s="13"/>
      <c r="K623" s="13">
        <v>229</v>
      </c>
      <c r="L623" s="13">
        <v>10</v>
      </c>
      <c r="M623" s="13">
        <v>3</v>
      </c>
      <c r="N623" s="13" t="s">
        <v>3</v>
      </c>
      <c r="O623" s="13">
        <v>2</v>
      </c>
      <c r="P623" s="13">
        <f>ROUND(Source!ER612,O623)</f>
        <v>3861290.61</v>
      </c>
      <c r="Q623" s="13"/>
      <c r="R623" s="13"/>
      <c r="S623" s="13"/>
      <c r="T623" s="13"/>
      <c r="U623" s="13"/>
      <c r="V623" s="13"/>
      <c r="W623" s="13">
        <v>506854.61</v>
      </c>
      <c r="X623" s="13">
        <v>1</v>
      </c>
      <c r="Y623" s="13">
        <v>506854.61</v>
      </c>
      <c r="Z623" s="13">
        <v>3861290.61</v>
      </c>
      <c r="AA623" s="13">
        <v>1</v>
      </c>
      <c r="AB623" s="13">
        <v>3861290.61</v>
      </c>
    </row>
    <row r="624" spans="1:206" ht="13" x14ac:dyDescent="0.3">
      <c r="A624" s="13">
        <v>50</v>
      </c>
      <c r="B624" s="13">
        <v>0</v>
      </c>
      <c r="C624" s="13">
        <v>0</v>
      </c>
      <c r="D624" s="13">
        <v>1</v>
      </c>
      <c r="E624" s="13">
        <v>203</v>
      </c>
      <c r="F624" s="13">
        <f>ROUND(Source!Q612,O624)</f>
        <v>1768.42</v>
      </c>
      <c r="G624" s="13" t="s">
        <v>137</v>
      </c>
      <c r="H624" s="13" t="s">
        <v>138</v>
      </c>
      <c r="I624" s="13"/>
      <c r="J624" s="13"/>
      <c r="K624" s="13">
        <v>203</v>
      </c>
      <c r="L624" s="13">
        <v>11</v>
      </c>
      <c r="M624" s="13">
        <v>3</v>
      </c>
      <c r="N624" s="13" t="s">
        <v>3</v>
      </c>
      <c r="O624" s="13">
        <v>2</v>
      </c>
      <c r="P624" s="13">
        <f>ROUND(Source!DI612,O624)</f>
        <v>24346.99</v>
      </c>
      <c r="Q624" s="13"/>
      <c r="R624" s="13"/>
      <c r="S624" s="13"/>
      <c r="T624" s="13"/>
      <c r="U624" s="13"/>
      <c r="V624" s="13"/>
      <c r="W624" s="13">
        <v>1768.42</v>
      </c>
      <c r="X624" s="13">
        <v>1</v>
      </c>
      <c r="Y624" s="13">
        <v>1768.42</v>
      </c>
      <c r="Z624" s="13">
        <v>24346.99</v>
      </c>
      <c r="AA624" s="13">
        <v>1</v>
      </c>
      <c r="AB624" s="13">
        <v>24346.99</v>
      </c>
    </row>
    <row r="625" spans="1:28" ht="13" x14ac:dyDescent="0.3">
      <c r="A625" s="13">
        <v>50</v>
      </c>
      <c r="B625" s="13">
        <v>0</v>
      </c>
      <c r="C625" s="13">
        <v>0</v>
      </c>
      <c r="D625" s="13">
        <v>1</v>
      </c>
      <c r="E625" s="13">
        <v>231</v>
      </c>
      <c r="F625" s="13">
        <f>ROUND(Source!BB612,O625)</f>
        <v>0</v>
      </c>
      <c r="G625" s="13" t="s">
        <v>139</v>
      </c>
      <c r="H625" s="13" t="s">
        <v>140</v>
      </c>
      <c r="I625" s="13"/>
      <c r="J625" s="13"/>
      <c r="K625" s="13">
        <v>231</v>
      </c>
      <c r="L625" s="13">
        <v>12</v>
      </c>
      <c r="M625" s="13">
        <v>3</v>
      </c>
      <c r="N625" s="13" t="s">
        <v>3</v>
      </c>
      <c r="O625" s="13">
        <v>2</v>
      </c>
      <c r="P625" s="13">
        <f>ROUND(Source!ET612,O625)</f>
        <v>0</v>
      </c>
      <c r="Q625" s="13"/>
      <c r="R625" s="13"/>
      <c r="S625" s="13"/>
      <c r="T625" s="13"/>
      <c r="U625" s="13"/>
      <c r="V625" s="13"/>
      <c r="W625" s="13">
        <v>0</v>
      </c>
      <c r="X625" s="13">
        <v>1</v>
      </c>
      <c r="Y625" s="13">
        <v>0</v>
      </c>
      <c r="Z625" s="13">
        <v>0</v>
      </c>
      <c r="AA625" s="13">
        <v>1</v>
      </c>
      <c r="AB625" s="13">
        <v>0</v>
      </c>
    </row>
    <row r="626" spans="1:28" ht="13" x14ac:dyDescent="0.3">
      <c r="A626" s="13">
        <v>50</v>
      </c>
      <c r="B626" s="13">
        <v>0</v>
      </c>
      <c r="C626" s="13">
        <v>0</v>
      </c>
      <c r="D626" s="13">
        <v>1</v>
      </c>
      <c r="E626" s="13">
        <v>204</v>
      </c>
      <c r="F626" s="13">
        <f>ROUND(Source!R612,O626)</f>
        <v>136.9</v>
      </c>
      <c r="G626" s="13" t="s">
        <v>141</v>
      </c>
      <c r="H626" s="13" t="s">
        <v>142</v>
      </c>
      <c r="I626" s="13"/>
      <c r="J626" s="13"/>
      <c r="K626" s="13">
        <v>204</v>
      </c>
      <c r="L626" s="13">
        <v>13</v>
      </c>
      <c r="M626" s="13">
        <v>3</v>
      </c>
      <c r="N626" s="13" t="s">
        <v>3</v>
      </c>
      <c r="O626" s="13">
        <v>2</v>
      </c>
      <c r="P626" s="13">
        <f>ROUND(Source!DJ612,O626)</f>
        <v>7714.3</v>
      </c>
      <c r="Q626" s="13"/>
      <c r="R626" s="13"/>
      <c r="S626" s="13"/>
      <c r="T626" s="13"/>
      <c r="U626" s="13"/>
      <c r="V626" s="13"/>
      <c r="W626" s="13">
        <v>136.9</v>
      </c>
      <c r="X626" s="13">
        <v>1</v>
      </c>
      <c r="Y626" s="13">
        <v>136.9</v>
      </c>
      <c r="Z626" s="13">
        <v>7714.3</v>
      </c>
      <c r="AA626" s="13">
        <v>1</v>
      </c>
      <c r="AB626" s="13">
        <v>7714.3</v>
      </c>
    </row>
    <row r="627" spans="1:28" ht="13" x14ac:dyDescent="0.3">
      <c r="A627" s="13">
        <v>50</v>
      </c>
      <c r="B627" s="13">
        <v>0</v>
      </c>
      <c r="C627" s="13">
        <v>0</v>
      </c>
      <c r="D627" s="13">
        <v>1</v>
      </c>
      <c r="E627" s="13">
        <v>205</v>
      </c>
      <c r="F627" s="13">
        <f>ROUND(Source!S612,O627)</f>
        <v>69476.92</v>
      </c>
      <c r="G627" s="13" t="s">
        <v>143</v>
      </c>
      <c r="H627" s="13" t="s">
        <v>144</v>
      </c>
      <c r="I627" s="13"/>
      <c r="J627" s="13"/>
      <c r="K627" s="13">
        <v>205</v>
      </c>
      <c r="L627" s="13">
        <v>14</v>
      </c>
      <c r="M627" s="13">
        <v>3</v>
      </c>
      <c r="N627" s="13" t="s">
        <v>3</v>
      </c>
      <c r="O627" s="13">
        <v>2</v>
      </c>
      <c r="P627" s="13">
        <f>ROUND(Source!DK612,O627)</f>
        <v>3915024.46</v>
      </c>
      <c r="Q627" s="13"/>
      <c r="R627" s="13"/>
      <c r="S627" s="13"/>
      <c r="T627" s="13"/>
      <c r="U627" s="13"/>
      <c r="V627" s="13"/>
      <c r="W627" s="13">
        <v>69476.92</v>
      </c>
      <c r="X627" s="13">
        <v>1</v>
      </c>
      <c r="Y627" s="13">
        <v>69476.92</v>
      </c>
      <c r="Z627" s="13">
        <v>3915024.46</v>
      </c>
      <c r="AA627" s="13">
        <v>1</v>
      </c>
      <c r="AB627" s="13">
        <v>3915024.46</v>
      </c>
    </row>
    <row r="628" spans="1:28" ht="13" x14ac:dyDescent="0.3">
      <c r="A628" s="13">
        <v>50</v>
      </c>
      <c r="B628" s="13">
        <v>0</v>
      </c>
      <c r="C628" s="13">
        <v>0</v>
      </c>
      <c r="D628" s="13">
        <v>1</v>
      </c>
      <c r="E628" s="13">
        <v>232</v>
      </c>
      <c r="F628" s="13">
        <f>ROUND(Source!BC612,O628)</f>
        <v>0</v>
      </c>
      <c r="G628" s="13" t="s">
        <v>145</v>
      </c>
      <c r="H628" s="13" t="s">
        <v>146</v>
      </c>
      <c r="I628" s="13"/>
      <c r="J628" s="13"/>
      <c r="K628" s="13">
        <v>232</v>
      </c>
      <c r="L628" s="13">
        <v>15</v>
      </c>
      <c r="M628" s="13">
        <v>3</v>
      </c>
      <c r="N628" s="13" t="s">
        <v>3</v>
      </c>
      <c r="O628" s="13">
        <v>2</v>
      </c>
      <c r="P628" s="13">
        <f>ROUND(Source!EU612,O628)</f>
        <v>0</v>
      </c>
      <c r="Q628" s="13"/>
      <c r="R628" s="13"/>
      <c r="S628" s="13"/>
      <c r="T628" s="13"/>
      <c r="U628" s="13"/>
      <c r="V628" s="13"/>
      <c r="W628" s="13">
        <v>0</v>
      </c>
      <c r="X628" s="13">
        <v>1</v>
      </c>
      <c r="Y628" s="13">
        <v>0</v>
      </c>
      <c r="Z628" s="13">
        <v>0</v>
      </c>
      <c r="AA628" s="13">
        <v>1</v>
      </c>
      <c r="AB628" s="13">
        <v>0</v>
      </c>
    </row>
    <row r="629" spans="1:28" ht="13" x14ac:dyDescent="0.3">
      <c r="A629" s="13">
        <v>50</v>
      </c>
      <c r="B629" s="13">
        <v>0</v>
      </c>
      <c r="C629" s="13">
        <v>0</v>
      </c>
      <c r="D629" s="13">
        <v>1</v>
      </c>
      <c r="E629" s="13">
        <v>214</v>
      </c>
      <c r="F629" s="13">
        <f>ROUND(Source!AS612,O629)</f>
        <v>3071.8</v>
      </c>
      <c r="G629" s="13" t="s">
        <v>147</v>
      </c>
      <c r="H629" s="13" t="s">
        <v>148</v>
      </c>
      <c r="I629" s="13"/>
      <c r="J629" s="13"/>
      <c r="K629" s="13">
        <v>214</v>
      </c>
      <c r="L629" s="13">
        <v>16</v>
      </c>
      <c r="M629" s="13">
        <v>3</v>
      </c>
      <c r="N629" s="13" t="s">
        <v>3</v>
      </c>
      <c r="O629" s="13">
        <v>2</v>
      </c>
      <c r="P629" s="13">
        <f>ROUND(Source!EK612,O629)</f>
        <v>173095.65</v>
      </c>
      <c r="Q629" s="13"/>
      <c r="R629" s="13"/>
      <c r="S629" s="13"/>
      <c r="T629" s="13"/>
      <c r="U629" s="13"/>
      <c r="V629" s="13"/>
      <c r="W629" s="13">
        <v>3071.8</v>
      </c>
      <c r="X629" s="13">
        <v>1</v>
      </c>
      <c r="Y629" s="13">
        <v>3071.8</v>
      </c>
      <c r="Z629" s="13">
        <v>173095.65</v>
      </c>
      <c r="AA629" s="13">
        <v>1</v>
      </c>
      <c r="AB629" s="13">
        <v>173095.65</v>
      </c>
    </row>
    <row r="630" spans="1:28" ht="13" x14ac:dyDescent="0.3">
      <c r="A630" s="13">
        <v>50</v>
      </c>
      <c r="B630" s="13">
        <v>0</v>
      </c>
      <c r="C630" s="13">
        <v>0</v>
      </c>
      <c r="D630" s="13">
        <v>1</v>
      </c>
      <c r="E630" s="13">
        <v>215</v>
      </c>
      <c r="F630" s="13">
        <f>ROUND(Source!AT612,O630)</f>
        <v>298150.87</v>
      </c>
      <c r="G630" s="13" t="s">
        <v>149</v>
      </c>
      <c r="H630" s="13" t="s">
        <v>150</v>
      </c>
      <c r="I630" s="13"/>
      <c r="J630" s="13"/>
      <c r="K630" s="13">
        <v>215</v>
      </c>
      <c r="L630" s="13">
        <v>17</v>
      </c>
      <c r="M630" s="13">
        <v>3</v>
      </c>
      <c r="N630" s="13" t="s">
        <v>3</v>
      </c>
      <c r="O630" s="13">
        <v>2</v>
      </c>
      <c r="P630" s="13">
        <f>ROUND(Source!EL612,O630)</f>
        <v>10274045.27</v>
      </c>
      <c r="Q630" s="13"/>
      <c r="R630" s="13"/>
      <c r="S630" s="13"/>
      <c r="T630" s="13"/>
      <c r="U630" s="13"/>
      <c r="V630" s="13"/>
      <c r="W630" s="13">
        <v>298150.87</v>
      </c>
      <c r="X630" s="13">
        <v>1</v>
      </c>
      <c r="Y630" s="13">
        <v>298150.87</v>
      </c>
      <c r="Z630" s="13">
        <v>10274045.27</v>
      </c>
      <c r="AA630" s="13">
        <v>1</v>
      </c>
      <c r="AB630" s="13">
        <v>10274045.27</v>
      </c>
    </row>
    <row r="631" spans="1:28" ht="13" x14ac:dyDescent="0.3">
      <c r="A631" s="13">
        <v>50</v>
      </c>
      <c r="B631" s="13">
        <v>0</v>
      </c>
      <c r="C631" s="13">
        <v>0</v>
      </c>
      <c r="D631" s="13">
        <v>1</v>
      </c>
      <c r="E631" s="13">
        <v>217</v>
      </c>
      <c r="F631" s="13">
        <f>ROUND(Source!AU612,O631)</f>
        <v>0</v>
      </c>
      <c r="G631" s="13" t="s">
        <v>151</v>
      </c>
      <c r="H631" s="13" t="s">
        <v>152</v>
      </c>
      <c r="I631" s="13"/>
      <c r="J631" s="13"/>
      <c r="K631" s="13">
        <v>217</v>
      </c>
      <c r="L631" s="13">
        <v>18</v>
      </c>
      <c r="M631" s="13">
        <v>3</v>
      </c>
      <c r="N631" s="13" t="s">
        <v>3</v>
      </c>
      <c r="O631" s="13">
        <v>2</v>
      </c>
      <c r="P631" s="13">
        <f>ROUND(Source!EM612,O631)</f>
        <v>0</v>
      </c>
      <c r="Q631" s="13"/>
      <c r="R631" s="13"/>
      <c r="S631" s="13"/>
      <c r="T631" s="13"/>
      <c r="U631" s="13"/>
      <c r="V631" s="13"/>
      <c r="W631" s="13">
        <v>0</v>
      </c>
      <c r="X631" s="13">
        <v>1</v>
      </c>
      <c r="Y631" s="13">
        <v>0</v>
      </c>
      <c r="Z631" s="13">
        <v>0</v>
      </c>
      <c r="AA631" s="13">
        <v>1</v>
      </c>
      <c r="AB631" s="13">
        <v>0</v>
      </c>
    </row>
    <row r="632" spans="1:28" ht="13" x14ac:dyDescent="0.3">
      <c r="A632" s="13">
        <v>50</v>
      </c>
      <c r="B632" s="13">
        <v>0</v>
      </c>
      <c r="C632" s="13">
        <v>0</v>
      </c>
      <c r="D632" s="13">
        <v>1</v>
      </c>
      <c r="E632" s="13">
        <v>230</v>
      </c>
      <c r="F632" s="13">
        <f>ROUND(Source!BA612,O632)</f>
        <v>0</v>
      </c>
      <c r="G632" s="13" t="s">
        <v>153</v>
      </c>
      <c r="H632" s="13" t="s">
        <v>154</v>
      </c>
      <c r="I632" s="13"/>
      <c r="J632" s="13"/>
      <c r="K632" s="13">
        <v>230</v>
      </c>
      <c r="L632" s="13">
        <v>19</v>
      </c>
      <c r="M632" s="13">
        <v>3</v>
      </c>
      <c r="N632" s="13" t="s">
        <v>3</v>
      </c>
      <c r="O632" s="13">
        <v>2</v>
      </c>
      <c r="P632" s="13">
        <f>ROUND(Source!ES612,O632)</f>
        <v>0</v>
      </c>
      <c r="Q632" s="13"/>
      <c r="R632" s="13"/>
      <c r="S632" s="13"/>
      <c r="T632" s="13"/>
      <c r="U632" s="13"/>
      <c r="V632" s="13"/>
      <c r="W632" s="13">
        <v>0</v>
      </c>
      <c r="X632" s="13">
        <v>1</v>
      </c>
      <c r="Y632" s="13">
        <v>0</v>
      </c>
      <c r="Z632" s="13">
        <v>0</v>
      </c>
      <c r="AA632" s="13">
        <v>1</v>
      </c>
      <c r="AB632" s="13">
        <v>0</v>
      </c>
    </row>
    <row r="633" spans="1:28" ht="13" x14ac:dyDescent="0.3">
      <c r="A633" s="13">
        <v>50</v>
      </c>
      <c r="B633" s="13">
        <v>0</v>
      </c>
      <c r="C633" s="13">
        <v>0</v>
      </c>
      <c r="D633" s="13">
        <v>1</v>
      </c>
      <c r="E633" s="13">
        <v>206</v>
      </c>
      <c r="F633" s="13">
        <f>ROUND(Source!T612,O633)</f>
        <v>0</v>
      </c>
      <c r="G633" s="13" t="s">
        <v>155</v>
      </c>
      <c r="H633" s="13" t="s">
        <v>156</v>
      </c>
      <c r="I633" s="13"/>
      <c r="J633" s="13"/>
      <c r="K633" s="13">
        <v>206</v>
      </c>
      <c r="L633" s="13">
        <v>20</v>
      </c>
      <c r="M633" s="13">
        <v>3</v>
      </c>
      <c r="N633" s="13" t="s">
        <v>3</v>
      </c>
      <c r="O633" s="13">
        <v>2</v>
      </c>
      <c r="P633" s="13">
        <f>ROUND(Source!DL612,O633)</f>
        <v>0</v>
      </c>
      <c r="Q633" s="13"/>
      <c r="R633" s="13"/>
      <c r="S633" s="13"/>
      <c r="T633" s="13"/>
      <c r="U633" s="13"/>
      <c r="V633" s="13"/>
      <c r="W633" s="13">
        <v>0</v>
      </c>
      <c r="X633" s="13">
        <v>1</v>
      </c>
      <c r="Y633" s="13">
        <v>0</v>
      </c>
      <c r="Z633" s="13">
        <v>0</v>
      </c>
      <c r="AA633" s="13">
        <v>1</v>
      </c>
      <c r="AB633" s="13">
        <v>0</v>
      </c>
    </row>
    <row r="634" spans="1:28" ht="13" x14ac:dyDescent="0.3">
      <c r="A634" s="13">
        <v>50</v>
      </c>
      <c r="B634" s="13">
        <v>0</v>
      </c>
      <c r="C634" s="13">
        <v>0</v>
      </c>
      <c r="D634" s="13">
        <v>1</v>
      </c>
      <c r="E634" s="13">
        <v>207</v>
      </c>
      <c r="F634" s="13">
        <f>Source!U612</f>
        <v>5666.8005989999992</v>
      </c>
      <c r="G634" s="13" t="s">
        <v>157</v>
      </c>
      <c r="H634" s="13" t="s">
        <v>158</v>
      </c>
      <c r="I634" s="13"/>
      <c r="J634" s="13"/>
      <c r="K634" s="13">
        <v>207</v>
      </c>
      <c r="L634" s="13">
        <v>21</v>
      </c>
      <c r="M634" s="13">
        <v>3</v>
      </c>
      <c r="N634" s="13" t="s">
        <v>3</v>
      </c>
      <c r="O634" s="13">
        <v>-1</v>
      </c>
      <c r="P634" s="13">
        <f>Source!DM612</f>
        <v>5666.8005989999992</v>
      </c>
      <c r="Q634" s="13"/>
      <c r="R634" s="13"/>
      <c r="S634" s="13"/>
      <c r="T634" s="13"/>
      <c r="U634" s="13"/>
      <c r="V634" s="13"/>
      <c r="W634" s="13">
        <v>5666.8005989999992</v>
      </c>
      <c r="X634" s="13">
        <v>1</v>
      </c>
      <c r="Y634" s="13">
        <v>5666.8005989999992</v>
      </c>
      <c r="Z634" s="13">
        <v>5666.8005989999992</v>
      </c>
      <c r="AA634" s="13">
        <v>1</v>
      </c>
      <c r="AB634" s="13">
        <v>5666.8005989999992</v>
      </c>
    </row>
    <row r="635" spans="1:28" ht="13" x14ac:dyDescent="0.3">
      <c r="A635" s="13">
        <v>50</v>
      </c>
      <c r="B635" s="13">
        <v>0</v>
      </c>
      <c r="C635" s="13">
        <v>0</v>
      </c>
      <c r="D635" s="13">
        <v>1</v>
      </c>
      <c r="E635" s="13">
        <v>208</v>
      </c>
      <c r="F635" s="13">
        <f>Source!V612</f>
        <v>0</v>
      </c>
      <c r="G635" s="13" t="s">
        <v>159</v>
      </c>
      <c r="H635" s="13" t="s">
        <v>160</v>
      </c>
      <c r="I635" s="13"/>
      <c r="J635" s="13"/>
      <c r="K635" s="13">
        <v>208</v>
      </c>
      <c r="L635" s="13">
        <v>22</v>
      </c>
      <c r="M635" s="13">
        <v>3</v>
      </c>
      <c r="N635" s="13" t="s">
        <v>3</v>
      </c>
      <c r="O635" s="13">
        <v>-1</v>
      </c>
      <c r="P635" s="13">
        <f>Source!DN612</f>
        <v>0</v>
      </c>
      <c r="Q635" s="13"/>
      <c r="R635" s="13"/>
      <c r="S635" s="13"/>
      <c r="T635" s="13"/>
      <c r="U635" s="13"/>
      <c r="V635" s="13"/>
      <c r="W635" s="13">
        <v>0</v>
      </c>
      <c r="X635" s="13">
        <v>1</v>
      </c>
      <c r="Y635" s="13">
        <v>0</v>
      </c>
      <c r="Z635" s="13">
        <v>0</v>
      </c>
      <c r="AA635" s="13">
        <v>1</v>
      </c>
      <c r="AB635" s="13">
        <v>0</v>
      </c>
    </row>
    <row r="636" spans="1:28" ht="13" x14ac:dyDescent="0.3">
      <c r="A636" s="13">
        <v>50</v>
      </c>
      <c r="B636" s="13">
        <v>0</v>
      </c>
      <c r="C636" s="13">
        <v>0</v>
      </c>
      <c r="D636" s="13">
        <v>1</v>
      </c>
      <c r="E636" s="13">
        <v>209</v>
      </c>
      <c r="F636" s="13">
        <f>ROUND(Source!W612,O636)</f>
        <v>0</v>
      </c>
      <c r="G636" s="13" t="s">
        <v>161</v>
      </c>
      <c r="H636" s="13" t="s">
        <v>162</v>
      </c>
      <c r="I636" s="13"/>
      <c r="J636" s="13"/>
      <c r="K636" s="13">
        <v>209</v>
      </c>
      <c r="L636" s="13">
        <v>23</v>
      </c>
      <c r="M636" s="13">
        <v>3</v>
      </c>
      <c r="N636" s="13" t="s">
        <v>3</v>
      </c>
      <c r="O636" s="13">
        <v>2</v>
      </c>
      <c r="P636" s="13">
        <f>ROUND(Source!DO612,O636)</f>
        <v>0</v>
      </c>
      <c r="Q636" s="13"/>
      <c r="R636" s="13"/>
      <c r="S636" s="13"/>
      <c r="T636" s="13"/>
      <c r="U636" s="13"/>
      <c r="V636" s="13"/>
      <c r="W636" s="13">
        <v>0</v>
      </c>
      <c r="X636" s="13">
        <v>1</v>
      </c>
      <c r="Y636" s="13">
        <v>0</v>
      </c>
      <c r="Z636" s="13">
        <v>0</v>
      </c>
      <c r="AA636" s="13">
        <v>1</v>
      </c>
      <c r="AB636" s="13">
        <v>0</v>
      </c>
    </row>
    <row r="637" spans="1:28" ht="13" x14ac:dyDescent="0.3">
      <c r="A637" s="13">
        <v>50</v>
      </c>
      <c r="B637" s="13">
        <v>0</v>
      </c>
      <c r="C637" s="13">
        <v>0</v>
      </c>
      <c r="D637" s="13">
        <v>1</v>
      </c>
      <c r="E637" s="13">
        <v>233</v>
      </c>
      <c r="F637" s="13">
        <f>ROUND(Source!BD612,O637)</f>
        <v>0</v>
      </c>
      <c r="G637" s="13" t="s">
        <v>163</v>
      </c>
      <c r="H637" s="13" t="s">
        <v>164</v>
      </c>
      <c r="I637" s="13"/>
      <c r="J637" s="13"/>
      <c r="K637" s="13">
        <v>233</v>
      </c>
      <c r="L637" s="13">
        <v>24</v>
      </c>
      <c r="M637" s="13">
        <v>3</v>
      </c>
      <c r="N637" s="13" t="s">
        <v>3</v>
      </c>
      <c r="O637" s="13">
        <v>2</v>
      </c>
      <c r="P637" s="13">
        <f>ROUND(Source!EV612,O637)</f>
        <v>0</v>
      </c>
      <c r="Q637" s="13"/>
      <c r="R637" s="13"/>
      <c r="S637" s="13"/>
      <c r="T637" s="13"/>
      <c r="U637" s="13"/>
      <c r="V637" s="13"/>
      <c r="W637" s="13">
        <v>0</v>
      </c>
      <c r="X637" s="13">
        <v>1</v>
      </c>
      <c r="Y637" s="13">
        <v>0</v>
      </c>
      <c r="Z637" s="13">
        <v>0</v>
      </c>
      <c r="AA637" s="13">
        <v>1</v>
      </c>
      <c r="AB637" s="13">
        <v>0</v>
      </c>
    </row>
    <row r="638" spans="1:28" ht="13" x14ac:dyDescent="0.3">
      <c r="A638" s="13">
        <v>50</v>
      </c>
      <c r="B638" s="13">
        <v>0</v>
      </c>
      <c r="C638" s="13">
        <v>0</v>
      </c>
      <c r="D638" s="13">
        <v>1</v>
      </c>
      <c r="E638" s="13">
        <v>210</v>
      </c>
      <c r="F638" s="13">
        <f>ROUND(Source!X612,O638)</f>
        <v>62893.27</v>
      </c>
      <c r="G638" s="13" t="s">
        <v>165</v>
      </c>
      <c r="H638" s="13" t="s">
        <v>166</v>
      </c>
      <c r="I638" s="13"/>
      <c r="J638" s="13"/>
      <c r="K638" s="13">
        <v>210</v>
      </c>
      <c r="L638" s="13">
        <v>25</v>
      </c>
      <c r="M638" s="13">
        <v>3</v>
      </c>
      <c r="N638" s="13" t="s">
        <v>3</v>
      </c>
      <c r="O638" s="13">
        <v>2</v>
      </c>
      <c r="P638" s="13">
        <f>ROUND(Source!DP612,O638)</f>
        <v>3544034.03</v>
      </c>
      <c r="Q638" s="13"/>
      <c r="R638" s="13"/>
      <c r="S638" s="13"/>
      <c r="T638" s="13"/>
      <c r="U638" s="13"/>
      <c r="V638" s="13"/>
      <c r="W638" s="13">
        <v>62893.27</v>
      </c>
      <c r="X638" s="13">
        <v>1</v>
      </c>
      <c r="Y638" s="13">
        <v>62893.27</v>
      </c>
      <c r="Z638" s="13">
        <v>3544034.03</v>
      </c>
      <c r="AA638" s="13">
        <v>1</v>
      </c>
      <c r="AB638" s="13">
        <v>3544034.03</v>
      </c>
    </row>
    <row r="639" spans="1:28" ht="13" x14ac:dyDescent="0.3">
      <c r="A639" s="13">
        <v>50</v>
      </c>
      <c r="B639" s="13">
        <v>0</v>
      </c>
      <c r="C639" s="13">
        <v>0</v>
      </c>
      <c r="D639" s="13">
        <v>1</v>
      </c>
      <c r="E639" s="13">
        <v>211</v>
      </c>
      <c r="F639" s="13">
        <f>ROUND(Source!Y612,O639)</f>
        <v>32264.82</v>
      </c>
      <c r="G639" s="13" t="s">
        <v>167</v>
      </c>
      <c r="H639" s="13" t="s">
        <v>168</v>
      </c>
      <c r="I639" s="13"/>
      <c r="J639" s="13"/>
      <c r="K639" s="13">
        <v>211</v>
      </c>
      <c r="L639" s="13">
        <v>26</v>
      </c>
      <c r="M639" s="13">
        <v>3</v>
      </c>
      <c r="N639" s="13" t="s">
        <v>3</v>
      </c>
      <c r="O639" s="13">
        <v>2</v>
      </c>
      <c r="P639" s="13">
        <f>ROUND(Source!DQ612,O639)</f>
        <v>1818122.35</v>
      </c>
      <c r="Q639" s="13"/>
      <c r="R639" s="13"/>
      <c r="S639" s="13"/>
      <c r="T639" s="13"/>
      <c r="U639" s="13"/>
      <c r="V639" s="13"/>
      <c r="W639" s="13">
        <v>32264.82</v>
      </c>
      <c r="X639" s="13">
        <v>1</v>
      </c>
      <c r="Y639" s="13">
        <v>32264.82</v>
      </c>
      <c r="Z639" s="13">
        <v>1818122.35</v>
      </c>
      <c r="AA639" s="13">
        <v>1</v>
      </c>
      <c r="AB639" s="13">
        <v>1818122.35</v>
      </c>
    </row>
    <row r="640" spans="1:28" ht="13" x14ac:dyDescent="0.3">
      <c r="A640" s="13">
        <v>50</v>
      </c>
      <c r="B640" s="13">
        <v>0</v>
      </c>
      <c r="C640" s="13">
        <v>0</v>
      </c>
      <c r="D640" s="13">
        <v>1</v>
      </c>
      <c r="E640" s="13">
        <v>224</v>
      </c>
      <c r="F640" s="13">
        <f>ROUND(Source!AR612,O640)</f>
        <v>808077.28</v>
      </c>
      <c r="G640" s="13" t="s">
        <v>169</v>
      </c>
      <c r="H640" s="13" t="s">
        <v>170</v>
      </c>
      <c r="I640" s="13"/>
      <c r="J640" s="13"/>
      <c r="K640" s="13">
        <v>224</v>
      </c>
      <c r="L640" s="13">
        <v>27</v>
      </c>
      <c r="M640" s="13">
        <v>3</v>
      </c>
      <c r="N640" s="13" t="s">
        <v>3</v>
      </c>
      <c r="O640" s="13">
        <v>2</v>
      </c>
      <c r="P640" s="13">
        <f>ROUND(Source!EJ612,O640)</f>
        <v>14308431.529999999</v>
      </c>
      <c r="Q640" s="13"/>
      <c r="R640" s="13"/>
      <c r="S640" s="13"/>
      <c r="T640" s="13"/>
      <c r="U640" s="13"/>
      <c r="V640" s="13"/>
      <c r="W640" s="13">
        <v>808077.28</v>
      </c>
      <c r="X640" s="13">
        <v>1</v>
      </c>
      <c r="Y640" s="13">
        <v>808077.28</v>
      </c>
      <c r="Z640" s="13">
        <v>14308431.529999999</v>
      </c>
      <c r="AA640" s="13">
        <v>1</v>
      </c>
      <c r="AB640" s="13">
        <v>14308431.529999999</v>
      </c>
    </row>
    <row r="641" spans="1:50" ht="13" x14ac:dyDescent="0.3">
      <c r="A641" s="13">
        <v>50</v>
      </c>
      <c r="B641" s="13">
        <v>1</v>
      </c>
      <c r="C641" s="13">
        <v>0</v>
      </c>
      <c r="D641" s="13">
        <v>2</v>
      </c>
      <c r="E641" s="13">
        <v>0</v>
      </c>
      <c r="F641" s="13">
        <f>ROUND(F640,O641)</f>
        <v>808077.28</v>
      </c>
      <c r="G641" s="13" t="s">
        <v>436</v>
      </c>
      <c r="H641" s="13" t="s">
        <v>437</v>
      </c>
      <c r="I641" s="13"/>
      <c r="J641" s="13"/>
      <c r="K641" s="13">
        <v>212</v>
      </c>
      <c r="L641" s="13">
        <v>28</v>
      </c>
      <c r="M641" s="13">
        <v>0</v>
      </c>
      <c r="N641" s="13" t="s">
        <v>3</v>
      </c>
      <c r="O641" s="13">
        <v>2</v>
      </c>
      <c r="P641" s="13">
        <f>ROUND(P640,O641)</f>
        <v>14308431.529999999</v>
      </c>
      <c r="Q641" s="13"/>
      <c r="R641" s="13"/>
      <c r="S641" s="13"/>
      <c r="T641" s="13"/>
      <c r="U641" s="13"/>
      <c r="V641" s="13"/>
      <c r="W641" s="13">
        <v>808077.28</v>
      </c>
      <c r="X641" s="13">
        <v>1</v>
      </c>
      <c r="Y641" s="13">
        <v>808077.28</v>
      </c>
      <c r="Z641" s="13">
        <v>14308431.529999999</v>
      </c>
      <c r="AA641" s="13">
        <v>1</v>
      </c>
      <c r="AB641" s="13">
        <v>14308431.529999999</v>
      </c>
    </row>
    <row r="642" spans="1:50" ht="13" x14ac:dyDescent="0.3">
      <c r="A642" s="13">
        <v>50</v>
      </c>
      <c r="B642" s="13">
        <v>0</v>
      </c>
      <c r="C642" s="13">
        <v>0</v>
      </c>
      <c r="D642" s="13">
        <v>2</v>
      </c>
      <c r="E642" s="13">
        <v>0</v>
      </c>
      <c r="F642" s="13">
        <f>ROUND(F641*0.2,O642)</f>
        <v>161615.46</v>
      </c>
      <c r="G642" s="13" t="s">
        <v>438</v>
      </c>
      <c r="H642" s="13" t="s">
        <v>439</v>
      </c>
      <c r="I642" s="13"/>
      <c r="J642" s="13"/>
      <c r="K642" s="13">
        <v>212</v>
      </c>
      <c r="L642" s="13">
        <v>29</v>
      </c>
      <c r="M642" s="13">
        <v>3</v>
      </c>
      <c r="N642" s="13" t="s">
        <v>3</v>
      </c>
      <c r="O642" s="13">
        <v>2</v>
      </c>
      <c r="P642" s="13">
        <f>ROUND(P641*0.2,O642)</f>
        <v>2861686.31</v>
      </c>
      <c r="Q642" s="13"/>
      <c r="R642" s="13"/>
      <c r="S642" s="13"/>
      <c r="T642" s="13"/>
      <c r="U642" s="13"/>
      <c r="V642" s="13"/>
      <c r="W642" s="13">
        <v>161615.46</v>
      </c>
      <c r="X642" s="13">
        <v>1</v>
      </c>
      <c r="Y642" s="13">
        <v>161615.46</v>
      </c>
      <c r="Z642" s="13">
        <v>2861686.31</v>
      </c>
      <c r="AA642" s="13">
        <v>1</v>
      </c>
      <c r="AB642" s="13">
        <v>2861686.31</v>
      </c>
    </row>
    <row r="643" spans="1:50" ht="13" x14ac:dyDescent="0.3">
      <c r="A643" s="13">
        <v>50</v>
      </c>
      <c r="B643" s="13">
        <v>0</v>
      </c>
      <c r="C643" s="13">
        <v>0</v>
      </c>
      <c r="D643" s="13">
        <v>2</v>
      </c>
      <c r="E643" s="13">
        <v>213</v>
      </c>
      <c r="F643" s="13">
        <f>ROUND(F641+F642,O643)</f>
        <v>969692.74</v>
      </c>
      <c r="G643" s="13" t="s">
        <v>440</v>
      </c>
      <c r="H643" s="13" t="s">
        <v>169</v>
      </c>
      <c r="I643" s="13"/>
      <c r="J643" s="13"/>
      <c r="K643" s="13">
        <v>212</v>
      </c>
      <c r="L643" s="13">
        <v>30</v>
      </c>
      <c r="M643" s="13">
        <v>3</v>
      </c>
      <c r="N643" s="13" t="s">
        <v>3</v>
      </c>
      <c r="O643" s="13">
        <v>2</v>
      </c>
      <c r="P643" s="13">
        <f>ROUND(P641+P642,O643)</f>
        <v>17170117.84</v>
      </c>
      <c r="Q643" s="13"/>
      <c r="R643" s="13"/>
      <c r="S643" s="13"/>
      <c r="T643" s="13"/>
      <c r="U643" s="13"/>
      <c r="V643" s="13"/>
      <c r="W643" s="13">
        <v>969692.74</v>
      </c>
      <c r="X643" s="13">
        <v>1</v>
      </c>
      <c r="Y643" s="13">
        <v>969692.74</v>
      </c>
      <c r="Z643" s="13">
        <v>17170117.84</v>
      </c>
      <c r="AA643" s="13">
        <v>1</v>
      </c>
      <c r="AB643" s="13">
        <v>17170117.84</v>
      </c>
    </row>
    <row r="646" spans="1:50" x14ac:dyDescent="0.25">
      <c r="A646" s="3">
        <v>70</v>
      </c>
      <c r="B646" s="3">
        <v>1</v>
      </c>
      <c r="D646" s="3">
        <v>1</v>
      </c>
      <c r="E646" s="3" t="s">
        <v>441</v>
      </c>
      <c r="F646" s="3" t="s">
        <v>442</v>
      </c>
      <c r="G646" s="3">
        <v>0</v>
      </c>
      <c r="H646" s="3">
        <v>0</v>
      </c>
      <c r="I646" s="3" t="s">
        <v>3</v>
      </c>
      <c r="J646" s="3">
        <v>1</v>
      </c>
      <c r="K646" s="3">
        <v>0</v>
      </c>
      <c r="L646" s="3" t="s">
        <v>3</v>
      </c>
      <c r="M646" s="3" t="s">
        <v>3</v>
      </c>
      <c r="N646" s="3">
        <v>0</v>
      </c>
      <c r="O646" s="3">
        <v>0</v>
      </c>
      <c r="P646" s="3" t="s">
        <v>3</v>
      </c>
    </row>
    <row r="647" spans="1:50" x14ac:dyDescent="0.25">
      <c r="A647" s="3">
        <v>70</v>
      </c>
      <c r="B647" s="3">
        <v>1</v>
      </c>
      <c r="D647" s="3">
        <v>2</v>
      </c>
      <c r="E647" s="3" t="s">
        <v>443</v>
      </c>
      <c r="F647" s="3" t="s">
        <v>444</v>
      </c>
      <c r="G647" s="3">
        <v>1</v>
      </c>
      <c r="H647" s="3">
        <v>0</v>
      </c>
      <c r="I647" s="3" t="s">
        <v>3</v>
      </c>
      <c r="J647" s="3">
        <v>1</v>
      </c>
      <c r="K647" s="3">
        <v>0</v>
      </c>
      <c r="L647" s="3" t="s">
        <v>3</v>
      </c>
      <c r="M647" s="3" t="s">
        <v>3</v>
      </c>
      <c r="N647" s="3">
        <v>0</v>
      </c>
      <c r="O647" s="3">
        <v>1</v>
      </c>
      <c r="P647" s="3" t="s">
        <v>3</v>
      </c>
    </row>
    <row r="648" spans="1:50" x14ac:dyDescent="0.25">
      <c r="A648" s="3">
        <v>70</v>
      </c>
      <c r="B648" s="3">
        <v>1</v>
      </c>
      <c r="D648" s="3">
        <v>3</v>
      </c>
      <c r="E648" s="3" t="s">
        <v>445</v>
      </c>
      <c r="F648" s="3" t="s">
        <v>446</v>
      </c>
      <c r="G648" s="3">
        <v>1</v>
      </c>
      <c r="H648" s="3">
        <v>0</v>
      </c>
      <c r="I648" s="3" t="s">
        <v>3</v>
      </c>
      <c r="J648" s="3">
        <v>0</v>
      </c>
      <c r="K648" s="3">
        <v>0</v>
      </c>
      <c r="L648" s="3" t="s">
        <v>3</v>
      </c>
      <c r="M648" s="3" t="s">
        <v>3</v>
      </c>
      <c r="N648" s="3">
        <v>0</v>
      </c>
      <c r="O648" s="3">
        <v>1</v>
      </c>
      <c r="P648" s="3" t="s">
        <v>3</v>
      </c>
    </row>
    <row r="649" spans="1:50" x14ac:dyDescent="0.25">
      <c r="A649" s="3">
        <v>70</v>
      </c>
      <c r="B649" s="3">
        <v>1</v>
      </c>
      <c r="D649" s="3">
        <v>4</v>
      </c>
      <c r="E649" s="3" t="s">
        <v>447</v>
      </c>
      <c r="F649" s="3" t="s">
        <v>448</v>
      </c>
      <c r="G649" s="3">
        <v>1</v>
      </c>
      <c r="H649" s="3">
        <v>0</v>
      </c>
      <c r="I649" s="3" t="s">
        <v>3</v>
      </c>
      <c r="J649" s="3">
        <v>0</v>
      </c>
      <c r="K649" s="3">
        <v>0</v>
      </c>
      <c r="L649" s="3" t="s">
        <v>3</v>
      </c>
      <c r="M649" s="3" t="s">
        <v>3</v>
      </c>
      <c r="N649" s="3">
        <v>0</v>
      </c>
      <c r="O649" s="3">
        <v>1</v>
      </c>
      <c r="P649" s="3" t="s">
        <v>3</v>
      </c>
    </row>
    <row r="650" spans="1:50" x14ac:dyDescent="0.25">
      <c r="A650" s="3">
        <v>70</v>
      </c>
      <c r="B650" s="3">
        <v>1</v>
      </c>
      <c r="D650" s="3">
        <v>5</v>
      </c>
      <c r="E650" s="3" t="s">
        <v>449</v>
      </c>
      <c r="F650" s="3" t="s">
        <v>450</v>
      </c>
      <c r="G650" s="3">
        <v>0</v>
      </c>
      <c r="H650" s="3">
        <v>0</v>
      </c>
      <c r="I650" s="3" t="s">
        <v>3</v>
      </c>
      <c r="J650" s="3">
        <v>0</v>
      </c>
      <c r="K650" s="3">
        <v>0</v>
      </c>
      <c r="L650" s="3" t="s">
        <v>3</v>
      </c>
      <c r="M650" s="3" t="s">
        <v>3</v>
      </c>
      <c r="N650" s="3">
        <v>0</v>
      </c>
      <c r="O650" s="3">
        <v>0</v>
      </c>
      <c r="P650" s="3" t="s">
        <v>3</v>
      </c>
    </row>
    <row r="652" spans="1:50" x14ac:dyDescent="0.25">
      <c r="A652" s="3">
        <v>-1</v>
      </c>
    </row>
    <row r="654" spans="1:50" ht="13" x14ac:dyDescent="0.3">
      <c r="A654" s="12">
        <v>75</v>
      </c>
      <c r="B654" s="12" t="s">
        <v>451</v>
      </c>
      <c r="C654" s="12">
        <v>2026</v>
      </c>
      <c r="D654" s="12">
        <v>1</v>
      </c>
      <c r="E654" s="12">
        <v>0</v>
      </c>
      <c r="F654" s="12"/>
      <c r="G654" s="12">
        <v>0</v>
      </c>
      <c r="H654" s="12">
        <v>1</v>
      </c>
      <c r="I654" s="12">
        <v>1</v>
      </c>
      <c r="J654" s="12">
        <v>1</v>
      </c>
      <c r="K654" s="12">
        <v>0</v>
      </c>
      <c r="L654" s="12">
        <v>0</v>
      </c>
      <c r="M654" s="12">
        <v>1</v>
      </c>
      <c r="N654" s="12">
        <v>57034454</v>
      </c>
      <c r="O654" s="12">
        <v>1</v>
      </c>
    </row>
    <row r="655" spans="1:50" x14ac:dyDescent="0.25">
      <c r="A655" s="14">
        <v>1</v>
      </c>
      <c r="B655" s="14" t="s">
        <v>452</v>
      </c>
      <c r="C655" s="14" t="s">
        <v>453</v>
      </c>
      <c r="D655" s="14">
        <v>2026</v>
      </c>
      <c r="E655" s="14">
        <v>1</v>
      </c>
      <c r="F655" s="14">
        <v>1</v>
      </c>
      <c r="G655" s="14">
        <v>1</v>
      </c>
      <c r="H655" s="14">
        <v>0</v>
      </c>
      <c r="I655" s="14">
        <v>2</v>
      </c>
      <c r="J655" s="14">
        <v>1</v>
      </c>
      <c r="K655" s="14">
        <v>9.84</v>
      </c>
      <c r="L655" s="14">
        <v>7.57</v>
      </c>
      <c r="M655" s="14">
        <v>1</v>
      </c>
      <c r="N655" s="14">
        <v>1</v>
      </c>
      <c r="O655" s="14">
        <v>9.84</v>
      </c>
      <c r="P655" s="14">
        <v>7.57</v>
      </c>
      <c r="Q655" s="14">
        <v>1</v>
      </c>
      <c r="R655" s="14" t="s">
        <v>3</v>
      </c>
      <c r="S655" s="14" t="s">
        <v>3</v>
      </c>
      <c r="T655" s="14" t="s">
        <v>3</v>
      </c>
      <c r="U655" s="14" t="s">
        <v>3</v>
      </c>
      <c r="V655" s="14" t="s">
        <v>3</v>
      </c>
      <c r="W655" s="14" t="s">
        <v>3</v>
      </c>
      <c r="X655" s="14" t="s">
        <v>3</v>
      </c>
      <c r="Y655" s="14" t="s">
        <v>3</v>
      </c>
      <c r="Z655" s="14" t="s">
        <v>3</v>
      </c>
      <c r="AA655" s="14" t="s">
        <v>454</v>
      </c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>
        <v>57034455</v>
      </c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</row>
    <row r="656" spans="1:50" x14ac:dyDescent="0.25">
      <c r="A656" s="14">
        <v>1</v>
      </c>
      <c r="B656" s="14" t="s">
        <v>452</v>
      </c>
      <c r="C656" s="14" t="s">
        <v>455</v>
      </c>
      <c r="D656" s="14">
        <v>2026</v>
      </c>
      <c r="E656" s="14">
        <v>1</v>
      </c>
      <c r="F656" s="14">
        <v>1</v>
      </c>
      <c r="G656" s="14">
        <v>1</v>
      </c>
      <c r="H656" s="14">
        <v>0</v>
      </c>
      <c r="I656" s="14">
        <v>2</v>
      </c>
      <c r="J656" s="14">
        <v>1</v>
      </c>
      <c r="K656" s="14">
        <v>1</v>
      </c>
      <c r="L656" s="14">
        <v>1</v>
      </c>
      <c r="M656" s="14">
        <v>1</v>
      </c>
      <c r="N656" s="14">
        <v>1</v>
      </c>
      <c r="O656" s="14">
        <v>1</v>
      </c>
      <c r="P656" s="14">
        <v>1</v>
      </c>
      <c r="Q656" s="14">
        <v>1</v>
      </c>
      <c r="R656" s="14" t="s">
        <v>3</v>
      </c>
      <c r="S656" s="14" t="s">
        <v>3</v>
      </c>
      <c r="T656" s="14" t="s">
        <v>3</v>
      </c>
      <c r="U656" s="14" t="s">
        <v>3</v>
      </c>
      <c r="V656" s="14" t="s">
        <v>3</v>
      </c>
      <c r="W656" s="14" t="s">
        <v>3</v>
      </c>
      <c r="X656" s="14" t="s">
        <v>3</v>
      </c>
      <c r="Y656" s="14" t="s">
        <v>3</v>
      </c>
      <c r="Z656" s="14" t="s">
        <v>3</v>
      </c>
      <c r="AA656" s="14" t="s">
        <v>456</v>
      </c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>
        <v>57034456</v>
      </c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</row>
    <row r="657" spans="1:50" ht="13" x14ac:dyDescent="0.3">
      <c r="A657" s="12">
        <v>75</v>
      </c>
      <c r="B657" s="12" t="s">
        <v>457</v>
      </c>
      <c r="C657" s="12">
        <v>2000</v>
      </c>
      <c r="D657" s="12">
        <v>0</v>
      </c>
      <c r="E657" s="12">
        <v>1</v>
      </c>
      <c r="F657" s="12">
        <v>0</v>
      </c>
      <c r="G657" s="12">
        <v>0</v>
      </c>
      <c r="H657" s="12">
        <v>1</v>
      </c>
      <c r="I657" s="12">
        <v>1</v>
      </c>
      <c r="J657" s="12">
        <v>3</v>
      </c>
      <c r="K657" s="12">
        <v>0</v>
      </c>
      <c r="L657" s="12">
        <v>0</v>
      </c>
      <c r="M657" s="12">
        <v>0</v>
      </c>
      <c r="N657" s="12">
        <v>57034452</v>
      </c>
      <c r="O657" s="12">
        <v>2</v>
      </c>
    </row>
    <row r="658" spans="1:50" x14ac:dyDescent="0.25">
      <c r="A658" s="14">
        <v>1</v>
      </c>
      <c r="B658" s="14" t="s">
        <v>452</v>
      </c>
      <c r="C658" s="14" t="s">
        <v>453</v>
      </c>
      <c r="D658" s="14">
        <v>2000</v>
      </c>
      <c r="E658" s="14">
        <v>1</v>
      </c>
      <c r="F658" s="14">
        <v>1</v>
      </c>
      <c r="G658" s="14">
        <v>1</v>
      </c>
      <c r="H658" s="14">
        <v>0</v>
      </c>
      <c r="I658" s="14">
        <v>2</v>
      </c>
      <c r="J658" s="14">
        <v>1</v>
      </c>
      <c r="K658" s="14">
        <v>1</v>
      </c>
      <c r="L658" s="14">
        <v>1</v>
      </c>
      <c r="M658" s="14">
        <v>1</v>
      </c>
      <c r="N658" s="14">
        <v>1</v>
      </c>
      <c r="O658" s="14">
        <v>1</v>
      </c>
      <c r="P658" s="14">
        <v>1</v>
      </c>
      <c r="Q658" s="14">
        <v>1</v>
      </c>
      <c r="R658" s="14" t="s">
        <v>3</v>
      </c>
      <c r="S658" s="14" t="s">
        <v>3</v>
      </c>
      <c r="T658" s="14" t="s">
        <v>3</v>
      </c>
      <c r="U658" s="14" t="s">
        <v>3</v>
      </c>
      <c r="V658" s="14" t="s">
        <v>3</v>
      </c>
      <c r="W658" s="14" t="s">
        <v>3</v>
      </c>
      <c r="X658" s="14" t="s">
        <v>3</v>
      </c>
      <c r="Y658" s="14" t="s">
        <v>3</v>
      </c>
      <c r="Z658" s="14" t="s">
        <v>3</v>
      </c>
      <c r="AA658" s="14" t="s">
        <v>347</v>
      </c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>
        <v>57034453</v>
      </c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</row>
    <row r="662" spans="1:50" x14ac:dyDescent="0.25">
      <c r="A662" s="3">
        <v>65</v>
      </c>
      <c r="C662" s="3">
        <v>1</v>
      </c>
      <c r="D662" s="3">
        <v>0</v>
      </c>
      <c r="E662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458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54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9</v>
      </c>
      <c r="AD12" s="1" t="s">
        <v>10</v>
      </c>
      <c r="AE12" s="1" t="s">
        <v>11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12</v>
      </c>
      <c r="BI12" s="1" t="s">
        <v>13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14</v>
      </c>
      <c r="BZ12" s="1" t="s">
        <v>15</v>
      </c>
      <c r="CA12" s="1" t="s">
        <v>16</v>
      </c>
      <c r="CB12" s="1" t="s">
        <v>16</v>
      </c>
      <c r="CC12" s="1" t="s">
        <v>16</v>
      </c>
      <c r="CD12" s="1" t="s">
        <v>16</v>
      </c>
      <c r="CE12" s="1" t="s">
        <v>17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18</v>
      </c>
      <c r="CR12" s="1" t="s">
        <v>19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57034454</v>
      </c>
      <c r="E14" s="1">
        <v>57034452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20</v>
      </c>
      <c r="E16" s="8">
        <f>ROUND((Source!P596)/1000,2)</f>
        <v>173.1</v>
      </c>
      <c r="F16" s="8">
        <f>ROUND((Source!P597)/1000,2)</f>
        <v>10274.049999999999</v>
      </c>
      <c r="G16" s="8">
        <f>ROUND((Source!P588)/1000,2)</f>
        <v>3861.29</v>
      </c>
      <c r="H16" s="8">
        <f>ROUND((Source!P598)/1000+(Source!P599)/1000,2)</f>
        <v>0</v>
      </c>
      <c r="I16" s="8">
        <f>E16+F16+G16+H16</f>
        <v>14308.439999999999</v>
      </c>
      <c r="J16" s="8">
        <f>ROUND((Source!P594+Source!P593)/1000,2)</f>
        <v>3922.74</v>
      </c>
      <c r="K16" s="8">
        <v>13953.18</v>
      </c>
      <c r="L16" s="8">
        <v>0</v>
      </c>
      <c r="M16" s="8">
        <v>0</v>
      </c>
      <c r="N16" s="8">
        <f>I16+L16+M16</f>
        <v>14308.439999999999</v>
      </c>
      <c r="T16" s="9">
        <f>ROUND((Source!F596)/1000,2)</f>
        <v>3.07</v>
      </c>
      <c r="U16" s="9">
        <f>ROUND((Source!F597)/1000,2)</f>
        <v>298.14999999999998</v>
      </c>
      <c r="V16" s="9">
        <f>ROUND((Source!F588)/1000,2)</f>
        <v>506.85</v>
      </c>
      <c r="W16" s="9">
        <f>ROUND((Source!F598)/1000+(Source!F599)/1000,2)</f>
        <v>0</v>
      </c>
      <c r="X16" s="9">
        <f>T16+U16+V16+W16</f>
        <v>808.06999999999994</v>
      </c>
      <c r="Y16" s="9">
        <f>ROUND((Source!F594+Source!F593)/1000,2)</f>
        <v>69.61</v>
      </c>
      <c r="Z16" s="9">
        <v>1354.59</v>
      </c>
      <c r="AA16" s="9">
        <v>0</v>
      </c>
      <c r="AB16" s="9">
        <v>0</v>
      </c>
      <c r="AC16" s="9">
        <f>X16+AA16+AB16</f>
        <v>808.06999999999994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8946275.1500000004</v>
      </c>
      <c r="AU16" s="8">
        <v>5006903.7</v>
      </c>
      <c r="AV16" s="8">
        <v>0</v>
      </c>
      <c r="AW16" s="8">
        <v>3861290.61</v>
      </c>
      <c r="AX16" s="8">
        <v>0</v>
      </c>
      <c r="AY16" s="8">
        <v>24346.99</v>
      </c>
      <c r="AZ16" s="8">
        <v>7714.3</v>
      </c>
      <c r="BA16" s="8">
        <v>3915024.46</v>
      </c>
      <c r="BB16" s="8">
        <v>173095.65</v>
      </c>
      <c r="BC16" s="8">
        <v>10274045.27</v>
      </c>
      <c r="BD16" s="8">
        <v>0</v>
      </c>
      <c r="BE16" s="8">
        <v>0</v>
      </c>
      <c r="BF16" s="8">
        <v>5666.8005989999992</v>
      </c>
      <c r="BG16" s="8">
        <v>0</v>
      </c>
      <c r="BH16" s="8">
        <v>0</v>
      </c>
      <c r="BI16" s="8">
        <v>3544034.03</v>
      </c>
      <c r="BJ16" s="8">
        <v>1818122.35</v>
      </c>
      <c r="BK16" s="8">
        <v>14308431.529999999</v>
      </c>
      <c r="BR16" s="9">
        <v>712919.19</v>
      </c>
      <c r="BS16" s="9">
        <v>641673.85</v>
      </c>
      <c r="BT16" s="9">
        <v>0</v>
      </c>
      <c r="BU16" s="9">
        <v>506854.61</v>
      </c>
      <c r="BV16" s="9">
        <v>0</v>
      </c>
      <c r="BW16" s="9">
        <v>1768.42</v>
      </c>
      <c r="BX16" s="9">
        <v>136.9</v>
      </c>
      <c r="BY16" s="9">
        <v>69476.92</v>
      </c>
      <c r="BZ16" s="9">
        <v>3071.8</v>
      </c>
      <c r="CA16" s="9">
        <v>298150.87</v>
      </c>
      <c r="CB16" s="9">
        <v>0</v>
      </c>
      <c r="CC16" s="9">
        <v>0</v>
      </c>
      <c r="CD16" s="9">
        <v>5666.8005989999992</v>
      </c>
      <c r="CE16" s="9">
        <v>0</v>
      </c>
      <c r="CF16" s="9">
        <v>0</v>
      </c>
      <c r="CG16" s="9">
        <v>62893.27</v>
      </c>
      <c r="CH16" s="9">
        <v>32264.82</v>
      </c>
      <c r="CI16" s="9">
        <v>808077.28</v>
      </c>
    </row>
    <row r="18" spans="1:29" x14ac:dyDescent="0.25">
      <c r="A18">
        <v>51</v>
      </c>
      <c r="E18">
        <v>173.1</v>
      </c>
      <c r="F18">
        <v>10274.049999999999</v>
      </c>
      <c r="G18">
        <v>3861.29</v>
      </c>
      <c r="H18">
        <v>0</v>
      </c>
      <c r="I18">
        <v>14308.44</v>
      </c>
      <c r="J18">
        <v>3922.74</v>
      </c>
      <c r="K18">
        <v>13953.18</v>
      </c>
      <c r="L18">
        <v>0</v>
      </c>
      <c r="M18">
        <v>0</v>
      </c>
      <c r="N18">
        <v>14308.44</v>
      </c>
      <c r="T18">
        <v>3.07</v>
      </c>
      <c r="U18">
        <v>298.14999999999998</v>
      </c>
      <c r="V18">
        <v>506.85</v>
      </c>
      <c r="W18">
        <v>0</v>
      </c>
      <c r="X18">
        <v>808.07</v>
      </c>
      <c r="Y18">
        <v>69.61</v>
      </c>
      <c r="Z18">
        <v>1354.59</v>
      </c>
      <c r="AA18">
        <v>0</v>
      </c>
      <c r="AB18">
        <v>0</v>
      </c>
      <c r="AC18">
        <v>808.07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8946275.1500000004</v>
      </c>
      <c r="G20" s="5" t="s">
        <v>117</v>
      </c>
      <c r="H20" s="5" t="s">
        <v>118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712919.19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5006903.7</v>
      </c>
      <c r="G21" s="5" t="s">
        <v>119</v>
      </c>
      <c r="H21" s="5" t="s">
        <v>120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641673.85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121</v>
      </c>
      <c r="H22" s="5" t="s">
        <v>122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5006903.7</v>
      </c>
      <c r="G23" s="5" t="s">
        <v>123</v>
      </c>
      <c r="H23" s="5" t="s">
        <v>124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641673.85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1145613.0900000001</v>
      </c>
      <c r="G24" s="5" t="s">
        <v>125</v>
      </c>
      <c r="H24" s="5" t="s">
        <v>126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134819.24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127</v>
      </c>
      <c r="H25" s="5" t="s">
        <v>128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1145613.0900000001</v>
      </c>
      <c r="G26" s="5" t="s">
        <v>129</v>
      </c>
      <c r="H26" s="5" t="s">
        <v>130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134819.24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3861290.61</v>
      </c>
      <c r="G27" s="5" t="s">
        <v>131</v>
      </c>
      <c r="H27" s="5" t="s">
        <v>132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506854.61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133</v>
      </c>
      <c r="H28" s="5" t="s">
        <v>134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3861290.61</v>
      </c>
      <c r="G29" s="5" t="s">
        <v>135</v>
      </c>
      <c r="H29" s="5" t="s">
        <v>136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506854.61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24346.99</v>
      </c>
      <c r="G30" s="5" t="s">
        <v>137</v>
      </c>
      <c r="H30" s="5" t="s">
        <v>138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1768.42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139</v>
      </c>
      <c r="H31" s="5" t="s">
        <v>140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7714.3</v>
      </c>
      <c r="G32" s="5" t="s">
        <v>141</v>
      </c>
      <c r="H32" s="5" t="s">
        <v>142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136.9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3915024.46</v>
      </c>
      <c r="G33" s="5" t="s">
        <v>143</v>
      </c>
      <c r="H33" s="5" t="s">
        <v>144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69476.92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145</v>
      </c>
      <c r="H34" s="5" t="s">
        <v>146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173095.65</v>
      </c>
      <c r="G35" s="5" t="s">
        <v>147</v>
      </c>
      <c r="H35" s="5" t="s">
        <v>148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3071.8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10274045.27</v>
      </c>
      <c r="G36" s="5" t="s">
        <v>149</v>
      </c>
      <c r="H36" s="5" t="s">
        <v>150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298150.87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151</v>
      </c>
      <c r="H37" s="5" t="s">
        <v>152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153</v>
      </c>
      <c r="H38" s="5" t="s">
        <v>154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155</v>
      </c>
      <c r="H39" s="5" t="s">
        <v>156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5666.8005989999992</v>
      </c>
      <c r="G40" s="5" t="s">
        <v>157</v>
      </c>
      <c r="H40" s="5" t="s">
        <v>158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5666.8005989999992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159</v>
      </c>
      <c r="H41" s="5" t="s">
        <v>160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161</v>
      </c>
      <c r="H42" s="5" t="s">
        <v>162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163</v>
      </c>
      <c r="H43" s="5" t="s">
        <v>164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3544034.03</v>
      </c>
      <c r="G44" s="5" t="s">
        <v>165</v>
      </c>
      <c r="H44" s="5" t="s">
        <v>166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62893.27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1818122.35</v>
      </c>
      <c r="G45" s="5" t="s">
        <v>167</v>
      </c>
      <c r="H45" s="5" t="s">
        <v>168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32264.82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14308431.529999999</v>
      </c>
      <c r="G46" s="5" t="s">
        <v>169</v>
      </c>
      <c r="H46" s="5" t="s">
        <v>170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808077.28</v>
      </c>
    </row>
    <row r="47" spans="1:16" ht="13" x14ac:dyDescent="0.3">
      <c r="A47" s="5">
        <v>50</v>
      </c>
      <c r="B47" s="5">
        <v>1</v>
      </c>
      <c r="C47" s="5">
        <v>0</v>
      </c>
      <c r="D47" s="5">
        <v>2</v>
      </c>
      <c r="E47" s="5">
        <v>0</v>
      </c>
      <c r="F47" s="5">
        <v>14308431.529999999</v>
      </c>
      <c r="G47" s="5" t="s">
        <v>436</v>
      </c>
      <c r="H47" s="5" t="s">
        <v>437</v>
      </c>
      <c r="I47" s="5"/>
      <c r="J47" s="5"/>
      <c r="K47" s="5">
        <v>212</v>
      </c>
      <c r="L47" s="5">
        <v>28</v>
      </c>
      <c r="M47" s="5">
        <v>0</v>
      </c>
      <c r="N47" s="5" t="s">
        <v>3</v>
      </c>
      <c r="O47" s="5">
        <v>2</v>
      </c>
      <c r="P47" s="5">
        <v>808077.28</v>
      </c>
    </row>
    <row r="48" spans="1:16" ht="13" x14ac:dyDescent="0.3">
      <c r="A48" s="5">
        <v>50</v>
      </c>
      <c r="B48" s="5">
        <v>0</v>
      </c>
      <c r="C48" s="5">
        <v>0</v>
      </c>
      <c r="D48" s="5">
        <v>2</v>
      </c>
      <c r="E48" s="5">
        <v>0</v>
      </c>
      <c r="F48" s="5">
        <v>2861686.31</v>
      </c>
      <c r="G48" s="5" t="s">
        <v>438</v>
      </c>
      <c r="H48" s="5" t="s">
        <v>439</v>
      </c>
      <c r="I48" s="5"/>
      <c r="J48" s="5"/>
      <c r="K48" s="5">
        <v>212</v>
      </c>
      <c r="L48" s="5">
        <v>29</v>
      </c>
      <c r="M48" s="5">
        <v>3</v>
      </c>
      <c r="N48" s="5" t="s">
        <v>3</v>
      </c>
      <c r="O48" s="5">
        <v>2</v>
      </c>
      <c r="P48" s="5">
        <v>161615.46</v>
      </c>
    </row>
    <row r="49" spans="1:50" ht="13" x14ac:dyDescent="0.3">
      <c r="A49" s="5">
        <v>50</v>
      </c>
      <c r="B49" s="5">
        <v>0</v>
      </c>
      <c r="C49" s="5">
        <v>0</v>
      </c>
      <c r="D49" s="5">
        <v>2</v>
      </c>
      <c r="E49" s="5">
        <v>213</v>
      </c>
      <c r="F49" s="5">
        <v>17170117.84</v>
      </c>
      <c r="G49" s="5" t="s">
        <v>440</v>
      </c>
      <c r="H49" s="5" t="s">
        <v>169</v>
      </c>
      <c r="I49" s="5"/>
      <c r="J49" s="5"/>
      <c r="K49" s="5">
        <v>212</v>
      </c>
      <c r="L49" s="5">
        <v>30</v>
      </c>
      <c r="M49" s="5">
        <v>3</v>
      </c>
      <c r="N49" s="5" t="s">
        <v>3</v>
      </c>
      <c r="O49" s="5">
        <v>2</v>
      </c>
      <c r="P49" s="5">
        <v>969692.74</v>
      </c>
    </row>
    <row r="51" spans="1:50" x14ac:dyDescent="0.25">
      <c r="A51">
        <v>-1</v>
      </c>
    </row>
    <row r="54" spans="1:50" ht="13" x14ac:dyDescent="0.3">
      <c r="A54" s="4">
        <v>75</v>
      </c>
      <c r="B54" s="4" t="s">
        <v>451</v>
      </c>
      <c r="C54" s="4">
        <v>2026</v>
      </c>
      <c r="D54" s="4">
        <v>1</v>
      </c>
      <c r="E54" s="4">
        <v>0</v>
      </c>
      <c r="F54" s="4"/>
      <c r="G54" s="4">
        <v>0</v>
      </c>
      <c r="H54" s="4">
        <v>1</v>
      </c>
      <c r="I54" s="4">
        <v>1</v>
      </c>
      <c r="J54" s="4">
        <v>1</v>
      </c>
      <c r="K54" s="4">
        <v>0</v>
      </c>
      <c r="L54" s="4">
        <v>0</v>
      </c>
      <c r="M54" s="4">
        <v>1</v>
      </c>
      <c r="N54" s="4">
        <v>57034454</v>
      </c>
      <c r="O54" s="4">
        <v>1</v>
      </c>
    </row>
    <row r="55" spans="1:50" x14ac:dyDescent="0.25">
      <c r="A55" s="6">
        <v>1</v>
      </c>
      <c r="B55" s="6" t="s">
        <v>452</v>
      </c>
      <c r="C55" s="6" t="s">
        <v>453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454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57034455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x14ac:dyDescent="0.25">
      <c r="A56" s="6">
        <v>1</v>
      </c>
      <c r="B56" s="6" t="s">
        <v>452</v>
      </c>
      <c r="C56" s="6" t="s">
        <v>455</v>
      </c>
      <c r="D56" s="6">
        <v>2026</v>
      </c>
      <c r="E56" s="6">
        <v>1</v>
      </c>
      <c r="F56" s="6">
        <v>1</v>
      </c>
      <c r="G56" s="6">
        <v>1</v>
      </c>
      <c r="H56" s="6">
        <v>0</v>
      </c>
      <c r="I56" s="6">
        <v>2</v>
      </c>
      <c r="J56" s="6">
        <v>1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 t="s">
        <v>3</v>
      </c>
      <c r="S56" s="6" t="s">
        <v>3</v>
      </c>
      <c r="T56" s="6" t="s">
        <v>3</v>
      </c>
      <c r="U56" s="6" t="s">
        <v>3</v>
      </c>
      <c r="V56" s="6" t="s">
        <v>3</v>
      </c>
      <c r="W56" s="6" t="s">
        <v>3</v>
      </c>
      <c r="X56" s="6" t="s">
        <v>3</v>
      </c>
      <c r="Y56" s="6" t="s">
        <v>3</v>
      </c>
      <c r="Z56" s="6" t="s">
        <v>3</v>
      </c>
      <c r="AA56" s="6" t="s">
        <v>456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>
        <v>57034456</v>
      </c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ht="13" x14ac:dyDescent="0.3">
      <c r="A57" s="4">
        <v>75</v>
      </c>
      <c r="B57" s="4" t="s">
        <v>457</v>
      </c>
      <c r="C57" s="4">
        <v>2000</v>
      </c>
      <c r="D57" s="4">
        <v>0</v>
      </c>
      <c r="E57" s="4">
        <v>1</v>
      </c>
      <c r="F57" s="4">
        <v>0</v>
      </c>
      <c r="G57" s="4">
        <v>0</v>
      </c>
      <c r="H57" s="4">
        <v>1</v>
      </c>
      <c r="I57" s="4">
        <v>1</v>
      </c>
      <c r="J57" s="4">
        <v>3</v>
      </c>
      <c r="K57" s="4">
        <v>0</v>
      </c>
      <c r="L57" s="4">
        <v>0</v>
      </c>
      <c r="M57" s="4">
        <v>0</v>
      </c>
      <c r="N57" s="4">
        <v>57034452</v>
      </c>
      <c r="O57" s="4">
        <v>2</v>
      </c>
    </row>
    <row r="58" spans="1:50" x14ac:dyDescent="0.25">
      <c r="A58" s="6">
        <v>1</v>
      </c>
      <c r="B58" s="6" t="s">
        <v>452</v>
      </c>
      <c r="C58" s="6" t="s">
        <v>453</v>
      </c>
      <c r="D58" s="6">
        <v>2000</v>
      </c>
      <c r="E58" s="6">
        <v>1</v>
      </c>
      <c r="F58" s="6">
        <v>1</v>
      </c>
      <c r="G58" s="6">
        <v>1</v>
      </c>
      <c r="H58" s="6">
        <v>0</v>
      </c>
      <c r="I58" s="6">
        <v>2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 t="s">
        <v>3</v>
      </c>
      <c r="S58" s="6" t="s">
        <v>3</v>
      </c>
      <c r="T58" s="6" t="s">
        <v>3</v>
      </c>
      <c r="U58" s="6" t="s">
        <v>3</v>
      </c>
      <c r="V58" s="6" t="s">
        <v>3</v>
      </c>
      <c r="W58" s="6" t="s">
        <v>3</v>
      </c>
      <c r="X58" s="6" t="s">
        <v>3</v>
      </c>
      <c r="Y58" s="6" t="s">
        <v>3</v>
      </c>
      <c r="Z58" s="6" t="s">
        <v>3</v>
      </c>
      <c r="AA58" s="6" t="s">
        <v>347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>
        <v>57034453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37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57034452</v>
      </c>
      <c r="C1">
        <v>57035323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459</v>
      </c>
      <c r="J1" t="s">
        <v>3</v>
      </c>
      <c r="K1" t="s">
        <v>460</v>
      </c>
      <c r="L1">
        <v>1191</v>
      </c>
      <c r="N1">
        <v>1013</v>
      </c>
      <c r="O1" t="s">
        <v>461</v>
      </c>
      <c r="P1" t="s">
        <v>461</v>
      </c>
      <c r="Q1">
        <v>1</v>
      </c>
      <c r="W1">
        <v>0</v>
      </c>
      <c r="X1">
        <v>476480486</v>
      </c>
      <c r="Y1">
        <f t="shared" ref="Y1:Y7" si="0">((AT1*1.2)*0.3)</f>
        <v>1.1123999999999998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3.09</v>
      </c>
      <c r="AU1" t="s">
        <v>29</v>
      </c>
      <c r="AV1">
        <v>1</v>
      </c>
      <c r="AW1">
        <v>2</v>
      </c>
      <c r="AX1">
        <v>57035326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1.1124000000000001</v>
      </c>
      <c r="CW1">
        <v>0</v>
      </c>
      <c r="CX1">
        <f>ROUND(Y1*Source!I28,9)</f>
        <v>1.1124000000000001</v>
      </c>
      <c r="CY1">
        <f>AD1</f>
        <v>0</v>
      </c>
      <c r="CZ1">
        <f>AH1</f>
        <v>0</v>
      </c>
      <c r="DA1">
        <f>AL1</f>
        <v>1</v>
      </c>
      <c r="DB1">
        <f t="shared" ref="DB1:DB7" si="1">ROUND(((ROUND(AT1*CZ1,2)*1.2)*0.3),6)</f>
        <v>0</v>
      </c>
      <c r="DC1">
        <f t="shared" ref="DC1:DC7" si="2">ROUND(((ROUND(AT1*AG1,2)*1.2)*0.3),6)</f>
        <v>0</v>
      </c>
      <c r="DD1" t="s">
        <v>3</v>
      </c>
      <c r="DE1" t="s">
        <v>3</v>
      </c>
      <c r="DF1">
        <f t="shared" ref="DF1:DF11" si="3">ROUND(ROUND(AE1,2)*CX1,2)</f>
        <v>0</v>
      </c>
      <c r="DG1">
        <f>ROUND(ROUND(AF1,2)*CX1,2)</f>
        <v>0</v>
      </c>
      <c r="DH1">
        <f>ROUND(ROUND(AG1,2)*CX1,2)</f>
        <v>0</v>
      </c>
      <c r="DI1">
        <f t="shared" ref="DI1:DI64" si="4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57034452</v>
      </c>
      <c r="C2">
        <v>57035323</v>
      </c>
      <c r="D2">
        <v>55490209</v>
      </c>
      <c r="E2">
        <v>1</v>
      </c>
      <c r="F2">
        <v>1</v>
      </c>
      <c r="G2">
        <v>1081</v>
      </c>
      <c r="H2">
        <v>2</v>
      </c>
      <c r="I2" t="s">
        <v>462</v>
      </c>
      <c r="J2" t="s">
        <v>463</v>
      </c>
      <c r="K2" t="s">
        <v>464</v>
      </c>
      <c r="L2">
        <v>1368</v>
      </c>
      <c r="N2">
        <v>1011</v>
      </c>
      <c r="O2" t="s">
        <v>465</v>
      </c>
      <c r="P2" t="s">
        <v>465</v>
      </c>
      <c r="Q2">
        <v>1</v>
      </c>
      <c r="W2">
        <v>0</v>
      </c>
      <c r="X2">
        <v>874612079</v>
      </c>
      <c r="Y2">
        <f t="shared" si="0"/>
        <v>0.1152</v>
      </c>
      <c r="AA2">
        <v>0</v>
      </c>
      <c r="AB2">
        <v>87.01</v>
      </c>
      <c r="AC2">
        <v>13.21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0.32</v>
      </c>
      <c r="AU2" t="s">
        <v>29</v>
      </c>
      <c r="AV2">
        <v>0</v>
      </c>
      <c r="AW2">
        <v>2</v>
      </c>
      <c r="AX2">
        <v>57035327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1.453824</v>
      </c>
      <c r="CX2">
        <f>ROUND(Y2*Source!I28,9)</f>
        <v>0.1152</v>
      </c>
      <c r="CY2">
        <f>AB2</f>
        <v>87.01</v>
      </c>
      <c r="CZ2">
        <f>AF2</f>
        <v>83.1</v>
      </c>
      <c r="DA2">
        <f>AJ2</f>
        <v>1</v>
      </c>
      <c r="DB2">
        <f t="shared" si="1"/>
        <v>9.5724</v>
      </c>
      <c r="DC2">
        <f t="shared" si="2"/>
        <v>1.4543999999999999</v>
      </c>
      <c r="DD2" t="s">
        <v>3</v>
      </c>
      <c r="DE2" t="s">
        <v>3</v>
      </c>
      <c r="DF2">
        <f t="shared" si="3"/>
        <v>0</v>
      </c>
      <c r="DG2">
        <f>ROUND(ROUND(AF2,2)*CX2,2)</f>
        <v>9.57</v>
      </c>
      <c r="DH2">
        <f>ROUND(ROUND(AG2,2)*CX2,2)</f>
        <v>1.45</v>
      </c>
      <c r="DI2">
        <f t="shared" si="4"/>
        <v>0</v>
      </c>
      <c r="DJ2">
        <f>DG2</f>
        <v>9.57</v>
      </c>
      <c r="DK2">
        <v>0</v>
      </c>
      <c r="DL2" t="s">
        <v>466</v>
      </c>
      <c r="DM2">
        <v>0</v>
      </c>
      <c r="DN2" t="s">
        <v>461</v>
      </c>
      <c r="DO2">
        <v>12.62</v>
      </c>
    </row>
    <row r="3" spans="1:119" x14ac:dyDescent="0.25">
      <c r="A3">
        <f>ROW(Source!A29)</f>
        <v>29</v>
      </c>
      <c r="B3">
        <v>57034454</v>
      </c>
      <c r="C3">
        <v>57035323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459</v>
      </c>
      <c r="J3" t="s">
        <v>3</v>
      </c>
      <c r="K3" t="s">
        <v>460</v>
      </c>
      <c r="L3">
        <v>1191</v>
      </c>
      <c r="N3">
        <v>1013</v>
      </c>
      <c r="O3" t="s">
        <v>461</v>
      </c>
      <c r="P3" t="s">
        <v>461</v>
      </c>
      <c r="Q3">
        <v>1</v>
      </c>
      <c r="W3">
        <v>0</v>
      </c>
      <c r="X3">
        <v>476480486</v>
      </c>
      <c r="Y3">
        <f t="shared" si="0"/>
        <v>1.1123999999999998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5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3.09</v>
      </c>
      <c r="AU3" t="s">
        <v>29</v>
      </c>
      <c r="AV3">
        <v>1</v>
      </c>
      <c r="AW3">
        <v>2</v>
      </c>
      <c r="AX3">
        <v>57035326</v>
      </c>
      <c r="AY3">
        <v>1</v>
      </c>
      <c r="AZ3">
        <v>0</v>
      </c>
      <c r="BA3">
        <v>4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ROUND(AT3*Source!I29*AH3*AL3,2)</f>
        <v>0</v>
      </c>
      <c r="CV3">
        <f>ROUND(Y3*Source!I29,9)</f>
        <v>1.1124000000000001</v>
      </c>
      <c r="CW3">
        <v>0</v>
      </c>
      <c r="CX3">
        <f>ROUND(Y3*Source!I29,9)</f>
        <v>1.1124000000000001</v>
      </c>
      <c r="CY3">
        <f>AD3</f>
        <v>0</v>
      </c>
      <c r="CZ3">
        <f>AH3</f>
        <v>0</v>
      </c>
      <c r="DA3">
        <f>AL3</f>
        <v>1</v>
      </c>
      <c r="DB3">
        <f t="shared" si="1"/>
        <v>0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>ROUND(ROUND(AF3,2)*CX3,2)</f>
        <v>0</v>
      </c>
      <c r="DH3">
        <f>ROUND(ROUND(AG3,2)*CX3,2)</f>
        <v>0</v>
      </c>
      <c r="DI3">
        <f t="shared" si="4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ROW(Source!A29)</f>
        <v>29</v>
      </c>
      <c r="B4">
        <v>57034454</v>
      </c>
      <c r="C4">
        <v>57035323</v>
      </c>
      <c r="D4">
        <v>55490209</v>
      </c>
      <c r="E4">
        <v>1</v>
      </c>
      <c r="F4">
        <v>1</v>
      </c>
      <c r="G4">
        <v>1081</v>
      </c>
      <c r="H4">
        <v>2</v>
      </c>
      <c r="I4" t="s">
        <v>462</v>
      </c>
      <c r="J4" t="s">
        <v>463</v>
      </c>
      <c r="K4" t="s">
        <v>464</v>
      </c>
      <c r="L4">
        <v>1368</v>
      </c>
      <c r="N4">
        <v>1011</v>
      </c>
      <c r="O4" t="s">
        <v>465</v>
      </c>
      <c r="P4" t="s">
        <v>465</v>
      </c>
      <c r="Q4">
        <v>1</v>
      </c>
      <c r="W4">
        <v>0</v>
      </c>
      <c r="X4">
        <v>874612079</v>
      </c>
      <c r="Y4">
        <f t="shared" si="0"/>
        <v>0.1152</v>
      </c>
      <c r="AA4">
        <v>0</v>
      </c>
      <c r="AB4">
        <v>1485.19</v>
      </c>
      <c r="AC4">
        <v>744.56</v>
      </c>
      <c r="AD4">
        <v>0</v>
      </c>
      <c r="AE4">
        <v>0</v>
      </c>
      <c r="AF4">
        <v>83.1</v>
      </c>
      <c r="AG4">
        <v>12.62</v>
      </c>
      <c r="AH4">
        <v>0</v>
      </c>
      <c r="AI4">
        <v>1</v>
      </c>
      <c r="AJ4">
        <v>17.07</v>
      </c>
      <c r="AK4">
        <v>56.35</v>
      </c>
      <c r="AL4">
        <v>1</v>
      </c>
      <c r="AM4">
        <v>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0.32</v>
      </c>
      <c r="AU4" t="s">
        <v>29</v>
      </c>
      <c r="AV4">
        <v>0</v>
      </c>
      <c r="AW4">
        <v>2</v>
      </c>
      <c r="AX4">
        <v>57035327</v>
      </c>
      <c r="AY4">
        <v>1</v>
      </c>
      <c r="AZ4">
        <v>0</v>
      </c>
      <c r="BA4">
        <v>5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ROUND(Y4*Source!I29*DO4,9)</f>
        <v>1.453824</v>
      </c>
      <c r="CX4">
        <f>ROUND(Y4*Source!I29,9)</f>
        <v>0.1152</v>
      </c>
      <c r="CY4">
        <f>AB4</f>
        <v>1485.19</v>
      </c>
      <c r="CZ4">
        <f>AF4</f>
        <v>83.1</v>
      </c>
      <c r="DA4">
        <f>AJ4</f>
        <v>17.07</v>
      </c>
      <c r="DB4">
        <f t="shared" si="1"/>
        <v>9.5724</v>
      </c>
      <c r="DC4">
        <f t="shared" si="2"/>
        <v>1.4543999999999999</v>
      </c>
      <c r="DD4" t="s">
        <v>3</v>
      </c>
      <c r="DE4" t="s">
        <v>3</v>
      </c>
      <c r="DF4">
        <f t="shared" si="3"/>
        <v>0</v>
      </c>
      <c r="DG4">
        <f>ROUND(ROUND(AF4*AJ4,2)*CX4,2)</f>
        <v>163.41</v>
      </c>
      <c r="DH4">
        <f>ROUND(ROUND(AG4*AK4,2)*CX4,2)</f>
        <v>81.92</v>
      </c>
      <c r="DI4">
        <f t="shared" si="4"/>
        <v>0</v>
      </c>
      <c r="DJ4">
        <f>DG4</f>
        <v>163.41</v>
      </c>
      <c r="DK4">
        <v>0</v>
      </c>
      <c r="DL4" t="s">
        <v>466</v>
      </c>
      <c r="DM4">
        <v>0</v>
      </c>
      <c r="DN4" t="s">
        <v>461</v>
      </c>
      <c r="DO4">
        <v>12.62</v>
      </c>
    </row>
    <row r="5" spans="1:119" x14ac:dyDescent="0.25">
      <c r="A5">
        <f>ROW(Source!A30)</f>
        <v>30</v>
      </c>
      <c r="B5">
        <v>57034452</v>
      </c>
      <c r="C5">
        <v>57035329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459</v>
      </c>
      <c r="J5" t="s">
        <v>3</v>
      </c>
      <c r="K5" t="s">
        <v>460</v>
      </c>
      <c r="L5">
        <v>1191</v>
      </c>
      <c r="N5">
        <v>1013</v>
      </c>
      <c r="O5" t="s">
        <v>461</v>
      </c>
      <c r="P5" t="s">
        <v>461</v>
      </c>
      <c r="Q5">
        <v>1</v>
      </c>
      <c r="W5">
        <v>0</v>
      </c>
      <c r="X5">
        <v>476480486</v>
      </c>
      <c r="Y5">
        <f t="shared" si="0"/>
        <v>4.2119999999999997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11.7</v>
      </c>
      <c r="AU5" t="s">
        <v>29</v>
      </c>
      <c r="AV5">
        <v>1</v>
      </c>
      <c r="AW5">
        <v>2</v>
      </c>
      <c r="AX5">
        <v>57035331</v>
      </c>
      <c r="AY5">
        <v>1</v>
      </c>
      <c r="AZ5">
        <v>0</v>
      </c>
      <c r="BA5">
        <v>7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ROUND(AT5*Source!I30*AH5*AL5,2)</f>
        <v>0</v>
      </c>
      <c r="CV5">
        <f>ROUND(Y5*Source!I30,9)</f>
        <v>12.635999999999999</v>
      </c>
      <c r="CW5">
        <v>0</v>
      </c>
      <c r="CX5">
        <f>ROUND(Y5*Source!I30,9)</f>
        <v>12.635999999999999</v>
      </c>
      <c r="CY5">
        <f>AD5</f>
        <v>0</v>
      </c>
      <c r="CZ5">
        <f>AH5</f>
        <v>0</v>
      </c>
      <c r="DA5">
        <f>AL5</f>
        <v>1</v>
      </c>
      <c r="DB5">
        <f t="shared" si="1"/>
        <v>0</v>
      </c>
      <c r="DC5">
        <f t="shared" si="2"/>
        <v>0</v>
      </c>
      <c r="DD5" t="s">
        <v>3</v>
      </c>
      <c r="DE5" t="s">
        <v>3</v>
      </c>
      <c r="DF5">
        <f t="shared" si="3"/>
        <v>0</v>
      </c>
      <c r="DG5">
        <f t="shared" ref="DG5:DG21" si="5">ROUND(ROUND(AF5,2)*CX5,2)</f>
        <v>0</v>
      </c>
      <c r="DH5">
        <f t="shared" ref="DH5:DH36" si="6">ROUND(ROUND(AG5,2)*CX5,2)</f>
        <v>0</v>
      </c>
      <c r="DI5">
        <f t="shared" si="4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ROW(Source!A31)</f>
        <v>31</v>
      </c>
      <c r="B6">
        <v>57034454</v>
      </c>
      <c r="C6">
        <v>57035329</v>
      </c>
      <c r="D6">
        <v>55424304</v>
      </c>
      <c r="E6">
        <v>1081</v>
      </c>
      <c r="F6">
        <v>1</v>
      </c>
      <c r="G6">
        <v>1081</v>
      </c>
      <c r="H6">
        <v>1</v>
      </c>
      <c r="I6" t="s">
        <v>459</v>
      </c>
      <c r="J6" t="s">
        <v>3</v>
      </c>
      <c r="K6" t="s">
        <v>460</v>
      </c>
      <c r="L6">
        <v>1191</v>
      </c>
      <c r="N6">
        <v>1013</v>
      </c>
      <c r="O6" t="s">
        <v>461</v>
      </c>
      <c r="P6" t="s">
        <v>461</v>
      </c>
      <c r="Q6">
        <v>1</v>
      </c>
      <c r="W6">
        <v>0</v>
      </c>
      <c r="X6">
        <v>476480486</v>
      </c>
      <c r="Y6">
        <f t="shared" si="0"/>
        <v>4.2119999999999997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11.7</v>
      </c>
      <c r="AU6" t="s">
        <v>29</v>
      </c>
      <c r="AV6">
        <v>1</v>
      </c>
      <c r="AW6">
        <v>2</v>
      </c>
      <c r="AX6">
        <v>57035331</v>
      </c>
      <c r="AY6">
        <v>1</v>
      </c>
      <c r="AZ6">
        <v>0</v>
      </c>
      <c r="BA6">
        <v>8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ROUND(AT6*Source!I31*AH6*AL6,2)</f>
        <v>0</v>
      </c>
      <c r="CV6">
        <f>ROUND(Y6*Source!I31,9)</f>
        <v>12.635999999999999</v>
      </c>
      <c r="CW6">
        <v>0</v>
      </c>
      <c r="CX6">
        <f>ROUND(Y6*Source!I31,9)</f>
        <v>12.635999999999999</v>
      </c>
      <c r="CY6">
        <f>AD6</f>
        <v>0</v>
      </c>
      <c r="CZ6">
        <f>AH6</f>
        <v>0</v>
      </c>
      <c r="DA6">
        <f>AL6</f>
        <v>1</v>
      </c>
      <c r="DB6">
        <f t="shared" si="1"/>
        <v>0</v>
      </c>
      <c r="DC6">
        <f t="shared" si="2"/>
        <v>0</v>
      </c>
      <c r="DD6" t="s">
        <v>3</v>
      </c>
      <c r="DE6" t="s">
        <v>3</v>
      </c>
      <c r="DF6">
        <f t="shared" si="3"/>
        <v>0</v>
      </c>
      <c r="DG6">
        <f t="shared" si="5"/>
        <v>0</v>
      </c>
      <c r="DH6">
        <f t="shared" si="6"/>
        <v>0</v>
      </c>
      <c r="DI6">
        <f t="shared" si="4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ROW(Source!A32)</f>
        <v>32</v>
      </c>
      <c r="B7">
        <v>57034452</v>
      </c>
      <c r="C7">
        <v>57035332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459</v>
      </c>
      <c r="J7" t="s">
        <v>3</v>
      </c>
      <c r="K7" t="s">
        <v>460</v>
      </c>
      <c r="L7">
        <v>1191</v>
      </c>
      <c r="N7">
        <v>1013</v>
      </c>
      <c r="O7" t="s">
        <v>461</v>
      </c>
      <c r="P7" t="s">
        <v>461</v>
      </c>
      <c r="Q7">
        <v>1</v>
      </c>
      <c r="W7">
        <v>0</v>
      </c>
      <c r="X7">
        <v>476480486</v>
      </c>
      <c r="Y7">
        <f t="shared" si="0"/>
        <v>0.95399999999999985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2.65</v>
      </c>
      <c r="AU7" t="s">
        <v>29</v>
      </c>
      <c r="AV7">
        <v>1</v>
      </c>
      <c r="AW7">
        <v>2</v>
      </c>
      <c r="AX7">
        <v>57035337</v>
      </c>
      <c r="AY7">
        <v>1</v>
      </c>
      <c r="AZ7">
        <v>0</v>
      </c>
      <c r="BA7">
        <v>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ROUND(AT7*Source!I32*AH7*AL7,2)</f>
        <v>0</v>
      </c>
      <c r="CV7">
        <f>ROUND(Y7*Source!I32,9)</f>
        <v>0.95399999999999996</v>
      </c>
      <c r="CW7">
        <v>0</v>
      </c>
      <c r="CX7">
        <f>ROUND(Y7*Source!I32,9)</f>
        <v>0.95399999999999996</v>
      </c>
      <c r="CY7">
        <f>AD7</f>
        <v>0</v>
      </c>
      <c r="CZ7">
        <f>AH7</f>
        <v>0</v>
      </c>
      <c r="DA7">
        <f>AL7</f>
        <v>1</v>
      </c>
      <c r="DB7">
        <f t="shared" si="1"/>
        <v>0</v>
      </c>
      <c r="DC7">
        <f t="shared" si="2"/>
        <v>0</v>
      </c>
      <c r="DD7" t="s">
        <v>3</v>
      </c>
      <c r="DE7" t="s">
        <v>3</v>
      </c>
      <c r="DF7">
        <f t="shared" si="3"/>
        <v>0</v>
      </c>
      <c r="DG7">
        <f t="shared" si="5"/>
        <v>0</v>
      </c>
      <c r="DH7">
        <f t="shared" si="6"/>
        <v>0</v>
      </c>
      <c r="DI7">
        <f t="shared" si="4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ROW(Source!A32)</f>
        <v>32</v>
      </c>
      <c r="B8">
        <v>57034452</v>
      </c>
      <c r="C8">
        <v>57035332</v>
      </c>
      <c r="D8">
        <v>55461074</v>
      </c>
      <c r="E8">
        <v>1</v>
      </c>
      <c r="F8">
        <v>1</v>
      </c>
      <c r="G8">
        <v>1081</v>
      </c>
      <c r="H8">
        <v>3</v>
      </c>
      <c r="I8" t="s">
        <v>467</v>
      </c>
      <c r="J8" t="s">
        <v>468</v>
      </c>
      <c r="K8" t="s">
        <v>469</v>
      </c>
      <c r="L8">
        <v>1346</v>
      </c>
      <c r="N8">
        <v>1009</v>
      </c>
      <c r="O8" t="s">
        <v>433</v>
      </c>
      <c r="P8" t="s">
        <v>433</v>
      </c>
      <c r="Q8">
        <v>1</v>
      </c>
      <c r="W8">
        <v>0</v>
      </c>
      <c r="X8">
        <v>-861631226</v>
      </c>
      <c r="Y8">
        <f>((AT8*1)*0)</f>
        <v>0</v>
      </c>
      <c r="AA8">
        <v>27.62</v>
      </c>
      <c r="AB8">
        <v>0</v>
      </c>
      <c r="AC8">
        <v>0</v>
      </c>
      <c r="AD8">
        <v>0</v>
      </c>
      <c r="AE8">
        <v>27.62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6.2700000000000004E-3</v>
      </c>
      <c r="AU8" t="s">
        <v>28</v>
      </c>
      <c r="AV8">
        <v>0</v>
      </c>
      <c r="AW8">
        <v>2</v>
      </c>
      <c r="AX8">
        <v>57035338</v>
      </c>
      <c r="AY8">
        <v>1</v>
      </c>
      <c r="AZ8">
        <v>0</v>
      </c>
      <c r="BA8">
        <v>10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ROUND(Y8*Source!I32,9)</f>
        <v>0</v>
      </c>
      <c r="CY8">
        <f>AA8</f>
        <v>27.62</v>
      </c>
      <c r="CZ8">
        <f>AE8</f>
        <v>27.62</v>
      </c>
      <c r="DA8">
        <f>AI8</f>
        <v>1</v>
      </c>
      <c r="DB8">
        <f>ROUND(((ROUND(AT8*CZ8,2)*1)*0),6)</f>
        <v>0</v>
      </c>
      <c r="DC8">
        <f>ROUND(((ROUND(AT8*AG8,2)*1)*0),6)</f>
        <v>0</v>
      </c>
      <c r="DD8" t="s">
        <v>3</v>
      </c>
      <c r="DE8" t="s">
        <v>3</v>
      </c>
      <c r="DF8">
        <f t="shared" si="3"/>
        <v>0</v>
      </c>
      <c r="DG8">
        <f t="shared" si="5"/>
        <v>0</v>
      </c>
      <c r="DH8">
        <f t="shared" si="6"/>
        <v>0</v>
      </c>
      <c r="DI8">
        <f t="shared" si="4"/>
        <v>0</v>
      </c>
      <c r="DJ8">
        <f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ROW(Source!A32)</f>
        <v>32</v>
      </c>
      <c r="B9">
        <v>57034452</v>
      </c>
      <c r="C9">
        <v>57035332</v>
      </c>
      <c r="D9">
        <v>55459793</v>
      </c>
      <c r="E9">
        <v>1</v>
      </c>
      <c r="F9">
        <v>1</v>
      </c>
      <c r="G9">
        <v>1081</v>
      </c>
      <c r="H9">
        <v>3</v>
      </c>
      <c r="I9" t="s">
        <v>470</v>
      </c>
      <c r="J9" t="s">
        <v>471</v>
      </c>
      <c r="K9" t="s">
        <v>472</v>
      </c>
      <c r="L9">
        <v>1348</v>
      </c>
      <c r="N9">
        <v>1009</v>
      </c>
      <c r="O9" t="s">
        <v>299</v>
      </c>
      <c r="P9" t="s">
        <v>299</v>
      </c>
      <c r="Q9">
        <v>1000</v>
      </c>
      <c r="W9">
        <v>0</v>
      </c>
      <c r="X9">
        <v>-761454284</v>
      </c>
      <c r="Y9">
        <f>((AT9*1)*0)</f>
        <v>0</v>
      </c>
      <c r="AA9">
        <v>64123.05</v>
      </c>
      <c r="AB9">
        <v>0</v>
      </c>
      <c r="AC9">
        <v>0</v>
      </c>
      <c r="AD9">
        <v>0</v>
      </c>
      <c r="AE9">
        <v>64123.05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1.0000000000000001E-5</v>
      </c>
      <c r="AU9" t="s">
        <v>28</v>
      </c>
      <c r="AV9">
        <v>0</v>
      </c>
      <c r="AW9">
        <v>2</v>
      </c>
      <c r="AX9">
        <v>57035339</v>
      </c>
      <c r="AY9">
        <v>1</v>
      </c>
      <c r="AZ9">
        <v>0</v>
      </c>
      <c r="BA9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ROUND(Y9*Source!I32,9)</f>
        <v>0</v>
      </c>
      <c r="CY9">
        <f>AA9</f>
        <v>64123.05</v>
      </c>
      <c r="CZ9">
        <f>AE9</f>
        <v>64123.05</v>
      </c>
      <c r="DA9">
        <f>AI9</f>
        <v>1</v>
      </c>
      <c r="DB9">
        <f>ROUND(((ROUND(AT9*CZ9,2)*1)*0),6)</f>
        <v>0</v>
      </c>
      <c r="DC9">
        <f>ROUND(((ROUND(AT9*AG9,2)*1)*0),6)</f>
        <v>0</v>
      </c>
      <c r="DD9" t="s">
        <v>3</v>
      </c>
      <c r="DE9" t="s">
        <v>3</v>
      </c>
      <c r="DF9">
        <f t="shared" si="3"/>
        <v>0</v>
      </c>
      <c r="DG9">
        <f t="shared" si="5"/>
        <v>0</v>
      </c>
      <c r="DH9">
        <f t="shared" si="6"/>
        <v>0</v>
      </c>
      <c r="DI9">
        <f t="shared" si="4"/>
        <v>0</v>
      </c>
      <c r="DJ9">
        <f>DF9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ROW(Source!A32)</f>
        <v>32</v>
      </c>
      <c r="B10">
        <v>57034452</v>
      </c>
      <c r="C10">
        <v>57035332</v>
      </c>
      <c r="D10">
        <v>55469253</v>
      </c>
      <c r="E10">
        <v>1</v>
      </c>
      <c r="F10">
        <v>1</v>
      </c>
      <c r="G10">
        <v>1081</v>
      </c>
      <c r="H10">
        <v>3</v>
      </c>
      <c r="I10" t="s">
        <v>473</v>
      </c>
      <c r="J10" t="s">
        <v>474</v>
      </c>
      <c r="K10" t="s">
        <v>475</v>
      </c>
      <c r="L10">
        <v>1354</v>
      </c>
      <c r="N10">
        <v>1010</v>
      </c>
      <c r="O10" t="s">
        <v>177</v>
      </c>
      <c r="P10" t="s">
        <v>177</v>
      </c>
      <c r="Q10">
        <v>1</v>
      </c>
      <c r="W10">
        <v>0</v>
      </c>
      <c r="X10">
        <v>-32785108</v>
      </c>
      <c r="Y10">
        <f>((AT10*1)*0)</f>
        <v>0</v>
      </c>
      <c r="AA10">
        <v>15.25</v>
      </c>
      <c r="AB10">
        <v>0</v>
      </c>
      <c r="AC10">
        <v>0</v>
      </c>
      <c r="AD10">
        <v>0</v>
      </c>
      <c r="AE10">
        <v>15.25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0.1</v>
      </c>
      <c r="AU10" t="s">
        <v>28</v>
      </c>
      <c r="AV10">
        <v>0</v>
      </c>
      <c r="AW10">
        <v>2</v>
      </c>
      <c r="AX10">
        <v>57035340</v>
      </c>
      <c r="AY10">
        <v>1</v>
      </c>
      <c r="AZ10">
        <v>0</v>
      </c>
      <c r="BA10">
        <v>12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ROUND(Y10*Source!I32,9)</f>
        <v>0</v>
      </c>
      <c r="CY10">
        <f>AA10</f>
        <v>15.25</v>
      </c>
      <c r="CZ10">
        <f>AE10</f>
        <v>15.25</v>
      </c>
      <c r="DA10">
        <f>AI10</f>
        <v>1</v>
      </c>
      <c r="DB10">
        <f>ROUND(((ROUND(AT10*CZ10,2)*1)*0),6)</f>
        <v>0</v>
      </c>
      <c r="DC10">
        <f>ROUND(((ROUND(AT10*AG10,2)*1)*0),6)</f>
        <v>0</v>
      </c>
      <c r="DD10" t="s">
        <v>3</v>
      </c>
      <c r="DE10" t="s">
        <v>3</v>
      </c>
      <c r="DF10">
        <f t="shared" si="3"/>
        <v>0</v>
      </c>
      <c r="DG10">
        <f t="shared" si="5"/>
        <v>0</v>
      </c>
      <c r="DH10">
        <f t="shared" si="6"/>
        <v>0</v>
      </c>
      <c r="DI10">
        <f t="shared" si="4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ROW(Source!A33)</f>
        <v>33</v>
      </c>
      <c r="B11">
        <v>57034454</v>
      </c>
      <c r="C11">
        <v>57035332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459</v>
      </c>
      <c r="J11" t="s">
        <v>3</v>
      </c>
      <c r="K11" t="s">
        <v>460</v>
      </c>
      <c r="L11">
        <v>1191</v>
      </c>
      <c r="N11">
        <v>1013</v>
      </c>
      <c r="O11" t="s">
        <v>461</v>
      </c>
      <c r="P11" t="s">
        <v>461</v>
      </c>
      <c r="Q11">
        <v>1</v>
      </c>
      <c r="W11">
        <v>0</v>
      </c>
      <c r="X11">
        <v>476480486</v>
      </c>
      <c r="Y11">
        <f>((AT11*1.2)*0.3)</f>
        <v>0.95399999999999985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5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2.65</v>
      </c>
      <c r="AU11" t="s">
        <v>29</v>
      </c>
      <c r="AV11">
        <v>1</v>
      </c>
      <c r="AW11">
        <v>2</v>
      </c>
      <c r="AX11">
        <v>57035337</v>
      </c>
      <c r="AY11">
        <v>1</v>
      </c>
      <c r="AZ11">
        <v>0</v>
      </c>
      <c r="BA11">
        <v>14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ROUND(AT11*Source!I33*AH11*AL11,2)</f>
        <v>0</v>
      </c>
      <c r="CV11">
        <f>ROUND(Y11*Source!I33,9)</f>
        <v>0.95399999999999996</v>
      </c>
      <c r="CW11">
        <v>0</v>
      </c>
      <c r="CX11">
        <f>ROUND(Y11*Source!I33,9)</f>
        <v>0.95399999999999996</v>
      </c>
      <c r="CY11">
        <f>AD11</f>
        <v>0</v>
      </c>
      <c r="CZ11">
        <f>AH11</f>
        <v>0</v>
      </c>
      <c r="DA11">
        <f>AL11</f>
        <v>1</v>
      </c>
      <c r="DB11">
        <f>ROUND(((ROUND(AT11*CZ11,2)*1.2)*0.3),6)</f>
        <v>0</v>
      </c>
      <c r="DC11">
        <f>ROUND(((ROUND(AT11*AG11,2)*1.2)*0.3),6)</f>
        <v>0</v>
      </c>
      <c r="DD11" t="s">
        <v>3</v>
      </c>
      <c r="DE11" t="s">
        <v>3</v>
      </c>
      <c r="DF11">
        <f t="shared" si="3"/>
        <v>0</v>
      </c>
      <c r="DG11">
        <f t="shared" si="5"/>
        <v>0</v>
      </c>
      <c r="DH11">
        <f t="shared" si="6"/>
        <v>0</v>
      </c>
      <c r="DI11">
        <f t="shared" si="4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ROW(Source!A33)</f>
        <v>33</v>
      </c>
      <c r="B12">
        <v>57034454</v>
      </c>
      <c r="C12">
        <v>57035332</v>
      </c>
      <c r="D12">
        <v>55461074</v>
      </c>
      <c r="E12">
        <v>1</v>
      </c>
      <c r="F12">
        <v>1</v>
      </c>
      <c r="G12">
        <v>1081</v>
      </c>
      <c r="H12">
        <v>3</v>
      </c>
      <c r="I12" t="s">
        <v>467</v>
      </c>
      <c r="J12" t="s">
        <v>468</v>
      </c>
      <c r="K12" t="s">
        <v>469</v>
      </c>
      <c r="L12">
        <v>1346</v>
      </c>
      <c r="N12">
        <v>1009</v>
      </c>
      <c r="O12" t="s">
        <v>433</v>
      </c>
      <c r="P12" t="s">
        <v>433</v>
      </c>
      <c r="Q12">
        <v>1</v>
      </c>
      <c r="W12">
        <v>0</v>
      </c>
      <c r="X12">
        <v>-861631226</v>
      </c>
      <c r="Y12">
        <f>((AT12*1)*0)</f>
        <v>0</v>
      </c>
      <c r="AA12">
        <v>163.51</v>
      </c>
      <c r="AB12">
        <v>0</v>
      </c>
      <c r="AC12">
        <v>0</v>
      </c>
      <c r="AD12">
        <v>0</v>
      </c>
      <c r="AE12">
        <v>27.62</v>
      </c>
      <c r="AF12">
        <v>0</v>
      </c>
      <c r="AG12">
        <v>0</v>
      </c>
      <c r="AH12">
        <v>0</v>
      </c>
      <c r="AI12">
        <v>5.92</v>
      </c>
      <c r="AJ12">
        <v>1</v>
      </c>
      <c r="AK12">
        <v>1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6.2700000000000004E-3</v>
      </c>
      <c r="AU12" t="s">
        <v>28</v>
      </c>
      <c r="AV12">
        <v>0</v>
      </c>
      <c r="AW12">
        <v>2</v>
      </c>
      <c r="AX12">
        <v>57035338</v>
      </c>
      <c r="AY12">
        <v>1</v>
      </c>
      <c r="AZ12">
        <v>0</v>
      </c>
      <c r="BA12">
        <v>15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ROUND(Y12*Source!I33,9)</f>
        <v>0</v>
      </c>
      <c r="CY12">
        <f>AA12</f>
        <v>163.51</v>
      </c>
      <c r="CZ12">
        <f>AE12</f>
        <v>27.62</v>
      </c>
      <c r="DA12">
        <f>AI12</f>
        <v>5.92</v>
      </c>
      <c r="DB12">
        <f>ROUND(((ROUND(AT12*CZ12,2)*1)*0),6)</f>
        <v>0</v>
      </c>
      <c r="DC12">
        <f>ROUND(((ROUND(AT12*AG12,2)*1)*0),6)</f>
        <v>0</v>
      </c>
      <c r="DD12" t="s">
        <v>3</v>
      </c>
      <c r="DE12" t="s">
        <v>3</v>
      </c>
      <c r="DF12">
        <f>ROUND(ROUND(AE12*AI12,2)*CX12,2)</f>
        <v>0</v>
      </c>
      <c r="DG12">
        <f t="shared" si="5"/>
        <v>0</v>
      </c>
      <c r="DH12">
        <f t="shared" si="6"/>
        <v>0</v>
      </c>
      <c r="DI12">
        <f t="shared" si="4"/>
        <v>0</v>
      </c>
      <c r="DJ12">
        <f>DF12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ROW(Source!A33)</f>
        <v>33</v>
      </c>
      <c r="B13">
        <v>57034454</v>
      </c>
      <c r="C13">
        <v>57035332</v>
      </c>
      <c r="D13">
        <v>55459793</v>
      </c>
      <c r="E13">
        <v>1</v>
      </c>
      <c r="F13">
        <v>1</v>
      </c>
      <c r="G13">
        <v>1081</v>
      </c>
      <c r="H13">
        <v>3</v>
      </c>
      <c r="I13" t="s">
        <v>470</v>
      </c>
      <c r="J13" t="s">
        <v>471</v>
      </c>
      <c r="K13" t="s">
        <v>472</v>
      </c>
      <c r="L13">
        <v>1348</v>
      </c>
      <c r="N13">
        <v>1009</v>
      </c>
      <c r="O13" t="s">
        <v>299</v>
      </c>
      <c r="P13" t="s">
        <v>299</v>
      </c>
      <c r="Q13">
        <v>1000</v>
      </c>
      <c r="W13">
        <v>0</v>
      </c>
      <c r="X13">
        <v>-761454284</v>
      </c>
      <c r="Y13">
        <f>((AT13*1)*0)</f>
        <v>0</v>
      </c>
      <c r="AA13">
        <v>1930745.04</v>
      </c>
      <c r="AB13">
        <v>0</v>
      </c>
      <c r="AC13">
        <v>0</v>
      </c>
      <c r="AD13">
        <v>0</v>
      </c>
      <c r="AE13">
        <v>64123.05</v>
      </c>
      <c r="AF13">
        <v>0</v>
      </c>
      <c r="AG13">
        <v>0</v>
      </c>
      <c r="AH13">
        <v>0</v>
      </c>
      <c r="AI13">
        <v>30.11</v>
      </c>
      <c r="AJ13">
        <v>1</v>
      </c>
      <c r="AK13">
        <v>1</v>
      </c>
      <c r="AL13">
        <v>1</v>
      </c>
      <c r="AM13">
        <v>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1.0000000000000001E-5</v>
      </c>
      <c r="AU13" t="s">
        <v>28</v>
      </c>
      <c r="AV13">
        <v>0</v>
      </c>
      <c r="AW13">
        <v>2</v>
      </c>
      <c r="AX13">
        <v>57035339</v>
      </c>
      <c r="AY13">
        <v>1</v>
      </c>
      <c r="AZ13">
        <v>0</v>
      </c>
      <c r="BA13">
        <v>16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ROUND(Y13*Source!I33,9)</f>
        <v>0</v>
      </c>
      <c r="CY13">
        <f>AA13</f>
        <v>1930745.04</v>
      </c>
      <c r="CZ13">
        <f>AE13</f>
        <v>64123.05</v>
      </c>
      <c r="DA13">
        <f>AI13</f>
        <v>30.11</v>
      </c>
      <c r="DB13">
        <f>ROUND(((ROUND(AT13*CZ13,2)*1)*0),6)</f>
        <v>0</v>
      </c>
      <c r="DC13">
        <f>ROUND(((ROUND(AT13*AG13,2)*1)*0),6)</f>
        <v>0</v>
      </c>
      <c r="DD13" t="s">
        <v>3</v>
      </c>
      <c r="DE13" t="s">
        <v>3</v>
      </c>
      <c r="DF13">
        <f>ROUND(ROUND(AE13*AI13,2)*CX13,2)</f>
        <v>0</v>
      </c>
      <c r="DG13">
        <f t="shared" si="5"/>
        <v>0</v>
      </c>
      <c r="DH13">
        <f t="shared" si="6"/>
        <v>0</v>
      </c>
      <c r="DI13">
        <f t="shared" si="4"/>
        <v>0</v>
      </c>
      <c r="DJ13">
        <f>DF13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ROW(Source!A33)</f>
        <v>33</v>
      </c>
      <c r="B14">
        <v>57034454</v>
      </c>
      <c r="C14">
        <v>57035332</v>
      </c>
      <c r="D14">
        <v>55469253</v>
      </c>
      <c r="E14">
        <v>1</v>
      </c>
      <c r="F14">
        <v>1</v>
      </c>
      <c r="G14">
        <v>1081</v>
      </c>
      <c r="H14">
        <v>3</v>
      </c>
      <c r="I14" t="s">
        <v>473</v>
      </c>
      <c r="J14" t="s">
        <v>474</v>
      </c>
      <c r="K14" t="s">
        <v>475</v>
      </c>
      <c r="L14">
        <v>1354</v>
      </c>
      <c r="N14">
        <v>1010</v>
      </c>
      <c r="O14" t="s">
        <v>177</v>
      </c>
      <c r="P14" t="s">
        <v>177</v>
      </c>
      <c r="Q14">
        <v>1</v>
      </c>
      <c r="W14">
        <v>0</v>
      </c>
      <c r="X14">
        <v>-32785108</v>
      </c>
      <c r="Y14">
        <f>((AT14*1)*0)</f>
        <v>0</v>
      </c>
      <c r="AA14">
        <v>36.14</v>
      </c>
      <c r="AB14">
        <v>0</v>
      </c>
      <c r="AC14">
        <v>0</v>
      </c>
      <c r="AD14">
        <v>0</v>
      </c>
      <c r="AE14">
        <v>15.25</v>
      </c>
      <c r="AF14">
        <v>0</v>
      </c>
      <c r="AG14">
        <v>0</v>
      </c>
      <c r="AH14">
        <v>0</v>
      </c>
      <c r="AI14">
        <v>2.37</v>
      </c>
      <c r="AJ14">
        <v>1</v>
      </c>
      <c r="AK14">
        <v>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0.1</v>
      </c>
      <c r="AU14" t="s">
        <v>28</v>
      </c>
      <c r="AV14">
        <v>0</v>
      </c>
      <c r="AW14">
        <v>2</v>
      </c>
      <c r="AX14">
        <v>57035340</v>
      </c>
      <c r="AY14">
        <v>1</v>
      </c>
      <c r="AZ14">
        <v>0</v>
      </c>
      <c r="BA14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ROUND(Y14*Source!I33,9)</f>
        <v>0</v>
      </c>
      <c r="CY14">
        <f>AA14</f>
        <v>36.14</v>
      </c>
      <c r="CZ14">
        <f>AE14</f>
        <v>15.25</v>
      </c>
      <c r="DA14">
        <f>AI14</f>
        <v>2.37</v>
      </c>
      <c r="DB14">
        <f>ROUND(((ROUND(AT14*CZ14,2)*1)*0),6)</f>
        <v>0</v>
      </c>
      <c r="DC14">
        <f>ROUND(((ROUND(AT14*AG14,2)*1)*0),6)</f>
        <v>0</v>
      </c>
      <c r="DD14" t="s">
        <v>3</v>
      </c>
      <c r="DE14" t="s">
        <v>3</v>
      </c>
      <c r="DF14">
        <f>ROUND(ROUND(AE14*AI14,2)*CX14,2)</f>
        <v>0</v>
      </c>
      <c r="DG14">
        <f t="shared" si="5"/>
        <v>0</v>
      </c>
      <c r="DH14">
        <f t="shared" si="6"/>
        <v>0</v>
      </c>
      <c r="DI14">
        <f t="shared" si="4"/>
        <v>0</v>
      </c>
      <c r="DJ14">
        <f>DF14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ROW(Source!A34)</f>
        <v>34</v>
      </c>
      <c r="B15">
        <v>57034452</v>
      </c>
      <c r="C15">
        <v>57035342</v>
      </c>
      <c r="D15">
        <v>55424304</v>
      </c>
      <c r="E15">
        <v>1081</v>
      </c>
      <c r="F15">
        <v>1</v>
      </c>
      <c r="G15">
        <v>1081</v>
      </c>
      <c r="H15">
        <v>1</v>
      </c>
      <c r="I15" t="s">
        <v>459</v>
      </c>
      <c r="J15" t="s">
        <v>3</v>
      </c>
      <c r="K15" t="s">
        <v>460</v>
      </c>
      <c r="L15">
        <v>1191</v>
      </c>
      <c r="N15">
        <v>1013</v>
      </c>
      <c r="O15" t="s">
        <v>461</v>
      </c>
      <c r="P15" t="s">
        <v>461</v>
      </c>
      <c r="Q15">
        <v>1</v>
      </c>
      <c r="W15">
        <v>0</v>
      </c>
      <c r="X15">
        <v>476480486</v>
      </c>
      <c r="Y15">
        <f>((AT15*1.2)*0.3)</f>
        <v>0.48960000000000004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1.36</v>
      </c>
      <c r="AU15" t="s">
        <v>29</v>
      </c>
      <c r="AV15">
        <v>1</v>
      </c>
      <c r="AW15">
        <v>2</v>
      </c>
      <c r="AX15">
        <v>57035349</v>
      </c>
      <c r="AY15">
        <v>1</v>
      </c>
      <c r="AZ15">
        <v>0</v>
      </c>
      <c r="BA15">
        <v>19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ROUND(AT15*Source!I34*AH15*AL15,2)</f>
        <v>0</v>
      </c>
      <c r="CV15">
        <f>ROUND(Y15*Source!I34,9)</f>
        <v>1.9583999999999999</v>
      </c>
      <c r="CW15">
        <v>0</v>
      </c>
      <c r="CX15">
        <f>ROUND(Y15*Source!I34,9)</f>
        <v>1.9583999999999999</v>
      </c>
      <c r="CY15">
        <f>AD15</f>
        <v>0</v>
      </c>
      <c r="CZ15">
        <f>AH15</f>
        <v>0</v>
      </c>
      <c r="DA15">
        <f>AL15</f>
        <v>1</v>
      </c>
      <c r="DB15">
        <f>ROUND(((ROUND(AT15*CZ15,2)*1.2)*0.3),6)</f>
        <v>0</v>
      </c>
      <c r="DC15">
        <f>ROUND(((ROUND(AT15*AG15,2)*1.2)*0.3),6)</f>
        <v>0</v>
      </c>
      <c r="DD15" t="s">
        <v>3</v>
      </c>
      <c r="DE15" t="s">
        <v>3</v>
      </c>
      <c r="DF15">
        <f t="shared" ref="DF15:DF23" si="7">ROUND(ROUND(AE15,2)*CX15,2)</f>
        <v>0</v>
      </c>
      <c r="DG15">
        <f t="shared" si="5"/>
        <v>0</v>
      </c>
      <c r="DH15">
        <f t="shared" si="6"/>
        <v>0</v>
      </c>
      <c r="DI15">
        <f t="shared" si="4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ROW(Source!A34)</f>
        <v>34</v>
      </c>
      <c r="B16">
        <v>57034452</v>
      </c>
      <c r="C16">
        <v>57035342</v>
      </c>
      <c r="D16">
        <v>55490330</v>
      </c>
      <c r="E16">
        <v>1</v>
      </c>
      <c r="F16">
        <v>1</v>
      </c>
      <c r="G16">
        <v>1081</v>
      </c>
      <c r="H16">
        <v>2</v>
      </c>
      <c r="I16" t="s">
        <v>476</v>
      </c>
      <c r="J16" t="s">
        <v>477</v>
      </c>
      <c r="K16" t="s">
        <v>478</v>
      </c>
      <c r="L16">
        <v>1368</v>
      </c>
      <c r="N16">
        <v>1011</v>
      </c>
      <c r="O16" t="s">
        <v>465</v>
      </c>
      <c r="P16" t="s">
        <v>465</v>
      </c>
      <c r="Q16">
        <v>1</v>
      </c>
      <c r="W16">
        <v>0</v>
      </c>
      <c r="X16">
        <v>-2083101341</v>
      </c>
      <c r="Y16">
        <f>((AT16*1.2)*0.3)</f>
        <v>6.1200000000000004E-3</v>
      </c>
      <c r="AA16">
        <v>0</v>
      </c>
      <c r="AB16">
        <v>0.84</v>
      </c>
      <c r="AC16">
        <v>0</v>
      </c>
      <c r="AD16">
        <v>0</v>
      </c>
      <c r="AE16">
        <v>0</v>
      </c>
      <c r="AF16">
        <v>0.8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1.7000000000000001E-2</v>
      </c>
      <c r="AU16" t="s">
        <v>29</v>
      </c>
      <c r="AV16">
        <v>0</v>
      </c>
      <c r="AW16">
        <v>2</v>
      </c>
      <c r="AX16">
        <v>57035350</v>
      </c>
      <c r="AY16">
        <v>1</v>
      </c>
      <c r="AZ16">
        <v>0</v>
      </c>
      <c r="BA16">
        <v>20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ROUND(Y16*Source!I34*DO16,9)</f>
        <v>0</v>
      </c>
      <c r="CX16">
        <f>ROUND(Y16*Source!I34,9)</f>
        <v>2.4479999999999998E-2</v>
      </c>
      <c r="CY16">
        <f>AB16</f>
        <v>0.84</v>
      </c>
      <c r="CZ16">
        <f>AF16</f>
        <v>0.8</v>
      </c>
      <c r="DA16">
        <f>AJ16</f>
        <v>1</v>
      </c>
      <c r="DB16">
        <f>ROUND(((ROUND(AT16*CZ16,2)*1.2)*0.3),6)</f>
        <v>3.5999999999999999E-3</v>
      </c>
      <c r="DC16">
        <f>ROUND(((ROUND(AT16*AG16,2)*1.2)*0.3),6)</f>
        <v>0</v>
      </c>
      <c r="DD16" t="s">
        <v>3</v>
      </c>
      <c r="DE16" t="s">
        <v>3</v>
      </c>
      <c r="DF16">
        <f t="shared" si="7"/>
        <v>0</v>
      </c>
      <c r="DG16">
        <f t="shared" si="5"/>
        <v>0.02</v>
      </c>
      <c r="DH16">
        <f t="shared" si="6"/>
        <v>0</v>
      </c>
      <c r="DI16">
        <f t="shared" si="4"/>
        <v>0</v>
      </c>
      <c r="DJ16">
        <f>DG16</f>
        <v>0.02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ROW(Source!A34)</f>
        <v>34</v>
      </c>
      <c r="B17">
        <v>57034452</v>
      </c>
      <c r="C17">
        <v>57035342</v>
      </c>
      <c r="D17">
        <v>55490296</v>
      </c>
      <c r="E17">
        <v>1</v>
      </c>
      <c r="F17">
        <v>1</v>
      </c>
      <c r="G17">
        <v>1081</v>
      </c>
      <c r="H17">
        <v>2</v>
      </c>
      <c r="I17" t="s">
        <v>479</v>
      </c>
      <c r="J17" t="s">
        <v>480</v>
      </c>
      <c r="K17" t="s">
        <v>481</v>
      </c>
      <c r="L17">
        <v>1368</v>
      </c>
      <c r="N17">
        <v>1011</v>
      </c>
      <c r="O17" t="s">
        <v>465</v>
      </c>
      <c r="P17" t="s">
        <v>465</v>
      </c>
      <c r="Q17">
        <v>1</v>
      </c>
      <c r="W17">
        <v>0</v>
      </c>
      <c r="X17">
        <v>-643591644</v>
      </c>
      <c r="Y17">
        <f>((AT17*1.2)*0.3)</f>
        <v>7.1999999999999998E-3</v>
      </c>
      <c r="AA17">
        <v>0</v>
      </c>
      <c r="AB17">
        <v>0.49</v>
      </c>
      <c r="AC17">
        <v>0</v>
      </c>
      <c r="AD17">
        <v>0</v>
      </c>
      <c r="AE17">
        <v>0</v>
      </c>
      <c r="AF17">
        <v>0.47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0.02</v>
      </c>
      <c r="AU17" t="s">
        <v>29</v>
      </c>
      <c r="AV17">
        <v>0</v>
      </c>
      <c r="AW17">
        <v>2</v>
      </c>
      <c r="AX17">
        <v>57035351</v>
      </c>
      <c r="AY17">
        <v>1</v>
      </c>
      <c r="AZ17">
        <v>0</v>
      </c>
      <c r="BA17">
        <v>21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ROUND(Y17*Source!I34*DO17,9)</f>
        <v>0</v>
      </c>
      <c r="CX17">
        <f>ROUND(Y17*Source!I34,9)</f>
        <v>2.8799999999999999E-2</v>
      </c>
      <c r="CY17">
        <f>AB17</f>
        <v>0.49</v>
      </c>
      <c r="CZ17">
        <f>AF17</f>
        <v>0.47</v>
      </c>
      <c r="DA17">
        <f>AJ17</f>
        <v>1</v>
      </c>
      <c r="DB17">
        <f>ROUND(((ROUND(AT17*CZ17,2)*1.2)*0.3),6)</f>
        <v>3.5999999999999999E-3</v>
      </c>
      <c r="DC17">
        <f>ROUND(((ROUND(AT17*AG17,2)*1.2)*0.3),6)</f>
        <v>0</v>
      </c>
      <c r="DD17" t="s">
        <v>3</v>
      </c>
      <c r="DE17" t="s">
        <v>3</v>
      </c>
      <c r="DF17">
        <f t="shared" si="7"/>
        <v>0</v>
      </c>
      <c r="DG17">
        <f t="shared" si="5"/>
        <v>0.01</v>
      </c>
      <c r="DH17">
        <f t="shared" si="6"/>
        <v>0</v>
      </c>
      <c r="DI17">
        <f t="shared" si="4"/>
        <v>0</v>
      </c>
      <c r="DJ17">
        <f>DG17</f>
        <v>0.01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ROW(Source!A34)</f>
        <v>34</v>
      </c>
      <c r="B18">
        <v>57034452</v>
      </c>
      <c r="C18">
        <v>57035342</v>
      </c>
      <c r="D18">
        <v>55461074</v>
      </c>
      <c r="E18">
        <v>1</v>
      </c>
      <c r="F18">
        <v>1</v>
      </c>
      <c r="G18">
        <v>1081</v>
      </c>
      <c r="H18">
        <v>3</v>
      </c>
      <c r="I18" t="s">
        <v>467</v>
      </c>
      <c r="J18" t="s">
        <v>468</v>
      </c>
      <c r="K18" t="s">
        <v>469</v>
      </c>
      <c r="L18">
        <v>1346</v>
      </c>
      <c r="N18">
        <v>1009</v>
      </c>
      <c r="O18" t="s">
        <v>433</v>
      </c>
      <c r="P18" t="s">
        <v>433</v>
      </c>
      <c r="Q18">
        <v>1</v>
      </c>
      <c r="W18">
        <v>0</v>
      </c>
      <c r="X18">
        <v>-861631226</v>
      </c>
      <c r="Y18">
        <f>((AT18*1)*0)</f>
        <v>0</v>
      </c>
      <c r="AA18">
        <v>27.62</v>
      </c>
      <c r="AB18">
        <v>0</v>
      </c>
      <c r="AC18">
        <v>0</v>
      </c>
      <c r="AD18">
        <v>0</v>
      </c>
      <c r="AE18">
        <v>27.62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6.2700000000000004E-3</v>
      </c>
      <c r="AU18" t="s">
        <v>28</v>
      </c>
      <c r="AV18">
        <v>0</v>
      </c>
      <c r="AW18">
        <v>2</v>
      </c>
      <c r="AX18">
        <v>57035352</v>
      </c>
      <c r="AY18">
        <v>1</v>
      </c>
      <c r="AZ18">
        <v>0</v>
      </c>
      <c r="BA18">
        <v>22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ROUND(Y18*Source!I34,9)</f>
        <v>0</v>
      </c>
      <c r="CY18">
        <f>AA18</f>
        <v>27.62</v>
      </c>
      <c r="CZ18">
        <f>AE18</f>
        <v>27.62</v>
      </c>
      <c r="DA18">
        <f>AI18</f>
        <v>1</v>
      </c>
      <c r="DB18">
        <f>ROUND(((ROUND(AT18*CZ18,2)*1)*0),6)</f>
        <v>0</v>
      </c>
      <c r="DC18">
        <f>ROUND(((ROUND(AT18*AG18,2)*1)*0),6)</f>
        <v>0</v>
      </c>
      <c r="DD18" t="s">
        <v>3</v>
      </c>
      <c r="DE18" t="s">
        <v>3</v>
      </c>
      <c r="DF18">
        <f t="shared" si="7"/>
        <v>0</v>
      </c>
      <c r="DG18">
        <f t="shared" si="5"/>
        <v>0</v>
      </c>
      <c r="DH18">
        <f t="shared" si="6"/>
        <v>0</v>
      </c>
      <c r="DI18">
        <f t="shared" si="4"/>
        <v>0</v>
      </c>
      <c r="DJ18">
        <f>DF18</f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ROW(Source!A34)</f>
        <v>34</v>
      </c>
      <c r="B19">
        <v>57034452</v>
      </c>
      <c r="C19">
        <v>57035342</v>
      </c>
      <c r="D19">
        <v>55459793</v>
      </c>
      <c r="E19">
        <v>1</v>
      </c>
      <c r="F19">
        <v>1</v>
      </c>
      <c r="G19">
        <v>1081</v>
      </c>
      <c r="H19">
        <v>3</v>
      </c>
      <c r="I19" t="s">
        <v>470</v>
      </c>
      <c r="J19" t="s">
        <v>471</v>
      </c>
      <c r="K19" t="s">
        <v>472</v>
      </c>
      <c r="L19">
        <v>1348</v>
      </c>
      <c r="N19">
        <v>1009</v>
      </c>
      <c r="O19" t="s">
        <v>299</v>
      </c>
      <c r="P19" t="s">
        <v>299</v>
      </c>
      <c r="Q19">
        <v>1000</v>
      </c>
      <c r="W19">
        <v>0</v>
      </c>
      <c r="X19">
        <v>-761454284</v>
      </c>
      <c r="Y19">
        <f>((AT19*1)*0)</f>
        <v>0</v>
      </c>
      <c r="AA19">
        <v>64123.05</v>
      </c>
      <c r="AB19">
        <v>0</v>
      </c>
      <c r="AC19">
        <v>0</v>
      </c>
      <c r="AD19">
        <v>0</v>
      </c>
      <c r="AE19">
        <v>64123.05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1.0000000000000001E-5</v>
      </c>
      <c r="AU19" t="s">
        <v>28</v>
      </c>
      <c r="AV19">
        <v>0</v>
      </c>
      <c r="AW19">
        <v>2</v>
      </c>
      <c r="AX19">
        <v>57035353</v>
      </c>
      <c r="AY19">
        <v>1</v>
      </c>
      <c r="AZ19">
        <v>0</v>
      </c>
      <c r="BA19">
        <v>23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ROUND(Y19*Source!I34,9)</f>
        <v>0</v>
      </c>
      <c r="CY19">
        <f>AA19</f>
        <v>64123.05</v>
      </c>
      <c r="CZ19">
        <f>AE19</f>
        <v>64123.05</v>
      </c>
      <c r="DA19">
        <f>AI19</f>
        <v>1</v>
      </c>
      <c r="DB19">
        <f>ROUND(((ROUND(AT19*CZ19,2)*1)*0),6)</f>
        <v>0</v>
      </c>
      <c r="DC19">
        <f>ROUND(((ROUND(AT19*AG19,2)*1)*0),6)</f>
        <v>0</v>
      </c>
      <c r="DD19" t="s">
        <v>3</v>
      </c>
      <c r="DE19" t="s">
        <v>3</v>
      </c>
      <c r="DF19">
        <f t="shared" si="7"/>
        <v>0</v>
      </c>
      <c r="DG19">
        <f t="shared" si="5"/>
        <v>0</v>
      </c>
      <c r="DH19">
        <f t="shared" si="6"/>
        <v>0</v>
      </c>
      <c r="DI19">
        <f t="shared" si="4"/>
        <v>0</v>
      </c>
      <c r="DJ19">
        <f>DF19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ROW(Source!A34)</f>
        <v>34</v>
      </c>
      <c r="B20">
        <v>57034452</v>
      </c>
      <c r="C20">
        <v>57035342</v>
      </c>
      <c r="D20">
        <v>55469253</v>
      </c>
      <c r="E20">
        <v>1</v>
      </c>
      <c r="F20">
        <v>1</v>
      </c>
      <c r="G20">
        <v>1081</v>
      </c>
      <c r="H20">
        <v>3</v>
      </c>
      <c r="I20" t="s">
        <v>473</v>
      </c>
      <c r="J20" t="s">
        <v>474</v>
      </c>
      <c r="K20" t="s">
        <v>475</v>
      </c>
      <c r="L20">
        <v>1354</v>
      </c>
      <c r="N20">
        <v>1010</v>
      </c>
      <c r="O20" t="s">
        <v>177</v>
      </c>
      <c r="P20" t="s">
        <v>177</v>
      </c>
      <c r="Q20">
        <v>1</v>
      </c>
      <c r="W20">
        <v>0</v>
      </c>
      <c r="X20">
        <v>-32785108</v>
      </c>
      <c r="Y20">
        <f>((AT20*1)*0)</f>
        <v>0</v>
      </c>
      <c r="AA20">
        <v>15.25</v>
      </c>
      <c r="AB20">
        <v>0</v>
      </c>
      <c r="AC20">
        <v>0</v>
      </c>
      <c r="AD20">
        <v>0</v>
      </c>
      <c r="AE20">
        <v>15.25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0.1</v>
      </c>
      <c r="AU20" t="s">
        <v>28</v>
      </c>
      <c r="AV20">
        <v>0</v>
      </c>
      <c r="AW20">
        <v>2</v>
      </c>
      <c r="AX20">
        <v>57035354</v>
      </c>
      <c r="AY20">
        <v>1</v>
      </c>
      <c r="AZ20">
        <v>0</v>
      </c>
      <c r="BA20">
        <v>24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ROUND(Y20*Source!I34,9)</f>
        <v>0</v>
      </c>
      <c r="CY20">
        <f>AA20</f>
        <v>15.25</v>
      </c>
      <c r="CZ20">
        <f>AE20</f>
        <v>15.25</v>
      </c>
      <c r="DA20">
        <f>AI20</f>
        <v>1</v>
      </c>
      <c r="DB20">
        <f>ROUND(((ROUND(AT20*CZ20,2)*1)*0),6)</f>
        <v>0</v>
      </c>
      <c r="DC20">
        <f>ROUND(((ROUND(AT20*AG20,2)*1)*0),6)</f>
        <v>0</v>
      </c>
      <c r="DD20" t="s">
        <v>3</v>
      </c>
      <c r="DE20" t="s">
        <v>3</v>
      </c>
      <c r="DF20">
        <f t="shared" si="7"/>
        <v>0</v>
      </c>
      <c r="DG20">
        <f t="shared" si="5"/>
        <v>0</v>
      </c>
      <c r="DH20">
        <f t="shared" si="6"/>
        <v>0</v>
      </c>
      <c r="DI20">
        <f t="shared" si="4"/>
        <v>0</v>
      </c>
      <c r="DJ20">
        <f>DF20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ROW(Source!A35)</f>
        <v>35</v>
      </c>
      <c r="B21">
        <v>57034454</v>
      </c>
      <c r="C21">
        <v>57035342</v>
      </c>
      <c r="D21">
        <v>55424304</v>
      </c>
      <c r="E21">
        <v>1081</v>
      </c>
      <c r="F21">
        <v>1</v>
      </c>
      <c r="G21">
        <v>1081</v>
      </c>
      <c r="H21">
        <v>1</v>
      </c>
      <c r="I21" t="s">
        <v>459</v>
      </c>
      <c r="J21" t="s">
        <v>3</v>
      </c>
      <c r="K21" t="s">
        <v>460</v>
      </c>
      <c r="L21">
        <v>1191</v>
      </c>
      <c r="N21">
        <v>1013</v>
      </c>
      <c r="O21" t="s">
        <v>461</v>
      </c>
      <c r="P21" t="s">
        <v>461</v>
      </c>
      <c r="Q21">
        <v>1</v>
      </c>
      <c r="W21">
        <v>0</v>
      </c>
      <c r="X21">
        <v>476480486</v>
      </c>
      <c r="Y21">
        <f>((AT21*1.2)*0.3)</f>
        <v>0.48960000000000004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5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1.36</v>
      </c>
      <c r="AU21" t="s">
        <v>29</v>
      </c>
      <c r="AV21">
        <v>1</v>
      </c>
      <c r="AW21">
        <v>2</v>
      </c>
      <c r="AX21">
        <v>57035349</v>
      </c>
      <c r="AY21">
        <v>1</v>
      </c>
      <c r="AZ21">
        <v>0</v>
      </c>
      <c r="BA21">
        <v>26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ROUND(AT21*Source!I35*AH21*AL21,2)</f>
        <v>0</v>
      </c>
      <c r="CV21">
        <f>ROUND(Y21*Source!I35,9)</f>
        <v>1.9583999999999999</v>
      </c>
      <c r="CW21">
        <v>0</v>
      </c>
      <c r="CX21">
        <f>ROUND(Y21*Source!I35,9)</f>
        <v>1.9583999999999999</v>
      </c>
      <c r="CY21">
        <f>AD21</f>
        <v>0</v>
      </c>
      <c r="CZ21">
        <f>AH21</f>
        <v>0</v>
      </c>
      <c r="DA21">
        <f>AL21</f>
        <v>1</v>
      </c>
      <c r="DB21">
        <f>ROUND(((ROUND(AT21*CZ21,2)*1.2)*0.3),6)</f>
        <v>0</v>
      </c>
      <c r="DC21">
        <f>ROUND(((ROUND(AT21*AG21,2)*1.2)*0.3),6)</f>
        <v>0</v>
      </c>
      <c r="DD21" t="s">
        <v>3</v>
      </c>
      <c r="DE21" t="s">
        <v>3</v>
      </c>
      <c r="DF21">
        <f t="shared" si="7"/>
        <v>0</v>
      </c>
      <c r="DG21">
        <f t="shared" si="5"/>
        <v>0</v>
      </c>
      <c r="DH21">
        <f t="shared" si="6"/>
        <v>0</v>
      </c>
      <c r="DI21">
        <f t="shared" si="4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ROW(Source!A35)</f>
        <v>35</v>
      </c>
      <c r="B22">
        <v>57034454</v>
      </c>
      <c r="C22">
        <v>57035342</v>
      </c>
      <c r="D22">
        <v>55490330</v>
      </c>
      <c r="E22">
        <v>1</v>
      </c>
      <c r="F22">
        <v>1</v>
      </c>
      <c r="G22">
        <v>1081</v>
      </c>
      <c r="H22">
        <v>2</v>
      </c>
      <c r="I22" t="s">
        <v>476</v>
      </c>
      <c r="J22" t="s">
        <v>477</v>
      </c>
      <c r="K22" t="s">
        <v>478</v>
      </c>
      <c r="L22">
        <v>1368</v>
      </c>
      <c r="N22">
        <v>1011</v>
      </c>
      <c r="O22" t="s">
        <v>465</v>
      </c>
      <c r="P22" t="s">
        <v>465</v>
      </c>
      <c r="Q22">
        <v>1</v>
      </c>
      <c r="W22">
        <v>0</v>
      </c>
      <c r="X22">
        <v>-2083101341</v>
      </c>
      <c r="Y22">
        <f>((AT22*1.2)*0.3)</f>
        <v>6.1200000000000004E-3</v>
      </c>
      <c r="AA22">
        <v>0</v>
      </c>
      <c r="AB22">
        <v>7.92</v>
      </c>
      <c r="AC22">
        <v>0</v>
      </c>
      <c r="AD22">
        <v>0</v>
      </c>
      <c r="AE22">
        <v>0</v>
      </c>
      <c r="AF22">
        <v>0.8</v>
      </c>
      <c r="AG22">
        <v>0</v>
      </c>
      <c r="AH22">
        <v>0</v>
      </c>
      <c r="AI22">
        <v>1</v>
      </c>
      <c r="AJ22">
        <v>9.4600000000000009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1.7000000000000001E-2</v>
      </c>
      <c r="AU22" t="s">
        <v>29</v>
      </c>
      <c r="AV22">
        <v>0</v>
      </c>
      <c r="AW22">
        <v>2</v>
      </c>
      <c r="AX22">
        <v>57035350</v>
      </c>
      <c r="AY22">
        <v>1</v>
      </c>
      <c r="AZ22">
        <v>0</v>
      </c>
      <c r="BA22">
        <v>27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ROUND(Y22*Source!I35*DO22,9)</f>
        <v>0</v>
      </c>
      <c r="CX22">
        <f>ROUND(Y22*Source!I35,9)</f>
        <v>2.4479999999999998E-2</v>
      </c>
      <c r="CY22">
        <f>AB22</f>
        <v>7.92</v>
      </c>
      <c r="CZ22">
        <f>AF22</f>
        <v>0.8</v>
      </c>
      <c r="DA22">
        <f>AJ22</f>
        <v>9.4600000000000009</v>
      </c>
      <c r="DB22">
        <f>ROUND(((ROUND(AT22*CZ22,2)*1.2)*0.3),6)</f>
        <v>3.5999999999999999E-3</v>
      </c>
      <c r="DC22">
        <f>ROUND(((ROUND(AT22*AG22,2)*1.2)*0.3),6)</f>
        <v>0</v>
      </c>
      <c r="DD22" t="s">
        <v>3</v>
      </c>
      <c r="DE22" t="s">
        <v>3</v>
      </c>
      <c r="DF22">
        <f t="shared" si="7"/>
        <v>0</v>
      </c>
      <c r="DG22">
        <f>ROUND(ROUND(AF22*AJ22,2)*CX22,2)</f>
        <v>0.19</v>
      </c>
      <c r="DH22">
        <f t="shared" si="6"/>
        <v>0</v>
      </c>
      <c r="DI22">
        <f t="shared" si="4"/>
        <v>0</v>
      </c>
      <c r="DJ22">
        <f>DG22</f>
        <v>0.19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ROW(Source!A35)</f>
        <v>35</v>
      </c>
      <c r="B23">
        <v>57034454</v>
      </c>
      <c r="C23">
        <v>57035342</v>
      </c>
      <c r="D23">
        <v>55490296</v>
      </c>
      <c r="E23">
        <v>1</v>
      </c>
      <c r="F23">
        <v>1</v>
      </c>
      <c r="G23">
        <v>1081</v>
      </c>
      <c r="H23">
        <v>2</v>
      </c>
      <c r="I23" t="s">
        <v>479</v>
      </c>
      <c r="J23" t="s">
        <v>480</v>
      </c>
      <c r="K23" t="s">
        <v>481</v>
      </c>
      <c r="L23">
        <v>1368</v>
      </c>
      <c r="N23">
        <v>1011</v>
      </c>
      <c r="O23" t="s">
        <v>465</v>
      </c>
      <c r="P23" t="s">
        <v>465</v>
      </c>
      <c r="Q23">
        <v>1</v>
      </c>
      <c r="W23">
        <v>0</v>
      </c>
      <c r="X23">
        <v>-643591644</v>
      </c>
      <c r="Y23">
        <f>((AT23*1.2)*0.3)</f>
        <v>7.1999999999999998E-3</v>
      </c>
      <c r="AA23">
        <v>0</v>
      </c>
      <c r="AB23">
        <v>4.75</v>
      </c>
      <c r="AC23">
        <v>0</v>
      </c>
      <c r="AD23">
        <v>0</v>
      </c>
      <c r="AE23">
        <v>0</v>
      </c>
      <c r="AF23">
        <v>0.47</v>
      </c>
      <c r="AG23">
        <v>0</v>
      </c>
      <c r="AH23">
        <v>0</v>
      </c>
      <c r="AI23">
        <v>1</v>
      </c>
      <c r="AJ23">
        <v>9.66</v>
      </c>
      <c r="AK23">
        <v>1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0.02</v>
      </c>
      <c r="AU23" t="s">
        <v>29</v>
      </c>
      <c r="AV23">
        <v>0</v>
      </c>
      <c r="AW23">
        <v>2</v>
      </c>
      <c r="AX23">
        <v>57035351</v>
      </c>
      <c r="AY23">
        <v>1</v>
      </c>
      <c r="AZ23">
        <v>0</v>
      </c>
      <c r="BA23">
        <v>28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ROUND(Y23*Source!I35*DO23,9)</f>
        <v>0</v>
      </c>
      <c r="CX23">
        <f>ROUND(Y23*Source!I35,9)</f>
        <v>2.8799999999999999E-2</v>
      </c>
      <c r="CY23">
        <f>AB23</f>
        <v>4.75</v>
      </c>
      <c r="CZ23">
        <f>AF23</f>
        <v>0.47</v>
      </c>
      <c r="DA23">
        <f>AJ23</f>
        <v>9.66</v>
      </c>
      <c r="DB23">
        <f>ROUND(((ROUND(AT23*CZ23,2)*1.2)*0.3),6)</f>
        <v>3.5999999999999999E-3</v>
      </c>
      <c r="DC23">
        <f>ROUND(((ROUND(AT23*AG23,2)*1.2)*0.3),6)</f>
        <v>0</v>
      </c>
      <c r="DD23" t="s">
        <v>3</v>
      </c>
      <c r="DE23" t="s">
        <v>3</v>
      </c>
      <c r="DF23">
        <f t="shared" si="7"/>
        <v>0</v>
      </c>
      <c r="DG23">
        <f>ROUND(ROUND(AF23*AJ23,2)*CX23,2)</f>
        <v>0.13</v>
      </c>
      <c r="DH23">
        <f t="shared" si="6"/>
        <v>0</v>
      </c>
      <c r="DI23">
        <f t="shared" si="4"/>
        <v>0</v>
      </c>
      <c r="DJ23">
        <f>DG23</f>
        <v>0.13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ROW(Source!A35)</f>
        <v>35</v>
      </c>
      <c r="B24">
        <v>57034454</v>
      </c>
      <c r="C24">
        <v>57035342</v>
      </c>
      <c r="D24">
        <v>55461074</v>
      </c>
      <c r="E24">
        <v>1</v>
      </c>
      <c r="F24">
        <v>1</v>
      </c>
      <c r="G24">
        <v>1081</v>
      </c>
      <c r="H24">
        <v>3</v>
      </c>
      <c r="I24" t="s">
        <v>467</v>
      </c>
      <c r="J24" t="s">
        <v>468</v>
      </c>
      <c r="K24" t="s">
        <v>469</v>
      </c>
      <c r="L24">
        <v>1346</v>
      </c>
      <c r="N24">
        <v>1009</v>
      </c>
      <c r="O24" t="s">
        <v>433</v>
      </c>
      <c r="P24" t="s">
        <v>433</v>
      </c>
      <c r="Q24">
        <v>1</v>
      </c>
      <c r="W24">
        <v>0</v>
      </c>
      <c r="X24">
        <v>-861631226</v>
      </c>
      <c r="Y24">
        <f>((AT24*1)*0)</f>
        <v>0</v>
      </c>
      <c r="AA24">
        <v>163.51</v>
      </c>
      <c r="AB24">
        <v>0</v>
      </c>
      <c r="AC24">
        <v>0</v>
      </c>
      <c r="AD24">
        <v>0</v>
      </c>
      <c r="AE24">
        <v>27.62</v>
      </c>
      <c r="AF24">
        <v>0</v>
      </c>
      <c r="AG24">
        <v>0</v>
      </c>
      <c r="AH24">
        <v>0</v>
      </c>
      <c r="AI24">
        <v>5.92</v>
      </c>
      <c r="AJ24">
        <v>1</v>
      </c>
      <c r="AK24">
        <v>1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6.2700000000000004E-3</v>
      </c>
      <c r="AU24" t="s">
        <v>28</v>
      </c>
      <c r="AV24">
        <v>0</v>
      </c>
      <c r="AW24">
        <v>2</v>
      </c>
      <c r="AX24">
        <v>57035352</v>
      </c>
      <c r="AY24">
        <v>1</v>
      </c>
      <c r="AZ24">
        <v>0</v>
      </c>
      <c r="BA24">
        <v>29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ROUND(Y24*Source!I35,9)</f>
        <v>0</v>
      </c>
      <c r="CY24">
        <f>AA24</f>
        <v>163.51</v>
      </c>
      <c r="CZ24">
        <f>AE24</f>
        <v>27.62</v>
      </c>
      <c r="DA24">
        <f>AI24</f>
        <v>5.92</v>
      </c>
      <c r="DB24">
        <f>ROUND(((ROUND(AT24*CZ24,2)*1)*0),6)</f>
        <v>0</v>
      </c>
      <c r="DC24">
        <f>ROUND(((ROUND(AT24*AG24,2)*1)*0),6)</f>
        <v>0</v>
      </c>
      <c r="DD24" t="s">
        <v>3</v>
      </c>
      <c r="DE24" t="s">
        <v>3</v>
      </c>
      <c r="DF24">
        <f>ROUND(ROUND(AE24*AI24,2)*CX24,2)</f>
        <v>0</v>
      </c>
      <c r="DG24">
        <f t="shared" ref="DG24:DG51" si="8">ROUND(ROUND(AF24,2)*CX24,2)</f>
        <v>0</v>
      </c>
      <c r="DH24">
        <f t="shared" si="6"/>
        <v>0</v>
      </c>
      <c r="DI24">
        <f t="shared" si="4"/>
        <v>0</v>
      </c>
      <c r="DJ24">
        <f>DF24</f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ROW(Source!A35)</f>
        <v>35</v>
      </c>
      <c r="B25">
        <v>57034454</v>
      </c>
      <c r="C25">
        <v>57035342</v>
      </c>
      <c r="D25">
        <v>55459793</v>
      </c>
      <c r="E25">
        <v>1</v>
      </c>
      <c r="F25">
        <v>1</v>
      </c>
      <c r="G25">
        <v>1081</v>
      </c>
      <c r="H25">
        <v>3</v>
      </c>
      <c r="I25" t="s">
        <v>470</v>
      </c>
      <c r="J25" t="s">
        <v>471</v>
      </c>
      <c r="K25" t="s">
        <v>472</v>
      </c>
      <c r="L25">
        <v>1348</v>
      </c>
      <c r="N25">
        <v>1009</v>
      </c>
      <c r="O25" t="s">
        <v>299</v>
      </c>
      <c r="P25" t="s">
        <v>299</v>
      </c>
      <c r="Q25">
        <v>1000</v>
      </c>
      <c r="W25">
        <v>0</v>
      </c>
      <c r="X25">
        <v>-761454284</v>
      </c>
      <c r="Y25">
        <f>((AT25*1)*0)</f>
        <v>0</v>
      </c>
      <c r="AA25">
        <v>1930745.04</v>
      </c>
      <c r="AB25">
        <v>0</v>
      </c>
      <c r="AC25">
        <v>0</v>
      </c>
      <c r="AD25">
        <v>0</v>
      </c>
      <c r="AE25">
        <v>64123.05</v>
      </c>
      <c r="AF25">
        <v>0</v>
      </c>
      <c r="AG25">
        <v>0</v>
      </c>
      <c r="AH25">
        <v>0</v>
      </c>
      <c r="AI25">
        <v>30.11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1.0000000000000001E-5</v>
      </c>
      <c r="AU25" t="s">
        <v>28</v>
      </c>
      <c r="AV25">
        <v>0</v>
      </c>
      <c r="AW25">
        <v>2</v>
      </c>
      <c r="AX25">
        <v>57035353</v>
      </c>
      <c r="AY25">
        <v>1</v>
      </c>
      <c r="AZ25">
        <v>0</v>
      </c>
      <c r="BA25">
        <v>30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ROUND(Y25*Source!I35,9)</f>
        <v>0</v>
      </c>
      <c r="CY25">
        <f>AA25</f>
        <v>1930745.04</v>
      </c>
      <c r="CZ25">
        <f>AE25</f>
        <v>64123.05</v>
      </c>
      <c r="DA25">
        <f>AI25</f>
        <v>30.11</v>
      </c>
      <c r="DB25">
        <f>ROUND(((ROUND(AT25*CZ25,2)*1)*0),6)</f>
        <v>0</v>
      </c>
      <c r="DC25">
        <f>ROUND(((ROUND(AT25*AG25,2)*1)*0),6)</f>
        <v>0</v>
      </c>
      <c r="DD25" t="s">
        <v>3</v>
      </c>
      <c r="DE25" t="s">
        <v>3</v>
      </c>
      <c r="DF25">
        <f>ROUND(ROUND(AE25*AI25,2)*CX25,2)</f>
        <v>0</v>
      </c>
      <c r="DG25">
        <f t="shared" si="8"/>
        <v>0</v>
      </c>
      <c r="DH25">
        <f t="shared" si="6"/>
        <v>0</v>
      </c>
      <c r="DI25">
        <f t="shared" si="4"/>
        <v>0</v>
      </c>
      <c r="DJ25">
        <f>DF25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ROW(Source!A35)</f>
        <v>35</v>
      </c>
      <c r="B26">
        <v>57034454</v>
      </c>
      <c r="C26">
        <v>57035342</v>
      </c>
      <c r="D26">
        <v>55469253</v>
      </c>
      <c r="E26">
        <v>1</v>
      </c>
      <c r="F26">
        <v>1</v>
      </c>
      <c r="G26">
        <v>1081</v>
      </c>
      <c r="H26">
        <v>3</v>
      </c>
      <c r="I26" t="s">
        <v>473</v>
      </c>
      <c r="J26" t="s">
        <v>474</v>
      </c>
      <c r="K26" t="s">
        <v>475</v>
      </c>
      <c r="L26">
        <v>1354</v>
      </c>
      <c r="N26">
        <v>1010</v>
      </c>
      <c r="O26" t="s">
        <v>177</v>
      </c>
      <c r="P26" t="s">
        <v>177</v>
      </c>
      <c r="Q26">
        <v>1</v>
      </c>
      <c r="W26">
        <v>0</v>
      </c>
      <c r="X26">
        <v>-32785108</v>
      </c>
      <c r="Y26">
        <f>((AT26*1)*0)</f>
        <v>0</v>
      </c>
      <c r="AA26">
        <v>36.14</v>
      </c>
      <c r="AB26">
        <v>0</v>
      </c>
      <c r="AC26">
        <v>0</v>
      </c>
      <c r="AD26">
        <v>0</v>
      </c>
      <c r="AE26">
        <v>15.25</v>
      </c>
      <c r="AF26">
        <v>0</v>
      </c>
      <c r="AG26">
        <v>0</v>
      </c>
      <c r="AH26">
        <v>0</v>
      </c>
      <c r="AI26">
        <v>2.37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0.1</v>
      </c>
      <c r="AU26" t="s">
        <v>28</v>
      </c>
      <c r="AV26">
        <v>0</v>
      </c>
      <c r="AW26">
        <v>2</v>
      </c>
      <c r="AX26">
        <v>57035354</v>
      </c>
      <c r="AY26">
        <v>1</v>
      </c>
      <c r="AZ26">
        <v>0</v>
      </c>
      <c r="BA26">
        <v>31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ROUND(Y26*Source!I35,9)</f>
        <v>0</v>
      </c>
      <c r="CY26">
        <f>AA26</f>
        <v>36.14</v>
      </c>
      <c r="CZ26">
        <f>AE26</f>
        <v>15.25</v>
      </c>
      <c r="DA26">
        <f>AI26</f>
        <v>2.37</v>
      </c>
      <c r="DB26">
        <f>ROUND(((ROUND(AT26*CZ26,2)*1)*0),6)</f>
        <v>0</v>
      </c>
      <c r="DC26">
        <f>ROUND(((ROUND(AT26*AG26,2)*1)*0),6)</f>
        <v>0</v>
      </c>
      <c r="DD26" t="s">
        <v>3</v>
      </c>
      <c r="DE26" t="s">
        <v>3</v>
      </c>
      <c r="DF26">
        <f>ROUND(ROUND(AE26*AI26,2)*CX26,2)</f>
        <v>0</v>
      </c>
      <c r="DG26">
        <f t="shared" si="8"/>
        <v>0</v>
      </c>
      <c r="DH26">
        <f t="shared" si="6"/>
        <v>0</v>
      </c>
      <c r="DI26">
        <f t="shared" si="4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ROW(Source!A36)</f>
        <v>36</v>
      </c>
      <c r="B27">
        <v>57034452</v>
      </c>
      <c r="C27">
        <v>57035356</v>
      </c>
      <c r="D27">
        <v>55424304</v>
      </c>
      <c r="E27">
        <v>1081</v>
      </c>
      <c r="F27">
        <v>1</v>
      </c>
      <c r="G27">
        <v>1081</v>
      </c>
      <c r="H27">
        <v>1</v>
      </c>
      <c r="I27" t="s">
        <v>459</v>
      </c>
      <c r="J27" t="s">
        <v>3</v>
      </c>
      <c r="K27" t="s">
        <v>460</v>
      </c>
      <c r="L27">
        <v>1191</v>
      </c>
      <c r="N27">
        <v>1013</v>
      </c>
      <c r="O27" t="s">
        <v>461</v>
      </c>
      <c r="P27" t="s">
        <v>461</v>
      </c>
      <c r="Q27">
        <v>1</v>
      </c>
      <c r="W27">
        <v>0</v>
      </c>
      <c r="X27">
        <v>476480486</v>
      </c>
      <c r="Y27">
        <f>((AT27*1.2)*0.3)</f>
        <v>0.6048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1.68</v>
      </c>
      <c r="AU27" t="s">
        <v>29</v>
      </c>
      <c r="AV27">
        <v>1</v>
      </c>
      <c r="AW27">
        <v>2</v>
      </c>
      <c r="AX27">
        <v>57035358</v>
      </c>
      <c r="AY27">
        <v>1</v>
      </c>
      <c r="AZ27">
        <v>0</v>
      </c>
      <c r="BA27">
        <v>33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ROUND(AT27*Source!I36*AH27*AL27,2)</f>
        <v>0</v>
      </c>
      <c r="CV27">
        <f>ROUND(Y27*Source!I36,9)</f>
        <v>316.91520000000003</v>
      </c>
      <c r="CW27">
        <v>0</v>
      </c>
      <c r="CX27">
        <f>ROUND(Y27*Source!I36,9)</f>
        <v>316.91520000000003</v>
      </c>
      <c r="CY27">
        <f>AD27</f>
        <v>0</v>
      </c>
      <c r="CZ27">
        <f>AH27</f>
        <v>0</v>
      </c>
      <c r="DA27">
        <f>AL27</f>
        <v>1</v>
      </c>
      <c r="DB27">
        <f>ROUND(((ROUND(AT27*CZ27,2)*1.2)*0.3),6)</f>
        <v>0</v>
      </c>
      <c r="DC27">
        <f>ROUND(((ROUND(AT27*AG27,2)*1.2)*0.3),6)</f>
        <v>0</v>
      </c>
      <c r="DD27" t="s">
        <v>3</v>
      </c>
      <c r="DE27" t="s">
        <v>3</v>
      </c>
      <c r="DF27">
        <f t="shared" ref="DF27:DF34" si="9">ROUND(ROUND(AE27,2)*CX27,2)</f>
        <v>0</v>
      </c>
      <c r="DG27">
        <f t="shared" si="8"/>
        <v>0</v>
      </c>
      <c r="DH27">
        <f t="shared" si="6"/>
        <v>0</v>
      </c>
      <c r="DI27">
        <f t="shared" si="4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ROW(Source!A37)</f>
        <v>37</v>
      </c>
      <c r="B28">
        <v>57034454</v>
      </c>
      <c r="C28">
        <v>57035356</v>
      </c>
      <c r="D28">
        <v>55424304</v>
      </c>
      <c r="E28">
        <v>1081</v>
      </c>
      <c r="F28">
        <v>1</v>
      </c>
      <c r="G28">
        <v>1081</v>
      </c>
      <c r="H28">
        <v>1</v>
      </c>
      <c r="I28" t="s">
        <v>459</v>
      </c>
      <c r="J28" t="s">
        <v>3</v>
      </c>
      <c r="K28" t="s">
        <v>460</v>
      </c>
      <c r="L28">
        <v>1191</v>
      </c>
      <c r="N28">
        <v>1013</v>
      </c>
      <c r="O28" t="s">
        <v>461</v>
      </c>
      <c r="P28" t="s">
        <v>461</v>
      </c>
      <c r="Q28">
        <v>1</v>
      </c>
      <c r="W28">
        <v>0</v>
      </c>
      <c r="X28">
        <v>476480486</v>
      </c>
      <c r="Y28">
        <f>((AT28*1.2)*0.3)</f>
        <v>0.6048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5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1.68</v>
      </c>
      <c r="AU28" t="s">
        <v>29</v>
      </c>
      <c r="AV28">
        <v>1</v>
      </c>
      <c r="AW28">
        <v>2</v>
      </c>
      <c r="AX28">
        <v>57035358</v>
      </c>
      <c r="AY28">
        <v>1</v>
      </c>
      <c r="AZ28">
        <v>0</v>
      </c>
      <c r="BA28">
        <v>34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U28">
        <f>ROUND(AT28*Source!I37*AH28*AL28,2)</f>
        <v>0</v>
      </c>
      <c r="CV28">
        <f>ROUND(Y28*Source!I37,9)</f>
        <v>316.91520000000003</v>
      </c>
      <c r="CW28">
        <v>0</v>
      </c>
      <c r="CX28">
        <f>ROUND(Y28*Source!I37,9)</f>
        <v>316.91520000000003</v>
      </c>
      <c r="CY28">
        <f>AD28</f>
        <v>0</v>
      </c>
      <c r="CZ28">
        <f>AH28</f>
        <v>0</v>
      </c>
      <c r="DA28">
        <f>AL28</f>
        <v>1</v>
      </c>
      <c r="DB28">
        <f>ROUND(((ROUND(AT28*CZ28,2)*1.2)*0.3),6)</f>
        <v>0</v>
      </c>
      <c r="DC28">
        <f>ROUND(((ROUND(AT28*AG28,2)*1.2)*0.3),6)</f>
        <v>0</v>
      </c>
      <c r="DD28" t="s">
        <v>3</v>
      </c>
      <c r="DE28" t="s">
        <v>3</v>
      </c>
      <c r="DF28">
        <f t="shared" si="9"/>
        <v>0</v>
      </c>
      <c r="DG28">
        <f t="shared" si="8"/>
        <v>0</v>
      </c>
      <c r="DH28">
        <f t="shared" si="6"/>
        <v>0</v>
      </c>
      <c r="DI28">
        <f t="shared" si="4"/>
        <v>0</v>
      </c>
      <c r="DJ28">
        <f>DI28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ROW(Source!A38)</f>
        <v>38</v>
      </c>
      <c r="B29">
        <v>57034452</v>
      </c>
      <c r="C29">
        <v>57035359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459</v>
      </c>
      <c r="J29" t="s">
        <v>3</v>
      </c>
      <c r="K29" t="s">
        <v>460</v>
      </c>
      <c r="L29">
        <v>1191</v>
      </c>
      <c r="N29">
        <v>1013</v>
      </c>
      <c r="O29" t="s">
        <v>461</v>
      </c>
      <c r="P29" t="s">
        <v>461</v>
      </c>
      <c r="Q29">
        <v>1</v>
      </c>
      <c r="W29">
        <v>0</v>
      </c>
      <c r="X29">
        <v>476480486</v>
      </c>
      <c r="Y29">
        <f>((AT29*1.2)*0.3)</f>
        <v>0.3024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0.84</v>
      </c>
      <c r="AU29" t="s">
        <v>29</v>
      </c>
      <c r="AV29">
        <v>1</v>
      </c>
      <c r="AW29">
        <v>2</v>
      </c>
      <c r="AX29">
        <v>57035361</v>
      </c>
      <c r="AY29">
        <v>1</v>
      </c>
      <c r="AZ29">
        <v>0</v>
      </c>
      <c r="BA29">
        <v>35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ROUND(AT29*Source!I38*AH29*AL29,2)</f>
        <v>0</v>
      </c>
      <c r="CV29">
        <f>ROUND(Y29*Source!I38,9)</f>
        <v>3.024</v>
      </c>
      <c r="CW29">
        <v>0</v>
      </c>
      <c r="CX29">
        <f>ROUND(Y29*Source!I38,9)</f>
        <v>3.024</v>
      </c>
      <c r="CY29">
        <f>AD29</f>
        <v>0</v>
      </c>
      <c r="CZ29">
        <f>AH29</f>
        <v>0</v>
      </c>
      <c r="DA29">
        <f>AL29</f>
        <v>1</v>
      </c>
      <c r="DB29">
        <f>ROUND(((ROUND(AT29*CZ29,2)*1.2)*0.3),6)</f>
        <v>0</v>
      </c>
      <c r="DC29">
        <f>ROUND(((ROUND(AT29*AG29,2)*1.2)*0.3),6)</f>
        <v>0</v>
      </c>
      <c r="DD29" t="s">
        <v>3</v>
      </c>
      <c r="DE29" t="s">
        <v>3</v>
      </c>
      <c r="DF29">
        <f t="shared" si="9"/>
        <v>0</v>
      </c>
      <c r="DG29">
        <f t="shared" si="8"/>
        <v>0</v>
      </c>
      <c r="DH29">
        <f t="shared" si="6"/>
        <v>0</v>
      </c>
      <c r="DI29">
        <f t="shared" si="4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ROW(Source!A39)</f>
        <v>39</v>
      </c>
      <c r="B30">
        <v>57034454</v>
      </c>
      <c r="C30">
        <v>57035359</v>
      </c>
      <c r="D30">
        <v>55424304</v>
      </c>
      <c r="E30">
        <v>1081</v>
      </c>
      <c r="F30">
        <v>1</v>
      </c>
      <c r="G30">
        <v>1081</v>
      </c>
      <c r="H30">
        <v>1</v>
      </c>
      <c r="I30" t="s">
        <v>459</v>
      </c>
      <c r="J30" t="s">
        <v>3</v>
      </c>
      <c r="K30" t="s">
        <v>460</v>
      </c>
      <c r="L30">
        <v>1191</v>
      </c>
      <c r="N30">
        <v>1013</v>
      </c>
      <c r="O30" t="s">
        <v>461</v>
      </c>
      <c r="P30" t="s">
        <v>461</v>
      </c>
      <c r="Q30">
        <v>1</v>
      </c>
      <c r="W30">
        <v>0</v>
      </c>
      <c r="X30">
        <v>476480486</v>
      </c>
      <c r="Y30">
        <f>((AT30*1.2)*0.3)</f>
        <v>0.3024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5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0.84</v>
      </c>
      <c r="AU30" t="s">
        <v>29</v>
      </c>
      <c r="AV30">
        <v>1</v>
      </c>
      <c r="AW30">
        <v>2</v>
      </c>
      <c r="AX30">
        <v>57035361</v>
      </c>
      <c r="AY30">
        <v>1</v>
      </c>
      <c r="AZ30">
        <v>0</v>
      </c>
      <c r="BA30">
        <v>36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U30">
        <f>ROUND(AT30*Source!I39*AH30*AL30,2)</f>
        <v>0</v>
      </c>
      <c r="CV30">
        <f>ROUND(Y30*Source!I39,9)</f>
        <v>3.024</v>
      </c>
      <c r="CW30">
        <v>0</v>
      </c>
      <c r="CX30">
        <f>ROUND(Y30*Source!I39,9)</f>
        <v>3.024</v>
      </c>
      <c r="CY30">
        <f>AD30</f>
        <v>0</v>
      </c>
      <c r="CZ30">
        <f>AH30</f>
        <v>0</v>
      </c>
      <c r="DA30">
        <f>AL30</f>
        <v>1</v>
      </c>
      <c r="DB30">
        <f>ROUND(((ROUND(AT30*CZ30,2)*1.2)*0.3),6)</f>
        <v>0</v>
      </c>
      <c r="DC30">
        <f>ROUND(((ROUND(AT30*AG30,2)*1.2)*0.3),6)</f>
        <v>0</v>
      </c>
      <c r="DD30" t="s">
        <v>3</v>
      </c>
      <c r="DE30" t="s">
        <v>3</v>
      </c>
      <c r="DF30">
        <f t="shared" si="9"/>
        <v>0</v>
      </c>
      <c r="DG30">
        <f t="shared" si="8"/>
        <v>0</v>
      </c>
      <c r="DH30">
        <f t="shared" si="6"/>
        <v>0</v>
      </c>
      <c r="DI30">
        <f t="shared" si="4"/>
        <v>0</v>
      </c>
      <c r="DJ30">
        <f>DI30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ROW(Source!A40)</f>
        <v>40</v>
      </c>
      <c r="B31">
        <v>57034452</v>
      </c>
      <c r="C31">
        <v>57035362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459</v>
      </c>
      <c r="J31" t="s">
        <v>3</v>
      </c>
      <c r="K31" t="s">
        <v>460</v>
      </c>
      <c r="L31">
        <v>1191</v>
      </c>
      <c r="N31">
        <v>1013</v>
      </c>
      <c r="O31" t="s">
        <v>461</v>
      </c>
      <c r="P31" t="s">
        <v>461</v>
      </c>
      <c r="Q31">
        <v>1</v>
      </c>
      <c r="W31">
        <v>0</v>
      </c>
      <c r="X31">
        <v>476480486</v>
      </c>
      <c r="Y31">
        <f>((AT31*1.2)*0.3)</f>
        <v>0.36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1</v>
      </c>
      <c r="AU31" t="s">
        <v>29</v>
      </c>
      <c r="AV31">
        <v>1</v>
      </c>
      <c r="AW31">
        <v>2</v>
      </c>
      <c r="AX31">
        <v>57035366</v>
      </c>
      <c r="AY31">
        <v>1</v>
      </c>
      <c r="AZ31">
        <v>0</v>
      </c>
      <c r="BA31">
        <v>37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ROUND(AT31*Source!I40*AH31*AL31,2)</f>
        <v>0</v>
      </c>
      <c r="CV31">
        <f>ROUND(Y31*Source!I40,9)</f>
        <v>21.96</v>
      </c>
      <c r="CW31">
        <v>0</v>
      </c>
      <c r="CX31">
        <f>ROUND(Y31*Source!I40,9)</f>
        <v>21.96</v>
      </c>
      <c r="CY31">
        <f>AD31</f>
        <v>0</v>
      </c>
      <c r="CZ31">
        <f>AH31</f>
        <v>0</v>
      </c>
      <c r="DA31">
        <f>AL31</f>
        <v>1</v>
      </c>
      <c r="DB31">
        <f>ROUND(((ROUND(AT31*CZ31,2)*1.2)*0.3),6)</f>
        <v>0</v>
      </c>
      <c r="DC31">
        <f>ROUND(((ROUND(AT31*AG31,2)*1.2)*0.3),6)</f>
        <v>0</v>
      </c>
      <c r="DD31" t="s">
        <v>3</v>
      </c>
      <c r="DE31" t="s">
        <v>3</v>
      </c>
      <c r="DF31">
        <f t="shared" si="9"/>
        <v>0</v>
      </c>
      <c r="DG31">
        <f t="shared" si="8"/>
        <v>0</v>
      </c>
      <c r="DH31">
        <f t="shared" si="6"/>
        <v>0</v>
      </c>
      <c r="DI31">
        <f t="shared" si="4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ROW(Source!A40)</f>
        <v>40</v>
      </c>
      <c r="B32">
        <v>57034452</v>
      </c>
      <c r="C32">
        <v>57035362</v>
      </c>
      <c r="D32">
        <v>55459793</v>
      </c>
      <c r="E32">
        <v>1</v>
      </c>
      <c r="F32">
        <v>1</v>
      </c>
      <c r="G32">
        <v>1081</v>
      </c>
      <c r="H32">
        <v>3</v>
      </c>
      <c r="I32" t="s">
        <v>470</v>
      </c>
      <c r="J32" t="s">
        <v>471</v>
      </c>
      <c r="K32" t="s">
        <v>472</v>
      </c>
      <c r="L32">
        <v>1348</v>
      </c>
      <c r="N32">
        <v>1009</v>
      </c>
      <c r="O32" t="s">
        <v>299</v>
      </c>
      <c r="P32" t="s">
        <v>299</v>
      </c>
      <c r="Q32">
        <v>1000</v>
      </c>
      <c r="W32">
        <v>0</v>
      </c>
      <c r="X32">
        <v>-761454284</v>
      </c>
      <c r="Y32">
        <f>((AT32*1)*0)</f>
        <v>0</v>
      </c>
      <c r="AA32">
        <v>64123.05</v>
      </c>
      <c r="AB32">
        <v>0</v>
      </c>
      <c r="AC32">
        <v>0</v>
      </c>
      <c r="AD32">
        <v>0</v>
      </c>
      <c r="AE32">
        <v>64123.05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1.0000000000000001E-5</v>
      </c>
      <c r="AU32" t="s">
        <v>28</v>
      </c>
      <c r="AV32">
        <v>0</v>
      </c>
      <c r="AW32">
        <v>2</v>
      </c>
      <c r="AX32">
        <v>57035367</v>
      </c>
      <c r="AY32">
        <v>1</v>
      </c>
      <c r="AZ32">
        <v>0</v>
      </c>
      <c r="BA32">
        <v>38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ROUND(Y32*Source!I40,9)</f>
        <v>0</v>
      </c>
      <c r="CY32">
        <f>AA32</f>
        <v>64123.05</v>
      </c>
      <c r="CZ32">
        <f>AE32</f>
        <v>64123.05</v>
      </c>
      <c r="DA32">
        <f>AI32</f>
        <v>1</v>
      </c>
      <c r="DB32">
        <f>ROUND(((ROUND(AT32*CZ32,2)*1)*0),6)</f>
        <v>0</v>
      </c>
      <c r="DC32">
        <f>ROUND(((ROUND(AT32*AG32,2)*1)*0),6)</f>
        <v>0</v>
      </c>
      <c r="DD32" t="s">
        <v>3</v>
      </c>
      <c r="DE32" t="s">
        <v>3</v>
      </c>
      <c r="DF32">
        <f t="shared" si="9"/>
        <v>0</v>
      </c>
      <c r="DG32">
        <f t="shared" si="8"/>
        <v>0</v>
      </c>
      <c r="DH32">
        <f t="shared" si="6"/>
        <v>0</v>
      </c>
      <c r="DI32">
        <f t="shared" si="4"/>
        <v>0</v>
      </c>
      <c r="DJ32">
        <f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ROW(Source!A40)</f>
        <v>40</v>
      </c>
      <c r="B33">
        <v>57034452</v>
      </c>
      <c r="C33">
        <v>57035362</v>
      </c>
      <c r="D33">
        <v>55487942</v>
      </c>
      <c r="E33">
        <v>1</v>
      </c>
      <c r="F33">
        <v>1</v>
      </c>
      <c r="G33">
        <v>1081</v>
      </c>
      <c r="H33">
        <v>3</v>
      </c>
      <c r="I33" t="s">
        <v>482</v>
      </c>
      <c r="J33" t="s">
        <v>483</v>
      </c>
      <c r="K33" t="s">
        <v>484</v>
      </c>
      <c r="L33">
        <v>1303</v>
      </c>
      <c r="N33">
        <v>1003</v>
      </c>
      <c r="O33" t="s">
        <v>485</v>
      </c>
      <c r="P33" t="s">
        <v>485</v>
      </c>
      <c r="Q33">
        <v>1000</v>
      </c>
      <c r="W33">
        <v>0</v>
      </c>
      <c r="X33">
        <v>-1692873835</v>
      </c>
      <c r="Y33">
        <f>((AT33*1)*0)</f>
        <v>0</v>
      </c>
      <c r="AA33">
        <v>516.63</v>
      </c>
      <c r="AB33">
        <v>0</v>
      </c>
      <c r="AC33">
        <v>0</v>
      </c>
      <c r="AD33">
        <v>0</v>
      </c>
      <c r="AE33">
        <v>516.63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2E-3</v>
      </c>
      <c r="AU33" t="s">
        <v>28</v>
      </c>
      <c r="AV33">
        <v>0</v>
      </c>
      <c r="AW33">
        <v>2</v>
      </c>
      <c r="AX33">
        <v>57035368</v>
      </c>
      <c r="AY33">
        <v>1</v>
      </c>
      <c r="AZ33">
        <v>0</v>
      </c>
      <c r="BA33">
        <v>39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ROUND(Y33*Source!I40,9)</f>
        <v>0</v>
      </c>
      <c r="CY33">
        <f>AA33</f>
        <v>516.63</v>
      </c>
      <c r="CZ33">
        <f>AE33</f>
        <v>516.63</v>
      </c>
      <c r="DA33">
        <f>AI33</f>
        <v>1</v>
      </c>
      <c r="DB33">
        <f>ROUND(((ROUND(AT33*CZ33,2)*1)*0),6)</f>
        <v>0</v>
      </c>
      <c r="DC33">
        <f>ROUND(((ROUND(AT33*AG33,2)*1)*0),6)</f>
        <v>0</v>
      </c>
      <c r="DD33" t="s">
        <v>3</v>
      </c>
      <c r="DE33" t="s">
        <v>3</v>
      </c>
      <c r="DF33">
        <f t="shared" si="9"/>
        <v>0</v>
      </c>
      <c r="DG33">
        <f t="shared" si="8"/>
        <v>0</v>
      </c>
      <c r="DH33">
        <f t="shared" si="6"/>
        <v>0</v>
      </c>
      <c r="DI33">
        <f t="shared" si="4"/>
        <v>0</v>
      </c>
      <c r="DJ33">
        <f>DF33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ROW(Source!A41)</f>
        <v>41</v>
      </c>
      <c r="B34">
        <v>57034454</v>
      </c>
      <c r="C34">
        <v>57035362</v>
      </c>
      <c r="D34">
        <v>55424304</v>
      </c>
      <c r="E34">
        <v>1081</v>
      </c>
      <c r="F34">
        <v>1</v>
      </c>
      <c r="G34">
        <v>1081</v>
      </c>
      <c r="H34">
        <v>1</v>
      </c>
      <c r="I34" t="s">
        <v>459</v>
      </c>
      <c r="J34" t="s">
        <v>3</v>
      </c>
      <c r="K34" t="s">
        <v>460</v>
      </c>
      <c r="L34">
        <v>1191</v>
      </c>
      <c r="N34">
        <v>1013</v>
      </c>
      <c r="O34" t="s">
        <v>461</v>
      </c>
      <c r="P34" t="s">
        <v>461</v>
      </c>
      <c r="Q34">
        <v>1</v>
      </c>
      <c r="W34">
        <v>0</v>
      </c>
      <c r="X34">
        <v>476480486</v>
      </c>
      <c r="Y34">
        <f>((AT34*1.2)*0.3)</f>
        <v>0.36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5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1</v>
      </c>
      <c r="AU34" t="s">
        <v>29</v>
      </c>
      <c r="AV34">
        <v>1</v>
      </c>
      <c r="AW34">
        <v>2</v>
      </c>
      <c r="AX34">
        <v>57035366</v>
      </c>
      <c r="AY34">
        <v>1</v>
      </c>
      <c r="AZ34">
        <v>0</v>
      </c>
      <c r="BA34">
        <v>41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U34">
        <f>ROUND(AT34*Source!I41*AH34*AL34,2)</f>
        <v>0</v>
      </c>
      <c r="CV34">
        <f>ROUND(Y34*Source!I41,9)</f>
        <v>21.96</v>
      </c>
      <c r="CW34">
        <v>0</v>
      </c>
      <c r="CX34">
        <f>ROUND(Y34*Source!I41,9)</f>
        <v>21.96</v>
      </c>
      <c r="CY34">
        <f>AD34</f>
        <v>0</v>
      </c>
      <c r="CZ34">
        <f>AH34</f>
        <v>0</v>
      </c>
      <c r="DA34">
        <f>AL34</f>
        <v>1</v>
      </c>
      <c r="DB34">
        <f>ROUND(((ROUND(AT34*CZ34,2)*1.2)*0.3),6)</f>
        <v>0</v>
      </c>
      <c r="DC34">
        <f>ROUND(((ROUND(AT34*AG34,2)*1.2)*0.3),6)</f>
        <v>0</v>
      </c>
      <c r="DD34" t="s">
        <v>3</v>
      </c>
      <c r="DE34" t="s">
        <v>3</v>
      </c>
      <c r="DF34">
        <f t="shared" si="9"/>
        <v>0</v>
      </c>
      <c r="DG34">
        <f t="shared" si="8"/>
        <v>0</v>
      </c>
      <c r="DH34">
        <f t="shared" si="6"/>
        <v>0</v>
      </c>
      <c r="DI34">
        <f t="shared" si="4"/>
        <v>0</v>
      </c>
      <c r="DJ34">
        <f>DI34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ROW(Source!A41)</f>
        <v>41</v>
      </c>
      <c r="B35">
        <v>57034454</v>
      </c>
      <c r="C35">
        <v>57035362</v>
      </c>
      <c r="D35">
        <v>55459793</v>
      </c>
      <c r="E35">
        <v>1</v>
      </c>
      <c r="F35">
        <v>1</v>
      </c>
      <c r="G35">
        <v>1081</v>
      </c>
      <c r="H35">
        <v>3</v>
      </c>
      <c r="I35" t="s">
        <v>470</v>
      </c>
      <c r="J35" t="s">
        <v>471</v>
      </c>
      <c r="K35" t="s">
        <v>472</v>
      </c>
      <c r="L35">
        <v>1348</v>
      </c>
      <c r="N35">
        <v>1009</v>
      </c>
      <c r="O35" t="s">
        <v>299</v>
      </c>
      <c r="P35" t="s">
        <v>299</v>
      </c>
      <c r="Q35">
        <v>1000</v>
      </c>
      <c r="W35">
        <v>0</v>
      </c>
      <c r="X35">
        <v>-761454284</v>
      </c>
      <c r="Y35">
        <f>((AT35*1)*0)</f>
        <v>0</v>
      </c>
      <c r="AA35">
        <v>1930745.04</v>
      </c>
      <c r="AB35">
        <v>0</v>
      </c>
      <c r="AC35">
        <v>0</v>
      </c>
      <c r="AD35">
        <v>0</v>
      </c>
      <c r="AE35">
        <v>64123.05</v>
      </c>
      <c r="AF35">
        <v>0</v>
      </c>
      <c r="AG35">
        <v>0</v>
      </c>
      <c r="AH35">
        <v>0</v>
      </c>
      <c r="AI35">
        <v>30.11</v>
      </c>
      <c r="AJ35">
        <v>1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1.0000000000000001E-5</v>
      </c>
      <c r="AU35" t="s">
        <v>28</v>
      </c>
      <c r="AV35">
        <v>0</v>
      </c>
      <c r="AW35">
        <v>2</v>
      </c>
      <c r="AX35">
        <v>57035367</v>
      </c>
      <c r="AY35">
        <v>1</v>
      </c>
      <c r="AZ35">
        <v>0</v>
      </c>
      <c r="BA35">
        <v>42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ROUND(Y35*Source!I41,9)</f>
        <v>0</v>
      </c>
      <c r="CY35">
        <f>AA35</f>
        <v>1930745.04</v>
      </c>
      <c r="CZ35">
        <f>AE35</f>
        <v>64123.05</v>
      </c>
      <c r="DA35">
        <f>AI35</f>
        <v>30.11</v>
      </c>
      <c r="DB35">
        <f>ROUND(((ROUND(AT35*CZ35,2)*1)*0),6)</f>
        <v>0</v>
      </c>
      <c r="DC35">
        <f>ROUND(((ROUND(AT35*AG35,2)*1)*0),6)</f>
        <v>0</v>
      </c>
      <c r="DD35" t="s">
        <v>3</v>
      </c>
      <c r="DE35" t="s">
        <v>3</v>
      </c>
      <c r="DF35">
        <f>ROUND(ROUND(AE35*AI35,2)*CX35,2)</f>
        <v>0</v>
      </c>
      <c r="DG35">
        <f t="shared" si="8"/>
        <v>0</v>
      </c>
      <c r="DH35">
        <f t="shared" si="6"/>
        <v>0</v>
      </c>
      <c r="DI35">
        <f t="shared" si="4"/>
        <v>0</v>
      </c>
      <c r="DJ35">
        <f>DF35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ROW(Source!A41)</f>
        <v>41</v>
      </c>
      <c r="B36">
        <v>57034454</v>
      </c>
      <c r="C36">
        <v>57035362</v>
      </c>
      <c r="D36">
        <v>55487942</v>
      </c>
      <c r="E36">
        <v>1</v>
      </c>
      <c r="F36">
        <v>1</v>
      </c>
      <c r="G36">
        <v>1081</v>
      </c>
      <c r="H36">
        <v>3</v>
      </c>
      <c r="I36" t="s">
        <v>482</v>
      </c>
      <c r="J36" t="s">
        <v>483</v>
      </c>
      <c r="K36" t="s">
        <v>484</v>
      </c>
      <c r="L36">
        <v>1303</v>
      </c>
      <c r="N36">
        <v>1003</v>
      </c>
      <c r="O36" t="s">
        <v>485</v>
      </c>
      <c r="P36" t="s">
        <v>485</v>
      </c>
      <c r="Q36">
        <v>1000</v>
      </c>
      <c r="W36">
        <v>0</v>
      </c>
      <c r="X36">
        <v>-1692873835</v>
      </c>
      <c r="Y36">
        <f>((AT36*1)*0)</f>
        <v>0</v>
      </c>
      <c r="AA36">
        <v>5269.63</v>
      </c>
      <c r="AB36">
        <v>0</v>
      </c>
      <c r="AC36">
        <v>0</v>
      </c>
      <c r="AD36">
        <v>0</v>
      </c>
      <c r="AE36">
        <v>516.63</v>
      </c>
      <c r="AF36">
        <v>0</v>
      </c>
      <c r="AG36">
        <v>0</v>
      </c>
      <c r="AH36">
        <v>0</v>
      </c>
      <c r="AI36">
        <v>10.199999999999999</v>
      </c>
      <c r="AJ36">
        <v>1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2E-3</v>
      </c>
      <c r="AU36" t="s">
        <v>28</v>
      </c>
      <c r="AV36">
        <v>0</v>
      </c>
      <c r="AW36">
        <v>2</v>
      </c>
      <c r="AX36">
        <v>57035368</v>
      </c>
      <c r="AY36">
        <v>1</v>
      </c>
      <c r="AZ36">
        <v>0</v>
      </c>
      <c r="BA36">
        <v>43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ROUND(Y36*Source!I41,9)</f>
        <v>0</v>
      </c>
      <c r="CY36">
        <f>AA36</f>
        <v>5269.63</v>
      </c>
      <c r="CZ36">
        <f>AE36</f>
        <v>516.63</v>
      </c>
      <c r="DA36">
        <f>AI36</f>
        <v>10.199999999999999</v>
      </c>
      <c r="DB36">
        <f>ROUND(((ROUND(AT36*CZ36,2)*1)*0),6)</f>
        <v>0</v>
      </c>
      <c r="DC36">
        <f>ROUND(((ROUND(AT36*AG36,2)*1)*0),6)</f>
        <v>0</v>
      </c>
      <c r="DD36" t="s">
        <v>3</v>
      </c>
      <c r="DE36" t="s">
        <v>3</v>
      </c>
      <c r="DF36">
        <f>ROUND(ROUND(AE36*AI36,2)*CX36,2)</f>
        <v>0</v>
      </c>
      <c r="DG36">
        <f t="shared" si="8"/>
        <v>0</v>
      </c>
      <c r="DH36">
        <f t="shared" si="6"/>
        <v>0</v>
      </c>
      <c r="DI36">
        <f t="shared" si="4"/>
        <v>0</v>
      </c>
      <c r="DJ36">
        <f>DF36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ROW(Source!A42)</f>
        <v>42</v>
      </c>
      <c r="B37">
        <v>57034452</v>
      </c>
      <c r="C37">
        <v>57035370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459</v>
      </c>
      <c r="J37" t="s">
        <v>3</v>
      </c>
      <c r="K37" t="s">
        <v>460</v>
      </c>
      <c r="L37">
        <v>1191</v>
      </c>
      <c r="N37">
        <v>1013</v>
      </c>
      <c r="O37" t="s">
        <v>461</v>
      </c>
      <c r="P37" t="s">
        <v>461</v>
      </c>
      <c r="Q37">
        <v>1</v>
      </c>
      <c r="W37">
        <v>0</v>
      </c>
      <c r="X37">
        <v>476480486</v>
      </c>
      <c r="Y37">
        <f t="shared" ref="Y37:Y47" si="10">((AT37*1.2)*0.3)</f>
        <v>0.432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1.2</v>
      </c>
      <c r="AU37" t="s">
        <v>29</v>
      </c>
      <c r="AV37">
        <v>1</v>
      </c>
      <c r="AW37">
        <v>2</v>
      </c>
      <c r="AX37">
        <v>57035372</v>
      </c>
      <c r="AY37">
        <v>1</v>
      </c>
      <c r="AZ37">
        <v>0</v>
      </c>
      <c r="BA37">
        <v>45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ROUND(AT37*Source!I42*AH37*AL37,2)</f>
        <v>0</v>
      </c>
      <c r="CV37">
        <f>ROUND(Y37*Source!I42,9)</f>
        <v>44.927999999999997</v>
      </c>
      <c r="CW37">
        <v>0</v>
      </c>
      <c r="CX37">
        <f>ROUND(Y37*Source!I42,9)</f>
        <v>44.927999999999997</v>
      </c>
      <c r="CY37">
        <f t="shared" ref="CY37:CY45" si="11">AD37</f>
        <v>0</v>
      </c>
      <c r="CZ37">
        <f t="shared" ref="CZ37:CZ45" si="12">AH37</f>
        <v>0</v>
      </c>
      <c r="DA37">
        <f t="shared" ref="DA37:DA45" si="13">AL37</f>
        <v>1</v>
      </c>
      <c r="DB37">
        <f t="shared" ref="DB37:DB47" si="14">ROUND(((ROUND(AT37*CZ37,2)*1.2)*0.3),6)</f>
        <v>0</v>
      </c>
      <c r="DC37">
        <f t="shared" ref="DC37:DC47" si="15">ROUND(((ROUND(AT37*AG37,2)*1.2)*0.3),6)</f>
        <v>0</v>
      </c>
      <c r="DD37" t="s">
        <v>3</v>
      </c>
      <c r="DE37" t="s">
        <v>3</v>
      </c>
      <c r="DF37">
        <f t="shared" ref="DF37:DF53" si="16">ROUND(ROUND(AE37,2)*CX37,2)</f>
        <v>0</v>
      </c>
      <c r="DG37">
        <f t="shared" si="8"/>
        <v>0</v>
      </c>
      <c r="DH37">
        <f t="shared" ref="DH37:DH59" si="17">ROUND(ROUND(AG37,2)*CX37,2)</f>
        <v>0</v>
      </c>
      <c r="DI37">
        <f t="shared" si="4"/>
        <v>0</v>
      </c>
      <c r="DJ37">
        <f t="shared" ref="DJ37:DJ45" si="18"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ROW(Source!A43)</f>
        <v>43</v>
      </c>
      <c r="B38">
        <v>57034454</v>
      </c>
      <c r="C38">
        <v>57035370</v>
      </c>
      <c r="D38">
        <v>55424304</v>
      </c>
      <c r="E38">
        <v>1081</v>
      </c>
      <c r="F38">
        <v>1</v>
      </c>
      <c r="G38">
        <v>1081</v>
      </c>
      <c r="H38">
        <v>1</v>
      </c>
      <c r="I38" t="s">
        <v>459</v>
      </c>
      <c r="J38" t="s">
        <v>3</v>
      </c>
      <c r="K38" t="s">
        <v>460</v>
      </c>
      <c r="L38">
        <v>1191</v>
      </c>
      <c r="N38">
        <v>1013</v>
      </c>
      <c r="O38" t="s">
        <v>461</v>
      </c>
      <c r="P38" t="s">
        <v>461</v>
      </c>
      <c r="Q38">
        <v>1</v>
      </c>
      <c r="W38">
        <v>0</v>
      </c>
      <c r="X38">
        <v>476480486</v>
      </c>
      <c r="Y38">
        <f t="shared" si="10"/>
        <v>0.432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5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1.2</v>
      </c>
      <c r="AU38" t="s">
        <v>29</v>
      </c>
      <c r="AV38">
        <v>1</v>
      </c>
      <c r="AW38">
        <v>2</v>
      </c>
      <c r="AX38">
        <v>57035372</v>
      </c>
      <c r="AY38">
        <v>1</v>
      </c>
      <c r="AZ38">
        <v>0</v>
      </c>
      <c r="BA38">
        <v>46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U38">
        <f>ROUND(AT38*Source!I43*AH38*AL38,2)</f>
        <v>0</v>
      </c>
      <c r="CV38">
        <f>ROUND(Y38*Source!I43,9)</f>
        <v>44.927999999999997</v>
      </c>
      <c r="CW38">
        <v>0</v>
      </c>
      <c r="CX38">
        <f>ROUND(Y38*Source!I43,9)</f>
        <v>44.927999999999997</v>
      </c>
      <c r="CY38">
        <f t="shared" si="11"/>
        <v>0</v>
      </c>
      <c r="CZ38">
        <f t="shared" si="12"/>
        <v>0</v>
      </c>
      <c r="DA38">
        <f t="shared" si="13"/>
        <v>1</v>
      </c>
      <c r="DB38">
        <f t="shared" si="14"/>
        <v>0</v>
      </c>
      <c r="DC38">
        <f t="shared" si="15"/>
        <v>0</v>
      </c>
      <c r="DD38" t="s">
        <v>3</v>
      </c>
      <c r="DE38" t="s">
        <v>3</v>
      </c>
      <c r="DF38">
        <f t="shared" si="16"/>
        <v>0</v>
      </c>
      <c r="DG38">
        <f t="shared" si="8"/>
        <v>0</v>
      </c>
      <c r="DH38">
        <f t="shared" si="17"/>
        <v>0</v>
      </c>
      <c r="DI38">
        <f t="shared" si="4"/>
        <v>0</v>
      </c>
      <c r="DJ38">
        <f t="shared" si="18"/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ROW(Source!A44)</f>
        <v>44</v>
      </c>
      <c r="B39">
        <v>57034452</v>
      </c>
      <c r="C39">
        <v>57035373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459</v>
      </c>
      <c r="J39" t="s">
        <v>3</v>
      </c>
      <c r="K39" t="s">
        <v>460</v>
      </c>
      <c r="L39">
        <v>1191</v>
      </c>
      <c r="N39">
        <v>1013</v>
      </c>
      <c r="O39" t="s">
        <v>461</v>
      </c>
      <c r="P39" t="s">
        <v>461</v>
      </c>
      <c r="Q39">
        <v>1</v>
      </c>
      <c r="W39">
        <v>0</v>
      </c>
      <c r="X39">
        <v>476480486</v>
      </c>
      <c r="Y39">
        <f t="shared" si="10"/>
        <v>0.126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0.35</v>
      </c>
      <c r="AU39" t="s">
        <v>29</v>
      </c>
      <c r="AV39">
        <v>1</v>
      </c>
      <c r="AW39">
        <v>2</v>
      </c>
      <c r="AX39">
        <v>57035375</v>
      </c>
      <c r="AY39">
        <v>1</v>
      </c>
      <c r="AZ39">
        <v>0</v>
      </c>
      <c r="BA39">
        <v>47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ROUND(AT39*Source!I44*AH39*AL39,2)</f>
        <v>0</v>
      </c>
      <c r="CV39">
        <f>ROUND(Y39*Source!I44,9)</f>
        <v>7.3079999999999998</v>
      </c>
      <c r="CW39">
        <v>0</v>
      </c>
      <c r="CX39">
        <f>ROUND(Y39*Source!I44,9)</f>
        <v>7.3079999999999998</v>
      </c>
      <c r="CY39">
        <f t="shared" si="11"/>
        <v>0</v>
      </c>
      <c r="CZ39">
        <f t="shared" si="12"/>
        <v>0</v>
      </c>
      <c r="DA39">
        <f t="shared" si="13"/>
        <v>1</v>
      </c>
      <c r="DB39">
        <f t="shared" si="14"/>
        <v>0</v>
      </c>
      <c r="DC39">
        <f t="shared" si="15"/>
        <v>0</v>
      </c>
      <c r="DD39" t="s">
        <v>3</v>
      </c>
      <c r="DE39" t="s">
        <v>3</v>
      </c>
      <c r="DF39">
        <f t="shared" si="16"/>
        <v>0</v>
      </c>
      <c r="DG39">
        <f t="shared" si="8"/>
        <v>0</v>
      </c>
      <c r="DH39">
        <f t="shared" si="17"/>
        <v>0</v>
      </c>
      <c r="DI39">
        <f t="shared" si="4"/>
        <v>0</v>
      </c>
      <c r="DJ39">
        <f t="shared" si="18"/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ROW(Source!A45)</f>
        <v>45</v>
      </c>
      <c r="B40">
        <v>57034454</v>
      </c>
      <c r="C40">
        <v>57035373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459</v>
      </c>
      <c r="J40" t="s">
        <v>3</v>
      </c>
      <c r="K40" t="s">
        <v>460</v>
      </c>
      <c r="L40">
        <v>1191</v>
      </c>
      <c r="N40">
        <v>1013</v>
      </c>
      <c r="O40" t="s">
        <v>461</v>
      </c>
      <c r="P40" t="s">
        <v>461</v>
      </c>
      <c r="Q40">
        <v>1</v>
      </c>
      <c r="W40">
        <v>0</v>
      </c>
      <c r="X40">
        <v>476480486</v>
      </c>
      <c r="Y40">
        <f t="shared" si="10"/>
        <v>0.126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0.35</v>
      </c>
      <c r="AU40" t="s">
        <v>29</v>
      </c>
      <c r="AV40">
        <v>1</v>
      </c>
      <c r="AW40">
        <v>2</v>
      </c>
      <c r="AX40">
        <v>57035375</v>
      </c>
      <c r="AY40">
        <v>1</v>
      </c>
      <c r="AZ40">
        <v>0</v>
      </c>
      <c r="BA40">
        <v>48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ROUND(AT40*Source!I45*AH40*AL40,2)</f>
        <v>0</v>
      </c>
      <c r="CV40">
        <f>ROUND(Y40*Source!I45,9)</f>
        <v>7.3079999999999998</v>
      </c>
      <c r="CW40">
        <v>0</v>
      </c>
      <c r="CX40">
        <f>ROUND(Y40*Source!I45,9)</f>
        <v>7.3079999999999998</v>
      </c>
      <c r="CY40">
        <f t="shared" si="11"/>
        <v>0</v>
      </c>
      <c r="CZ40">
        <f t="shared" si="12"/>
        <v>0</v>
      </c>
      <c r="DA40">
        <f t="shared" si="13"/>
        <v>1</v>
      </c>
      <c r="DB40">
        <f t="shared" si="14"/>
        <v>0</v>
      </c>
      <c r="DC40">
        <f t="shared" si="15"/>
        <v>0</v>
      </c>
      <c r="DD40" t="s">
        <v>3</v>
      </c>
      <c r="DE40" t="s">
        <v>3</v>
      </c>
      <c r="DF40">
        <f t="shared" si="16"/>
        <v>0</v>
      </c>
      <c r="DG40">
        <f t="shared" si="8"/>
        <v>0</v>
      </c>
      <c r="DH40">
        <f t="shared" si="17"/>
        <v>0</v>
      </c>
      <c r="DI40">
        <f t="shared" si="4"/>
        <v>0</v>
      </c>
      <c r="DJ40">
        <f t="shared" si="18"/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ROW(Source!A46)</f>
        <v>46</v>
      </c>
      <c r="B41">
        <v>57034452</v>
      </c>
      <c r="C41">
        <v>57035376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459</v>
      </c>
      <c r="J41" t="s">
        <v>3</v>
      </c>
      <c r="K41" t="s">
        <v>460</v>
      </c>
      <c r="L41">
        <v>1191</v>
      </c>
      <c r="N41">
        <v>1013</v>
      </c>
      <c r="O41" t="s">
        <v>461</v>
      </c>
      <c r="P41" t="s">
        <v>461</v>
      </c>
      <c r="Q41">
        <v>1</v>
      </c>
      <c r="W41">
        <v>0</v>
      </c>
      <c r="X41">
        <v>476480486</v>
      </c>
      <c r="Y41">
        <f t="shared" si="10"/>
        <v>4.2119999999999997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11.7</v>
      </c>
      <c r="AU41" t="s">
        <v>29</v>
      </c>
      <c r="AV41">
        <v>1</v>
      </c>
      <c r="AW41">
        <v>2</v>
      </c>
      <c r="AX41">
        <v>57035378</v>
      </c>
      <c r="AY41">
        <v>1</v>
      </c>
      <c r="AZ41">
        <v>0</v>
      </c>
      <c r="BA41">
        <v>49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ROUND(AT41*Source!I46*AH41*AL41,2)</f>
        <v>0</v>
      </c>
      <c r="CV41">
        <f>ROUND(Y41*Source!I46,9)</f>
        <v>8.4239999999999995</v>
      </c>
      <c r="CW41">
        <v>0</v>
      </c>
      <c r="CX41">
        <f>ROUND(Y41*Source!I46,9)</f>
        <v>8.4239999999999995</v>
      </c>
      <c r="CY41">
        <f t="shared" si="11"/>
        <v>0</v>
      </c>
      <c r="CZ41">
        <f t="shared" si="12"/>
        <v>0</v>
      </c>
      <c r="DA41">
        <f t="shared" si="13"/>
        <v>1</v>
      </c>
      <c r="DB41">
        <f t="shared" si="14"/>
        <v>0</v>
      </c>
      <c r="DC41">
        <f t="shared" si="15"/>
        <v>0</v>
      </c>
      <c r="DD41" t="s">
        <v>3</v>
      </c>
      <c r="DE41" t="s">
        <v>3</v>
      </c>
      <c r="DF41">
        <f t="shared" si="16"/>
        <v>0</v>
      </c>
      <c r="DG41">
        <f t="shared" si="8"/>
        <v>0</v>
      </c>
      <c r="DH41">
        <f t="shared" si="17"/>
        <v>0</v>
      </c>
      <c r="DI41">
        <f t="shared" si="4"/>
        <v>0</v>
      </c>
      <c r="DJ41">
        <f t="shared" si="18"/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ROW(Source!A47)</f>
        <v>47</v>
      </c>
      <c r="B42">
        <v>57034454</v>
      </c>
      <c r="C42">
        <v>57035376</v>
      </c>
      <c r="D42">
        <v>55424304</v>
      </c>
      <c r="E42">
        <v>1081</v>
      </c>
      <c r="F42">
        <v>1</v>
      </c>
      <c r="G42">
        <v>1081</v>
      </c>
      <c r="H42">
        <v>1</v>
      </c>
      <c r="I42" t="s">
        <v>459</v>
      </c>
      <c r="J42" t="s">
        <v>3</v>
      </c>
      <c r="K42" t="s">
        <v>460</v>
      </c>
      <c r="L42">
        <v>1191</v>
      </c>
      <c r="N42">
        <v>1013</v>
      </c>
      <c r="O42" t="s">
        <v>461</v>
      </c>
      <c r="P42" t="s">
        <v>461</v>
      </c>
      <c r="Q42">
        <v>1</v>
      </c>
      <c r="W42">
        <v>0</v>
      </c>
      <c r="X42">
        <v>476480486</v>
      </c>
      <c r="Y42">
        <f t="shared" si="10"/>
        <v>4.2119999999999997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5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11.7</v>
      </c>
      <c r="AU42" t="s">
        <v>29</v>
      </c>
      <c r="AV42">
        <v>1</v>
      </c>
      <c r="AW42">
        <v>2</v>
      </c>
      <c r="AX42">
        <v>57035378</v>
      </c>
      <c r="AY42">
        <v>1</v>
      </c>
      <c r="AZ42">
        <v>0</v>
      </c>
      <c r="BA42">
        <v>50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U42">
        <f>ROUND(AT42*Source!I47*AH42*AL42,2)</f>
        <v>0</v>
      </c>
      <c r="CV42">
        <f>ROUND(Y42*Source!I47,9)</f>
        <v>8.4239999999999995</v>
      </c>
      <c r="CW42">
        <v>0</v>
      </c>
      <c r="CX42">
        <f>ROUND(Y42*Source!I47,9)</f>
        <v>8.4239999999999995</v>
      </c>
      <c r="CY42">
        <f t="shared" si="11"/>
        <v>0</v>
      </c>
      <c r="CZ42">
        <f t="shared" si="12"/>
        <v>0</v>
      </c>
      <c r="DA42">
        <f t="shared" si="13"/>
        <v>1</v>
      </c>
      <c r="DB42">
        <f t="shared" si="14"/>
        <v>0</v>
      </c>
      <c r="DC42">
        <f t="shared" si="15"/>
        <v>0</v>
      </c>
      <c r="DD42" t="s">
        <v>3</v>
      </c>
      <c r="DE42" t="s">
        <v>3</v>
      </c>
      <c r="DF42">
        <f t="shared" si="16"/>
        <v>0</v>
      </c>
      <c r="DG42">
        <f t="shared" si="8"/>
        <v>0</v>
      </c>
      <c r="DH42">
        <f t="shared" si="17"/>
        <v>0</v>
      </c>
      <c r="DI42">
        <f t="shared" si="4"/>
        <v>0</v>
      </c>
      <c r="DJ42">
        <f t="shared" si="18"/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ROW(Source!A48)</f>
        <v>48</v>
      </c>
      <c r="B43">
        <v>57034452</v>
      </c>
      <c r="C43">
        <v>57035379</v>
      </c>
      <c r="D43">
        <v>55424304</v>
      </c>
      <c r="E43">
        <v>1081</v>
      </c>
      <c r="F43">
        <v>1</v>
      </c>
      <c r="G43">
        <v>1081</v>
      </c>
      <c r="H43">
        <v>1</v>
      </c>
      <c r="I43" t="s">
        <v>459</v>
      </c>
      <c r="J43" t="s">
        <v>3</v>
      </c>
      <c r="K43" t="s">
        <v>460</v>
      </c>
      <c r="L43">
        <v>1191</v>
      </c>
      <c r="N43">
        <v>1013</v>
      </c>
      <c r="O43" t="s">
        <v>461</v>
      </c>
      <c r="P43" t="s">
        <v>461</v>
      </c>
      <c r="Q43">
        <v>1</v>
      </c>
      <c r="W43">
        <v>0</v>
      </c>
      <c r="X43">
        <v>476480486</v>
      </c>
      <c r="Y43">
        <f t="shared" si="10"/>
        <v>0.432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1.2</v>
      </c>
      <c r="AU43" t="s">
        <v>29</v>
      </c>
      <c r="AV43">
        <v>1</v>
      </c>
      <c r="AW43">
        <v>2</v>
      </c>
      <c r="AX43">
        <v>57035381</v>
      </c>
      <c r="AY43">
        <v>1</v>
      </c>
      <c r="AZ43">
        <v>0</v>
      </c>
      <c r="BA43">
        <v>51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ROUND(AT43*Source!I48*AH43*AL43,2)</f>
        <v>0</v>
      </c>
      <c r="CV43">
        <f>ROUND(Y43*Source!I48,9)</f>
        <v>0.86399999999999999</v>
      </c>
      <c r="CW43">
        <v>0</v>
      </c>
      <c r="CX43">
        <f>ROUND(Y43*Source!I48,9)</f>
        <v>0.86399999999999999</v>
      </c>
      <c r="CY43">
        <f t="shared" si="11"/>
        <v>0</v>
      </c>
      <c r="CZ43">
        <f t="shared" si="12"/>
        <v>0</v>
      </c>
      <c r="DA43">
        <f t="shared" si="13"/>
        <v>1</v>
      </c>
      <c r="DB43">
        <f t="shared" si="14"/>
        <v>0</v>
      </c>
      <c r="DC43">
        <f t="shared" si="15"/>
        <v>0</v>
      </c>
      <c r="DD43" t="s">
        <v>3</v>
      </c>
      <c r="DE43" t="s">
        <v>3</v>
      </c>
      <c r="DF43">
        <f t="shared" si="16"/>
        <v>0</v>
      </c>
      <c r="DG43">
        <f t="shared" si="8"/>
        <v>0</v>
      </c>
      <c r="DH43">
        <f t="shared" si="17"/>
        <v>0</v>
      </c>
      <c r="DI43">
        <f t="shared" si="4"/>
        <v>0</v>
      </c>
      <c r="DJ43">
        <f t="shared" si="18"/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ROW(Source!A49)</f>
        <v>49</v>
      </c>
      <c r="B44">
        <v>57034454</v>
      </c>
      <c r="C44">
        <v>57035379</v>
      </c>
      <c r="D44">
        <v>55424304</v>
      </c>
      <c r="E44">
        <v>1081</v>
      </c>
      <c r="F44">
        <v>1</v>
      </c>
      <c r="G44">
        <v>1081</v>
      </c>
      <c r="H44">
        <v>1</v>
      </c>
      <c r="I44" t="s">
        <v>459</v>
      </c>
      <c r="J44" t="s">
        <v>3</v>
      </c>
      <c r="K44" t="s">
        <v>460</v>
      </c>
      <c r="L44">
        <v>1191</v>
      </c>
      <c r="N44">
        <v>1013</v>
      </c>
      <c r="O44" t="s">
        <v>461</v>
      </c>
      <c r="P44" t="s">
        <v>461</v>
      </c>
      <c r="Q44">
        <v>1</v>
      </c>
      <c r="W44">
        <v>0</v>
      </c>
      <c r="X44">
        <v>476480486</v>
      </c>
      <c r="Y44">
        <f t="shared" si="10"/>
        <v>0.432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5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1.2</v>
      </c>
      <c r="AU44" t="s">
        <v>29</v>
      </c>
      <c r="AV44">
        <v>1</v>
      </c>
      <c r="AW44">
        <v>2</v>
      </c>
      <c r="AX44">
        <v>57035381</v>
      </c>
      <c r="AY44">
        <v>1</v>
      </c>
      <c r="AZ44">
        <v>0</v>
      </c>
      <c r="BA44">
        <v>52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U44">
        <f>ROUND(AT44*Source!I49*AH44*AL44,2)</f>
        <v>0</v>
      </c>
      <c r="CV44">
        <f>ROUND(Y44*Source!I49,9)</f>
        <v>0.86399999999999999</v>
      </c>
      <c r="CW44">
        <v>0</v>
      </c>
      <c r="CX44">
        <f>ROUND(Y44*Source!I49,9)</f>
        <v>0.86399999999999999</v>
      </c>
      <c r="CY44">
        <f t="shared" si="11"/>
        <v>0</v>
      </c>
      <c r="CZ44">
        <f t="shared" si="12"/>
        <v>0</v>
      </c>
      <c r="DA44">
        <f t="shared" si="13"/>
        <v>1</v>
      </c>
      <c r="DB44">
        <f t="shared" si="14"/>
        <v>0</v>
      </c>
      <c r="DC44">
        <f t="shared" si="15"/>
        <v>0</v>
      </c>
      <c r="DD44" t="s">
        <v>3</v>
      </c>
      <c r="DE44" t="s">
        <v>3</v>
      </c>
      <c r="DF44">
        <f t="shared" si="16"/>
        <v>0</v>
      </c>
      <c r="DG44">
        <f t="shared" si="8"/>
        <v>0</v>
      </c>
      <c r="DH44">
        <f t="shared" si="17"/>
        <v>0</v>
      </c>
      <c r="DI44">
        <f t="shared" si="4"/>
        <v>0</v>
      </c>
      <c r="DJ44">
        <f t="shared" si="18"/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ROW(Source!A50)</f>
        <v>50</v>
      </c>
      <c r="B45">
        <v>57034452</v>
      </c>
      <c r="C45">
        <v>57035382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459</v>
      </c>
      <c r="J45" t="s">
        <v>3</v>
      </c>
      <c r="K45" t="s">
        <v>460</v>
      </c>
      <c r="L45">
        <v>1191</v>
      </c>
      <c r="N45">
        <v>1013</v>
      </c>
      <c r="O45" t="s">
        <v>461</v>
      </c>
      <c r="P45" t="s">
        <v>461</v>
      </c>
      <c r="Q45">
        <v>1</v>
      </c>
      <c r="W45">
        <v>0</v>
      </c>
      <c r="X45">
        <v>476480486</v>
      </c>
      <c r="Y45">
        <f t="shared" si="10"/>
        <v>0.48960000000000004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1.36</v>
      </c>
      <c r="AU45" t="s">
        <v>29</v>
      </c>
      <c r="AV45">
        <v>1</v>
      </c>
      <c r="AW45">
        <v>2</v>
      </c>
      <c r="AX45">
        <v>57035389</v>
      </c>
      <c r="AY45">
        <v>1</v>
      </c>
      <c r="AZ45">
        <v>0</v>
      </c>
      <c r="BA45">
        <v>53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ROUND(AT45*Source!I50*AH45*AL45,2)</f>
        <v>0</v>
      </c>
      <c r="CV45">
        <f>ROUND(Y45*Source!I50,9)</f>
        <v>0.97919999999999996</v>
      </c>
      <c r="CW45">
        <v>0</v>
      </c>
      <c r="CX45">
        <f>ROUND(Y45*Source!I50,9)</f>
        <v>0.97919999999999996</v>
      </c>
      <c r="CY45">
        <f t="shared" si="11"/>
        <v>0</v>
      </c>
      <c r="CZ45">
        <f t="shared" si="12"/>
        <v>0</v>
      </c>
      <c r="DA45">
        <f t="shared" si="13"/>
        <v>1</v>
      </c>
      <c r="DB45">
        <f t="shared" si="14"/>
        <v>0</v>
      </c>
      <c r="DC45">
        <f t="shared" si="15"/>
        <v>0</v>
      </c>
      <c r="DD45" t="s">
        <v>3</v>
      </c>
      <c r="DE45" t="s">
        <v>3</v>
      </c>
      <c r="DF45">
        <f t="shared" si="16"/>
        <v>0</v>
      </c>
      <c r="DG45">
        <f t="shared" si="8"/>
        <v>0</v>
      </c>
      <c r="DH45">
        <f t="shared" si="17"/>
        <v>0</v>
      </c>
      <c r="DI45">
        <f t="shared" si="4"/>
        <v>0</v>
      </c>
      <c r="DJ45">
        <f t="shared" si="18"/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ROW(Source!A50)</f>
        <v>50</v>
      </c>
      <c r="B46">
        <v>57034452</v>
      </c>
      <c r="C46">
        <v>57035382</v>
      </c>
      <c r="D46">
        <v>55490330</v>
      </c>
      <c r="E46">
        <v>1</v>
      </c>
      <c r="F46">
        <v>1</v>
      </c>
      <c r="G46">
        <v>1081</v>
      </c>
      <c r="H46">
        <v>2</v>
      </c>
      <c r="I46" t="s">
        <v>476</v>
      </c>
      <c r="J46" t="s">
        <v>477</v>
      </c>
      <c r="K46" t="s">
        <v>478</v>
      </c>
      <c r="L46">
        <v>1368</v>
      </c>
      <c r="N46">
        <v>1011</v>
      </c>
      <c r="O46" t="s">
        <v>465</v>
      </c>
      <c r="P46" t="s">
        <v>465</v>
      </c>
      <c r="Q46">
        <v>1</v>
      </c>
      <c r="W46">
        <v>0</v>
      </c>
      <c r="X46">
        <v>-2083101341</v>
      </c>
      <c r="Y46">
        <f t="shared" si="10"/>
        <v>6.1200000000000004E-3</v>
      </c>
      <c r="AA46">
        <v>0</v>
      </c>
      <c r="AB46">
        <v>0.84</v>
      </c>
      <c r="AC46">
        <v>0</v>
      </c>
      <c r="AD46">
        <v>0</v>
      </c>
      <c r="AE46">
        <v>0</v>
      </c>
      <c r="AF46">
        <v>0.8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1.7000000000000001E-2</v>
      </c>
      <c r="AU46" t="s">
        <v>29</v>
      </c>
      <c r="AV46">
        <v>0</v>
      </c>
      <c r="AW46">
        <v>2</v>
      </c>
      <c r="AX46">
        <v>57035390</v>
      </c>
      <c r="AY46">
        <v>1</v>
      </c>
      <c r="AZ46">
        <v>0</v>
      </c>
      <c r="BA46">
        <v>54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ROUND(Y46*Source!I50*DO46,9)</f>
        <v>0</v>
      </c>
      <c r="CX46">
        <f>ROUND(Y46*Source!I50,9)</f>
        <v>1.2239999999999999E-2</v>
      </c>
      <c r="CY46">
        <f>AB46</f>
        <v>0.84</v>
      </c>
      <c r="CZ46">
        <f>AF46</f>
        <v>0.8</v>
      </c>
      <c r="DA46">
        <f>AJ46</f>
        <v>1</v>
      </c>
      <c r="DB46">
        <f t="shared" si="14"/>
        <v>3.5999999999999999E-3</v>
      </c>
      <c r="DC46">
        <f t="shared" si="15"/>
        <v>0</v>
      </c>
      <c r="DD46" t="s">
        <v>3</v>
      </c>
      <c r="DE46" t="s">
        <v>3</v>
      </c>
      <c r="DF46">
        <f t="shared" si="16"/>
        <v>0</v>
      </c>
      <c r="DG46">
        <f t="shared" si="8"/>
        <v>0.01</v>
      </c>
      <c r="DH46">
        <f t="shared" si="17"/>
        <v>0</v>
      </c>
      <c r="DI46">
        <f t="shared" si="4"/>
        <v>0</v>
      </c>
      <c r="DJ46">
        <f>DG46</f>
        <v>0.01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ROW(Source!A50)</f>
        <v>50</v>
      </c>
      <c r="B47">
        <v>57034452</v>
      </c>
      <c r="C47">
        <v>57035382</v>
      </c>
      <c r="D47">
        <v>55490296</v>
      </c>
      <c r="E47">
        <v>1</v>
      </c>
      <c r="F47">
        <v>1</v>
      </c>
      <c r="G47">
        <v>1081</v>
      </c>
      <c r="H47">
        <v>2</v>
      </c>
      <c r="I47" t="s">
        <v>479</v>
      </c>
      <c r="J47" t="s">
        <v>480</v>
      </c>
      <c r="K47" t="s">
        <v>481</v>
      </c>
      <c r="L47">
        <v>1368</v>
      </c>
      <c r="N47">
        <v>1011</v>
      </c>
      <c r="O47" t="s">
        <v>465</v>
      </c>
      <c r="P47" t="s">
        <v>465</v>
      </c>
      <c r="Q47">
        <v>1</v>
      </c>
      <c r="W47">
        <v>0</v>
      </c>
      <c r="X47">
        <v>-643591644</v>
      </c>
      <c r="Y47">
        <f t="shared" si="10"/>
        <v>7.1999999999999998E-3</v>
      </c>
      <c r="AA47">
        <v>0</v>
      </c>
      <c r="AB47">
        <v>0.49</v>
      </c>
      <c r="AC47">
        <v>0</v>
      </c>
      <c r="AD47">
        <v>0</v>
      </c>
      <c r="AE47">
        <v>0</v>
      </c>
      <c r="AF47">
        <v>0.47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0.02</v>
      </c>
      <c r="AU47" t="s">
        <v>29</v>
      </c>
      <c r="AV47">
        <v>0</v>
      </c>
      <c r="AW47">
        <v>2</v>
      </c>
      <c r="AX47">
        <v>57035391</v>
      </c>
      <c r="AY47">
        <v>1</v>
      </c>
      <c r="AZ47">
        <v>0</v>
      </c>
      <c r="BA47">
        <v>55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ROUND(Y47*Source!I50*DO47,9)</f>
        <v>0</v>
      </c>
      <c r="CX47">
        <f>ROUND(Y47*Source!I50,9)</f>
        <v>1.44E-2</v>
      </c>
      <c r="CY47">
        <f>AB47</f>
        <v>0.49</v>
      </c>
      <c r="CZ47">
        <f>AF47</f>
        <v>0.47</v>
      </c>
      <c r="DA47">
        <f>AJ47</f>
        <v>1</v>
      </c>
      <c r="DB47">
        <f t="shared" si="14"/>
        <v>3.5999999999999999E-3</v>
      </c>
      <c r="DC47">
        <f t="shared" si="15"/>
        <v>0</v>
      </c>
      <c r="DD47" t="s">
        <v>3</v>
      </c>
      <c r="DE47" t="s">
        <v>3</v>
      </c>
      <c r="DF47">
        <f t="shared" si="16"/>
        <v>0</v>
      </c>
      <c r="DG47">
        <f t="shared" si="8"/>
        <v>0.01</v>
      </c>
      <c r="DH47">
        <f t="shared" si="17"/>
        <v>0</v>
      </c>
      <c r="DI47">
        <f t="shared" si="4"/>
        <v>0</v>
      </c>
      <c r="DJ47">
        <f>DG47</f>
        <v>0.01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ROW(Source!A50)</f>
        <v>50</v>
      </c>
      <c r="B48">
        <v>57034452</v>
      </c>
      <c r="C48">
        <v>57035382</v>
      </c>
      <c r="D48">
        <v>55461074</v>
      </c>
      <c r="E48">
        <v>1</v>
      </c>
      <c r="F48">
        <v>1</v>
      </c>
      <c r="G48">
        <v>1081</v>
      </c>
      <c r="H48">
        <v>3</v>
      </c>
      <c r="I48" t="s">
        <v>467</v>
      </c>
      <c r="J48" t="s">
        <v>468</v>
      </c>
      <c r="K48" t="s">
        <v>469</v>
      </c>
      <c r="L48">
        <v>1346</v>
      </c>
      <c r="N48">
        <v>1009</v>
      </c>
      <c r="O48" t="s">
        <v>433</v>
      </c>
      <c r="P48" t="s">
        <v>433</v>
      </c>
      <c r="Q48">
        <v>1</v>
      </c>
      <c r="W48">
        <v>0</v>
      </c>
      <c r="X48">
        <v>-861631226</v>
      </c>
      <c r="Y48">
        <f>((AT48*1)*0)</f>
        <v>0</v>
      </c>
      <c r="AA48">
        <v>27.62</v>
      </c>
      <c r="AB48">
        <v>0</v>
      </c>
      <c r="AC48">
        <v>0</v>
      </c>
      <c r="AD48">
        <v>0</v>
      </c>
      <c r="AE48">
        <v>27.62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6.2700000000000004E-3</v>
      </c>
      <c r="AU48" t="s">
        <v>28</v>
      </c>
      <c r="AV48">
        <v>0</v>
      </c>
      <c r="AW48">
        <v>2</v>
      </c>
      <c r="AX48">
        <v>57035392</v>
      </c>
      <c r="AY48">
        <v>1</v>
      </c>
      <c r="AZ48">
        <v>0</v>
      </c>
      <c r="BA48">
        <v>56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ROUND(Y48*Source!I50,9)</f>
        <v>0</v>
      </c>
      <c r="CY48">
        <f>AA48</f>
        <v>27.62</v>
      </c>
      <c r="CZ48">
        <f>AE48</f>
        <v>27.62</v>
      </c>
      <c r="DA48">
        <f>AI48</f>
        <v>1</v>
      </c>
      <c r="DB48">
        <f>ROUND(((ROUND(AT48*CZ48,2)*1)*0),6)</f>
        <v>0</v>
      </c>
      <c r="DC48">
        <f>ROUND(((ROUND(AT48*AG48,2)*1)*0),6)</f>
        <v>0</v>
      </c>
      <c r="DD48" t="s">
        <v>3</v>
      </c>
      <c r="DE48" t="s">
        <v>3</v>
      </c>
      <c r="DF48">
        <f t="shared" si="16"/>
        <v>0</v>
      </c>
      <c r="DG48">
        <f t="shared" si="8"/>
        <v>0</v>
      </c>
      <c r="DH48">
        <f t="shared" si="17"/>
        <v>0</v>
      </c>
      <c r="DI48">
        <f t="shared" si="4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ROW(Source!A50)</f>
        <v>50</v>
      </c>
      <c r="B49">
        <v>57034452</v>
      </c>
      <c r="C49">
        <v>57035382</v>
      </c>
      <c r="D49">
        <v>55459793</v>
      </c>
      <c r="E49">
        <v>1</v>
      </c>
      <c r="F49">
        <v>1</v>
      </c>
      <c r="G49">
        <v>1081</v>
      </c>
      <c r="H49">
        <v>3</v>
      </c>
      <c r="I49" t="s">
        <v>470</v>
      </c>
      <c r="J49" t="s">
        <v>471</v>
      </c>
      <c r="K49" t="s">
        <v>472</v>
      </c>
      <c r="L49">
        <v>1348</v>
      </c>
      <c r="N49">
        <v>1009</v>
      </c>
      <c r="O49" t="s">
        <v>299</v>
      </c>
      <c r="P49" t="s">
        <v>299</v>
      </c>
      <c r="Q49">
        <v>1000</v>
      </c>
      <c r="W49">
        <v>0</v>
      </c>
      <c r="X49">
        <v>-761454284</v>
      </c>
      <c r="Y49">
        <f>((AT49*1)*0)</f>
        <v>0</v>
      </c>
      <c r="AA49">
        <v>64123.05</v>
      </c>
      <c r="AB49">
        <v>0</v>
      </c>
      <c r="AC49">
        <v>0</v>
      </c>
      <c r="AD49">
        <v>0</v>
      </c>
      <c r="AE49">
        <v>64123.05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1.0000000000000001E-5</v>
      </c>
      <c r="AU49" t="s">
        <v>28</v>
      </c>
      <c r="AV49">
        <v>0</v>
      </c>
      <c r="AW49">
        <v>2</v>
      </c>
      <c r="AX49">
        <v>57035393</v>
      </c>
      <c r="AY49">
        <v>1</v>
      </c>
      <c r="AZ49">
        <v>0</v>
      </c>
      <c r="BA49">
        <v>57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ROUND(Y49*Source!I50,9)</f>
        <v>0</v>
      </c>
      <c r="CY49">
        <f>AA49</f>
        <v>64123.05</v>
      </c>
      <c r="CZ49">
        <f>AE49</f>
        <v>64123.05</v>
      </c>
      <c r="DA49">
        <f>AI49</f>
        <v>1</v>
      </c>
      <c r="DB49">
        <f>ROUND(((ROUND(AT49*CZ49,2)*1)*0),6)</f>
        <v>0</v>
      </c>
      <c r="DC49">
        <f>ROUND(((ROUND(AT49*AG49,2)*1)*0),6)</f>
        <v>0</v>
      </c>
      <c r="DD49" t="s">
        <v>3</v>
      </c>
      <c r="DE49" t="s">
        <v>3</v>
      </c>
      <c r="DF49">
        <f t="shared" si="16"/>
        <v>0</v>
      </c>
      <c r="DG49">
        <f t="shared" si="8"/>
        <v>0</v>
      </c>
      <c r="DH49">
        <f t="shared" si="17"/>
        <v>0</v>
      </c>
      <c r="DI49">
        <f t="shared" si="4"/>
        <v>0</v>
      </c>
      <c r="DJ49">
        <f>DF49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ROW(Source!A50)</f>
        <v>50</v>
      </c>
      <c r="B50">
        <v>57034452</v>
      </c>
      <c r="C50">
        <v>57035382</v>
      </c>
      <c r="D50">
        <v>55469253</v>
      </c>
      <c r="E50">
        <v>1</v>
      </c>
      <c r="F50">
        <v>1</v>
      </c>
      <c r="G50">
        <v>1081</v>
      </c>
      <c r="H50">
        <v>3</v>
      </c>
      <c r="I50" t="s">
        <v>473</v>
      </c>
      <c r="J50" t="s">
        <v>474</v>
      </c>
      <c r="K50" t="s">
        <v>475</v>
      </c>
      <c r="L50">
        <v>1354</v>
      </c>
      <c r="N50">
        <v>1010</v>
      </c>
      <c r="O50" t="s">
        <v>177</v>
      </c>
      <c r="P50" t="s">
        <v>177</v>
      </c>
      <c r="Q50">
        <v>1</v>
      </c>
      <c r="W50">
        <v>0</v>
      </c>
      <c r="X50">
        <v>-32785108</v>
      </c>
      <c r="Y50">
        <f>((AT50*1)*0)</f>
        <v>0</v>
      </c>
      <c r="AA50">
        <v>15.25</v>
      </c>
      <c r="AB50">
        <v>0</v>
      </c>
      <c r="AC50">
        <v>0</v>
      </c>
      <c r="AD50">
        <v>0</v>
      </c>
      <c r="AE50">
        <v>15.25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0.1</v>
      </c>
      <c r="AU50" t="s">
        <v>28</v>
      </c>
      <c r="AV50">
        <v>0</v>
      </c>
      <c r="AW50">
        <v>2</v>
      </c>
      <c r="AX50">
        <v>57035394</v>
      </c>
      <c r="AY50">
        <v>1</v>
      </c>
      <c r="AZ50">
        <v>0</v>
      </c>
      <c r="BA50">
        <v>58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ROUND(Y50*Source!I50,9)</f>
        <v>0</v>
      </c>
      <c r="CY50">
        <f>AA50</f>
        <v>15.25</v>
      </c>
      <c r="CZ50">
        <f>AE50</f>
        <v>15.25</v>
      </c>
      <c r="DA50">
        <f>AI50</f>
        <v>1</v>
      </c>
      <c r="DB50">
        <f>ROUND(((ROUND(AT50*CZ50,2)*1)*0),6)</f>
        <v>0</v>
      </c>
      <c r="DC50">
        <f>ROUND(((ROUND(AT50*AG50,2)*1)*0),6)</f>
        <v>0</v>
      </c>
      <c r="DD50" t="s">
        <v>3</v>
      </c>
      <c r="DE50" t="s">
        <v>3</v>
      </c>
      <c r="DF50">
        <f t="shared" si="16"/>
        <v>0</v>
      </c>
      <c r="DG50">
        <f t="shared" si="8"/>
        <v>0</v>
      </c>
      <c r="DH50">
        <f t="shared" si="17"/>
        <v>0</v>
      </c>
      <c r="DI50">
        <f t="shared" si="4"/>
        <v>0</v>
      </c>
      <c r="DJ50">
        <f>DF50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ROW(Source!A51)</f>
        <v>51</v>
      </c>
      <c r="B51">
        <v>57034454</v>
      </c>
      <c r="C51">
        <v>57035382</v>
      </c>
      <c r="D51">
        <v>55424304</v>
      </c>
      <c r="E51">
        <v>1081</v>
      </c>
      <c r="F51">
        <v>1</v>
      </c>
      <c r="G51">
        <v>1081</v>
      </c>
      <c r="H51">
        <v>1</v>
      </c>
      <c r="I51" t="s">
        <v>459</v>
      </c>
      <c r="J51" t="s">
        <v>3</v>
      </c>
      <c r="K51" t="s">
        <v>460</v>
      </c>
      <c r="L51">
        <v>1191</v>
      </c>
      <c r="N51">
        <v>1013</v>
      </c>
      <c r="O51" t="s">
        <v>461</v>
      </c>
      <c r="P51" t="s">
        <v>461</v>
      </c>
      <c r="Q51">
        <v>1</v>
      </c>
      <c r="W51">
        <v>0</v>
      </c>
      <c r="X51">
        <v>476480486</v>
      </c>
      <c r="Y51">
        <f>((AT51*1.2)*0.3)</f>
        <v>0.48960000000000004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5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1.36</v>
      </c>
      <c r="AU51" t="s">
        <v>29</v>
      </c>
      <c r="AV51">
        <v>1</v>
      </c>
      <c r="AW51">
        <v>2</v>
      </c>
      <c r="AX51">
        <v>57035389</v>
      </c>
      <c r="AY51">
        <v>1</v>
      </c>
      <c r="AZ51">
        <v>0</v>
      </c>
      <c r="BA51">
        <v>60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ROUND(AT51*Source!I51*AH51*AL51,2)</f>
        <v>0</v>
      </c>
      <c r="CV51">
        <f>ROUND(Y51*Source!I51,9)</f>
        <v>0.97919999999999996</v>
      </c>
      <c r="CW51">
        <v>0</v>
      </c>
      <c r="CX51">
        <f>ROUND(Y51*Source!I51,9)</f>
        <v>0.97919999999999996</v>
      </c>
      <c r="CY51">
        <f>AD51</f>
        <v>0</v>
      </c>
      <c r="CZ51">
        <f>AH51</f>
        <v>0</v>
      </c>
      <c r="DA51">
        <f>AL51</f>
        <v>1</v>
      </c>
      <c r="DB51">
        <f>ROUND(((ROUND(AT51*CZ51,2)*1.2)*0.3),6)</f>
        <v>0</v>
      </c>
      <c r="DC51">
        <f>ROUND(((ROUND(AT51*AG51,2)*1.2)*0.3),6)</f>
        <v>0</v>
      </c>
      <c r="DD51" t="s">
        <v>3</v>
      </c>
      <c r="DE51" t="s">
        <v>3</v>
      </c>
      <c r="DF51">
        <f t="shared" si="16"/>
        <v>0</v>
      </c>
      <c r="DG51">
        <f t="shared" si="8"/>
        <v>0</v>
      </c>
      <c r="DH51">
        <f t="shared" si="17"/>
        <v>0</v>
      </c>
      <c r="DI51">
        <f t="shared" si="4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ROW(Source!A51)</f>
        <v>51</v>
      </c>
      <c r="B52">
        <v>57034454</v>
      </c>
      <c r="C52">
        <v>57035382</v>
      </c>
      <c r="D52">
        <v>55490330</v>
      </c>
      <c r="E52">
        <v>1</v>
      </c>
      <c r="F52">
        <v>1</v>
      </c>
      <c r="G52">
        <v>1081</v>
      </c>
      <c r="H52">
        <v>2</v>
      </c>
      <c r="I52" t="s">
        <v>476</v>
      </c>
      <c r="J52" t="s">
        <v>477</v>
      </c>
      <c r="K52" t="s">
        <v>478</v>
      </c>
      <c r="L52">
        <v>1368</v>
      </c>
      <c r="N52">
        <v>1011</v>
      </c>
      <c r="O52" t="s">
        <v>465</v>
      </c>
      <c r="P52" t="s">
        <v>465</v>
      </c>
      <c r="Q52">
        <v>1</v>
      </c>
      <c r="W52">
        <v>0</v>
      </c>
      <c r="X52">
        <v>-2083101341</v>
      </c>
      <c r="Y52">
        <f>((AT52*1.2)*0.3)</f>
        <v>6.1200000000000004E-3</v>
      </c>
      <c r="AA52">
        <v>0</v>
      </c>
      <c r="AB52">
        <v>7.92</v>
      </c>
      <c r="AC52">
        <v>0</v>
      </c>
      <c r="AD52">
        <v>0</v>
      </c>
      <c r="AE52">
        <v>0</v>
      </c>
      <c r="AF52">
        <v>0.8</v>
      </c>
      <c r="AG52">
        <v>0</v>
      </c>
      <c r="AH52">
        <v>0</v>
      </c>
      <c r="AI52">
        <v>1</v>
      </c>
      <c r="AJ52">
        <v>9.4600000000000009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1.7000000000000001E-2</v>
      </c>
      <c r="AU52" t="s">
        <v>29</v>
      </c>
      <c r="AV52">
        <v>0</v>
      </c>
      <c r="AW52">
        <v>2</v>
      </c>
      <c r="AX52">
        <v>57035390</v>
      </c>
      <c r="AY52">
        <v>1</v>
      </c>
      <c r="AZ52">
        <v>0</v>
      </c>
      <c r="BA52">
        <v>61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ROUND(Y52*Source!I51*DO52,9)</f>
        <v>0</v>
      </c>
      <c r="CX52">
        <f>ROUND(Y52*Source!I51,9)</f>
        <v>1.2239999999999999E-2</v>
      </c>
      <c r="CY52">
        <f>AB52</f>
        <v>7.92</v>
      </c>
      <c r="CZ52">
        <f>AF52</f>
        <v>0.8</v>
      </c>
      <c r="DA52">
        <f>AJ52</f>
        <v>9.4600000000000009</v>
      </c>
      <c r="DB52">
        <f>ROUND(((ROUND(AT52*CZ52,2)*1.2)*0.3),6)</f>
        <v>3.5999999999999999E-3</v>
      </c>
      <c r="DC52">
        <f>ROUND(((ROUND(AT52*AG52,2)*1.2)*0.3),6)</f>
        <v>0</v>
      </c>
      <c r="DD52" t="s">
        <v>3</v>
      </c>
      <c r="DE52" t="s">
        <v>3</v>
      </c>
      <c r="DF52">
        <f t="shared" si="16"/>
        <v>0</v>
      </c>
      <c r="DG52">
        <f>ROUND(ROUND(AF52*AJ52,2)*CX52,2)</f>
        <v>0.09</v>
      </c>
      <c r="DH52">
        <f t="shared" si="17"/>
        <v>0</v>
      </c>
      <c r="DI52">
        <f t="shared" si="4"/>
        <v>0</v>
      </c>
      <c r="DJ52">
        <f>DG52</f>
        <v>0.09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ROW(Source!A51)</f>
        <v>51</v>
      </c>
      <c r="B53">
        <v>57034454</v>
      </c>
      <c r="C53">
        <v>57035382</v>
      </c>
      <c r="D53">
        <v>55490296</v>
      </c>
      <c r="E53">
        <v>1</v>
      </c>
      <c r="F53">
        <v>1</v>
      </c>
      <c r="G53">
        <v>1081</v>
      </c>
      <c r="H53">
        <v>2</v>
      </c>
      <c r="I53" t="s">
        <v>479</v>
      </c>
      <c r="J53" t="s">
        <v>480</v>
      </c>
      <c r="K53" t="s">
        <v>481</v>
      </c>
      <c r="L53">
        <v>1368</v>
      </c>
      <c r="N53">
        <v>1011</v>
      </c>
      <c r="O53" t="s">
        <v>465</v>
      </c>
      <c r="P53" t="s">
        <v>465</v>
      </c>
      <c r="Q53">
        <v>1</v>
      </c>
      <c r="W53">
        <v>0</v>
      </c>
      <c r="X53">
        <v>-643591644</v>
      </c>
      <c r="Y53">
        <f>((AT53*1.2)*0.3)</f>
        <v>7.1999999999999998E-3</v>
      </c>
      <c r="AA53">
        <v>0</v>
      </c>
      <c r="AB53">
        <v>4.75</v>
      </c>
      <c r="AC53">
        <v>0</v>
      </c>
      <c r="AD53">
        <v>0</v>
      </c>
      <c r="AE53">
        <v>0</v>
      </c>
      <c r="AF53">
        <v>0.47</v>
      </c>
      <c r="AG53">
        <v>0</v>
      </c>
      <c r="AH53">
        <v>0</v>
      </c>
      <c r="AI53">
        <v>1</v>
      </c>
      <c r="AJ53">
        <v>9.66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0.02</v>
      </c>
      <c r="AU53" t="s">
        <v>29</v>
      </c>
      <c r="AV53">
        <v>0</v>
      </c>
      <c r="AW53">
        <v>2</v>
      </c>
      <c r="AX53">
        <v>57035391</v>
      </c>
      <c r="AY53">
        <v>1</v>
      </c>
      <c r="AZ53">
        <v>0</v>
      </c>
      <c r="BA53">
        <v>62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ROUND(Y53*Source!I51*DO53,9)</f>
        <v>0</v>
      </c>
      <c r="CX53">
        <f>ROUND(Y53*Source!I51,9)</f>
        <v>1.44E-2</v>
      </c>
      <c r="CY53">
        <f>AB53</f>
        <v>4.75</v>
      </c>
      <c r="CZ53">
        <f>AF53</f>
        <v>0.47</v>
      </c>
      <c r="DA53">
        <f>AJ53</f>
        <v>9.66</v>
      </c>
      <c r="DB53">
        <f>ROUND(((ROUND(AT53*CZ53,2)*1.2)*0.3),6)</f>
        <v>3.5999999999999999E-3</v>
      </c>
      <c r="DC53">
        <f>ROUND(((ROUND(AT53*AG53,2)*1.2)*0.3),6)</f>
        <v>0</v>
      </c>
      <c r="DD53" t="s">
        <v>3</v>
      </c>
      <c r="DE53" t="s">
        <v>3</v>
      </c>
      <c r="DF53">
        <f t="shared" si="16"/>
        <v>0</v>
      </c>
      <c r="DG53">
        <f>ROUND(ROUND(AF53*AJ53,2)*CX53,2)</f>
        <v>7.0000000000000007E-2</v>
      </c>
      <c r="DH53">
        <f t="shared" si="17"/>
        <v>0</v>
      </c>
      <c r="DI53">
        <f t="shared" si="4"/>
        <v>0</v>
      </c>
      <c r="DJ53">
        <f>DG53</f>
        <v>7.0000000000000007E-2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ROW(Source!A51)</f>
        <v>51</v>
      </c>
      <c r="B54">
        <v>57034454</v>
      </c>
      <c r="C54">
        <v>57035382</v>
      </c>
      <c r="D54">
        <v>55461074</v>
      </c>
      <c r="E54">
        <v>1</v>
      </c>
      <c r="F54">
        <v>1</v>
      </c>
      <c r="G54">
        <v>1081</v>
      </c>
      <c r="H54">
        <v>3</v>
      </c>
      <c r="I54" t="s">
        <v>467</v>
      </c>
      <c r="J54" t="s">
        <v>468</v>
      </c>
      <c r="K54" t="s">
        <v>469</v>
      </c>
      <c r="L54">
        <v>1346</v>
      </c>
      <c r="N54">
        <v>1009</v>
      </c>
      <c r="O54" t="s">
        <v>433</v>
      </c>
      <c r="P54" t="s">
        <v>433</v>
      </c>
      <c r="Q54">
        <v>1</v>
      </c>
      <c r="W54">
        <v>0</v>
      </c>
      <c r="X54">
        <v>-861631226</v>
      </c>
      <c r="Y54">
        <f>((AT54*1)*0)</f>
        <v>0</v>
      </c>
      <c r="AA54">
        <v>163.51</v>
      </c>
      <c r="AB54">
        <v>0</v>
      </c>
      <c r="AC54">
        <v>0</v>
      </c>
      <c r="AD54">
        <v>0</v>
      </c>
      <c r="AE54">
        <v>27.62</v>
      </c>
      <c r="AF54">
        <v>0</v>
      </c>
      <c r="AG54">
        <v>0</v>
      </c>
      <c r="AH54">
        <v>0</v>
      </c>
      <c r="AI54">
        <v>5.92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6.2700000000000004E-3</v>
      </c>
      <c r="AU54" t="s">
        <v>28</v>
      </c>
      <c r="AV54">
        <v>0</v>
      </c>
      <c r="AW54">
        <v>2</v>
      </c>
      <c r="AX54">
        <v>57035392</v>
      </c>
      <c r="AY54">
        <v>1</v>
      </c>
      <c r="AZ54">
        <v>0</v>
      </c>
      <c r="BA54">
        <v>63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ROUND(Y54*Source!I51,9)</f>
        <v>0</v>
      </c>
      <c r="CY54">
        <f>AA54</f>
        <v>163.51</v>
      </c>
      <c r="CZ54">
        <f>AE54</f>
        <v>27.62</v>
      </c>
      <c r="DA54">
        <f>AI54</f>
        <v>5.92</v>
      </c>
      <c r="DB54">
        <f>ROUND(((ROUND(AT54*CZ54,2)*1)*0),6)</f>
        <v>0</v>
      </c>
      <c r="DC54">
        <f>ROUND(((ROUND(AT54*AG54,2)*1)*0),6)</f>
        <v>0</v>
      </c>
      <c r="DD54" t="s">
        <v>3</v>
      </c>
      <c r="DE54" t="s">
        <v>3</v>
      </c>
      <c r="DF54">
        <f>ROUND(ROUND(AE54*AI54,2)*CX54,2)</f>
        <v>0</v>
      </c>
      <c r="DG54">
        <f t="shared" ref="DG54:DG59" si="19">ROUND(ROUND(AF54,2)*CX54,2)</f>
        <v>0</v>
      </c>
      <c r="DH54">
        <f t="shared" si="17"/>
        <v>0</v>
      </c>
      <c r="DI54">
        <f t="shared" si="4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ROW(Source!A51)</f>
        <v>51</v>
      </c>
      <c r="B55">
        <v>57034454</v>
      </c>
      <c r="C55">
        <v>57035382</v>
      </c>
      <c r="D55">
        <v>55459793</v>
      </c>
      <c r="E55">
        <v>1</v>
      </c>
      <c r="F55">
        <v>1</v>
      </c>
      <c r="G55">
        <v>1081</v>
      </c>
      <c r="H55">
        <v>3</v>
      </c>
      <c r="I55" t="s">
        <v>470</v>
      </c>
      <c r="J55" t="s">
        <v>471</v>
      </c>
      <c r="K55" t="s">
        <v>472</v>
      </c>
      <c r="L55">
        <v>1348</v>
      </c>
      <c r="N55">
        <v>1009</v>
      </c>
      <c r="O55" t="s">
        <v>299</v>
      </c>
      <c r="P55" t="s">
        <v>299</v>
      </c>
      <c r="Q55">
        <v>1000</v>
      </c>
      <c r="W55">
        <v>0</v>
      </c>
      <c r="X55">
        <v>-761454284</v>
      </c>
      <c r="Y55">
        <f>((AT55*1)*0)</f>
        <v>0</v>
      </c>
      <c r="AA55">
        <v>1930745.04</v>
      </c>
      <c r="AB55">
        <v>0</v>
      </c>
      <c r="AC55">
        <v>0</v>
      </c>
      <c r="AD55">
        <v>0</v>
      </c>
      <c r="AE55">
        <v>64123.05</v>
      </c>
      <c r="AF55">
        <v>0</v>
      </c>
      <c r="AG55">
        <v>0</v>
      </c>
      <c r="AH55">
        <v>0</v>
      </c>
      <c r="AI55">
        <v>30.11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1.0000000000000001E-5</v>
      </c>
      <c r="AU55" t="s">
        <v>28</v>
      </c>
      <c r="AV55">
        <v>0</v>
      </c>
      <c r="AW55">
        <v>2</v>
      </c>
      <c r="AX55">
        <v>57035393</v>
      </c>
      <c r="AY55">
        <v>1</v>
      </c>
      <c r="AZ55">
        <v>0</v>
      </c>
      <c r="BA55">
        <v>64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ROUND(Y55*Source!I51,9)</f>
        <v>0</v>
      </c>
      <c r="CY55">
        <f>AA55</f>
        <v>1930745.04</v>
      </c>
      <c r="CZ55">
        <f>AE55</f>
        <v>64123.05</v>
      </c>
      <c r="DA55">
        <f>AI55</f>
        <v>30.11</v>
      </c>
      <c r="DB55">
        <f>ROUND(((ROUND(AT55*CZ55,2)*1)*0),6)</f>
        <v>0</v>
      </c>
      <c r="DC55">
        <f>ROUND(((ROUND(AT55*AG55,2)*1)*0),6)</f>
        <v>0</v>
      </c>
      <c r="DD55" t="s">
        <v>3</v>
      </c>
      <c r="DE55" t="s">
        <v>3</v>
      </c>
      <c r="DF55">
        <f>ROUND(ROUND(AE55*AI55,2)*CX55,2)</f>
        <v>0</v>
      </c>
      <c r="DG55">
        <f t="shared" si="19"/>
        <v>0</v>
      </c>
      <c r="DH55">
        <f t="shared" si="17"/>
        <v>0</v>
      </c>
      <c r="DI55">
        <f t="shared" si="4"/>
        <v>0</v>
      </c>
      <c r="DJ55">
        <f>DF55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ROW(Source!A51)</f>
        <v>51</v>
      </c>
      <c r="B56">
        <v>57034454</v>
      </c>
      <c r="C56">
        <v>57035382</v>
      </c>
      <c r="D56">
        <v>55469253</v>
      </c>
      <c r="E56">
        <v>1</v>
      </c>
      <c r="F56">
        <v>1</v>
      </c>
      <c r="G56">
        <v>1081</v>
      </c>
      <c r="H56">
        <v>3</v>
      </c>
      <c r="I56" t="s">
        <v>473</v>
      </c>
      <c r="J56" t="s">
        <v>474</v>
      </c>
      <c r="K56" t="s">
        <v>475</v>
      </c>
      <c r="L56">
        <v>1354</v>
      </c>
      <c r="N56">
        <v>1010</v>
      </c>
      <c r="O56" t="s">
        <v>177</v>
      </c>
      <c r="P56" t="s">
        <v>177</v>
      </c>
      <c r="Q56">
        <v>1</v>
      </c>
      <c r="W56">
        <v>0</v>
      </c>
      <c r="X56">
        <v>-32785108</v>
      </c>
      <c r="Y56">
        <f>((AT56*1)*0)</f>
        <v>0</v>
      </c>
      <c r="AA56">
        <v>36.14</v>
      </c>
      <c r="AB56">
        <v>0</v>
      </c>
      <c r="AC56">
        <v>0</v>
      </c>
      <c r="AD56">
        <v>0</v>
      </c>
      <c r="AE56">
        <v>15.25</v>
      </c>
      <c r="AF56">
        <v>0</v>
      </c>
      <c r="AG56">
        <v>0</v>
      </c>
      <c r="AH56">
        <v>0</v>
      </c>
      <c r="AI56">
        <v>2.37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0.1</v>
      </c>
      <c r="AU56" t="s">
        <v>28</v>
      </c>
      <c r="AV56">
        <v>0</v>
      </c>
      <c r="AW56">
        <v>2</v>
      </c>
      <c r="AX56">
        <v>57035394</v>
      </c>
      <c r="AY56">
        <v>1</v>
      </c>
      <c r="AZ56">
        <v>0</v>
      </c>
      <c r="BA56">
        <v>65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ROUND(Y56*Source!I51,9)</f>
        <v>0</v>
      </c>
      <c r="CY56">
        <f>AA56</f>
        <v>36.14</v>
      </c>
      <c r="CZ56">
        <f>AE56</f>
        <v>15.25</v>
      </c>
      <c r="DA56">
        <f>AI56</f>
        <v>2.37</v>
      </c>
      <c r="DB56">
        <f>ROUND(((ROUND(AT56*CZ56,2)*1)*0),6)</f>
        <v>0</v>
      </c>
      <c r="DC56">
        <f>ROUND(((ROUND(AT56*AG56,2)*1)*0),6)</f>
        <v>0</v>
      </c>
      <c r="DD56" t="s">
        <v>3</v>
      </c>
      <c r="DE56" t="s">
        <v>3</v>
      </c>
      <c r="DF56">
        <f>ROUND(ROUND(AE56*AI56,2)*CX56,2)</f>
        <v>0</v>
      </c>
      <c r="DG56">
        <f t="shared" si="19"/>
        <v>0</v>
      </c>
      <c r="DH56">
        <f t="shared" si="17"/>
        <v>0</v>
      </c>
      <c r="DI56">
        <f t="shared" si="4"/>
        <v>0</v>
      </c>
      <c r="DJ56">
        <f>DF56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ROW(Source!A52)</f>
        <v>52</v>
      </c>
      <c r="B57">
        <v>57034452</v>
      </c>
      <c r="C57">
        <v>57035396</v>
      </c>
      <c r="D57">
        <v>55424304</v>
      </c>
      <c r="E57">
        <v>1081</v>
      </c>
      <c r="F57">
        <v>1</v>
      </c>
      <c r="G57">
        <v>1081</v>
      </c>
      <c r="H57">
        <v>1</v>
      </c>
      <c r="I57" t="s">
        <v>459</v>
      </c>
      <c r="J57" t="s">
        <v>3</v>
      </c>
      <c r="K57" t="s">
        <v>460</v>
      </c>
      <c r="L57">
        <v>1191</v>
      </c>
      <c r="N57">
        <v>1013</v>
      </c>
      <c r="O57" t="s">
        <v>461</v>
      </c>
      <c r="P57" t="s">
        <v>461</v>
      </c>
      <c r="Q57">
        <v>1</v>
      </c>
      <c r="W57">
        <v>0</v>
      </c>
      <c r="X57">
        <v>476480486</v>
      </c>
      <c r="Y57">
        <f>((AT57*1.2)*0.3)</f>
        <v>0.37079999999999996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1.03</v>
      </c>
      <c r="AU57" t="s">
        <v>29</v>
      </c>
      <c r="AV57">
        <v>1</v>
      </c>
      <c r="AW57">
        <v>2</v>
      </c>
      <c r="AX57">
        <v>57035399</v>
      </c>
      <c r="AY57">
        <v>1</v>
      </c>
      <c r="AZ57">
        <v>0</v>
      </c>
      <c r="BA57">
        <v>67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ROUND(AT57*Source!I52*AH57*AL57,2)</f>
        <v>0</v>
      </c>
      <c r="CV57">
        <f>ROUND(Y57*Source!I52,9)</f>
        <v>82.688400000000001</v>
      </c>
      <c r="CW57">
        <v>0</v>
      </c>
      <c r="CX57">
        <f>ROUND(Y57*Source!I52,9)</f>
        <v>82.688400000000001</v>
      </c>
      <c r="CY57">
        <f>AD57</f>
        <v>0</v>
      </c>
      <c r="CZ57">
        <f>AH57</f>
        <v>0</v>
      </c>
      <c r="DA57">
        <f>AL57</f>
        <v>1</v>
      </c>
      <c r="DB57">
        <f>ROUND(((ROUND(AT57*CZ57,2)*1.2)*0.3),6)</f>
        <v>0</v>
      </c>
      <c r="DC57">
        <f>ROUND(((ROUND(AT57*AG57,2)*1.2)*0.3),6)</f>
        <v>0</v>
      </c>
      <c r="DD57" t="s">
        <v>3</v>
      </c>
      <c r="DE57" t="s">
        <v>3</v>
      </c>
      <c r="DF57">
        <f t="shared" ref="DF57:DF64" si="20">ROUND(ROUND(AE57,2)*CX57,2)</f>
        <v>0</v>
      </c>
      <c r="DG57">
        <f t="shared" si="19"/>
        <v>0</v>
      </c>
      <c r="DH57">
        <f t="shared" si="17"/>
        <v>0</v>
      </c>
      <c r="DI57">
        <f t="shared" si="4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ROW(Source!A52)</f>
        <v>52</v>
      </c>
      <c r="B58">
        <v>57034452</v>
      </c>
      <c r="C58">
        <v>57035396</v>
      </c>
      <c r="D58">
        <v>55490209</v>
      </c>
      <c r="E58">
        <v>1</v>
      </c>
      <c r="F58">
        <v>1</v>
      </c>
      <c r="G58">
        <v>1081</v>
      </c>
      <c r="H58">
        <v>2</v>
      </c>
      <c r="I58" t="s">
        <v>462</v>
      </c>
      <c r="J58" t="s">
        <v>463</v>
      </c>
      <c r="K58" t="s">
        <v>464</v>
      </c>
      <c r="L58">
        <v>1368</v>
      </c>
      <c r="N58">
        <v>1011</v>
      </c>
      <c r="O58" t="s">
        <v>465</v>
      </c>
      <c r="P58" t="s">
        <v>465</v>
      </c>
      <c r="Q58">
        <v>1</v>
      </c>
      <c r="W58">
        <v>0</v>
      </c>
      <c r="X58">
        <v>874612079</v>
      </c>
      <c r="Y58">
        <f>((AT58*1.2)*0.3)</f>
        <v>1.0799999999999999E-2</v>
      </c>
      <c r="AA58">
        <v>0</v>
      </c>
      <c r="AB58">
        <v>87.01</v>
      </c>
      <c r="AC58">
        <v>13.21</v>
      </c>
      <c r="AD58">
        <v>0</v>
      </c>
      <c r="AE58">
        <v>0</v>
      </c>
      <c r="AF58">
        <v>83.1</v>
      </c>
      <c r="AG58">
        <v>12.62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0.03</v>
      </c>
      <c r="AU58" t="s">
        <v>29</v>
      </c>
      <c r="AV58">
        <v>0</v>
      </c>
      <c r="AW58">
        <v>2</v>
      </c>
      <c r="AX58">
        <v>57035400</v>
      </c>
      <c r="AY58">
        <v>1</v>
      </c>
      <c r="AZ58">
        <v>0</v>
      </c>
      <c r="BA58">
        <v>68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ROUND(Y58*Source!I52*DO58,9)</f>
        <v>30.394007999999999</v>
      </c>
      <c r="CX58">
        <f>ROUND(Y58*Source!I52,9)</f>
        <v>2.4083999999999999</v>
      </c>
      <c r="CY58">
        <f>AB58</f>
        <v>87.01</v>
      </c>
      <c r="CZ58">
        <f>AF58</f>
        <v>83.1</v>
      </c>
      <c r="DA58">
        <f>AJ58</f>
        <v>1</v>
      </c>
      <c r="DB58">
        <f>ROUND(((ROUND(AT58*CZ58,2)*1.2)*0.3),6)</f>
        <v>0.89639999999999997</v>
      </c>
      <c r="DC58">
        <f>ROUND(((ROUND(AT58*AG58,2)*1.2)*0.3),6)</f>
        <v>0.1368</v>
      </c>
      <c r="DD58" t="s">
        <v>3</v>
      </c>
      <c r="DE58" t="s">
        <v>3</v>
      </c>
      <c r="DF58">
        <f t="shared" si="20"/>
        <v>0</v>
      </c>
      <c r="DG58">
        <f t="shared" si="19"/>
        <v>200.14</v>
      </c>
      <c r="DH58">
        <f t="shared" si="17"/>
        <v>30.39</v>
      </c>
      <c r="DI58">
        <f t="shared" si="4"/>
        <v>0</v>
      </c>
      <c r="DJ58">
        <f>DG58</f>
        <v>200.14</v>
      </c>
      <c r="DK58">
        <v>0</v>
      </c>
      <c r="DL58" t="s">
        <v>466</v>
      </c>
      <c r="DM58">
        <v>0</v>
      </c>
      <c r="DN58" t="s">
        <v>461</v>
      </c>
      <c r="DO58">
        <v>12.62</v>
      </c>
    </row>
    <row r="59" spans="1:119" x14ac:dyDescent="0.25">
      <c r="A59">
        <f>ROW(Source!A53)</f>
        <v>53</v>
      </c>
      <c r="B59">
        <v>57034454</v>
      </c>
      <c r="C59">
        <v>57035396</v>
      </c>
      <c r="D59">
        <v>55424304</v>
      </c>
      <c r="E59">
        <v>1081</v>
      </c>
      <c r="F59">
        <v>1</v>
      </c>
      <c r="G59">
        <v>1081</v>
      </c>
      <c r="H59">
        <v>1</v>
      </c>
      <c r="I59" t="s">
        <v>459</v>
      </c>
      <c r="J59" t="s">
        <v>3</v>
      </c>
      <c r="K59" t="s">
        <v>460</v>
      </c>
      <c r="L59">
        <v>1191</v>
      </c>
      <c r="N59">
        <v>1013</v>
      </c>
      <c r="O59" t="s">
        <v>461</v>
      </c>
      <c r="P59" t="s">
        <v>461</v>
      </c>
      <c r="Q59">
        <v>1</v>
      </c>
      <c r="W59">
        <v>0</v>
      </c>
      <c r="X59">
        <v>476480486</v>
      </c>
      <c r="Y59">
        <f>((AT59*1.2)*0.3)</f>
        <v>0.37079999999999996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5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1.03</v>
      </c>
      <c r="AU59" t="s">
        <v>29</v>
      </c>
      <c r="AV59">
        <v>1</v>
      </c>
      <c r="AW59">
        <v>2</v>
      </c>
      <c r="AX59">
        <v>57035399</v>
      </c>
      <c r="AY59">
        <v>1</v>
      </c>
      <c r="AZ59">
        <v>0</v>
      </c>
      <c r="BA59">
        <v>71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ROUND(AT59*Source!I53*AH59*AL59,2)</f>
        <v>0</v>
      </c>
      <c r="CV59">
        <f>ROUND(Y59*Source!I53,9)</f>
        <v>82.688400000000001</v>
      </c>
      <c r="CW59">
        <v>0</v>
      </c>
      <c r="CX59">
        <f>ROUND(Y59*Source!I53,9)</f>
        <v>82.688400000000001</v>
      </c>
      <c r="CY59">
        <f>AD59</f>
        <v>0</v>
      </c>
      <c r="CZ59">
        <f>AH59</f>
        <v>0</v>
      </c>
      <c r="DA59">
        <f>AL59</f>
        <v>1</v>
      </c>
      <c r="DB59">
        <f>ROUND(((ROUND(AT59*CZ59,2)*1.2)*0.3),6)</f>
        <v>0</v>
      </c>
      <c r="DC59">
        <f>ROUND(((ROUND(AT59*AG59,2)*1.2)*0.3),6)</f>
        <v>0</v>
      </c>
      <c r="DD59" t="s">
        <v>3</v>
      </c>
      <c r="DE59" t="s">
        <v>3</v>
      </c>
      <c r="DF59">
        <f t="shared" si="20"/>
        <v>0</v>
      </c>
      <c r="DG59">
        <f t="shared" si="19"/>
        <v>0</v>
      </c>
      <c r="DH59">
        <f t="shared" si="17"/>
        <v>0</v>
      </c>
      <c r="DI59">
        <f t="shared" si="4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ROW(Source!A53)</f>
        <v>53</v>
      </c>
      <c r="B60">
        <v>57034454</v>
      </c>
      <c r="C60">
        <v>57035396</v>
      </c>
      <c r="D60">
        <v>55490209</v>
      </c>
      <c r="E60">
        <v>1</v>
      </c>
      <c r="F60">
        <v>1</v>
      </c>
      <c r="G60">
        <v>1081</v>
      </c>
      <c r="H60">
        <v>2</v>
      </c>
      <c r="I60" t="s">
        <v>462</v>
      </c>
      <c r="J60" t="s">
        <v>463</v>
      </c>
      <c r="K60" t="s">
        <v>464</v>
      </c>
      <c r="L60">
        <v>1368</v>
      </c>
      <c r="N60">
        <v>1011</v>
      </c>
      <c r="O60" t="s">
        <v>465</v>
      </c>
      <c r="P60" t="s">
        <v>465</v>
      </c>
      <c r="Q60">
        <v>1</v>
      </c>
      <c r="W60">
        <v>0</v>
      </c>
      <c r="X60">
        <v>874612079</v>
      </c>
      <c r="Y60">
        <f>((AT60*1.2)*0.3)</f>
        <v>1.0799999999999999E-2</v>
      </c>
      <c r="AA60">
        <v>0</v>
      </c>
      <c r="AB60">
        <v>1485.19</v>
      </c>
      <c r="AC60">
        <v>744.56</v>
      </c>
      <c r="AD60">
        <v>0</v>
      </c>
      <c r="AE60">
        <v>0</v>
      </c>
      <c r="AF60">
        <v>83.1</v>
      </c>
      <c r="AG60">
        <v>12.62</v>
      </c>
      <c r="AH60">
        <v>0</v>
      </c>
      <c r="AI60">
        <v>1</v>
      </c>
      <c r="AJ60">
        <v>17.07</v>
      </c>
      <c r="AK60">
        <v>56.35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0.03</v>
      </c>
      <c r="AU60" t="s">
        <v>29</v>
      </c>
      <c r="AV60">
        <v>0</v>
      </c>
      <c r="AW60">
        <v>2</v>
      </c>
      <c r="AX60">
        <v>57035400</v>
      </c>
      <c r="AY60">
        <v>1</v>
      </c>
      <c r="AZ60">
        <v>0</v>
      </c>
      <c r="BA60">
        <v>72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ROUND(Y60*Source!I53*DO60,9)</f>
        <v>30.394007999999999</v>
      </c>
      <c r="CX60">
        <f>ROUND(Y60*Source!I53,9)</f>
        <v>2.4083999999999999</v>
      </c>
      <c r="CY60">
        <f>AB60</f>
        <v>1485.19</v>
      </c>
      <c r="CZ60">
        <f>AF60</f>
        <v>83.1</v>
      </c>
      <c r="DA60">
        <f>AJ60</f>
        <v>17.07</v>
      </c>
      <c r="DB60">
        <f>ROUND(((ROUND(AT60*CZ60,2)*1.2)*0.3),6)</f>
        <v>0.89639999999999997</v>
      </c>
      <c r="DC60">
        <f>ROUND(((ROUND(AT60*AG60,2)*1.2)*0.3),6)</f>
        <v>0.1368</v>
      </c>
      <c r="DD60" t="s">
        <v>3</v>
      </c>
      <c r="DE60" t="s">
        <v>3</v>
      </c>
      <c r="DF60">
        <f t="shared" si="20"/>
        <v>0</v>
      </c>
      <c r="DG60">
        <f>ROUND(ROUND(AF60*AJ60,2)*CX60,2)</f>
        <v>3416.36</v>
      </c>
      <c r="DH60">
        <f>ROUND(ROUND(AG60*AK60,2)*CX60,2)</f>
        <v>1712.71</v>
      </c>
      <c r="DI60">
        <f t="shared" si="4"/>
        <v>0</v>
      </c>
      <c r="DJ60">
        <f>DG60</f>
        <v>3416.36</v>
      </c>
      <c r="DK60">
        <v>0</v>
      </c>
      <c r="DL60" t="s">
        <v>466</v>
      </c>
      <c r="DM60">
        <v>0</v>
      </c>
      <c r="DN60" t="s">
        <v>461</v>
      </c>
      <c r="DO60">
        <v>12.62</v>
      </c>
    </row>
    <row r="61" spans="1:119" x14ac:dyDescent="0.25">
      <c r="A61">
        <f>ROW(Source!A54)</f>
        <v>54</v>
      </c>
      <c r="B61">
        <v>57034452</v>
      </c>
      <c r="C61">
        <v>57035403</v>
      </c>
      <c r="D61">
        <v>55424304</v>
      </c>
      <c r="E61">
        <v>1081</v>
      </c>
      <c r="F61">
        <v>1</v>
      </c>
      <c r="G61">
        <v>1081</v>
      </c>
      <c r="H61">
        <v>1</v>
      </c>
      <c r="I61" t="s">
        <v>459</v>
      </c>
      <c r="J61" t="s">
        <v>3</v>
      </c>
      <c r="K61" t="s">
        <v>460</v>
      </c>
      <c r="L61">
        <v>1191</v>
      </c>
      <c r="N61">
        <v>1013</v>
      </c>
      <c r="O61" t="s">
        <v>461</v>
      </c>
      <c r="P61" t="s">
        <v>461</v>
      </c>
      <c r="Q61">
        <v>1</v>
      </c>
      <c r="W61">
        <v>0</v>
      </c>
      <c r="X61">
        <v>476480486</v>
      </c>
      <c r="Y61">
        <f>((AT61*1.2)*0.3)</f>
        <v>0.36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1</v>
      </c>
      <c r="AU61" t="s">
        <v>29</v>
      </c>
      <c r="AV61">
        <v>1</v>
      </c>
      <c r="AW61">
        <v>2</v>
      </c>
      <c r="AX61">
        <v>57035407</v>
      </c>
      <c r="AY61">
        <v>1</v>
      </c>
      <c r="AZ61">
        <v>0</v>
      </c>
      <c r="BA61">
        <v>75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ROUND(AT61*Source!I54*AH61*AL61,2)</f>
        <v>0</v>
      </c>
      <c r="CV61">
        <f>ROUND(Y61*Source!I54,9)</f>
        <v>7.2</v>
      </c>
      <c r="CW61">
        <v>0</v>
      </c>
      <c r="CX61">
        <f>ROUND(Y61*Source!I54,9)</f>
        <v>7.2</v>
      </c>
      <c r="CY61">
        <f>AD61</f>
        <v>0</v>
      </c>
      <c r="CZ61">
        <f>AH61</f>
        <v>0</v>
      </c>
      <c r="DA61">
        <f>AL61</f>
        <v>1</v>
      </c>
      <c r="DB61">
        <f>ROUND(((ROUND(AT61*CZ61,2)*1.2)*0.3),6)</f>
        <v>0</v>
      </c>
      <c r="DC61">
        <f>ROUND(((ROUND(AT61*AG61,2)*1.2)*0.3),6)</f>
        <v>0</v>
      </c>
      <c r="DD61" t="s">
        <v>3</v>
      </c>
      <c r="DE61" t="s">
        <v>3</v>
      </c>
      <c r="DF61">
        <f t="shared" si="20"/>
        <v>0</v>
      </c>
      <c r="DG61">
        <f t="shared" ref="DG61:DG76" si="21">ROUND(ROUND(AF61,2)*CX61,2)</f>
        <v>0</v>
      </c>
      <c r="DH61">
        <f t="shared" ref="DH61:DH76" si="22">ROUND(ROUND(AG61,2)*CX61,2)</f>
        <v>0</v>
      </c>
      <c r="DI61">
        <f t="shared" si="4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ROW(Source!A54)</f>
        <v>54</v>
      </c>
      <c r="B62">
        <v>57034452</v>
      </c>
      <c r="C62">
        <v>57035403</v>
      </c>
      <c r="D62">
        <v>55459793</v>
      </c>
      <c r="E62">
        <v>1</v>
      </c>
      <c r="F62">
        <v>1</v>
      </c>
      <c r="G62">
        <v>1081</v>
      </c>
      <c r="H62">
        <v>3</v>
      </c>
      <c r="I62" t="s">
        <v>470</v>
      </c>
      <c r="J62" t="s">
        <v>471</v>
      </c>
      <c r="K62" t="s">
        <v>472</v>
      </c>
      <c r="L62">
        <v>1348</v>
      </c>
      <c r="N62">
        <v>1009</v>
      </c>
      <c r="O62" t="s">
        <v>299</v>
      </c>
      <c r="P62" t="s">
        <v>299</v>
      </c>
      <c r="Q62">
        <v>1000</v>
      </c>
      <c r="W62">
        <v>0</v>
      </c>
      <c r="X62">
        <v>-761454284</v>
      </c>
      <c r="Y62">
        <f>((AT62*1)*0)</f>
        <v>0</v>
      </c>
      <c r="AA62">
        <v>64123.05</v>
      </c>
      <c r="AB62">
        <v>0</v>
      </c>
      <c r="AC62">
        <v>0</v>
      </c>
      <c r="AD62">
        <v>0</v>
      </c>
      <c r="AE62">
        <v>64123.05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1.0000000000000001E-5</v>
      </c>
      <c r="AU62" t="s">
        <v>28</v>
      </c>
      <c r="AV62">
        <v>0</v>
      </c>
      <c r="AW62">
        <v>2</v>
      </c>
      <c r="AX62">
        <v>57035408</v>
      </c>
      <c r="AY62">
        <v>1</v>
      </c>
      <c r="AZ62">
        <v>0</v>
      </c>
      <c r="BA62">
        <v>76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ROUND(Y62*Source!I54,9)</f>
        <v>0</v>
      </c>
      <c r="CY62">
        <f>AA62</f>
        <v>64123.05</v>
      </c>
      <c r="CZ62">
        <f>AE62</f>
        <v>64123.05</v>
      </c>
      <c r="DA62">
        <f>AI62</f>
        <v>1</v>
      </c>
      <c r="DB62">
        <f>ROUND(((ROUND(AT62*CZ62,2)*1)*0),6)</f>
        <v>0</v>
      </c>
      <c r="DC62">
        <f>ROUND(((ROUND(AT62*AG62,2)*1)*0),6)</f>
        <v>0</v>
      </c>
      <c r="DD62" t="s">
        <v>3</v>
      </c>
      <c r="DE62" t="s">
        <v>3</v>
      </c>
      <c r="DF62">
        <f t="shared" si="20"/>
        <v>0</v>
      </c>
      <c r="DG62">
        <f t="shared" si="21"/>
        <v>0</v>
      </c>
      <c r="DH62">
        <f t="shared" si="22"/>
        <v>0</v>
      </c>
      <c r="DI62">
        <f t="shared" si="4"/>
        <v>0</v>
      </c>
      <c r="DJ62">
        <f>DF62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ROW(Source!A54)</f>
        <v>54</v>
      </c>
      <c r="B63">
        <v>57034452</v>
      </c>
      <c r="C63">
        <v>57035403</v>
      </c>
      <c r="D63">
        <v>55487942</v>
      </c>
      <c r="E63">
        <v>1</v>
      </c>
      <c r="F63">
        <v>1</v>
      </c>
      <c r="G63">
        <v>1081</v>
      </c>
      <c r="H63">
        <v>3</v>
      </c>
      <c r="I63" t="s">
        <v>482</v>
      </c>
      <c r="J63" t="s">
        <v>483</v>
      </c>
      <c r="K63" t="s">
        <v>484</v>
      </c>
      <c r="L63">
        <v>1303</v>
      </c>
      <c r="N63">
        <v>1003</v>
      </c>
      <c r="O63" t="s">
        <v>485</v>
      </c>
      <c r="P63" t="s">
        <v>485</v>
      </c>
      <c r="Q63">
        <v>1000</v>
      </c>
      <c r="W63">
        <v>0</v>
      </c>
      <c r="X63">
        <v>-1692873835</v>
      </c>
      <c r="Y63">
        <f>((AT63*1)*0)</f>
        <v>0</v>
      </c>
      <c r="AA63">
        <v>516.63</v>
      </c>
      <c r="AB63">
        <v>0</v>
      </c>
      <c r="AC63">
        <v>0</v>
      </c>
      <c r="AD63">
        <v>0</v>
      </c>
      <c r="AE63">
        <v>516.63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2E-3</v>
      </c>
      <c r="AU63" t="s">
        <v>28</v>
      </c>
      <c r="AV63">
        <v>0</v>
      </c>
      <c r="AW63">
        <v>2</v>
      </c>
      <c r="AX63">
        <v>57035409</v>
      </c>
      <c r="AY63">
        <v>1</v>
      </c>
      <c r="AZ63">
        <v>0</v>
      </c>
      <c r="BA63">
        <v>77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ROUND(Y63*Source!I54,9)</f>
        <v>0</v>
      </c>
      <c r="CY63">
        <f>AA63</f>
        <v>516.63</v>
      </c>
      <c r="CZ63">
        <f>AE63</f>
        <v>516.63</v>
      </c>
      <c r="DA63">
        <f>AI63</f>
        <v>1</v>
      </c>
      <c r="DB63">
        <f>ROUND(((ROUND(AT63*CZ63,2)*1)*0),6)</f>
        <v>0</v>
      </c>
      <c r="DC63">
        <f>ROUND(((ROUND(AT63*AG63,2)*1)*0),6)</f>
        <v>0</v>
      </c>
      <c r="DD63" t="s">
        <v>3</v>
      </c>
      <c r="DE63" t="s">
        <v>3</v>
      </c>
      <c r="DF63">
        <f t="shared" si="20"/>
        <v>0</v>
      </c>
      <c r="DG63">
        <f t="shared" si="21"/>
        <v>0</v>
      </c>
      <c r="DH63">
        <f t="shared" si="22"/>
        <v>0</v>
      </c>
      <c r="DI63">
        <f t="shared" si="4"/>
        <v>0</v>
      </c>
      <c r="DJ63">
        <f>DF63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ROW(Source!A55)</f>
        <v>55</v>
      </c>
      <c r="B64">
        <v>57034454</v>
      </c>
      <c r="C64">
        <v>57035403</v>
      </c>
      <c r="D64">
        <v>55424304</v>
      </c>
      <c r="E64">
        <v>1081</v>
      </c>
      <c r="F64">
        <v>1</v>
      </c>
      <c r="G64">
        <v>1081</v>
      </c>
      <c r="H64">
        <v>1</v>
      </c>
      <c r="I64" t="s">
        <v>459</v>
      </c>
      <c r="J64" t="s">
        <v>3</v>
      </c>
      <c r="K64" t="s">
        <v>460</v>
      </c>
      <c r="L64">
        <v>1191</v>
      </c>
      <c r="N64">
        <v>1013</v>
      </c>
      <c r="O64" t="s">
        <v>461</v>
      </c>
      <c r="P64" t="s">
        <v>461</v>
      </c>
      <c r="Q64">
        <v>1</v>
      </c>
      <c r="W64">
        <v>0</v>
      </c>
      <c r="X64">
        <v>476480486</v>
      </c>
      <c r="Y64">
        <f>((AT64*1.2)*0.3)</f>
        <v>0.36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5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1</v>
      </c>
      <c r="AU64" t="s">
        <v>29</v>
      </c>
      <c r="AV64">
        <v>1</v>
      </c>
      <c r="AW64">
        <v>2</v>
      </c>
      <c r="AX64">
        <v>57035407</v>
      </c>
      <c r="AY64">
        <v>1</v>
      </c>
      <c r="AZ64">
        <v>0</v>
      </c>
      <c r="BA64">
        <v>79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U64">
        <f>ROUND(AT64*Source!I55*AH64*AL64,2)</f>
        <v>0</v>
      </c>
      <c r="CV64">
        <f>ROUND(Y64*Source!I55,9)</f>
        <v>7.2</v>
      </c>
      <c r="CW64">
        <v>0</v>
      </c>
      <c r="CX64">
        <f>ROUND(Y64*Source!I55,9)</f>
        <v>7.2</v>
      </c>
      <c r="CY64">
        <f>AD64</f>
        <v>0</v>
      </c>
      <c r="CZ64">
        <f>AH64</f>
        <v>0</v>
      </c>
      <c r="DA64">
        <f>AL64</f>
        <v>1</v>
      </c>
      <c r="DB64">
        <f>ROUND(((ROUND(AT64*CZ64,2)*1.2)*0.3),6)</f>
        <v>0</v>
      </c>
      <c r="DC64">
        <f>ROUND(((ROUND(AT64*AG64,2)*1.2)*0.3),6)</f>
        <v>0</v>
      </c>
      <c r="DD64" t="s">
        <v>3</v>
      </c>
      <c r="DE64" t="s">
        <v>3</v>
      </c>
      <c r="DF64">
        <f t="shared" si="20"/>
        <v>0</v>
      </c>
      <c r="DG64">
        <f t="shared" si="21"/>
        <v>0</v>
      </c>
      <c r="DH64">
        <f t="shared" si="22"/>
        <v>0</v>
      </c>
      <c r="DI64">
        <f t="shared" si="4"/>
        <v>0</v>
      </c>
      <c r="DJ64">
        <f>DI64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ROW(Source!A55)</f>
        <v>55</v>
      </c>
      <c r="B65">
        <v>57034454</v>
      </c>
      <c r="C65">
        <v>57035403</v>
      </c>
      <c r="D65">
        <v>55459793</v>
      </c>
      <c r="E65">
        <v>1</v>
      </c>
      <c r="F65">
        <v>1</v>
      </c>
      <c r="G65">
        <v>1081</v>
      </c>
      <c r="H65">
        <v>3</v>
      </c>
      <c r="I65" t="s">
        <v>470</v>
      </c>
      <c r="J65" t="s">
        <v>471</v>
      </c>
      <c r="K65" t="s">
        <v>472</v>
      </c>
      <c r="L65">
        <v>1348</v>
      </c>
      <c r="N65">
        <v>1009</v>
      </c>
      <c r="O65" t="s">
        <v>299</v>
      </c>
      <c r="P65" t="s">
        <v>299</v>
      </c>
      <c r="Q65">
        <v>1000</v>
      </c>
      <c r="W65">
        <v>0</v>
      </c>
      <c r="X65">
        <v>-761454284</v>
      </c>
      <c r="Y65">
        <f>((AT65*1)*0)</f>
        <v>0</v>
      </c>
      <c r="AA65">
        <v>1930745.04</v>
      </c>
      <c r="AB65">
        <v>0</v>
      </c>
      <c r="AC65">
        <v>0</v>
      </c>
      <c r="AD65">
        <v>0</v>
      </c>
      <c r="AE65">
        <v>64123.05</v>
      </c>
      <c r="AF65">
        <v>0</v>
      </c>
      <c r="AG65">
        <v>0</v>
      </c>
      <c r="AH65">
        <v>0</v>
      </c>
      <c r="AI65">
        <v>30.11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1.0000000000000001E-5</v>
      </c>
      <c r="AU65" t="s">
        <v>28</v>
      </c>
      <c r="AV65">
        <v>0</v>
      </c>
      <c r="AW65">
        <v>2</v>
      </c>
      <c r="AX65">
        <v>57035408</v>
      </c>
      <c r="AY65">
        <v>1</v>
      </c>
      <c r="AZ65">
        <v>0</v>
      </c>
      <c r="BA65">
        <v>80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ROUND(Y65*Source!I55,9)</f>
        <v>0</v>
      </c>
      <c r="CY65">
        <f>AA65</f>
        <v>1930745.04</v>
      </c>
      <c r="CZ65">
        <f>AE65</f>
        <v>64123.05</v>
      </c>
      <c r="DA65">
        <f>AI65</f>
        <v>30.11</v>
      </c>
      <c r="DB65">
        <f>ROUND(((ROUND(AT65*CZ65,2)*1)*0),6)</f>
        <v>0</v>
      </c>
      <c r="DC65">
        <f>ROUND(((ROUND(AT65*AG65,2)*1)*0),6)</f>
        <v>0</v>
      </c>
      <c r="DD65" t="s">
        <v>3</v>
      </c>
      <c r="DE65" t="s">
        <v>3</v>
      </c>
      <c r="DF65">
        <f>ROUND(ROUND(AE65*AI65,2)*CX65,2)</f>
        <v>0</v>
      </c>
      <c r="DG65">
        <f t="shared" si="21"/>
        <v>0</v>
      </c>
      <c r="DH65">
        <f t="shared" si="22"/>
        <v>0</v>
      </c>
      <c r="DI65">
        <f t="shared" ref="DI65:DI128" si="23">ROUND(ROUND(AH65,2)*CX65,2)</f>
        <v>0</v>
      </c>
      <c r="DJ65">
        <f>DF65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ROW(Source!A55)</f>
        <v>55</v>
      </c>
      <c r="B66">
        <v>57034454</v>
      </c>
      <c r="C66">
        <v>57035403</v>
      </c>
      <c r="D66">
        <v>55487942</v>
      </c>
      <c r="E66">
        <v>1</v>
      </c>
      <c r="F66">
        <v>1</v>
      </c>
      <c r="G66">
        <v>1081</v>
      </c>
      <c r="H66">
        <v>3</v>
      </c>
      <c r="I66" t="s">
        <v>482</v>
      </c>
      <c r="J66" t="s">
        <v>483</v>
      </c>
      <c r="K66" t="s">
        <v>484</v>
      </c>
      <c r="L66">
        <v>1303</v>
      </c>
      <c r="N66">
        <v>1003</v>
      </c>
      <c r="O66" t="s">
        <v>485</v>
      </c>
      <c r="P66" t="s">
        <v>485</v>
      </c>
      <c r="Q66">
        <v>1000</v>
      </c>
      <c r="W66">
        <v>0</v>
      </c>
      <c r="X66">
        <v>-1692873835</v>
      </c>
      <c r="Y66">
        <f>((AT66*1)*0)</f>
        <v>0</v>
      </c>
      <c r="AA66">
        <v>5269.63</v>
      </c>
      <c r="AB66">
        <v>0</v>
      </c>
      <c r="AC66">
        <v>0</v>
      </c>
      <c r="AD66">
        <v>0</v>
      </c>
      <c r="AE66">
        <v>516.63</v>
      </c>
      <c r="AF66">
        <v>0</v>
      </c>
      <c r="AG66">
        <v>0</v>
      </c>
      <c r="AH66">
        <v>0</v>
      </c>
      <c r="AI66">
        <v>10.199999999999999</v>
      </c>
      <c r="AJ66">
        <v>1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2E-3</v>
      </c>
      <c r="AU66" t="s">
        <v>28</v>
      </c>
      <c r="AV66">
        <v>0</v>
      </c>
      <c r="AW66">
        <v>2</v>
      </c>
      <c r="AX66">
        <v>57035409</v>
      </c>
      <c r="AY66">
        <v>1</v>
      </c>
      <c r="AZ66">
        <v>0</v>
      </c>
      <c r="BA66">
        <v>81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ROUND(Y66*Source!I55,9)</f>
        <v>0</v>
      </c>
      <c r="CY66">
        <f>AA66</f>
        <v>5269.63</v>
      </c>
      <c r="CZ66">
        <f>AE66</f>
        <v>516.63</v>
      </c>
      <c r="DA66">
        <f>AI66</f>
        <v>10.199999999999999</v>
      </c>
      <c r="DB66">
        <f>ROUND(((ROUND(AT66*CZ66,2)*1)*0),6)</f>
        <v>0</v>
      </c>
      <c r="DC66">
        <f>ROUND(((ROUND(AT66*AG66,2)*1)*0),6)</f>
        <v>0</v>
      </c>
      <c r="DD66" t="s">
        <v>3</v>
      </c>
      <c r="DE66" t="s">
        <v>3</v>
      </c>
      <c r="DF66">
        <f>ROUND(ROUND(AE66*AI66,2)*CX66,2)</f>
        <v>0</v>
      </c>
      <c r="DG66">
        <f t="shared" si="21"/>
        <v>0</v>
      </c>
      <c r="DH66">
        <f t="shared" si="22"/>
        <v>0</v>
      </c>
      <c r="DI66">
        <f t="shared" si="23"/>
        <v>0</v>
      </c>
      <c r="DJ66">
        <f>DF66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ROW(Source!A56)</f>
        <v>56</v>
      </c>
      <c r="B67">
        <v>57034452</v>
      </c>
      <c r="C67">
        <v>57035411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459</v>
      </c>
      <c r="J67" t="s">
        <v>3</v>
      </c>
      <c r="K67" t="s">
        <v>460</v>
      </c>
      <c r="L67">
        <v>1191</v>
      </c>
      <c r="N67">
        <v>1013</v>
      </c>
      <c r="O67" t="s">
        <v>461</v>
      </c>
      <c r="P67" t="s">
        <v>461</v>
      </c>
      <c r="Q67">
        <v>1</v>
      </c>
      <c r="W67">
        <v>0</v>
      </c>
      <c r="X67">
        <v>476480486</v>
      </c>
      <c r="Y67">
        <f>((AT67*1.2)*0.3)</f>
        <v>0.432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1.2</v>
      </c>
      <c r="AU67" t="s">
        <v>29</v>
      </c>
      <c r="AV67">
        <v>1</v>
      </c>
      <c r="AW67">
        <v>2</v>
      </c>
      <c r="AX67">
        <v>57035413</v>
      </c>
      <c r="AY67">
        <v>1</v>
      </c>
      <c r="AZ67">
        <v>0</v>
      </c>
      <c r="BA67">
        <v>83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ROUND(AT67*Source!I56*AH67*AL67,2)</f>
        <v>0</v>
      </c>
      <c r="CV67">
        <f>ROUND(Y67*Source!I56,9)</f>
        <v>36.287999999999997</v>
      </c>
      <c r="CW67">
        <v>0</v>
      </c>
      <c r="CX67">
        <f>ROUND(Y67*Source!I56,9)</f>
        <v>36.287999999999997</v>
      </c>
      <c r="CY67">
        <f>AD67</f>
        <v>0</v>
      </c>
      <c r="CZ67">
        <f>AH67</f>
        <v>0</v>
      </c>
      <c r="DA67">
        <f>AL67</f>
        <v>1</v>
      </c>
      <c r="DB67">
        <f>ROUND(((ROUND(AT67*CZ67,2)*1.2)*0.3),6)</f>
        <v>0</v>
      </c>
      <c r="DC67">
        <f>ROUND(((ROUND(AT67*AG67,2)*1.2)*0.3),6)</f>
        <v>0</v>
      </c>
      <c r="DD67" t="s">
        <v>3</v>
      </c>
      <c r="DE67" t="s">
        <v>3</v>
      </c>
      <c r="DF67">
        <f t="shared" ref="DF67:DF77" si="24">ROUND(ROUND(AE67,2)*CX67,2)</f>
        <v>0</v>
      </c>
      <c r="DG67">
        <f t="shared" si="21"/>
        <v>0</v>
      </c>
      <c r="DH67">
        <f t="shared" si="22"/>
        <v>0</v>
      </c>
      <c r="DI67">
        <f t="shared" si="23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ROW(Source!A57)</f>
        <v>57</v>
      </c>
      <c r="B68">
        <v>57034454</v>
      </c>
      <c r="C68">
        <v>57035411</v>
      </c>
      <c r="D68">
        <v>55424304</v>
      </c>
      <c r="E68">
        <v>1081</v>
      </c>
      <c r="F68">
        <v>1</v>
      </c>
      <c r="G68">
        <v>1081</v>
      </c>
      <c r="H68">
        <v>1</v>
      </c>
      <c r="I68" t="s">
        <v>459</v>
      </c>
      <c r="J68" t="s">
        <v>3</v>
      </c>
      <c r="K68" t="s">
        <v>460</v>
      </c>
      <c r="L68">
        <v>1191</v>
      </c>
      <c r="N68">
        <v>1013</v>
      </c>
      <c r="O68" t="s">
        <v>461</v>
      </c>
      <c r="P68" t="s">
        <v>461</v>
      </c>
      <c r="Q68">
        <v>1</v>
      </c>
      <c r="W68">
        <v>0</v>
      </c>
      <c r="X68">
        <v>476480486</v>
      </c>
      <c r="Y68">
        <f>((AT68*1.2)*0.3)</f>
        <v>0.432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1.2</v>
      </c>
      <c r="AU68" t="s">
        <v>29</v>
      </c>
      <c r="AV68">
        <v>1</v>
      </c>
      <c r="AW68">
        <v>2</v>
      </c>
      <c r="AX68">
        <v>57035413</v>
      </c>
      <c r="AY68">
        <v>1</v>
      </c>
      <c r="AZ68">
        <v>0</v>
      </c>
      <c r="BA68">
        <v>84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U68">
        <f>ROUND(AT68*Source!I57*AH68*AL68,2)</f>
        <v>0</v>
      </c>
      <c r="CV68">
        <f>ROUND(Y68*Source!I57,9)</f>
        <v>36.287999999999997</v>
      </c>
      <c r="CW68">
        <v>0</v>
      </c>
      <c r="CX68">
        <f>ROUND(Y68*Source!I57,9)</f>
        <v>36.287999999999997</v>
      </c>
      <c r="CY68">
        <f>AD68</f>
        <v>0</v>
      </c>
      <c r="CZ68">
        <f>AH68</f>
        <v>0</v>
      </c>
      <c r="DA68">
        <f>AL68</f>
        <v>1</v>
      </c>
      <c r="DB68">
        <f>ROUND(((ROUND(AT68*CZ68,2)*1.2)*0.3),6)</f>
        <v>0</v>
      </c>
      <c r="DC68">
        <f>ROUND(((ROUND(AT68*AG68,2)*1.2)*0.3),6)</f>
        <v>0</v>
      </c>
      <c r="DD68" t="s">
        <v>3</v>
      </c>
      <c r="DE68" t="s">
        <v>3</v>
      </c>
      <c r="DF68">
        <f t="shared" si="24"/>
        <v>0</v>
      </c>
      <c r="DG68">
        <f t="shared" si="21"/>
        <v>0</v>
      </c>
      <c r="DH68">
        <f t="shared" si="22"/>
        <v>0</v>
      </c>
      <c r="DI68">
        <f t="shared" si="23"/>
        <v>0</v>
      </c>
      <c r="DJ68">
        <f>DI68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ROW(Source!A58)</f>
        <v>58</v>
      </c>
      <c r="B69">
        <v>57034452</v>
      </c>
      <c r="C69">
        <v>57035414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459</v>
      </c>
      <c r="J69" t="s">
        <v>3</v>
      </c>
      <c r="K69" t="s">
        <v>460</v>
      </c>
      <c r="L69">
        <v>1191</v>
      </c>
      <c r="N69">
        <v>1013</v>
      </c>
      <c r="O69" t="s">
        <v>461</v>
      </c>
      <c r="P69" t="s">
        <v>461</v>
      </c>
      <c r="Q69">
        <v>1</v>
      </c>
      <c r="W69">
        <v>0</v>
      </c>
      <c r="X69">
        <v>476480486</v>
      </c>
      <c r="Y69">
        <f>((AT69*1.2)*0.3)</f>
        <v>4.823999999999999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13.4</v>
      </c>
      <c r="AU69" t="s">
        <v>29</v>
      </c>
      <c r="AV69">
        <v>1</v>
      </c>
      <c r="AW69">
        <v>2</v>
      </c>
      <c r="AX69">
        <v>57035422</v>
      </c>
      <c r="AY69">
        <v>1</v>
      </c>
      <c r="AZ69">
        <v>0</v>
      </c>
      <c r="BA69">
        <v>85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ROUND(AT69*Source!I58*AH69*AL69,2)</f>
        <v>0</v>
      </c>
      <c r="CV69">
        <f>ROUND(Y69*Source!I58,9)</f>
        <v>72.36</v>
      </c>
      <c r="CW69">
        <v>0</v>
      </c>
      <c r="CX69">
        <f>ROUND(Y69*Source!I58,9)</f>
        <v>72.36</v>
      </c>
      <c r="CY69">
        <f>AD69</f>
        <v>0</v>
      </c>
      <c r="CZ69">
        <f>AH69</f>
        <v>0</v>
      </c>
      <c r="DA69">
        <f>AL69</f>
        <v>1</v>
      </c>
      <c r="DB69">
        <f>ROUND(((ROUND(AT69*CZ69,2)*1.2)*0.3),6)</f>
        <v>0</v>
      </c>
      <c r="DC69">
        <f>ROUND(((ROUND(AT69*AG69,2)*1.2)*0.3),6)</f>
        <v>0</v>
      </c>
      <c r="DD69" t="s">
        <v>3</v>
      </c>
      <c r="DE69" t="s">
        <v>3</v>
      </c>
      <c r="DF69">
        <f t="shared" si="24"/>
        <v>0</v>
      </c>
      <c r="DG69">
        <f t="shared" si="21"/>
        <v>0</v>
      </c>
      <c r="DH69">
        <f t="shared" si="22"/>
        <v>0</v>
      </c>
      <c r="DI69">
        <f t="shared" si="23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ROW(Source!A58)</f>
        <v>58</v>
      </c>
      <c r="B70">
        <v>57034452</v>
      </c>
      <c r="C70">
        <v>57035414</v>
      </c>
      <c r="D70">
        <v>55490209</v>
      </c>
      <c r="E70">
        <v>1</v>
      </c>
      <c r="F70">
        <v>1</v>
      </c>
      <c r="G70">
        <v>1081</v>
      </c>
      <c r="H70">
        <v>2</v>
      </c>
      <c r="I70" t="s">
        <v>462</v>
      </c>
      <c r="J70" t="s">
        <v>463</v>
      </c>
      <c r="K70" t="s">
        <v>464</v>
      </c>
      <c r="L70">
        <v>1368</v>
      </c>
      <c r="N70">
        <v>1011</v>
      </c>
      <c r="O70" t="s">
        <v>465</v>
      </c>
      <c r="P70" t="s">
        <v>465</v>
      </c>
      <c r="Q70">
        <v>1</v>
      </c>
      <c r="W70">
        <v>0</v>
      </c>
      <c r="X70">
        <v>874612079</v>
      </c>
      <c r="Y70">
        <f>((AT70*1.2)*0.3)</f>
        <v>0.26279999999999998</v>
      </c>
      <c r="AA70">
        <v>0</v>
      </c>
      <c r="AB70">
        <v>87.01</v>
      </c>
      <c r="AC70">
        <v>13.21</v>
      </c>
      <c r="AD70">
        <v>0</v>
      </c>
      <c r="AE70">
        <v>0</v>
      </c>
      <c r="AF70">
        <v>83.1</v>
      </c>
      <c r="AG70">
        <v>12.62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0.73</v>
      </c>
      <c r="AU70" t="s">
        <v>29</v>
      </c>
      <c r="AV70">
        <v>0</v>
      </c>
      <c r="AW70">
        <v>2</v>
      </c>
      <c r="AX70">
        <v>57035423</v>
      </c>
      <c r="AY70">
        <v>1</v>
      </c>
      <c r="AZ70">
        <v>0</v>
      </c>
      <c r="BA70">
        <v>86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ROUND(Y70*Source!I58*DO70,9)</f>
        <v>49.748040000000003</v>
      </c>
      <c r="CX70">
        <f>ROUND(Y70*Source!I58,9)</f>
        <v>3.9420000000000002</v>
      </c>
      <c r="CY70">
        <f>AB70</f>
        <v>87.01</v>
      </c>
      <c r="CZ70">
        <f>AF70</f>
        <v>83.1</v>
      </c>
      <c r="DA70">
        <f>AJ70</f>
        <v>1</v>
      </c>
      <c r="DB70">
        <f>ROUND(((ROUND(AT70*CZ70,2)*1.2)*0.3),6)</f>
        <v>21.837599999999998</v>
      </c>
      <c r="DC70">
        <f>ROUND(((ROUND(AT70*AG70,2)*1.2)*0.3),6)</f>
        <v>3.3155999999999999</v>
      </c>
      <c r="DD70" t="s">
        <v>3</v>
      </c>
      <c r="DE70" t="s">
        <v>3</v>
      </c>
      <c r="DF70">
        <f t="shared" si="24"/>
        <v>0</v>
      </c>
      <c r="DG70">
        <f t="shared" si="21"/>
        <v>327.58</v>
      </c>
      <c r="DH70">
        <f t="shared" si="22"/>
        <v>49.75</v>
      </c>
      <c r="DI70">
        <f t="shared" si="23"/>
        <v>0</v>
      </c>
      <c r="DJ70">
        <f>DG70</f>
        <v>327.58</v>
      </c>
      <c r="DK70">
        <v>0</v>
      </c>
      <c r="DL70" t="s">
        <v>466</v>
      </c>
      <c r="DM70">
        <v>0</v>
      </c>
      <c r="DN70" t="s">
        <v>461</v>
      </c>
      <c r="DO70">
        <v>12.62</v>
      </c>
    </row>
    <row r="71" spans="1:119" x14ac:dyDescent="0.25">
      <c r="A71">
        <f>ROW(Source!A58)</f>
        <v>58</v>
      </c>
      <c r="B71">
        <v>57034452</v>
      </c>
      <c r="C71">
        <v>57035414</v>
      </c>
      <c r="D71">
        <v>55482166</v>
      </c>
      <c r="E71">
        <v>1</v>
      </c>
      <c r="F71">
        <v>1</v>
      </c>
      <c r="G71">
        <v>1081</v>
      </c>
      <c r="H71">
        <v>3</v>
      </c>
      <c r="I71" t="s">
        <v>486</v>
      </c>
      <c r="J71" t="s">
        <v>487</v>
      </c>
      <c r="K71" t="s">
        <v>488</v>
      </c>
      <c r="L71">
        <v>1301</v>
      </c>
      <c r="N71">
        <v>1003</v>
      </c>
      <c r="O71" t="s">
        <v>371</v>
      </c>
      <c r="P71" t="s">
        <v>371</v>
      </c>
      <c r="Q71">
        <v>1</v>
      </c>
      <c r="W71">
        <v>0</v>
      </c>
      <c r="X71">
        <v>876831867</v>
      </c>
      <c r="Y71">
        <f>((AT71*1)*0)</f>
        <v>0</v>
      </c>
      <c r="AA71">
        <v>0.69</v>
      </c>
      <c r="AB71">
        <v>0</v>
      </c>
      <c r="AC71">
        <v>0</v>
      </c>
      <c r="AD71">
        <v>0</v>
      </c>
      <c r="AE71">
        <v>0.69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1.18</v>
      </c>
      <c r="AU71" t="s">
        <v>28</v>
      </c>
      <c r="AV71">
        <v>0</v>
      </c>
      <c r="AW71">
        <v>2</v>
      </c>
      <c r="AX71">
        <v>57035424</v>
      </c>
      <c r="AY71">
        <v>1</v>
      </c>
      <c r="AZ71">
        <v>0</v>
      </c>
      <c r="BA71">
        <v>87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ROUND(Y71*Source!I58,9)</f>
        <v>0</v>
      </c>
      <c r="CY71">
        <f>AA71</f>
        <v>0.69</v>
      </c>
      <c r="CZ71">
        <f>AE71</f>
        <v>0.69</v>
      </c>
      <c r="DA71">
        <f>AI71</f>
        <v>1</v>
      </c>
      <c r="DB71">
        <f>ROUND(((ROUND(AT71*CZ71,2)*1)*0),6)</f>
        <v>0</v>
      </c>
      <c r="DC71">
        <f>ROUND(((ROUND(AT71*AG71,2)*1)*0),6)</f>
        <v>0</v>
      </c>
      <c r="DD71" t="s">
        <v>3</v>
      </c>
      <c r="DE71" t="s">
        <v>3</v>
      </c>
      <c r="DF71">
        <f t="shared" si="24"/>
        <v>0</v>
      </c>
      <c r="DG71">
        <f t="shared" si="21"/>
        <v>0</v>
      </c>
      <c r="DH71">
        <f t="shared" si="22"/>
        <v>0</v>
      </c>
      <c r="DI71">
        <f t="shared" si="23"/>
        <v>0</v>
      </c>
      <c r="DJ71">
        <f>DF71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ROW(Source!A58)</f>
        <v>58</v>
      </c>
      <c r="B72">
        <v>57034452</v>
      </c>
      <c r="C72">
        <v>57035414</v>
      </c>
      <c r="D72">
        <v>55482203</v>
      </c>
      <c r="E72">
        <v>1</v>
      </c>
      <c r="F72">
        <v>1</v>
      </c>
      <c r="G72">
        <v>1081</v>
      </c>
      <c r="H72">
        <v>3</v>
      </c>
      <c r="I72" t="s">
        <v>489</v>
      </c>
      <c r="J72" t="s">
        <v>490</v>
      </c>
      <c r="K72" t="s">
        <v>491</v>
      </c>
      <c r="L72">
        <v>1356</v>
      </c>
      <c r="N72">
        <v>1010</v>
      </c>
      <c r="O72" t="s">
        <v>382</v>
      </c>
      <c r="P72" t="s">
        <v>382</v>
      </c>
      <c r="Q72">
        <v>1000</v>
      </c>
      <c r="W72">
        <v>0</v>
      </c>
      <c r="X72">
        <v>474149623</v>
      </c>
      <c r="Y72">
        <f>((AT72*1)*0)</f>
        <v>0</v>
      </c>
      <c r="AA72">
        <v>226.66</v>
      </c>
      <c r="AB72">
        <v>0</v>
      </c>
      <c r="AC72">
        <v>0</v>
      </c>
      <c r="AD72">
        <v>0</v>
      </c>
      <c r="AE72">
        <v>226.66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2E-3</v>
      </c>
      <c r="AU72" t="s">
        <v>28</v>
      </c>
      <c r="AV72">
        <v>0</v>
      </c>
      <c r="AW72">
        <v>2</v>
      </c>
      <c r="AX72">
        <v>57035425</v>
      </c>
      <c r="AY72">
        <v>1</v>
      </c>
      <c r="AZ72">
        <v>0</v>
      </c>
      <c r="BA72">
        <v>88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ROUND(Y72*Source!I58,9)</f>
        <v>0</v>
      </c>
      <c r="CY72">
        <f>AA72</f>
        <v>226.66</v>
      </c>
      <c r="CZ72">
        <f>AE72</f>
        <v>226.66</v>
      </c>
      <c r="DA72">
        <f>AI72</f>
        <v>1</v>
      </c>
      <c r="DB72">
        <f>ROUND(((ROUND(AT72*CZ72,2)*1)*0),6)</f>
        <v>0</v>
      </c>
      <c r="DC72">
        <f>ROUND(((ROUND(AT72*AG72,2)*1)*0),6)</f>
        <v>0</v>
      </c>
      <c r="DD72" t="s">
        <v>3</v>
      </c>
      <c r="DE72" t="s">
        <v>3</v>
      </c>
      <c r="DF72">
        <f t="shared" si="24"/>
        <v>0</v>
      </c>
      <c r="DG72">
        <f t="shared" si="21"/>
        <v>0</v>
      </c>
      <c r="DH72">
        <f t="shared" si="22"/>
        <v>0</v>
      </c>
      <c r="DI72">
        <f t="shared" si="23"/>
        <v>0</v>
      </c>
      <c r="DJ72">
        <f>DF72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ROW(Source!A58)</f>
        <v>58</v>
      </c>
      <c r="B73">
        <v>57034452</v>
      </c>
      <c r="C73">
        <v>57035414</v>
      </c>
      <c r="D73">
        <v>55482617</v>
      </c>
      <c r="E73">
        <v>1</v>
      </c>
      <c r="F73">
        <v>1</v>
      </c>
      <c r="G73">
        <v>1081</v>
      </c>
      <c r="H73">
        <v>3</v>
      </c>
      <c r="I73" t="s">
        <v>492</v>
      </c>
      <c r="J73" t="s">
        <v>493</v>
      </c>
      <c r="K73" t="s">
        <v>494</v>
      </c>
      <c r="L73">
        <v>1354</v>
      </c>
      <c r="N73">
        <v>1010</v>
      </c>
      <c r="O73" t="s">
        <v>177</v>
      </c>
      <c r="P73" t="s">
        <v>177</v>
      </c>
      <c r="Q73">
        <v>1</v>
      </c>
      <c r="W73">
        <v>0</v>
      </c>
      <c r="X73">
        <v>-1189947653</v>
      </c>
      <c r="Y73">
        <f>((AT73*1)*0)</f>
        <v>0</v>
      </c>
      <c r="AA73">
        <v>14.99</v>
      </c>
      <c r="AB73">
        <v>0</v>
      </c>
      <c r="AC73">
        <v>0</v>
      </c>
      <c r="AD73">
        <v>0</v>
      </c>
      <c r="AE73">
        <v>14.99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</v>
      </c>
      <c r="AU73" t="s">
        <v>28</v>
      </c>
      <c r="AV73">
        <v>0</v>
      </c>
      <c r="AW73">
        <v>2</v>
      </c>
      <c r="AX73">
        <v>57035426</v>
      </c>
      <c r="AY73">
        <v>1</v>
      </c>
      <c r="AZ73">
        <v>0</v>
      </c>
      <c r="BA73">
        <v>89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ROUND(Y73*Source!I58,9)</f>
        <v>0</v>
      </c>
      <c r="CY73">
        <f>AA73</f>
        <v>14.99</v>
      </c>
      <c r="CZ73">
        <f>AE73</f>
        <v>14.99</v>
      </c>
      <c r="DA73">
        <f>AI73</f>
        <v>1</v>
      </c>
      <c r="DB73">
        <f>ROUND(((ROUND(AT73*CZ73,2)*1)*0),6)</f>
        <v>0</v>
      </c>
      <c r="DC73">
        <f>ROUND(((ROUND(AT73*AG73,2)*1)*0),6)</f>
        <v>0</v>
      </c>
      <c r="DD73" t="s">
        <v>3</v>
      </c>
      <c r="DE73" t="s">
        <v>3</v>
      </c>
      <c r="DF73">
        <f t="shared" si="24"/>
        <v>0</v>
      </c>
      <c r="DG73">
        <f t="shared" si="21"/>
        <v>0</v>
      </c>
      <c r="DH73">
        <f t="shared" si="22"/>
        <v>0</v>
      </c>
      <c r="DI73">
        <f t="shared" si="23"/>
        <v>0</v>
      </c>
      <c r="DJ73">
        <f>DF73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ROW(Source!A58)</f>
        <v>58</v>
      </c>
      <c r="B74">
        <v>57034452</v>
      </c>
      <c r="C74">
        <v>57035414</v>
      </c>
      <c r="D74">
        <v>55481864</v>
      </c>
      <c r="E74">
        <v>1</v>
      </c>
      <c r="F74">
        <v>1</v>
      </c>
      <c r="G74">
        <v>1081</v>
      </c>
      <c r="H74">
        <v>3</v>
      </c>
      <c r="I74" t="s">
        <v>495</v>
      </c>
      <c r="J74" t="s">
        <v>496</v>
      </c>
      <c r="K74" t="s">
        <v>497</v>
      </c>
      <c r="L74">
        <v>1301</v>
      </c>
      <c r="N74">
        <v>1003</v>
      </c>
      <c r="O74" t="s">
        <v>371</v>
      </c>
      <c r="P74" t="s">
        <v>371</v>
      </c>
      <c r="Q74">
        <v>1</v>
      </c>
      <c r="W74">
        <v>0</v>
      </c>
      <c r="X74">
        <v>-877267416</v>
      </c>
      <c r="Y74">
        <f>((AT74*1)*0)</f>
        <v>0</v>
      </c>
      <c r="AA74">
        <v>0.7</v>
      </c>
      <c r="AB74">
        <v>0</v>
      </c>
      <c r="AC74">
        <v>0</v>
      </c>
      <c r="AD74">
        <v>0</v>
      </c>
      <c r="AE74">
        <v>0.7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0.48</v>
      </c>
      <c r="AU74" t="s">
        <v>28</v>
      </c>
      <c r="AV74">
        <v>0</v>
      </c>
      <c r="AW74">
        <v>2</v>
      </c>
      <c r="AX74">
        <v>57035427</v>
      </c>
      <c r="AY74">
        <v>1</v>
      </c>
      <c r="AZ74">
        <v>0</v>
      </c>
      <c r="BA74">
        <v>90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ROUND(Y74*Source!I58,9)</f>
        <v>0</v>
      </c>
      <c r="CY74">
        <f>AA74</f>
        <v>0.7</v>
      </c>
      <c r="CZ74">
        <f>AE74</f>
        <v>0.7</v>
      </c>
      <c r="DA74">
        <f>AI74</f>
        <v>1</v>
      </c>
      <c r="DB74">
        <f>ROUND(((ROUND(AT74*CZ74,2)*1)*0),6)</f>
        <v>0</v>
      </c>
      <c r="DC74">
        <f>ROUND(((ROUND(AT74*AG74,2)*1)*0),6)</f>
        <v>0</v>
      </c>
      <c r="DD74" t="s">
        <v>3</v>
      </c>
      <c r="DE74" t="s">
        <v>3</v>
      </c>
      <c r="DF74">
        <f t="shared" si="24"/>
        <v>0</v>
      </c>
      <c r="DG74">
        <f t="shared" si="21"/>
        <v>0</v>
      </c>
      <c r="DH74">
        <f t="shared" si="22"/>
        <v>0</v>
      </c>
      <c r="DI74">
        <f t="shared" si="23"/>
        <v>0</v>
      </c>
      <c r="DJ74">
        <f>DF74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ROW(Source!A58)</f>
        <v>58</v>
      </c>
      <c r="B75">
        <v>57034452</v>
      </c>
      <c r="C75">
        <v>57035414</v>
      </c>
      <c r="D75">
        <v>55481866</v>
      </c>
      <c r="E75">
        <v>1</v>
      </c>
      <c r="F75">
        <v>1</v>
      </c>
      <c r="G75">
        <v>1081</v>
      </c>
      <c r="H75">
        <v>3</v>
      </c>
      <c r="I75" t="s">
        <v>498</v>
      </c>
      <c r="J75" t="s">
        <v>499</v>
      </c>
      <c r="K75" t="s">
        <v>500</v>
      </c>
      <c r="L75">
        <v>1356</v>
      </c>
      <c r="N75">
        <v>1010</v>
      </c>
      <c r="O75" t="s">
        <v>382</v>
      </c>
      <c r="P75" t="s">
        <v>382</v>
      </c>
      <c r="Q75">
        <v>1000</v>
      </c>
      <c r="W75">
        <v>0</v>
      </c>
      <c r="X75">
        <v>-314125572</v>
      </c>
      <c r="Y75">
        <f>((AT75*1)*0)</f>
        <v>0</v>
      </c>
      <c r="AA75">
        <v>6.44</v>
      </c>
      <c r="AB75">
        <v>0</v>
      </c>
      <c r="AC75">
        <v>0</v>
      </c>
      <c r="AD75">
        <v>0</v>
      </c>
      <c r="AE75">
        <v>6.44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4.1000000000000003E-3</v>
      </c>
      <c r="AU75" t="s">
        <v>28</v>
      </c>
      <c r="AV75">
        <v>0</v>
      </c>
      <c r="AW75">
        <v>2</v>
      </c>
      <c r="AX75">
        <v>57035428</v>
      </c>
      <c r="AY75">
        <v>1</v>
      </c>
      <c r="AZ75">
        <v>0</v>
      </c>
      <c r="BA75">
        <v>91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ROUND(Y75*Source!I58,9)</f>
        <v>0</v>
      </c>
      <c r="CY75">
        <f>AA75</f>
        <v>6.44</v>
      </c>
      <c r="CZ75">
        <f>AE75</f>
        <v>6.44</v>
      </c>
      <c r="DA75">
        <f>AI75</f>
        <v>1</v>
      </c>
      <c r="DB75">
        <f>ROUND(((ROUND(AT75*CZ75,2)*1)*0),6)</f>
        <v>0</v>
      </c>
      <c r="DC75">
        <f>ROUND(((ROUND(AT75*AG75,2)*1)*0),6)</f>
        <v>0</v>
      </c>
      <c r="DD75" t="s">
        <v>3</v>
      </c>
      <c r="DE75" t="s">
        <v>3</v>
      </c>
      <c r="DF75">
        <f t="shared" si="24"/>
        <v>0</v>
      </c>
      <c r="DG75">
        <f t="shared" si="21"/>
        <v>0</v>
      </c>
      <c r="DH75">
        <f t="shared" si="22"/>
        <v>0</v>
      </c>
      <c r="DI75">
        <f t="shared" si="23"/>
        <v>0</v>
      </c>
      <c r="DJ75">
        <f>DF75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ROW(Source!A59)</f>
        <v>59</v>
      </c>
      <c r="B76">
        <v>57034454</v>
      </c>
      <c r="C76">
        <v>57035414</v>
      </c>
      <c r="D76">
        <v>55424304</v>
      </c>
      <c r="E76">
        <v>1081</v>
      </c>
      <c r="F76">
        <v>1</v>
      </c>
      <c r="G76">
        <v>1081</v>
      </c>
      <c r="H76">
        <v>1</v>
      </c>
      <c r="I76" t="s">
        <v>459</v>
      </c>
      <c r="J76" t="s">
        <v>3</v>
      </c>
      <c r="K76" t="s">
        <v>460</v>
      </c>
      <c r="L76">
        <v>1191</v>
      </c>
      <c r="N76">
        <v>1013</v>
      </c>
      <c r="O76" t="s">
        <v>461</v>
      </c>
      <c r="P76" t="s">
        <v>461</v>
      </c>
      <c r="Q76">
        <v>1</v>
      </c>
      <c r="W76">
        <v>0</v>
      </c>
      <c r="X76">
        <v>476480486</v>
      </c>
      <c r="Y76">
        <f>((AT76*1.2)*0.3)</f>
        <v>4.823999999999999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5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13.4</v>
      </c>
      <c r="AU76" t="s">
        <v>29</v>
      </c>
      <c r="AV76">
        <v>1</v>
      </c>
      <c r="AW76">
        <v>2</v>
      </c>
      <c r="AX76">
        <v>57035422</v>
      </c>
      <c r="AY76">
        <v>1</v>
      </c>
      <c r="AZ76">
        <v>0</v>
      </c>
      <c r="BA76">
        <v>96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U76">
        <f>ROUND(AT76*Source!I59*AH76*AL76,2)</f>
        <v>0</v>
      </c>
      <c r="CV76">
        <f>ROUND(Y76*Source!I59,9)</f>
        <v>72.36</v>
      </c>
      <c r="CW76">
        <v>0</v>
      </c>
      <c r="CX76">
        <f>ROUND(Y76*Source!I59,9)</f>
        <v>72.36</v>
      </c>
      <c r="CY76">
        <f>AD76</f>
        <v>0</v>
      </c>
      <c r="CZ76">
        <f>AH76</f>
        <v>0</v>
      </c>
      <c r="DA76">
        <f>AL76</f>
        <v>1</v>
      </c>
      <c r="DB76">
        <f>ROUND(((ROUND(AT76*CZ76,2)*1.2)*0.3),6)</f>
        <v>0</v>
      </c>
      <c r="DC76">
        <f>ROUND(((ROUND(AT76*AG76,2)*1.2)*0.3),6)</f>
        <v>0</v>
      </c>
      <c r="DD76" t="s">
        <v>3</v>
      </c>
      <c r="DE76" t="s">
        <v>3</v>
      </c>
      <c r="DF76">
        <f t="shared" si="24"/>
        <v>0</v>
      </c>
      <c r="DG76">
        <f t="shared" si="21"/>
        <v>0</v>
      </c>
      <c r="DH76">
        <f t="shared" si="22"/>
        <v>0</v>
      </c>
      <c r="DI76">
        <f t="shared" si="23"/>
        <v>0</v>
      </c>
      <c r="DJ76">
        <f>DI76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ROW(Source!A59)</f>
        <v>59</v>
      </c>
      <c r="B77">
        <v>57034454</v>
      </c>
      <c r="C77">
        <v>57035414</v>
      </c>
      <c r="D77">
        <v>55490209</v>
      </c>
      <c r="E77">
        <v>1</v>
      </c>
      <c r="F77">
        <v>1</v>
      </c>
      <c r="G77">
        <v>1081</v>
      </c>
      <c r="H77">
        <v>2</v>
      </c>
      <c r="I77" t="s">
        <v>462</v>
      </c>
      <c r="J77" t="s">
        <v>463</v>
      </c>
      <c r="K77" t="s">
        <v>464</v>
      </c>
      <c r="L77">
        <v>1368</v>
      </c>
      <c r="N77">
        <v>1011</v>
      </c>
      <c r="O77" t="s">
        <v>465</v>
      </c>
      <c r="P77" t="s">
        <v>465</v>
      </c>
      <c r="Q77">
        <v>1</v>
      </c>
      <c r="W77">
        <v>0</v>
      </c>
      <c r="X77">
        <v>874612079</v>
      </c>
      <c r="Y77">
        <f>((AT77*1.2)*0.3)</f>
        <v>0.26279999999999998</v>
      </c>
      <c r="AA77">
        <v>0</v>
      </c>
      <c r="AB77">
        <v>1485.19</v>
      </c>
      <c r="AC77">
        <v>744.56</v>
      </c>
      <c r="AD77">
        <v>0</v>
      </c>
      <c r="AE77">
        <v>0</v>
      </c>
      <c r="AF77">
        <v>83.1</v>
      </c>
      <c r="AG77">
        <v>12.62</v>
      </c>
      <c r="AH77">
        <v>0</v>
      </c>
      <c r="AI77">
        <v>1</v>
      </c>
      <c r="AJ77">
        <v>17.07</v>
      </c>
      <c r="AK77">
        <v>56.35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0.73</v>
      </c>
      <c r="AU77" t="s">
        <v>29</v>
      </c>
      <c r="AV77">
        <v>0</v>
      </c>
      <c r="AW77">
        <v>2</v>
      </c>
      <c r="AX77">
        <v>57035423</v>
      </c>
      <c r="AY77">
        <v>1</v>
      </c>
      <c r="AZ77">
        <v>0</v>
      </c>
      <c r="BA77">
        <v>97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f>ROUND(Y77*Source!I59*DO77,9)</f>
        <v>49.748040000000003</v>
      </c>
      <c r="CX77">
        <f>ROUND(Y77*Source!I59,9)</f>
        <v>3.9420000000000002</v>
      </c>
      <c r="CY77">
        <f>AB77</f>
        <v>1485.19</v>
      </c>
      <c r="CZ77">
        <f>AF77</f>
        <v>83.1</v>
      </c>
      <c r="DA77">
        <f>AJ77</f>
        <v>17.07</v>
      </c>
      <c r="DB77">
        <f>ROUND(((ROUND(AT77*CZ77,2)*1.2)*0.3),6)</f>
        <v>21.837599999999998</v>
      </c>
      <c r="DC77">
        <f>ROUND(((ROUND(AT77*AG77,2)*1.2)*0.3),6)</f>
        <v>3.3155999999999999</v>
      </c>
      <c r="DD77" t="s">
        <v>3</v>
      </c>
      <c r="DE77" t="s">
        <v>3</v>
      </c>
      <c r="DF77">
        <f t="shared" si="24"/>
        <v>0</v>
      </c>
      <c r="DG77">
        <f>ROUND(ROUND(AF77*AJ77,2)*CX77,2)</f>
        <v>5591.81</v>
      </c>
      <c r="DH77">
        <f>ROUND(ROUND(AG77*AK77,2)*CX77,2)</f>
        <v>2803.31</v>
      </c>
      <c r="DI77">
        <f t="shared" si="23"/>
        <v>0</v>
      </c>
      <c r="DJ77">
        <f>DG77</f>
        <v>5591.81</v>
      </c>
      <c r="DK77">
        <v>0</v>
      </c>
      <c r="DL77" t="s">
        <v>466</v>
      </c>
      <c r="DM77">
        <v>0</v>
      </c>
      <c r="DN77" t="s">
        <v>461</v>
      </c>
      <c r="DO77">
        <v>12.62</v>
      </c>
    </row>
    <row r="78" spans="1:119" x14ac:dyDescent="0.25">
      <c r="A78">
        <f>ROW(Source!A59)</f>
        <v>59</v>
      </c>
      <c r="B78">
        <v>57034454</v>
      </c>
      <c r="C78">
        <v>57035414</v>
      </c>
      <c r="D78">
        <v>55482166</v>
      </c>
      <c r="E78">
        <v>1</v>
      </c>
      <c r="F78">
        <v>1</v>
      </c>
      <c r="G78">
        <v>1081</v>
      </c>
      <c r="H78">
        <v>3</v>
      </c>
      <c r="I78" t="s">
        <v>486</v>
      </c>
      <c r="J78" t="s">
        <v>487</v>
      </c>
      <c r="K78" t="s">
        <v>488</v>
      </c>
      <c r="L78">
        <v>1301</v>
      </c>
      <c r="N78">
        <v>1003</v>
      </c>
      <c r="O78" t="s">
        <v>371</v>
      </c>
      <c r="P78" t="s">
        <v>371</v>
      </c>
      <c r="Q78">
        <v>1</v>
      </c>
      <c r="W78">
        <v>0</v>
      </c>
      <c r="X78">
        <v>876831867</v>
      </c>
      <c r="Y78">
        <f>((AT78*1)*0)</f>
        <v>0</v>
      </c>
      <c r="AA78">
        <v>4.76</v>
      </c>
      <c r="AB78">
        <v>0</v>
      </c>
      <c r="AC78">
        <v>0</v>
      </c>
      <c r="AD78">
        <v>0</v>
      </c>
      <c r="AE78">
        <v>0.69</v>
      </c>
      <c r="AF78">
        <v>0</v>
      </c>
      <c r="AG78">
        <v>0</v>
      </c>
      <c r="AH78">
        <v>0</v>
      </c>
      <c r="AI78">
        <v>6.9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1.18</v>
      </c>
      <c r="AU78" t="s">
        <v>28</v>
      </c>
      <c r="AV78">
        <v>0</v>
      </c>
      <c r="AW78">
        <v>2</v>
      </c>
      <c r="AX78">
        <v>57035424</v>
      </c>
      <c r="AY78">
        <v>1</v>
      </c>
      <c r="AZ78">
        <v>0</v>
      </c>
      <c r="BA78">
        <v>98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ROUND(Y78*Source!I59,9)</f>
        <v>0</v>
      </c>
      <c r="CY78">
        <f>AA78</f>
        <v>4.76</v>
      </c>
      <c r="CZ78">
        <f>AE78</f>
        <v>0.69</v>
      </c>
      <c r="DA78">
        <f>AI78</f>
        <v>6.9</v>
      </c>
      <c r="DB78">
        <f>ROUND(((ROUND(AT78*CZ78,2)*1)*0),6)</f>
        <v>0</v>
      </c>
      <c r="DC78">
        <f>ROUND(((ROUND(AT78*AG78,2)*1)*0),6)</f>
        <v>0</v>
      </c>
      <c r="DD78" t="s">
        <v>3</v>
      </c>
      <c r="DE78" t="s">
        <v>3</v>
      </c>
      <c r="DF78">
        <f>ROUND(ROUND(AE78*AI78,2)*CX78,2)</f>
        <v>0</v>
      </c>
      <c r="DG78">
        <f t="shared" ref="DG78:DG93" si="25">ROUND(ROUND(AF78,2)*CX78,2)</f>
        <v>0</v>
      </c>
      <c r="DH78">
        <f t="shared" ref="DH78:DH112" si="26">ROUND(ROUND(AG78,2)*CX78,2)</f>
        <v>0</v>
      </c>
      <c r="DI78">
        <f t="shared" si="23"/>
        <v>0</v>
      </c>
      <c r="DJ78">
        <f>DF78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ROW(Source!A59)</f>
        <v>59</v>
      </c>
      <c r="B79">
        <v>57034454</v>
      </c>
      <c r="C79">
        <v>57035414</v>
      </c>
      <c r="D79">
        <v>55482203</v>
      </c>
      <c r="E79">
        <v>1</v>
      </c>
      <c r="F79">
        <v>1</v>
      </c>
      <c r="G79">
        <v>1081</v>
      </c>
      <c r="H79">
        <v>3</v>
      </c>
      <c r="I79" t="s">
        <v>489</v>
      </c>
      <c r="J79" t="s">
        <v>490</v>
      </c>
      <c r="K79" t="s">
        <v>491</v>
      </c>
      <c r="L79">
        <v>1356</v>
      </c>
      <c r="N79">
        <v>1010</v>
      </c>
      <c r="O79" t="s">
        <v>382</v>
      </c>
      <c r="P79" t="s">
        <v>382</v>
      </c>
      <c r="Q79">
        <v>1000</v>
      </c>
      <c r="W79">
        <v>0</v>
      </c>
      <c r="X79">
        <v>474149623</v>
      </c>
      <c r="Y79">
        <f>((AT79*1)*0)</f>
        <v>0</v>
      </c>
      <c r="AA79">
        <v>1527.69</v>
      </c>
      <c r="AB79">
        <v>0</v>
      </c>
      <c r="AC79">
        <v>0</v>
      </c>
      <c r="AD79">
        <v>0</v>
      </c>
      <c r="AE79">
        <v>226.66</v>
      </c>
      <c r="AF79">
        <v>0</v>
      </c>
      <c r="AG79">
        <v>0</v>
      </c>
      <c r="AH79">
        <v>0</v>
      </c>
      <c r="AI79">
        <v>6.74</v>
      </c>
      <c r="AJ79">
        <v>1</v>
      </c>
      <c r="AK79">
        <v>1</v>
      </c>
      <c r="AL79">
        <v>1</v>
      </c>
      <c r="AM79">
        <v>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2E-3</v>
      </c>
      <c r="AU79" t="s">
        <v>28</v>
      </c>
      <c r="AV79">
        <v>0</v>
      </c>
      <c r="AW79">
        <v>2</v>
      </c>
      <c r="AX79">
        <v>57035425</v>
      </c>
      <c r="AY79">
        <v>1</v>
      </c>
      <c r="AZ79">
        <v>0</v>
      </c>
      <c r="BA79">
        <v>99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ROUND(Y79*Source!I59,9)</f>
        <v>0</v>
      </c>
      <c r="CY79">
        <f>AA79</f>
        <v>1527.69</v>
      </c>
      <c r="CZ79">
        <f>AE79</f>
        <v>226.66</v>
      </c>
      <c r="DA79">
        <f>AI79</f>
        <v>6.74</v>
      </c>
      <c r="DB79">
        <f>ROUND(((ROUND(AT79*CZ79,2)*1)*0),6)</f>
        <v>0</v>
      </c>
      <c r="DC79">
        <f>ROUND(((ROUND(AT79*AG79,2)*1)*0),6)</f>
        <v>0</v>
      </c>
      <c r="DD79" t="s">
        <v>3</v>
      </c>
      <c r="DE79" t="s">
        <v>3</v>
      </c>
      <c r="DF79">
        <f>ROUND(ROUND(AE79*AI79,2)*CX79,2)</f>
        <v>0</v>
      </c>
      <c r="DG79">
        <f t="shared" si="25"/>
        <v>0</v>
      </c>
      <c r="DH79">
        <f t="shared" si="26"/>
        <v>0</v>
      </c>
      <c r="DI79">
        <f t="shared" si="23"/>
        <v>0</v>
      </c>
      <c r="DJ79">
        <f>DF79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ROW(Source!A59)</f>
        <v>59</v>
      </c>
      <c r="B80">
        <v>57034454</v>
      </c>
      <c r="C80">
        <v>57035414</v>
      </c>
      <c r="D80">
        <v>55482617</v>
      </c>
      <c r="E80">
        <v>1</v>
      </c>
      <c r="F80">
        <v>1</v>
      </c>
      <c r="G80">
        <v>1081</v>
      </c>
      <c r="H80">
        <v>3</v>
      </c>
      <c r="I80" t="s">
        <v>492</v>
      </c>
      <c r="J80" t="s">
        <v>493</v>
      </c>
      <c r="K80" t="s">
        <v>494</v>
      </c>
      <c r="L80">
        <v>1354</v>
      </c>
      <c r="N80">
        <v>1010</v>
      </c>
      <c r="O80" t="s">
        <v>177</v>
      </c>
      <c r="P80" t="s">
        <v>177</v>
      </c>
      <c r="Q80">
        <v>1</v>
      </c>
      <c r="W80">
        <v>0</v>
      </c>
      <c r="X80">
        <v>-1189947653</v>
      </c>
      <c r="Y80">
        <f>((AT80*1)*0)</f>
        <v>0</v>
      </c>
      <c r="AA80">
        <v>123.97</v>
      </c>
      <c r="AB80">
        <v>0</v>
      </c>
      <c r="AC80">
        <v>0</v>
      </c>
      <c r="AD80">
        <v>0</v>
      </c>
      <c r="AE80">
        <v>14.99</v>
      </c>
      <c r="AF80">
        <v>0</v>
      </c>
      <c r="AG80">
        <v>0</v>
      </c>
      <c r="AH80">
        <v>0</v>
      </c>
      <c r="AI80">
        <v>8.27</v>
      </c>
      <c r="AJ80">
        <v>1</v>
      </c>
      <c r="AK80">
        <v>1</v>
      </c>
      <c r="AL80">
        <v>1</v>
      </c>
      <c r="AM80">
        <v>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1</v>
      </c>
      <c r="AU80" t="s">
        <v>28</v>
      </c>
      <c r="AV80">
        <v>0</v>
      </c>
      <c r="AW80">
        <v>2</v>
      </c>
      <c r="AX80">
        <v>57035426</v>
      </c>
      <c r="AY80">
        <v>1</v>
      </c>
      <c r="AZ80">
        <v>0</v>
      </c>
      <c r="BA80">
        <v>100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ROUND(Y80*Source!I59,9)</f>
        <v>0</v>
      </c>
      <c r="CY80">
        <f>AA80</f>
        <v>123.97</v>
      </c>
      <c r="CZ80">
        <f>AE80</f>
        <v>14.99</v>
      </c>
      <c r="DA80">
        <f>AI80</f>
        <v>8.27</v>
      </c>
      <c r="DB80">
        <f>ROUND(((ROUND(AT80*CZ80,2)*1)*0),6)</f>
        <v>0</v>
      </c>
      <c r="DC80">
        <f>ROUND(((ROUND(AT80*AG80,2)*1)*0),6)</f>
        <v>0</v>
      </c>
      <c r="DD80" t="s">
        <v>3</v>
      </c>
      <c r="DE80" t="s">
        <v>3</v>
      </c>
      <c r="DF80">
        <f>ROUND(ROUND(AE80*AI80,2)*CX80,2)</f>
        <v>0</v>
      </c>
      <c r="DG80">
        <f t="shared" si="25"/>
        <v>0</v>
      </c>
      <c r="DH80">
        <f t="shared" si="26"/>
        <v>0</v>
      </c>
      <c r="DI80">
        <f t="shared" si="23"/>
        <v>0</v>
      </c>
      <c r="DJ80">
        <f>DF80</f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ROW(Source!A59)</f>
        <v>59</v>
      </c>
      <c r="B81">
        <v>57034454</v>
      </c>
      <c r="C81">
        <v>57035414</v>
      </c>
      <c r="D81">
        <v>55481864</v>
      </c>
      <c r="E81">
        <v>1</v>
      </c>
      <c r="F81">
        <v>1</v>
      </c>
      <c r="G81">
        <v>1081</v>
      </c>
      <c r="H81">
        <v>3</v>
      </c>
      <c r="I81" t="s">
        <v>495</v>
      </c>
      <c r="J81" t="s">
        <v>496</v>
      </c>
      <c r="K81" t="s">
        <v>497</v>
      </c>
      <c r="L81">
        <v>1301</v>
      </c>
      <c r="N81">
        <v>1003</v>
      </c>
      <c r="O81" t="s">
        <v>371</v>
      </c>
      <c r="P81" t="s">
        <v>371</v>
      </c>
      <c r="Q81">
        <v>1</v>
      </c>
      <c r="W81">
        <v>0</v>
      </c>
      <c r="X81">
        <v>-877267416</v>
      </c>
      <c r="Y81">
        <f>((AT81*1)*0)</f>
        <v>0</v>
      </c>
      <c r="AA81">
        <v>4.95</v>
      </c>
      <c r="AB81">
        <v>0</v>
      </c>
      <c r="AC81">
        <v>0</v>
      </c>
      <c r="AD81">
        <v>0</v>
      </c>
      <c r="AE81">
        <v>0.7</v>
      </c>
      <c r="AF81">
        <v>0</v>
      </c>
      <c r="AG81">
        <v>0</v>
      </c>
      <c r="AH81">
        <v>0</v>
      </c>
      <c r="AI81">
        <v>7.07</v>
      </c>
      <c r="AJ81">
        <v>1</v>
      </c>
      <c r="AK81">
        <v>1</v>
      </c>
      <c r="AL81">
        <v>1</v>
      </c>
      <c r="AM81">
        <v>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0.48</v>
      </c>
      <c r="AU81" t="s">
        <v>28</v>
      </c>
      <c r="AV81">
        <v>0</v>
      </c>
      <c r="AW81">
        <v>2</v>
      </c>
      <c r="AX81">
        <v>57035427</v>
      </c>
      <c r="AY81">
        <v>1</v>
      </c>
      <c r="AZ81">
        <v>0</v>
      </c>
      <c r="BA81">
        <v>101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ROUND(Y81*Source!I59,9)</f>
        <v>0</v>
      </c>
      <c r="CY81">
        <f>AA81</f>
        <v>4.95</v>
      </c>
      <c r="CZ81">
        <f>AE81</f>
        <v>0.7</v>
      </c>
      <c r="DA81">
        <f>AI81</f>
        <v>7.07</v>
      </c>
      <c r="DB81">
        <f>ROUND(((ROUND(AT81*CZ81,2)*1)*0),6)</f>
        <v>0</v>
      </c>
      <c r="DC81">
        <f>ROUND(((ROUND(AT81*AG81,2)*1)*0),6)</f>
        <v>0</v>
      </c>
      <c r="DD81" t="s">
        <v>3</v>
      </c>
      <c r="DE81" t="s">
        <v>3</v>
      </c>
      <c r="DF81">
        <f>ROUND(ROUND(AE81*AI81,2)*CX81,2)</f>
        <v>0</v>
      </c>
      <c r="DG81">
        <f t="shared" si="25"/>
        <v>0</v>
      </c>
      <c r="DH81">
        <f t="shared" si="26"/>
        <v>0</v>
      </c>
      <c r="DI81">
        <f t="shared" si="23"/>
        <v>0</v>
      </c>
      <c r="DJ81">
        <f>DF81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ROW(Source!A59)</f>
        <v>59</v>
      </c>
      <c r="B82">
        <v>57034454</v>
      </c>
      <c r="C82">
        <v>57035414</v>
      </c>
      <c r="D82">
        <v>55481866</v>
      </c>
      <c r="E82">
        <v>1</v>
      </c>
      <c r="F82">
        <v>1</v>
      </c>
      <c r="G82">
        <v>1081</v>
      </c>
      <c r="H82">
        <v>3</v>
      </c>
      <c r="I82" t="s">
        <v>498</v>
      </c>
      <c r="J82" t="s">
        <v>499</v>
      </c>
      <c r="K82" t="s">
        <v>500</v>
      </c>
      <c r="L82">
        <v>1356</v>
      </c>
      <c r="N82">
        <v>1010</v>
      </c>
      <c r="O82" t="s">
        <v>382</v>
      </c>
      <c r="P82" t="s">
        <v>382</v>
      </c>
      <c r="Q82">
        <v>1000</v>
      </c>
      <c r="W82">
        <v>0</v>
      </c>
      <c r="X82">
        <v>-314125572</v>
      </c>
      <c r="Y82">
        <f>((AT82*1)*0)</f>
        <v>0</v>
      </c>
      <c r="AA82">
        <v>215.29</v>
      </c>
      <c r="AB82">
        <v>0</v>
      </c>
      <c r="AC82">
        <v>0</v>
      </c>
      <c r="AD82">
        <v>0</v>
      </c>
      <c r="AE82">
        <v>6.44</v>
      </c>
      <c r="AF82">
        <v>0</v>
      </c>
      <c r="AG82">
        <v>0</v>
      </c>
      <c r="AH82">
        <v>0</v>
      </c>
      <c r="AI82">
        <v>33.43</v>
      </c>
      <c r="AJ82">
        <v>1</v>
      </c>
      <c r="AK82">
        <v>1</v>
      </c>
      <c r="AL82">
        <v>1</v>
      </c>
      <c r="AM82">
        <v>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4.1000000000000003E-3</v>
      </c>
      <c r="AU82" t="s">
        <v>28</v>
      </c>
      <c r="AV82">
        <v>0</v>
      </c>
      <c r="AW82">
        <v>2</v>
      </c>
      <c r="AX82">
        <v>57035428</v>
      </c>
      <c r="AY82">
        <v>1</v>
      </c>
      <c r="AZ82">
        <v>0</v>
      </c>
      <c r="BA82">
        <v>102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ROUND(Y82*Source!I59,9)</f>
        <v>0</v>
      </c>
      <c r="CY82">
        <f>AA82</f>
        <v>215.29</v>
      </c>
      <c r="CZ82">
        <f>AE82</f>
        <v>6.44</v>
      </c>
      <c r="DA82">
        <f>AI82</f>
        <v>33.43</v>
      </c>
      <c r="DB82">
        <f>ROUND(((ROUND(AT82*CZ82,2)*1)*0),6)</f>
        <v>0</v>
      </c>
      <c r="DC82">
        <f>ROUND(((ROUND(AT82*AG82,2)*1)*0),6)</f>
        <v>0</v>
      </c>
      <c r="DD82" t="s">
        <v>3</v>
      </c>
      <c r="DE82" t="s">
        <v>3</v>
      </c>
      <c r="DF82">
        <f>ROUND(ROUND(AE82*AI82,2)*CX82,2)</f>
        <v>0</v>
      </c>
      <c r="DG82">
        <f t="shared" si="25"/>
        <v>0</v>
      </c>
      <c r="DH82">
        <f t="shared" si="26"/>
        <v>0</v>
      </c>
      <c r="DI82">
        <f t="shared" si="23"/>
        <v>0</v>
      </c>
      <c r="DJ82">
        <f>DF82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ROW(Source!A60)</f>
        <v>60</v>
      </c>
      <c r="B83">
        <v>57034452</v>
      </c>
      <c r="C83">
        <v>57035433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459</v>
      </c>
      <c r="J83" t="s">
        <v>3</v>
      </c>
      <c r="K83" t="s">
        <v>460</v>
      </c>
      <c r="L83">
        <v>1191</v>
      </c>
      <c r="N83">
        <v>1013</v>
      </c>
      <c r="O83" t="s">
        <v>461</v>
      </c>
      <c r="P83" t="s">
        <v>461</v>
      </c>
      <c r="Q83">
        <v>1</v>
      </c>
      <c r="W83">
        <v>0</v>
      </c>
      <c r="X83">
        <v>476480486</v>
      </c>
      <c r="Y83">
        <f t="shared" ref="Y83:Y89" si="27">((AT83*1.2)*0.3)</f>
        <v>0.86399999999999999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2.4</v>
      </c>
      <c r="AU83" t="s">
        <v>29</v>
      </c>
      <c r="AV83">
        <v>1</v>
      </c>
      <c r="AW83">
        <v>2</v>
      </c>
      <c r="AX83">
        <v>57035435</v>
      </c>
      <c r="AY83">
        <v>1</v>
      </c>
      <c r="AZ83">
        <v>0</v>
      </c>
      <c r="BA83">
        <v>107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ROUND(AT83*Source!I60*AH83*AL83,2)</f>
        <v>0</v>
      </c>
      <c r="CV83">
        <f>ROUND(Y83*Source!I60,9)</f>
        <v>21.6</v>
      </c>
      <c r="CW83">
        <v>0</v>
      </c>
      <c r="CX83">
        <f>ROUND(Y83*Source!I60,9)</f>
        <v>21.6</v>
      </c>
      <c r="CY83">
        <f>AD83</f>
        <v>0</v>
      </c>
      <c r="CZ83">
        <f>AH83</f>
        <v>0</v>
      </c>
      <c r="DA83">
        <f>AL83</f>
        <v>1</v>
      </c>
      <c r="DB83">
        <f t="shared" ref="DB83:DB89" si="28">ROUND(((ROUND(AT83*CZ83,2)*1.2)*0.3),6)</f>
        <v>0</v>
      </c>
      <c r="DC83">
        <f t="shared" ref="DC83:DC89" si="29">ROUND(((ROUND(AT83*AG83,2)*1.2)*0.3),6)</f>
        <v>0</v>
      </c>
      <c r="DD83" t="s">
        <v>3</v>
      </c>
      <c r="DE83" t="s">
        <v>3</v>
      </c>
      <c r="DF83">
        <f t="shared" ref="DF83:DF95" si="30">ROUND(ROUND(AE83,2)*CX83,2)</f>
        <v>0</v>
      </c>
      <c r="DG83">
        <f t="shared" si="25"/>
        <v>0</v>
      </c>
      <c r="DH83">
        <f t="shared" si="26"/>
        <v>0</v>
      </c>
      <c r="DI83">
        <f t="shared" si="23"/>
        <v>0</v>
      </c>
      <c r="DJ83">
        <f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ROW(Source!A61)</f>
        <v>61</v>
      </c>
      <c r="B84">
        <v>57034454</v>
      </c>
      <c r="C84">
        <v>57035433</v>
      </c>
      <c r="D84">
        <v>55424304</v>
      </c>
      <c r="E84">
        <v>1081</v>
      </c>
      <c r="F84">
        <v>1</v>
      </c>
      <c r="G84">
        <v>1081</v>
      </c>
      <c r="H84">
        <v>1</v>
      </c>
      <c r="I84" t="s">
        <v>459</v>
      </c>
      <c r="J84" t="s">
        <v>3</v>
      </c>
      <c r="K84" t="s">
        <v>460</v>
      </c>
      <c r="L84">
        <v>1191</v>
      </c>
      <c r="N84">
        <v>1013</v>
      </c>
      <c r="O84" t="s">
        <v>461</v>
      </c>
      <c r="P84" t="s">
        <v>461</v>
      </c>
      <c r="Q84">
        <v>1</v>
      </c>
      <c r="W84">
        <v>0</v>
      </c>
      <c r="X84">
        <v>476480486</v>
      </c>
      <c r="Y84">
        <f t="shared" si="27"/>
        <v>0.86399999999999999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5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2.4</v>
      </c>
      <c r="AU84" t="s">
        <v>29</v>
      </c>
      <c r="AV84">
        <v>1</v>
      </c>
      <c r="AW84">
        <v>2</v>
      </c>
      <c r="AX84">
        <v>57035435</v>
      </c>
      <c r="AY84">
        <v>1</v>
      </c>
      <c r="AZ84">
        <v>0</v>
      </c>
      <c r="BA84">
        <v>108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U84">
        <f>ROUND(AT84*Source!I61*AH84*AL84,2)</f>
        <v>0</v>
      </c>
      <c r="CV84">
        <f>ROUND(Y84*Source!I61,9)</f>
        <v>21.6</v>
      </c>
      <c r="CW84">
        <v>0</v>
      </c>
      <c r="CX84">
        <f>ROUND(Y84*Source!I61,9)</f>
        <v>21.6</v>
      </c>
      <c r="CY84">
        <f>AD84</f>
        <v>0</v>
      </c>
      <c r="CZ84">
        <f>AH84</f>
        <v>0</v>
      </c>
      <c r="DA84">
        <f>AL84</f>
        <v>1</v>
      </c>
      <c r="DB84">
        <f t="shared" si="28"/>
        <v>0</v>
      </c>
      <c r="DC84">
        <f t="shared" si="29"/>
        <v>0</v>
      </c>
      <c r="DD84" t="s">
        <v>3</v>
      </c>
      <c r="DE84" t="s">
        <v>3</v>
      </c>
      <c r="DF84">
        <f t="shared" si="30"/>
        <v>0</v>
      </c>
      <c r="DG84">
        <f t="shared" si="25"/>
        <v>0</v>
      </c>
      <c r="DH84">
        <f t="shared" si="26"/>
        <v>0</v>
      </c>
      <c r="DI84">
        <f t="shared" si="23"/>
        <v>0</v>
      </c>
      <c r="DJ84">
        <f>DI84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ROW(Source!A62)</f>
        <v>62</v>
      </c>
      <c r="B85">
        <v>57034452</v>
      </c>
      <c r="C85">
        <v>57035436</v>
      </c>
      <c r="D85">
        <v>55424304</v>
      </c>
      <c r="E85">
        <v>1081</v>
      </c>
      <c r="F85">
        <v>1</v>
      </c>
      <c r="G85">
        <v>1081</v>
      </c>
      <c r="H85">
        <v>1</v>
      </c>
      <c r="I85" t="s">
        <v>459</v>
      </c>
      <c r="J85" t="s">
        <v>3</v>
      </c>
      <c r="K85" t="s">
        <v>460</v>
      </c>
      <c r="L85">
        <v>1191</v>
      </c>
      <c r="N85">
        <v>1013</v>
      </c>
      <c r="O85" t="s">
        <v>461</v>
      </c>
      <c r="P85" t="s">
        <v>461</v>
      </c>
      <c r="Q85">
        <v>1</v>
      </c>
      <c r="W85">
        <v>0</v>
      </c>
      <c r="X85">
        <v>476480486</v>
      </c>
      <c r="Y85">
        <f t="shared" si="27"/>
        <v>0.432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1.2</v>
      </c>
      <c r="AU85" t="s">
        <v>29</v>
      </c>
      <c r="AV85">
        <v>1</v>
      </c>
      <c r="AW85">
        <v>2</v>
      </c>
      <c r="AX85">
        <v>57035438</v>
      </c>
      <c r="AY85">
        <v>1</v>
      </c>
      <c r="AZ85">
        <v>0</v>
      </c>
      <c r="BA85">
        <v>109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U85">
        <f>ROUND(AT85*Source!I62*AH85*AL85,2)</f>
        <v>0</v>
      </c>
      <c r="CV85">
        <f>ROUND(Y85*Source!I62,9)</f>
        <v>11.664</v>
      </c>
      <c r="CW85">
        <v>0</v>
      </c>
      <c r="CX85">
        <f>ROUND(Y85*Source!I62,9)</f>
        <v>11.664</v>
      </c>
      <c r="CY85">
        <f>AD85</f>
        <v>0</v>
      </c>
      <c r="CZ85">
        <f>AH85</f>
        <v>0</v>
      </c>
      <c r="DA85">
        <f>AL85</f>
        <v>1</v>
      </c>
      <c r="DB85">
        <f t="shared" si="28"/>
        <v>0</v>
      </c>
      <c r="DC85">
        <f t="shared" si="29"/>
        <v>0</v>
      </c>
      <c r="DD85" t="s">
        <v>3</v>
      </c>
      <c r="DE85" t="s">
        <v>3</v>
      </c>
      <c r="DF85">
        <f t="shared" si="30"/>
        <v>0</v>
      </c>
      <c r="DG85">
        <f t="shared" si="25"/>
        <v>0</v>
      </c>
      <c r="DH85">
        <f t="shared" si="26"/>
        <v>0</v>
      </c>
      <c r="DI85">
        <f t="shared" si="23"/>
        <v>0</v>
      </c>
      <c r="DJ85">
        <f>DI85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ROW(Source!A63)</f>
        <v>63</v>
      </c>
      <c r="B86">
        <v>57034454</v>
      </c>
      <c r="C86">
        <v>57035436</v>
      </c>
      <c r="D86">
        <v>55424304</v>
      </c>
      <c r="E86">
        <v>1081</v>
      </c>
      <c r="F86">
        <v>1</v>
      </c>
      <c r="G86">
        <v>1081</v>
      </c>
      <c r="H86">
        <v>1</v>
      </c>
      <c r="I86" t="s">
        <v>459</v>
      </c>
      <c r="J86" t="s">
        <v>3</v>
      </c>
      <c r="K86" t="s">
        <v>460</v>
      </c>
      <c r="L86">
        <v>1191</v>
      </c>
      <c r="N86">
        <v>1013</v>
      </c>
      <c r="O86" t="s">
        <v>461</v>
      </c>
      <c r="P86" t="s">
        <v>461</v>
      </c>
      <c r="Q86">
        <v>1</v>
      </c>
      <c r="W86">
        <v>0</v>
      </c>
      <c r="X86">
        <v>476480486</v>
      </c>
      <c r="Y86">
        <f t="shared" si="27"/>
        <v>0.432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5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1.2</v>
      </c>
      <c r="AU86" t="s">
        <v>29</v>
      </c>
      <c r="AV86">
        <v>1</v>
      </c>
      <c r="AW86">
        <v>2</v>
      </c>
      <c r="AX86">
        <v>57035438</v>
      </c>
      <c r="AY86">
        <v>1</v>
      </c>
      <c r="AZ86">
        <v>0</v>
      </c>
      <c r="BA86">
        <v>110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U86">
        <f>ROUND(AT86*Source!I63*AH86*AL86,2)</f>
        <v>0</v>
      </c>
      <c r="CV86">
        <f>ROUND(Y86*Source!I63,9)</f>
        <v>11.664</v>
      </c>
      <c r="CW86">
        <v>0</v>
      </c>
      <c r="CX86">
        <f>ROUND(Y86*Source!I63,9)</f>
        <v>11.664</v>
      </c>
      <c r="CY86">
        <f>AD86</f>
        <v>0</v>
      </c>
      <c r="CZ86">
        <f>AH86</f>
        <v>0</v>
      </c>
      <c r="DA86">
        <f>AL86</f>
        <v>1</v>
      </c>
      <c r="DB86">
        <f t="shared" si="28"/>
        <v>0</v>
      </c>
      <c r="DC86">
        <f t="shared" si="29"/>
        <v>0</v>
      </c>
      <c r="DD86" t="s">
        <v>3</v>
      </c>
      <c r="DE86" t="s">
        <v>3</v>
      </c>
      <c r="DF86">
        <f t="shared" si="30"/>
        <v>0</v>
      </c>
      <c r="DG86">
        <f t="shared" si="25"/>
        <v>0</v>
      </c>
      <c r="DH86">
        <f t="shared" si="26"/>
        <v>0</v>
      </c>
      <c r="DI86">
        <f t="shared" si="23"/>
        <v>0</v>
      </c>
      <c r="DJ86">
        <f>DI86</f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ROW(Source!A64)</f>
        <v>64</v>
      </c>
      <c r="B87">
        <v>57034452</v>
      </c>
      <c r="C87">
        <v>57037670</v>
      </c>
      <c r="D87">
        <v>55424304</v>
      </c>
      <c r="E87">
        <v>1081</v>
      </c>
      <c r="F87">
        <v>1</v>
      </c>
      <c r="G87">
        <v>1081</v>
      </c>
      <c r="H87">
        <v>1</v>
      </c>
      <c r="I87" t="s">
        <v>459</v>
      </c>
      <c r="J87" t="s">
        <v>3</v>
      </c>
      <c r="K87" t="s">
        <v>460</v>
      </c>
      <c r="L87">
        <v>1191</v>
      </c>
      <c r="N87">
        <v>1013</v>
      </c>
      <c r="O87" t="s">
        <v>461</v>
      </c>
      <c r="P87" t="s">
        <v>461</v>
      </c>
      <c r="Q87">
        <v>1</v>
      </c>
      <c r="W87">
        <v>0</v>
      </c>
      <c r="X87">
        <v>476480486</v>
      </c>
      <c r="Y87">
        <f t="shared" si="27"/>
        <v>12.459599999999998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34.61</v>
      </c>
      <c r="AU87" t="s">
        <v>29</v>
      </c>
      <c r="AV87">
        <v>1</v>
      </c>
      <c r="AW87">
        <v>2</v>
      </c>
      <c r="AX87">
        <v>57037677</v>
      </c>
      <c r="AY87">
        <v>1</v>
      </c>
      <c r="AZ87">
        <v>0</v>
      </c>
      <c r="BA87">
        <v>111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ROUND(AT87*Source!I64*AH87*AL87,2)</f>
        <v>0</v>
      </c>
      <c r="CV87">
        <f>ROUND(Y87*Source!I64,9)</f>
        <v>641.6694</v>
      </c>
      <c r="CW87">
        <v>0</v>
      </c>
      <c r="CX87">
        <f>ROUND(Y87*Source!I64,9)</f>
        <v>641.6694</v>
      </c>
      <c r="CY87">
        <f>AD87</f>
        <v>0</v>
      </c>
      <c r="CZ87">
        <f>AH87</f>
        <v>0</v>
      </c>
      <c r="DA87">
        <f>AL87</f>
        <v>1</v>
      </c>
      <c r="DB87">
        <f t="shared" si="28"/>
        <v>0</v>
      </c>
      <c r="DC87">
        <f t="shared" si="29"/>
        <v>0</v>
      </c>
      <c r="DD87" t="s">
        <v>3</v>
      </c>
      <c r="DE87" t="s">
        <v>3</v>
      </c>
      <c r="DF87">
        <f t="shared" si="30"/>
        <v>0</v>
      </c>
      <c r="DG87">
        <f t="shared" si="25"/>
        <v>0</v>
      </c>
      <c r="DH87">
        <f t="shared" si="26"/>
        <v>0</v>
      </c>
      <c r="DI87">
        <f t="shared" si="23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ROW(Source!A64)</f>
        <v>64</v>
      </c>
      <c r="B88">
        <v>57034452</v>
      </c>
      <c r="C88">
        <v>57037670</v>
      </c>
      <c r="D88">
        <v>55490263</v>
      </c>
      <c r="E88">
        <v>1</v>
      </c>
      <c r="F88">
        <v>1</v>
      </c>
      <c r="G88">
        <v>1081</v>
      </c>
      <c r="H88">
        <v>2</v>
      </c>
      <c r="I88" t="s">
        <v>501</v>
      </c>
      <c r="J88" t="s">
        <v>502</v>
      </c>
      <c r="K88" t="s">
        <v>503</v>
      </c>
      <c r="L88">
        <v>1368</v>
      </c>
      <c r="N88">
        <v>1011</v>
      </c>
      <c r="O88" t="s">
        <v>465</v>
      </c>
      <c r="P88" t="s">
        <v>465</v>
      </c>
      <c r="Q88">
        <v>1</v>
      </c>
      <c r="W88">
        <v>0</v>
      </c>
      <c r="X88">
        <v>-1895752648</v>
      </c>
      <c r="Y88">
        <f t="shared" si="27"/>
        <v>1.7532000000000001</v>
      </c>
      <c r="AA88">
        <v>0</v>
      </c>
      <c r="AB88">
        <v>0.81</v>
      </c>
      <c r="AC88">
        <v>0</v>
      </c>
      <c r="AD88">
        <v>0</v>
      </c>
      <c r="AE88">
        <v>0</v>
      </c>
      <c r="AF88">
        <v>0.77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4.87</v>
      </c>
      <c r="AU88" t="s">
        <v>29</v>
      </c>
      <c r="AV88">
        <v>0</v>
      </c>
      <c r="AW88">
        <v>2</v>
      </c>
      <c r="AX88">
        <v>57037678</v>
      </c>
      <c r="AY88">
        <v>1</v>
      </c>
      <c r="AZ88">
        <v>0</v>
      </c>
      <c r="BA88">
        <v>112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ROUND(Y88*Source!I64*DO88,9)</f>
        <v>0</v>
      </c>
      <c r="CX88">
        <f>ROUND(Y88*Source!I64,9)</f>
        <v>90.2898</v>
      </c>
      <c r="CY88">
        <f>AB88</f>
        <v>0.81</v>
      </c>
      <c r="CZ88">
        <f>AF88</f>
        <v>0.77</v>
      </c>
      <c r="DA88">
        <f>AJ88</f>
        <v>1</v>
      </c>
      <c r="DB88">
        <f t="shared" si="28"/>
        <v>1.35</v>
      </c>
      <c r="DC88">
        <f t="shared" si="29"/>
        <v>0</v>
      </c>
      <c r="DD88" t="s">
        <v>3</v>
      </c>
      <c r="DE88" t="s">
        <v>3</v>
      </c>
      <c r="DF88">
        <f t="shared" si="30"/>
        <v>0</v>
      </c>
      <c r="DG88">
        <f t="shared" si="25"/>
        <v>69.52</v>
      </c>
      <c r="DH88">
        <f t="shared" si="26"/>
        <v>0</v>
      </c>
      <c r="DI88">
        <f t="shared" si="23"/>
        <v>0</v>
      </c>
      <c r="DJ88">
        <f>DG88</f>
        <v>69.52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5">
      <c r="A89">
        <f>ROW(Source!A64)</f>
        <v>64</v>
      </c>
      <c r="B89">
        <v>57034452</v>
      </c>
      <c r="C89">
        <v>57037670</v>
      </c>
      <c r="D89">
        <v>55490296</v>
      </c>
      <c r="E89">
        <v>1</v>
      </c>
      <c r="F89">
        <v>1</v>
      </c>
      <c r="G89">
        <v>1081</v>
      </c>
      <c r="H89">
        <v>2</v>
      </c>
      <c r="I89" t="s">
        <v>479</v>
      </c>
      <c r="J89" t="s">
        <v>480</v>
      </c>
      <c r="K89" t="s">
        <v>481</v>
      </c>
      <c r="L89">
        <v>1368</v>
      </c>
      <c r="N89">
        <v>1011</v>
      </c>
      <c r="O89" t="s">
        <v>465</v>
      </c>
      <c r="P89" t="s">
        <v>465</v>
      </c>
      <c r="Q89">
        <v>1</v>
      </c>
      <c r="W89">
        <v>0</v>
      </c>
      <c r="X89">
        <v>-643591644</v>
      </c>
      <c r="Y89">
        <f t="shared" si="27"/>
        <v>2.4803999999999995</v>
      </c>
      <c r="AA89">
        <v>0</v>
      </c>
      <c r="AB89">
        <v>0.49</v>
      </c>
      <c r="AC89">
        <v>0</v>
      </c>
      <c r="AD89">
        <v>0</v>
      </c>
      <c r="AE89">
        <v>0</v>
      </c>
      <c r="AF89">
        <v>0.47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6.89</v>
      </c>
      <c r="AU89" t="s">
        <v>29</v>
      </c>
      <c r="AV89">
        <v>0</v>
      </c>
      <c r="AW89">
        <v>2</v>
      </c>
      <c r="AX89">
        <v>57037679</v>
      </c>
      <c r="AY89">
        <v>1</v>
      </c>
      <c r="AZ89">
        <v>0</v>
      </c>
      <c r="BA89">
        <v>113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ROUND(Y89*Source!I64*DO89,9)</f>
        <v>0</v>
      </c>
      <c r="CX89">
        <f>ROUND(Y89*Source!I64,9)</f>
        <v>127.7406</v>
      </c>
      <c r="CY89">
        <f>AB89</f>
        <v>0.49</v>
      </c>
      <c r="CZ89">
        <f>AF89</f>
        <v>0.47</v>
      </c>
      <c r="DA89">
        <f>AJ89</f>
        <v>1</v>
      </c>
      <c r="DB89">
        <f t="shared" si="28"/>
        <v>1.1664000000000001</v>
      </c>
      <c r="DC89">
        <f t="shared" si="29"/>
        <v>0</v>
      </c>
      <c r="DD89" t="s">
        <v>3</v>
      </c>
      <c r="DE89" t="s">
        <v>3</v>
      </c>
      <c r="DF89">
        <f t="shared" si="30"/>
        <v>0</v>
      </c>
      <c r="DG89">
        <f t="shared" si="25"/>
        <v>60.04</v>
      </c>
      <c r="DH89">
        <f t="shared" si="26"/>
        <v>0</v>
      </c>
      <c r="DI89">
        <f t="shared" si="23"/>
        <v>0</v>
      </c>
      <c r="DJ89">
        <f>DG89</f>
        <v>60.04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ROW(Source!A64)</f>
        <v>64</v>
      </c>
      <c r="B90">
        <v>57034452</v>
      </c>
      <c r="C90">
        <v>57037670</v>
      </c>
      <c r="D90">
        <v>55482203</v>
      </c>
      <c r="E90">
        <v>1</v>
      </c>
      <c r="F90">
        <v>1</v>
      </c>
      <c r="G90">
        <v>1081</v>
      </c>
      <c r="H90">
        <v>3</v>
      </c>
      <c r="I90" t="s">
        <v>489</v>
      </c>
      <c r="J90" t="s">
        <v>490</v>
      </c>
      <c r="K90" t="s">
        <v>491</v>
      </c>
      <c r="L90">
        <v>1356</v>
      </c>
      <c r="N90">
        <v>1010</v>
      </c>
      <c r="O90" t="s">
        <v>382</v>
      </c>
      <c r="P90" t="s">
        <v>382</v>
      </c>
      <c r="Q90">
        <v>1000</v>
      </c>
      <c r="W90">
        <v>0</v>
      </c>
      <c r="X90">
        <v>474149623</v>
      </c>
      <c r="Y90">
        <f>((AT90*1)*0)</f>
        <v>0</v>
      </c>
      <c r="AA90">
        <v>226.66</v>
      </c>
      <c r="AB90">
        <v>0</v>
      </c>
      <c r="AC90">
        <v>0</v>
      </c>
      <c r="AD90">
        <v>0</v>
      </c>
      <c r="AE90">
        <v>226.66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3.1E-2</v>
      </c>
      <c r="AU90" t="s">
        <v>28</v>
      </c>
      <c r="AV90">
        <v>0</v>
      </c>
      <c r="AW90">
        <v>2</v>
      </c>
      <c r="AX90">
        <v>57037680</v>
      </c>
      <c r="AY90">
        <v>1</v>
      </c>
      <c r="AZ90">
        <v>0</v>
      </c>
      <c r="BA90">
        <v>114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ROUND(Y90*Source!I64,9)</f>
        <v>0</v>
      </c>
      <c r="CY90">
        <f>AA90</f>
        <v>226.66</v>
      </c>
      <c r="CZ90">
        <f>AE90</f>
        <v>226.66</v>
      </c>
      <c r="DA90">
        <f>AI90</f>
        <v>1</v>
      </c>
      <c r="DB90">
        <f>ROUND(((ROUND(AT90*CZ90,2)*1)*0),6)</f>
        <v>0</v>
      </c>
      <c r="DC90">
        <f>ROUND(((ROUND(AT90*AG90,2)*1)*0),6)</f>
        <v>0</v>
      </c>
      <c r="DD90" t="s">
        <v>3</v>
      </c>
      <c r="DE90" t="s">
        <v>3</v>
      </c>
      <c r="DF90">
        <f t="shared" si="30"/>
        <v>0</v>
      </c>
      <c r="DG90">
        <f t="shared" si="25"/>
        <v>0</v>
      </c>
      <c r="DH90">
        <f t="shared" si="26"/>
        <v>0</v>
      </c>
      <c r="DI90">
        <f t="shared" si="23"/>
        <v>0</v>
      </c>
      <c r="DJ90">
        <f>DF90</f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ROW(Source!A64)</f>
        <v>64</v>
      </c>
      <c r="B91">
        <v>57034452</v>
      </c>
      <c r="C91">
        <v>57037670</v>
      </c>
      <c r="D91">
        <v>55481977</v>
      </c>
      <c r="E91">
        <v>1</v>
      </c>
      <c r="F91">
        <v>1</v>
      </c>
      <c r="G91">
        <v>1081</v>
      </c>
      <c r="H91">
        <v>3</v>
      </c>
      <c r="I91" t="s">
        <v>504</v>
      </c>
      <c r="J91" t="s">
        <v>505</v>
      </c>
      <c r="K91" t="s">
        <v>506</v>
      </c>
      <c r="L91">
        <v>1355</v>
      </c>
      <c r="N91">
        <v>1010</v>
      </c>
      <c r="O91" t="s">
        <v>414</v>
      </c>
      <c r="P91" t="s">
        <v>414</v>
      </c>
      <c r="Q91">
        <v>100</v>
      </c>
      <c r="W91">
        <v>0</v>
      </c>
      <c r="X91">
        <v>1356827684</v>
      </c>
      <c r="Y91">
        <f>((AT91*1)*0)</f>
        <v>0</v>
      </c>
      <c r="AA91">
        <v>26.71</v>
      </c>
      <c r="AB91">
        <v>0</v>
      </c>
      <c r="AC91">
        <v>0</v>
      </c>
      <c r="AD91">
        <v>0</v>
      </c>
      <c r="AE91">
        <v>26.71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0.315</v>
      </c>
      <c r="AU91" t="s">
        <v>28</v>
      </c>
      <c r="AV91">
        <v>0</v>
      </c>
      <c r="AW91">
        <v>2</v>
      </c>
      <c r="AX91">
        <v>57037681</v>
      </c>
      <c r="AY91">
        <v>1</v>
      </c>
      <c r="AZ91">
        <v>0</v>
      </c>
      <c r="BA91">
        <v>115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ROUND(Y91*Source!I64,9)</f>
        <v>0</v>
      </c>
      <c r="CY91">
        <f>AA91</f>
        <v>26.71</v>
      </c>
      <c r="CZ91">
        <f>AE91</f>
        <v>26.71</v>
      </c>
      <c r="DA91">
        <f>AI91</f>
        <v>1</v>
      </c>
      <c r="DB91">
        <f>ROUND(((ROUND(AT91*CZ91,2)*1)*0),6)</f>
        <v>0</v>
      </c>
      <c r="DC91">
        <f>ROUND(((ROUND(AT91*AG91,2)*1)*0),6)</f>
        <v>0</v>
      </c>
      <c r="DD91" t="s">
        <v>3</v>
      </c>
      <c r="DE91" t="s">
        <v>3</v>
      </c>
      <c r="DF91">
        <f t="shared" si="30"/>
        <v>0</v>
      </c>
      <c r="DG91">
        <f t="shared" si="25"/>
        <v>0</v>
      </c>
      <c r="DH91">
        <f t="shared" si="26"/>
        <v>0</v>
      </c>
      <c r="DI91">
        <f t="shared" si="23"/>
        <v>0</v>
      </c>
      <c r="DJ91">
        <f>DF91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ROW(Source!A64)</f>
        <v>64</v>
      </c>
      <c r="B92">
        <v>57034452</v>
      </c>
      <c r="C92">
        <v>57037670</v>
      </c>
      <c r="D92">
        <v>55469263</v>
      </c>
      <c r="E92">
        <v>1</v>
      </c>
      <c r="F92">
        <v>1</v>
      </c>
      <c r="G92">
        <v>1081</v>
      </c>
      <c r="H92">
        <v>3</v>
      </c>
      <c r="I92" t="s">
        <v>507</v>
      </c>
      <c r="J92" t="s">
        <v>508</v>
      </c>
      <c r="K92" t="s">
        <v>509</v>
      </c>
      <c r="L92">
        <v>1354</v>
      </c>
      <c r="N92">
        <v>1010</v>
      </c>
      <c r="O92" t="s">
        <v>177</v>
      </c>
      <c r="P92" t="s">
        <v>177</v>
      </c>
      <c r="Q92">
        <v>1</v>
      </c>
      <c r="W92">
        <v>0</v>
      </c>
      <c r="X92">
        <v>955560065</v>
      </c>
      <c r="Y92">
        <f>((AT92*1)*0)</f>
        <v>0</v>
      </c>
      <c r="AA92">
        <v>14.22</v>
      </c>
      <c r="AB92">
        <v>0</v>
      </c>
      <c r="AC92">
        <v>0</v>
      </c>
      <c r="AD92">
        <v>0</v>
      </c>
      <c r="AE92">
        <v>14.22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0.55900000000000005</v>
      </c>
      <c r="AU92" t="s">
        <v>28</v>
      </c>
      <c r="AV92">
        <v>0</v>
      </c>
      <c r="AW92">
        <v>2</v>
      </c>
      <c r="AX92">
        <v>57037682</v>
      </c>
      <c r="AY92">
        <v>1</v>
      </c>
      <c r="AZ92">
        <v>0</v>
      </c>
      <c r="BA92">
        <v>116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ROUND(Y92*Source!I64,9)</f>
        <v>0</v>
      </c>
      <c r="CY92">
        <f>AA92</f>
        <v>14.22</v>
      </c>
      <c r="CZ92">
        <f>AE92</f>
        <v>14.22</v>
      </c>
      <c r="DA92">
        <f>AI92</f>
        <v>1</v>
      </c>
      <c r="DB92">
        <f>ROUND(((ROUND(AT92*CZ92,2)*1)*0),6)</f>
        <v>0</v>
      </c>
      <c r="DC92">
        <f>ROUND(((ROUND(AT92*AG92,2)*1)*0),6)</f>
        <v>0</v>
      </c>
      <c r="DD92" t="s">
        <v>3</v>
      </c>
      <c r="DE92" t="s">
        <v>3</v>
      </c>
      <c r="DF92">
        <f t="shared" si="30"/>
        <v>0</v>
      </c>
      <c r="DG92">
        <f t="shared" si="25"/>
        <v>0</v>
      </c>
      <c r="DH92">
        <f t="shared" si="26"/>
        <v>0</v>
      </c>
      <c r="DI92">
        <f t="shared" si="23"/>
        <v>0</v>
      </c>
      <c r="DJ92">
        <f>DF92</f>
        <v>0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ROW(Source!A65)</f>
        <v>65</v>
      </c>
      <c r="B93">
        <v>57034454</v>
      </c>
      <c r="C93">
        <v>57037670</v>
      </c>
      <c r="D93">
        <v>55424304</v>
      </c>
      <c r="E93">
        <v>1081</v>
      </c>
      <c r="F93">
        <v>1</v>
      </c>
      <c r="G93">
        <v>1081</v>
      </c>
      <c r="H93">
        <v>1</v>
      </c>
      <c r="I93" t="s">
        <v>459</v>
      </c>
      <c r="J93" t="s">
        <v>3</v>
      </c>
      <c r="K93" t="s">
        <v>460</v>
      </c>
      <c r="L93">
        <v>1191</v>
      </c>
      <c r="N93">
        <v>1013</v>
      </c>
      <c r="O93" t="s">
        <v>461</v>
      </c>
      <c r="P93" t="s">
        <v>461</v>
      </c>
      <c r="Q93">
        <v>1</v>
      </c>
      <c r="W93">
        <v>0</v>
      </c>
      <c r="X93">
        <v>476480486</v>
      </c>
      <c r="Y93">
        <f>((AT93*1.2)*0.3)</f>
        <v>12.459599999999998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5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34.61</v>
      </c>
      <c r="AU93" t="s">
        <v>29</v>
      </c>
      <c r="AV93">
        <v>1</v>
      </c>
      <c r="AW93">
        <v>2</v>
      </c>
      <c r="AX93">
        <v>57037677</v>
      </c>
      <c r="AY93">
        <v>1</v>
      </c>
      <c r="AZ93">
        <v>0</v>
      </c>
      <c r="BA93">
        <v>121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U93">
        <f>ROUND(AT93*Source!I65*AH93*AL93,2)</f>
        <v>0</v>
      </c>
      <c r="CV93">
        <f>ROUND(Y93*Source!I65,9)</f>
        <v>641.6694</v>
      </c>
      <c r="CW93">
        <v>0</v>
      </c>
      <c r="CX93">
        <f>ROUND(Y93*Source!I65,9)</f>
        <v>641.6694</v>
      </c>
      <c r="CY93">
        <f>AD93</f>
        <v>0</v>
      </c>
      <c r="CZ93">
        <f>AH93</f>
        <v>0</v>
      </c>
      <c r="DA93">
        <f>AL93</f>
        <v>1</v>
      </c>
      <c r="DB93">
        <f>ROUND(((ROUND(AT93*CZ93,2)*1.2)*0.3),6)</f>
        <v>0</v>
      </c>
      <c r="DC93">
        <f>ROUND(((ROUND(AT93*AG93,2)*1.2)*0.3),6)</f>
        <v>0</v>
      </c>
      <c r="DD93" t="s">
        <v>3</v>
      </c>
      <c r="DE93" t="s">
        <v>3</v>
      </c>
      <c r="DF93">
        <f t="shared" si="30"/>
        <v>0</v>
      </c>
      <c r="DG93">
        <f t="shared" si="25"/>
        <v>0</v>
      </c>
      <c r="DH93">
        <f t="shared" si="26"/>
        <v>0</v>
      </c>
      <c r="DI93">
        <f t="shared" si="23"/>
        <v>0</v>
      </c>
      <c r="DJ93">
        <f>DI93</f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ROW(Source!A65)</f>
        <v>65</v>
      </c>
      <c r="B94">
        <v>57034454</v>
      </c>
      <c r="C94">
        <v>57037670</v>
      </c>
      <c r="D94">
        <v>55490263</v>
      </c>
      <c r="E94">
        <v>1</v>
      </c>
      <c r="F94">
        <v>1</v>
      </c>
      <c r="G94">
        <v>1081</v>
      </c>
      <c r="H94">
        <v>2</v>
      </c>
      <c r="I94" t="s">
        <v>501</v>
      </c>
      <c r="J94" t="s">
        <v>502</v>
      </c>
      <c r="K94" t="s">
        <v>503</v>
      </c>
      <c r="L94">
        <v>1368</v>
      </c>
      <c r="N94">
        <v>1011</v>
      </c>
      <c r="O94" t="s">
        <v>465</v>
      </c>
      <c r="P94" t="s">
        <v>465</v>
      </c>
      <c r="Q94">
        <v>1</v>
      </c>
      <c r="W94">
        <v>0</v>
      </c>
      <c r="X94">
        <v>-1895752648</v>
      </c>
      <c r="Y94">
        <f>((AT94*1.2)*0.3)</f>
        <v>1.7532000000000001</v>
      </c>
      <c r="AA94">
        <v>0</v>
      </c>
      <c r="AB94">
        <v>7.71</v>
      </c>
      <c r="AC94">
        <v>0</v>
      </c>
      <c r="AD94">
        <v>0</v>
      </c>
      <c r="AE94">
        <v>0</v>
      </c>
      <c r="AF94">
        <v>0.77</v>
      </c>
      <c r="AG94">
        <v>0</v>
      </c>
      <c r="AH94">
        <v>0</v>
      </c>
      <c r="AI94">
        <v>1</v>
      </c>
      <c r="AJ94">
        <v>9.56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4.87</v>
      </c>
      <c r="AU94" t="s">
        <v>29</v>
      </c>
      <c r="AV94">
        <v>0</v>
      </c>
      <c r="AW94">
        <v>2</v>
      </c>
      <c r="AX94">
        <v>57037678</v>
      </c>
      <c r="AY94">
        <v>1</v>
      </c>
      <c r="AZ94">
        <v>0</v>
      </c>
      <c r="BA94">
        <v>122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f>ROUND(Y94*Source!I65*DO94,9)</f>
        <v>0</v>
      </c>
      <c r="CX94">
        <f>ROUND(Y94*Source!I65,9)</f>
        <v>90.2898</v>
      </c>
      <c r="CY94">
        <f>AB94</f>
        <v>7.71</v>
      </c>
      <c r="CZ94">
        <f>AF94</f>
        <v>0.77</v>
      </c>
      <c r="DA94">
        <f>AJ94</f>
        <v>9.56</v>
      </c>
      <c r="DB94">
        <f>ROUND(((ROUND(AT94*CZ94,2)*1.2)*0.3),6)</f>
        <v>1.35</v>
      </c>
      <c r="DC94">
        <f>ROUND(((ROUND(AT94*AG94,2)*1.2)*0.3),6)</f>
        <v>0</v>
      </c>
      <c r="DD94" t="s">
        <v>3</v>
      </c>
      <c r="DE94" t="s">
        <v>3</v>
      </c>
      <c r="DF94">
        <f t="shared" si="30"/>
        <v>0</v>
      </c>
      <c r="DG94">
        <f>ROUND(ROUND(AF94*AJ94,2)*CX94,2)</f>
        <v>664.53</v>
      </c>
      <c r="DH94">
        <f t="shared" si="26"/>
        <v>0</v>
      </c>
      <c r="DI94">
        <f t="shared" si="23"/>
        <v>0</v>
      </c>
      <c r="DJ94">
        <f>DG94</f>
        <v>664.53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ROW(Source!A65)</f>
        <v>65</v>
      </c>
      <c r="B95">
        <v>57034454</v>
      </c>
      <c r="C95">
        <v>57037670</v>
      </c>
      <c r="D95">
        <v>55490296</v>
      </c>
      <c r="E95">
        <v>1</v>
      </c>
      <c r="F95">
        <v>1</v>
      </c>
      <c r="G95">
        <v>1081</v>
      </c>
      <c r="H95">
        <v>2</v>
      </c>
      <c r="I95" t="s">
        <v>479</v>
      </c>
      <c r="J95" t="s">
        <v>480</v>
      </c>
      <c r="K95" t="s">
        <v>481</v>
      </c>
      <c r="L95">
        <v>1368</v>
      </c>
      <c r="N95">
        <v>1011</v>
      </c>
      <c r="O95" t="s">
        <v>465</v>
      </c>
      <c r="P95" t="s">
        <v>465</v>
      </c>
      <c r="Q95">
        <v>1</v>
      </c>
      <c r="W95">
        <v>0</v>
      </c>
      <c r="X95">
        <v>-643591644</v>
      </c>
      <c r="Y95">
        <f>((AT95*1.2)*0.3)</f>
        <v>2.4803999999999995</v>
      </c>
      <c r="AA95">
        <v>0</v>
      </c>
      <c r="AB95">
        <v>4.75</v>
      </c>
      <c r="AC95">
        <v>0</v>
      </c>
      <c r="AD95">
        <v>0</v>
      </c>
      <c r="AE95">
        <v>0</v>
      </c>
      <c r="AF95">
        <v>0.47</v>
      </c>
      <c r="AG95">
        <v>0</v>
      </c>
      <c r="AH95">
        <v>0</v>
      </c>
      <c r="AI95">
        <v>1</v>
      </c>
      <c r="AJ95">
        <v>9.66</v>
      </c>
      <c r="AK95">
        <v>1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6.89</v>
      </c>
      <c r="AU95" t="s">
        <v>29</v>
      </c>
      <c r="AV95">
        <v>0</v>
      </c>
      <c r="AW95">
        <v>2</v>
      </c>
      <c r="AX95">
        <v>57037679</v>
      </c>
      <c r="AY95">
        <v>1</v>
      </c>
      <c r="AZ95">
        <v>0</v>
      </c>
      <c r="BA95">
        <v>123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f>ROUND(Y95*Source!I65*DO95,9)</f>
        <v>0</v>
      </c>
      <c r="CX95">
        <f>ROUND(Y95*Source!I65,9)</f>
        <v>127.7406</v>
      </c>
      <c r="CY95">
        <f>AB95</f>
        <v>4.75</v>
      </c>
      <c r="CZ95">
        <f>AF95</f>
        <v>0.47</v>
      </c>
      <c r="DA95">
        <f>AJ95</f>
        <v>9.66</v>
      </c>
      <c r="DB95">
        <f>ROUND(((ROUND(AT95*CZ95,2)*1.2)*0.3),6)</f>
        <v>1.1664000000000001</v>
      </c>
      <c r="DC95">
        <f>ROUND(((ROUND(AT95*AG95,2)*1.2)*0.3),6)</f>
        <v>0</v>
      </c>
      <c r="DD95" t="s">
        <v>3</v>
      </c>
      <c r="DE95" t="s">
        <v>3</v>
      </c>
      <c r="DF95">
        <f t="shared" si="30"/>
        <v>0</v>
      </c>
      <c r="DG95">
        <f>ROUND(ROUND(AF95*AJ95,2)*CX95,2)</f>
        <v>579.94000000000005</v>
      </c>
      <c r="DH95">
        <f t="shared" si="26"/>
        <v>0</v>
      </c>
      <c r="DI95">
        <f t="shared" si="23"/>
        <v>0</v>
      </c>
      <c r="DJ95">
        <f>DG95</f>
        <v>579.94000000000005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ROW(Source!A65)</f>
        <v>65</v>
      </c>
      <c r="B96">
        <v>57034454</v>
      </c>
      <c r="C96">
        <v>57037670</v>
      </c>
      <c r="D96">
        <v>55482203</v>
      </c>
      <c r="E96">
        <v>1</v>
      </c>
      <c r="F96">
        <v>1</v>
      </c>
      <c r="G96">
        <v>1081</v>
      </c>
      <c r="H96">
        <v>3</v>
      </c>
      <c r="I96" t="s">
        <v>489</v>
      </c>
      <c r="J96" t="s">
        <v>490</v>
      </c>
      <c r="K96" t="s">
        <v>491</v>
      </c>
      <c r="L96">
        <v>1356</v>
      </c>
      <c r="N96">
        <v>1010</v>
      </c>
      <c r="O96" t="s">
        <v>382</v>
      </c>
      <c r="P96" t="s">
        <v>382</v>
      </c>
      <c r="Q96">
        <v>1000</v>
      </c>
      <c r="W96">
        <v>0</v>
      </c>
      <c r="X96">
        <v>474149623</v>
      </c>
      <c r="Y96">
        <f>((AT96*1)*0)</f>
        <v>0</v>
      </c>
      <c r="AA96">
        <v>1527.69</v>
      </c>
      <c r="AB96">
        <v>0</v>
      </c>
      <c r="AC96">
        <v>0</v>
      </c>
      <c r="AD96">
        <v>0</v>
      </c>
      <c r="AE96">
        <v>226.66</v>
      </c>
      <c r="AF96">
        <v>0</v>
      </c>
      <c r="AG96">
        <v>0</v>
      </c>
      <c r="AH96">
        <v>0</v>
      </c>
      <c r="AI96">
        <v>6.74</v>
      </c>
      <c r="AJ96">
        <v>1</v>
      </c>
      <c r="AK96">
        <v>1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3.1E-2</v>
      </c>
      <c r="AU96" t="s">
        <v>28</v>
      </c>
      <c r="AV96">
        <v>0</v>
      </c>
      <c r="AW96">
        <v>2</v>
      </c>
      <c r="AX96">
        <v>57037680</v>
      </c>
      <c r="AY96">
        <v>1</v>
      </c>
      <c r="AZ96">
        <v>0</v>
      </c>
      <c r="BA96">
        <v>124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ROUND(Y96*Source!I65,9)</f>
        <v>0</v>
      </c>
      <c r="CY96">
        <f>AA96</f>
        <v>1527.69</v>
      </c>
      <c r="CZ96">
        <f>AE96</f>
        <v>226.66</v>
      </c>
      <c r="DA96">
        <f>AI96</f>
        <v>6.74</v>
      </c>
      <c r="DB96">
        <f>ROUND(((ROUND(AT96*CZ96,2)*1)*0),6)</f>
        <v>0</v>
      </c>
      <c r="DC96">
        <f>ROUND(((ROUND(AT96*AG96,2)*1)*0),6)</f>
        <v>0</v>
      </c>
      <c r="DD96" t="s">
        <v>3</v>
      </c>
      <c r="DE96" t="s">
        <v>3</v>
      </c>
      <c r="DF96">
        <f>ROUND(ROUND(AE96*AI96,2)*CX96,2)</f>
        <v>0</v>
      </c>
      <c r="DG96">
        <f t="shared" ref="DG96:DG112" si="31">ROUND(ROUND(AF96,2)*CX96,2)</f>
        <v>0</v>
      </c>
      <c r="DH96">
        <f t="shared" si="26"/>
        <v>0</v>
      </c>
      <c r="DI96">
        <f t="shared" si="23"/>
        <v>0</v>
      </c>
      <c r="DJ96">
        <f>DF96</f>
        <v>0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5">
      <c r="A97">
        <f>ROW(Source!A65)</f>
        <v>65</v>
      </c>
      <c r="B97">
        <v>57034454</v>
      </c>
      <c r="C97">
        <v>57037670</v>
      </c>
      <c r="D97">
        <v>55481977</v>
      </c>
      <c r="E97">
        <v>1</v>
      </c>
      <c r="F97">
        <v>1</v>
      </c>
      <c r="G97">
        <v>1081</v>
      </c>
      <c r="H97">
        <v>3</v>
      </c>
      <c r="I97" t="s">
        <v>504</v>
      </c>
      <c r="J97" t="s">
        <v>505</v>
      </c>
      <c r="K97" t="s">
        <v>506</v>
      </c>
      <c r="L97">
        <v>1355</v>
      </c>
      <c r="N97">
        <v>1010</v>
      </c>
      <c r="O97" t="s">
        <v>414</v>
      </c>
      <c r="P97" t="s">
        <v>414</v>
      </c>
      <c r="Q97">
        <v>100</v>
      </c>
      <c r="W97">
        <v>0</v>
      </c>
      <c r="X97">
        <v>1356827684</v>
      </c>
      <c r="Y97">
        <f>((AT97*1)*0)</f>
        <v>0</v>
      </c>
      <c r="AA97">
        <v>105.5</v>
      </c>
      <c r="AB97">
        <v>0</v>
      </c>
      <c r="AC97">
        <v>0</v>
      </c>
      <c r="AD97">
        <v>0</v>
      </c>
      <c r="AE97">
        <v>26.71</v>
      </c>
      <c r="AF97">
        <v>0</v>
      </c>
      <c r="AG97">
        <v>0</v>
      </c>
      <c r="AH97">
        <v>0</v>
      </c>
      <c r="AI97">
        <v>3.95</v>
      </c>
      <c r="AJ97">
        <v>1</v>
      </c>
      <c r="AK97">
        <v>1</v>
      </c>
      <c r="AL97">
        <v>1</v>
      </c>
      <c r="AM97">
        <v>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0.315</v>
      </c>
      <c r="AU97" t="s">
        <v>28</v>
      </c>
      <c r="AV97">
        <v>0</v>
      </c>
      <c r="AW97">
        <v>2</v>
      </c>
      <c r="AX97">
        <v>57037681</v>
      </c>
      <c r="AY97">
        <v>1</v>
      </c>
      <c r="AZ97">
        <v>0</v>
      </c>
      <c r="BA97">
        <v>125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ROUND(Y97*Source!I65,9)</f>
        <v>0</v>
      </c>
      <c r="CY97">
        <f>AA97</f>
        <v>105.5</v>
      </c>
      <c r="CZ97">
        <f>AE97</f>
        <v>26.71</v>
      </c>
      <c r="DA97">
        <f>AI97</f>
        <v>3.95</v>
      </c>
      <c r="DB97">
        <f>ROUND(((ROUND(AT97*CZ97,2)*1)*0),6)</f>
        <v>0</v>
      </c>
      <c r="DC97">
        <f>ROUND(((ROUND(AT97*AG97,2)*1)*0),6)</f>
        <v>0</v>
      </c>
      <c r="DD97" t="s">
        <v>3</v>
      </c>
      <c r="DE97" t="s">
        <v>3</v>
      </c>
      <c r="DF97">
        <f>ROUND(ROUND(AE97*AI97,2)*CX97,2)</f>
        <v>0</v>
      </c>
      <c r="DG97">
        <f t="shared" si="31"/>
        <v>0</v>
      </c>
      <c r="DH97">
        <f t="shared" si="26"/>
        <v>0</v>
      </c>
      <c r="DI97">
        <f t="shared" si="23"/>
        <v>0</v>
      </c>
      <c r="DJ97">
        <f>DF97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ROW(Source!A65)</f>
        <v>65</v>
      </c>
      <c r="B98">
        <v>57034454</v>
      </c>
      <c r="C98">
        <v>57037670</v>
      </c>
      <c r="D98">
        <v>55469263</v>
      </c>
      <c r="E98">
        <v>1</v>
      </c>
      <c r="F98">
        <v>1</v>
      </c>
      <c r="G98">
        <v>1081</v>
      </c>
      <c r="H98">
        <v>3</v>
      </c>
      <c r="I98" t="s">
        <v>507</v>
      </c>
      <c r="J98" t="s">
        <v>508</v>
      </c>
      <c r="K98" t="s">
        <v>509</v>
      </c>
      <c r="L98">
        <v>1354</v>
      </c>
      <c r="N98">
        <v>1010</v>
      </c>
      <c r="O98" t="s">
        <v>177</v>
      </c>
      <c r="P98" t="s">
        <v>177</v>
      </c>
      <c r="Q98">
        <v>1</v>
      </c>
      <c r="W98">
        <v>0</v>
      </c>
      <c r="X98">
        <v>955560065</v>
      </c>
      <c r="Y98">
        <f>((AT98*1)*0)</f>
        <v>0</v>
      </c>
      <c r="AA98">
        <v>165.81</v>
      </c>
      <c r="AB98">
        <v>0</v>
      </c>
      <c r="AC98">
        <v>0</v>
      </c>
      <c r="AD98">
        <v>0</v>
      </c>
      <c r="AE98">
        <v>14.22</v>
      </c>
      <c r="AF98">
        <v>0</v>
      </c>
      <c r="AG98">
        <v>0</v>
      </c>
      <c r="AH98">
        <v>0</v>
      </c>
      <c r="AI98">
        <v>11.66</v>
      </c>
      <c r="AJ98">
        <v>1</v>
      </c>
      <c r="AK98">
        <v>1</v>
      </c>
      <c r="AL98">
        <v>1</v>
      </c>
      <c r="AM98">
        <v>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0.55900000000000005</v>
      </c>
      <c r="AU98" t="s">
        <v>28</v>
      </c>
      <c r="AV98">
        <v>0</v>
      </c>
      <c r="AW98">
        <v>2</v>
      </c>
      <c r="AX98">
        <v>57037682</v>
      </c>
      <c r="AY98">
        <v>1</v>
      </c>
      <c r="AZ98">
        <v>0</v>
      </c>
      <c r="BA98">
        <v>126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ROUND(Y98*Source!I65,9)</f>
        <v>0</v>
      </c>
      <c r="CY98">
        <f>AA98</f>
        <v>165.81</v>
      </c>
      <c r="CZ98">
        <f>AE98</f>
        <v>14.22</v>
      </c>
      <c r="DA98">
        <f>AI98</f>
        <v>11.66</v>
      </c>
      <c r="DB98">
        <f>ROUND(((ROUND(AT98*CZ98,2)*1)*0),6)</f>
        <v>0</v>
      </c>
      <c r="DC98">
        <f>ROUND(((ROUND(AT98*AG98,2)*1)*0),6)</f>
        <v>0</v>
      </c>
      <c r="DD98" t="s">
        <v>3</v>
      </c>
      <c r="DE98" t="s">
        <v>3</v>
      </c>
      <c r="DF98">
        <f>ROUND(ROUND(AE98*AI98,2)*CX98,2)</f>
        <v>0</v>
      </c>
      <c r="DG98">
        <f t="shared" si="31"/>
        <v>0</v>
      </c>
      <c r="DH98">
        <f t="shared" si="26"/>
        <v>0</v>
      </c>
      <c r="DI98">
        <f t="shared" si="23"/>
        <v>0</v>
      </c>
      <c r="DJ98">
        <f>DF98</f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ROW(Source!A66)</f>
        <v>66</v>
      </c>
      <c r="B99">
        <v>57034452</v>
      </c>
      <c r="C99">
        <v>57035439</v>
      </c>
      <c r="D99">
        <v>55424304</v>
      </c>
      <c r="E99">
        <v>1081</v>
      </c>
      <c r="F99">
        <v>1</v>
      </c>
      <c r="G99">
        <v>1081</v>
      </c>
      <c r="H99">
        <v>1</v>
      </c>
      <c r="I99" t="s">
        <v>459</v>
      </c>
      <c r="J99" t="s">
        <v>3</v>
      </c>
      <c r="K99" t="s">
        <v>460</v>
      </c>
      <c r="L99">
        <v>1191</v>
      </c>
      <c r="N99">
        <v>1013</v>
      </c>
      <c r="O99" t="s">
        <v>461</v>
      </c>
      <c r="P99" t="s">
        <v>461</v>
      </c>
      <c r="Q99">
        <v>1</v>
      </c>
      <c r="W99">
        <v>0</v>
      </c>
      <c r="X99">
        <v>476480486</v>
      </c>
      <c r="Y99">
        <f>(AT99*1.2)</f>
        <v>36.527999999999999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30.44</v>
      </c>
      <c r="AU99" t="s">
        <v>105</v>
      </c>
      <c r="AV99">
        <v>1</v>
      </c>
      <c r="AW99">
        <v>2</v>
      </c>
      <c r="AX99">
        <v>57035442</v>
      </c>
      <c r="AY99">
        <v>1</v>
      </c>
      <c r="AZ99">
        <v>0</v>
      </c>
      <c r="BA99">
        <v>131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ROUND(AT99*Source!I66*AH99*AL99,2)</f>
        <v>0</v>
      </c>
      <c r="CV99">
        <f>ROUND(Y99*Source!I66,9)</f>
        <v>1881.192</v>
      </c>
      <c r="CW99">
        <v>0</v>
      </c>
      <c r="CX99">
        <f>ROUND(Y99*Source!I66,9)</f>
        <v>1881.192</v>
      </c>
      <c r="CY99">
        <f>AD99</f>
        <v>0</v>
      </c>
      <c r="CZ99">
        <f>AH99</f>
        <v>0</v>
      </c>
      <c r="DA99">
        <f>AL99</f>
        <v>1</v>
      </c>
      <c r="DB99">
        <f>ROUND((ROUND(AT99*CZ99,2)*1.2),6)</f>
        <v>0</v>
      </c>
      <c r="DC99">
        <f>ROUND((ROUND(AT99*AG99,2)*1.2),6)</f>
        <v>0</v>
      </c>
      <c r="DD99" t="s">
        <v>3</v>
      </c>
      <c r="DE99" t="s">
        <v>3</v>
      </c>
      <c r="DF99">
        <f>ROUND(ROUND(AE99,2)*CX99,2)</f>
        <v>0</v>
      </c>
      <c r="DG99">
        <f t="shared" si="31"/>
        <v>0</v>
      </c>
      <c r="DH99">
        <f t="shared" si="26"/>
        <v>0</v>
      </c>
      <c r="DI99">
        <f t="shared" si="23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ROW(Source!A66)</f>
        <v>66</v>
      </c>
      <c r="B100">
        <v>57034452</v>
      </c>
      <c r="C100">
        <v>57035439</v>
      </c>
      <c r="D100">
        <v>55424288</v>
      </c>
      <c r="E100">
        <v>1081</v>
      </c>
      <c r="F100">
        <v>1</v>
      </c>
      <c r="G100">
        <v>1081</v>
      </c>
      <c r="H100">
        <v>3</v>
      </c>
      <c r="I100" t="s">
        <v>510</v>
      </c>
      <c r="J100" t="s">
        <v>3</v>
      </c>
      <c r="K100" t="s">
        <v>511</v>
      </c>
      <c r="L100">
        <v>1348</v>
      </c>
      <c r="N100">
        <v>1009</v>
      </c>
      <c r="O100" t="s">
        <v>299</v>
      </c>
      <c r="P100" t="s">
        <v>299</v>
      </c>
      <c r="Q100">
        <v>1000</v>
      </c>
      <c r="W100">
        <v>0</v>
      </c>
      <c r="X100">
        <v>1489638031</v>
      </c>
      <c r="Y100">
        <f>(AT100*1)</f>
        <v>0.247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0.247</v>
      </c>
      <c r="AU100" t="s">
        <v>104</v>
      </c>
      <c r="AV100">
        <v>0</v>
      </c>
      <c r="AW100">
        <v>2</v>
      </c>
      <c r="AX100">
        <v>57035443</v>
      </c>
      <c r="AY100">
        <v>1</v>
      </c>
      <c r="AZ100">
        <v>0</v>
      </c>
      <c r="BA100">
        <v>132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ROUND(Y100*Source!I66,9)</f>
        <v>12.720499999999999</v>
      </c>
      <c r="CY100">
        <f>AA100</f>
        <v>0</v>
      </c>
      <c r="CZ100">
        <f>AE100</f>
        <v>0</v>
      </c>
      <c r="DA100">
        <f>AI100</f>
        <v>1</v>
      </c>
      <c r="DB100">
        <f>ROUND((ROUND(AT100*CZ100,2)*1),6)</f>
        <v>0</v>
      </c>
      <c r="DC100">
        <f>ROUND((ROUND(AT100*AG100,2)*1),6)</f>
        <v>0</v>
      </c>
      <c r="DD100" t="s">
        <v>3</v>
      </c>
      <c r="DE100" t="s">
        <v>3</v>
      </c>
      <c r="DF100">
        <f>ROUND(ROUND(AE100,2)*CX100,2)</f>
        <v>0</v>
      </c>
      <c r="DG100">
        <f t="shared" si="31"/>
        <v>0</v>
      </c>
      <c r="DH100">
        <f t="shared" si="26"/>
        <v>0</v>
      </c>
      <c r="DI100">
        <f t="shared" si="23"/>
        <v>0</v>
      </c>
      <c r="DJ100">
        <f>DF100</f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ROW(Source!A67)</f>
        <v>67</v>
      </c>
      <c r="B101">
        <v>57034454</v>
      </c>
      <c r="C101">
        <v>57035439</v>
      </c>
      <c r="D101">
        <v>55424304</v>
      </c>
      <c r="E101">
        <v>1081</v>
      </c>
      <c r="F101">
        <v>1</v>
      </c>
      <c r="G101">
        <v>1081</v>
      </c>
      <c r="H101">
        <v>1</v>
      </c>
      <c r="I101" t="s">
        <v>459</v>
      </c>
      <c r="J101" t="s">
        <v>3</v>
      </c>
      <c r="K101" t="s">
        <v>460</v>
      </c>
      <c r="L101">
        <v>1191</v>
      </c>
      <c r="N101">
        <v>1013</v>
      </c>
      <c r="O101" t="s">
        <v>461</v>
      </c>
      <c r="P101" t="s">
        <v>461</v>
      </c>
      <c r="Q101">
        <v>1</v>
      </c>
      <c r="W101">
        <v>0</v>
      </c>
      <c r="X101">
        <v>476480486</v>
      </c>
      <c r="Y101">
        <f>(AT101*1.2)</f>
        <v>36.527999999999999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5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30.44</v>
      </c>
      <c r="AU101" t="s">
        <v>105</v>
      </c>
      <c r="AV101">
        <v>1</v>
      </c>
      <c r="AW101">
        <v>2</v>
      </c>
      <c r="AX101">
        <v>57035442</v>
      </c>
      <c r="AY101">
        <v>1</v>
      </c>
      <c r="AZ101">
        <v>0</v>
      </c>
      <c r="BA101">
        <v>133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U101">
        <f>ROUND(AT101*Source!I67*AH101*AL101,2)</f>
        <v>0</v>
      </c>
      <c r="CV101">
        <f>ROUND(Y101*Source!I67,9)</f>
        <v>1881.192</v>
      </c>
      <c r="CW101">
        <v>0</v>
      </c>
      <c r="CX101">
        <f>ROUND(Y101*Source!I67,9)</f>
        <v>1881.192</v>
      </c>
      <c r="CY101">
        <f>AD101</f>
        <v>0</v>
      </c>
      <c r="CZ101">
        <f>AH101</f>
        <v>0</v>
      </c>
      <c r="DA101">
        <f>AL101</f>
        <v>1</v>
      </c>
      <c r="DB101">
        <f>ROUND((ROUND(AT101*CZ101,2)*1.2),6)</f>
        <v>0</v>
      </c>
      <c r="DC101">
        <f>ROUND((ROUND(AT101*AG101,2)*1.2),6)</f>
        <v>0</v>
      </c>
      <c r="DD101" t="s">
        <v>3</v>
      </c>
      <c r="DE101" t="s">
        <v>3</v>
      </c>
      <c r="DF101">
        <f>ROUND(ROUND(AE101,2)*CX101,2)</f>
        <v>0</v>
      </c>
      <c r="DG101">
        <f t="shared" si="31"/>
        <v>0</v>
      </c>
      <c r="DH101">
        <f t="shared" si="26"/>
        <v>0</v>
      </c>
      <c r="DI101">
        <f t="shared" si="23"/>
        <v>0</v>
      </c>
      <c r="DJ101">
        <f>DI101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ROW(Source!A67)</f>
        <v>67</v>
      </c>
      <c r="B102">
        <v>57034454</v>
      </c>
      <c r="C102">
        <v>57035439</v>
      </c>
      <c r="D102">
        <v>55424288</v>
      </c>
      <c r="E102">
        <v>1081</v>
      </c>
      <c r="F102">
        <v>1</v>
      </c>
      <c r="G102">
        <v>1081</v>
      </c>
      <c r="H102">
        <v>3</v>
      </c>
      <c r="I102" t="s">
        <v>510</v>
      </c>
      <c r="J102" t="s">
        <v>3</v>
      </c>
      <c r="K102" t="s">
        <v>511</v>
      </c>
      <c r="L102">
        <v>1348</v>
      </c>
      <c r="N102">
        <v>1009</v>
      </c>
      <c r="O102" t="s">
        <v>299</v>
      </c>
      <c r="P102" t="s">
        <v>299</v>
      </c>
      <c r="Q102">
        <v>1000</v>
      </c>
      <c r="W102">
        <v>0</v>
      </c>
      <c r="X102">
        <v>1489638031</v>
      </c>
      <c r="Y102">
        <f>(AT102*1)</f>
        <v>0.247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9.84</v>
      </c>
      <c r="AJ102">
        <v>1</v>
      </c>
      <c r="AK102">
        <v>1</v>
      </c>
      <c r="AL102">
        <v>1</v>
      </c>
      <c r="AM102">
        <v>5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0.247</v>
      </c>
      <c r="AU102" t="s">
        <v>104</v>
      </c>
      <c r="AV102">
        <v>0</v>
      </c>
      <c r="AW102">
        <v>2</v>
      </c>
      <c r="AX102">
        <v>57035443</v>
      </c>
      <c r="AY102">
        <v>1</v>
      </c>
      <c r="AZ102">
        <v>0</v>
      </c>
      <c r="BA102">
        <v>134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ROUND(Y102*Source!I67,9)</f>
        <v>12.720499999999999</v>
      </c>
      <c r="CY102">
        <f>AA102</f>
        <v>0</v>
      </c>
      <c r="CZ102">
        <f>AE102</f>
        <v>0</v>
      </c>
      <c r="DA102">
        <f>AI102</f>
        <v>9.84</v>
      </c>
      <c r="DB102">
        <f>ROUND((ROUND(AT102*CZ102,2)*1),6)</f>
        <v>0</v>
      </c>
      <c r="DC102">
        <f>ROUND((ROUND(AT102*AG102,2)*1),6)</f>
        <v>0</v>
      </c>
      <c r="DD102" t="s">
        <v>3</v>
      </c>
      <c r="DE102" t="s">
        <v>3</v>
      </c>
      <c r="DF102">
        <f>ROUND(ROUND(AE102*AI102,2)*CX102,2)</f>
        <v>0</v>
      </c>
      <c r="DG102">
        <f t="shared" si="31"/>
        <v>0</v>
      </c>
      <c r="DH102">
        <f t="shared" si="26"/>
        <v>0</v>
      </c>
      <c r="DI102">
        <f t="shared" si="23"/>
        <v>0</v>
      </c>
      <c r="DJ102">
        <f>DF102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ROW(Source!A68)</f>
        <v>68</v>
      </c>
      <c r="B103">
        <v>57034452</v>
      </c>
      <c r="C103">
        <v>57035444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459</v>
      </c>
      <c r="J103" t="s">
        <v>3</v>
      </c>
      <c r="K103" t="s">
        <v>460</v>
      </c>
      <c r="L103">
        <v>1191</v>
      </c>
      <c r="N103">
        <v>1013</v>
      </c>
      <c r="O103" t="s">
        <v>461</v>
      </c>
      <c r="P103" t="s">
        <v>461</v>
      </c>
      <c r="Q103">
        <v>1</v>
      </c>
      <c r="W103">
        <v>0</v>
      </c>
      <c r="X103">
        <v>476480486</v>
      </c>
      <c r="Y103">
        <f>(AT103*1.2)</f>
        <v>11.568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9.64</v>
      </c>
      <c r="AU103" t="s">
        <v>105</v>
      </c>
      <c r="AV103">
        <v>1</v>
      </c>
      <c r="AW103">
        <v>2</v>
      </c>
      <c r="AX103">
        <v>57035446</v>
      </c>
      <c r="AY103">
        <v>1</v>
      </c>
      <c r="AZ103">
        <v>0</v>
      </c>
      <c r="BA103">
        <v>135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ROUND(AT103*Source!I68*AH103*AL103,2)</f>
        <v>0</v>
      </c>
      <c r="CV103">
        <f>ROUND(Y103*Source!I68,9)</f>
        <v>1087.3920000000001</v>
      </c>
      <c r="CW103">
        <v>0</v>
      </c>
      <c r="CX103">
        <f>ROUND(Y103*Source!I68,9)</f>
        <v>1087.3920000000001</v>
      </c>
      <c r="CY103">
        <f>AD103</f>
        <v>0</v>
      </c>
      <c r="CZ103">
        <f>AH103</f>
        <v>0</v>
      </c>
      <c r="DA103">
        <f>AL103</f>
        <v>1</v>
      </c>
      <c r="DB103">
        <f>ROUND((ROUND(AT103*CZ103,2)*1.2),6)</f>
        <v>0</v>
      </c>
      <c r="DC103">
        <f>ROUND((ROUND(AT103*AG103,2)*1.2),6)</f>
        <v>0</v>
      </c>
      <c r="DD103" t="s">
        <v>3</v>
      </c>
      <c r="DE103" t="s">
        <v>3</v>
      </c>
      <c r="DF103">
        <f>ROUND(ROUND(AE103,2)*CX103,2)</f>
        <v>0</v>
      </c>
      <c r="DG103">
        <f t="shared" si="31"/>
        <v>0</v>
      </c>
      <c r="DH103">
        <f t="shared" si="26"/>
        <v>0</v>
      </c>
      <c r="DI103">
        <f t="shared" si="23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ROW(Source!A69)</f>
        <v>69</v>
      </c>
      <c r="B104">
        <v>57034454</v>
      </c>
      <c r="C104">
        <v>57035444</v>
      </c>
      <c r="D104">
        <v>55424304</v>
      </c>
      <c r="E104">
        <v>1081</v>
      </c>
      <c r="F104">
        <v>1</v>
      </c>
      <c r="G104">
        <v>1081</v>
      </c>
      <c r="H104">
        <v>1</v>
      </c>
      <c r="I104" t="s">
        <v>459</v>
      </c>
      <c r="J104" t="s">
        <v>3</v>
      </c>
      <c r="K104" t="s">
        <v>460</v>
      </c>
      <c r="L104">
        <v>1191</v>
      </c>
      <c r="N104">
        <v>1013</v>
      </c>
      <c r="O104" t="s">
        <v>461</v>
      </c>
      <c r="P104" t="s">
        <v>461</v>
      </c>
      <c r="Q104">
        <v>1</v>
      </c>
      <c r="W104">
        <v>0</v>
      </c>
      <c r="X104">
        <v>476480486</v>
      </c>
      <c r="Y104">
        <f>(AT104*1.2)</f>
        <v>11.568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5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9.64</v>
      </c>
      <c r="AU104" t="s">
        <v>105</v>
      </c>
      <c r="AV104">
        <v>1</v>
      </c>
      <c r="AW104">
        <v>2</v>
      </c>
      <c r="AX104">
        <v>57035446</v>
      </c>
      <c r="AY104">
        <v>1</v>
      </c>
      <c r="AZ104">
        <v>0</v>
      </c>
      <c r="BA104">
        <v>136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U104">
        <f>ROUND(AT104*Source!I69*AH104*AL104,2)</f>
        <v>0</v>
      </c>
      <c r="CV104">
        <f>ROUND(Y104*Source!I69,9)</f>
        <v>1087.3920000000001</v>
      </c>
      <c r="CW104">
        <v>0</v>
      </c>
      <c r="CX104">
        <f>ROUND(Y104*Source!I69,9)</f>
        <v>1087.3920000000001</v>
      </c>
      <c r="CY104">
        <f>AD104</f>
        <v>0</v>
      </c>
      <c r="CZ104">
        <f>AH104</f>
        <v>0</v>
      </c>
      <c r="DA104">
        <f>AL104</f>
        <v>1</v>
      </c>
      <c r="DB104">
        <f>ROUND((ROUND(AT104*CZ104,2)*1.2),6)</f>
        <v>0</v>
      </c>
      <c r="DC104">
        <f>ROUND((ROUND(AT104*AG104,2)*1.2),6)</f>
        <v>0</v>
      </c>
      <c r="DD104" t="s">
        <v>3</v>
      </c>
      <c r="DE104" t="s">
        <v>3</v>
      </c>
      <c r="DF104">
        <f>ROUND(ROUND(AE104,2)*CX104,2)</f>
        <v>0</v>
      </c>
      <c r="DG104">
        <f t="shared" si="31"/>
        <v>0</v>
      </c>
      <c r="DH104">
        <f t="shared" si="26"/>
        <v>0</v>
      </c>
      <c r="DI104">
        <f t="shared" si="23"/>
        <v>0</v>
      </c>
      <c r="DJ104">
        <f>DI104</f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ROW(Source!A70)</f>
        <v>70</v>
      </c>
      <c r="B105">
        <v>57034452</v>
      </c>
      <c r="C105">
        <v>57037687</v>
      </c>
      <c r="D105">
        <v>55424304</v>
      </c>
      <c r="E105">
        <v>1081</v>
      </c>
      <c r="F105">
        <v>1</v>
      </c>
      <c r="G105">
        <v>1081</v>
      </c>
      <c r="H105">
        <v>1</v>
      </c>
      <c r="I105" t="s">
        <v>459</v>
      </c>
      <c r="J105" t="s">
        <v>3</v>
      </c>
      <c r="K105" t="s">
        <v>460</v>
      </c>
      <c r="L105">
        <v>1191</v>
      </c>
      <c r="N105">
        <v>1013</v>
      </c>
      <c r="O105" t="s">
        <v>461</v>
      </c>
      <c r="P105" t="s">
        <v>461</v>
      </c>
      <c r="Q105">
        <v>1</v>
      </c>
      <c r="W105">
        <v>0</v>
      </c>
      <c r="X105">
        <v>476480486</v>
      </c>
      <c r="Y105">
        <f>(AT105*1.2)</f>
        <v>2.6999999999999997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2.25</v>
      </c>
      <c r="AU105" t="s">
        <v>105</v>
      </c>
      <c r="AV105">
        <v>1</v>
      </c>
      <c r="AW105">
        <v>2</v>
      </c>
      <c r="AX105">
        <v>57037690</v>
      </c>
      <c r="AY105">
        <v>1</v>
      </c>
      <c r="AZ105">
        <v>0</v>
      </c>
      <c r="BA105">
        <v>137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U105">
        <f>ROUND(AT105*Source!I70*AH105*AL105,2)</f>
        <v>0</v>
      </c>
      <c r="CV105">
        <f>ROUND(Y105*Source!I70,9)</f>
        <v>114.75</v>
      </c>
      <c r="CW105">
        <v>0</v>
      </c>
      <c r="CX105">
        <f>ROUND(Y105*Source!I70,9)</f>
        <v>114.75</v>
      </c>
      <c r="CY105">
        <f>AD105</f>
        <v>0</v>
      </c>
      <c r="CZ105">
        <f>AH105</f>
        <v>0</v>
      </c>
      <c r="DA105">
        <f>AL105</f>
        <v>1</v>
      </c>
      <c r="DB105">
        <f>ROUND((ROUND(AT105*CZ105,2)*1.2),6)</f>
        <v>0</v>
      </c>
      <c r="DC105">
        <f>ROUND((ROUND(AT105*AG105,2)*1.2),6)</f>
        <v>0</v>
      </c>
      <c r="DD105" t="s">
        <v>3</v>
      </c>
      <c r="DE105" t="s">
        <v>3</v>
      </c>
      <c r="DF105">
        <f>ROUND(ROUND(AE105,2)*CX105,2)</f>
        <v>0</v>
      </c>
      <c r="DG105">
        <f t="shared" si="31"/>
        <v>0</v>
      </c>
      <c r="DH105">
        <f t="shared" si="26"/>
        <v>0</v>
      </c>
      <c r="DI105">
        <f t="shared" si="23"/>
        <v>0</v>
      </c>
      <c r="DJ105">
        <f>DI105</f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ROW(Source!A70)</f>
        <v>70</v>
      </c>
      <c r="B106">
        <v>57034452</v>
      </c>
      <c r="C106">
        <v>57037687</v>
      </c>
      <c r="D106">
        <v>55424288</v>
      </c>
      <c r="E106">
        <v>1081</v>
      </c>
      <c r="F106">
        <v>1</v>
      </c>
      <c r="G106">
        <v>1081</v>
      </c>
      <c r="H106">
        <v>3</v>
      </c>
      <c r="I106" t="s">
        <v>510</v>
      </c>
      <c r="J106" t="s">
        <v>3</v>
      </c>
      <c r="K106" t="s">
        <v>511</v>
      </c>
      <c r="L106">
        <v>1348</v>
      </c>
      <c r="N106">
        <v>1009</v>
      </c>
      <c r="O106" t="s">
        <v>299</v>
      </c>
      <c r="P106" t="s">
        <v>299</v>
      </c>
      <c r="Q106">
        <v>1000</v>
      </c>
      <c r="W106">
        <v>0</v>
      </c>
      <c r="X106">
        <v>1489638031</v>
      </c>
      <c r="Y106">
        <f>(AT106*1)</f>
        <v>7.0000000000000001E-3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7.0000000000000001E-3</v>
      </c>
      <c r="AU106" t="s">
        <v>104</v>
      </c>
      <c r="AV106">
        <v>0</v>
      </c>
      <c r="AW106">
        <v>2</v>
      </c>
      <c r="AX106">
        <v>57037691</v>
      </c>
      <c r="AY106">
        <v>1</v>
      </c>
      <c r="AZ106">
        <v>0</v>
      </c>
      <c r="BA106">
        <v>138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ROUND(Y106*Source!I70,9)</f>
        <v>0.29749999999999999</v>
      </c>
      <c r="CY106">
        <f>AA106</f>
        <v>0</v>
      </c>
      <c r="CZ106">
        <f>AE106</f>
        <v>0</v>
      </c>
      <c r="DA106">
        <f>AI106</f>
        <v>1</v>
      </c>
      <c r="DB106">
        <f>ROUND((ROUND(AT106*CZ106,2)*1),6)</f>
        <v>0</v>
      </c>
      <c r="DC106">
        <f>ROUND((ROUND(AT106*AG106,2)*1),6)</f>
        <v>0</v>
      </c>
      <c r="DD106" t="s">
        <v>3</v>
      </c>
      <c r="DE106" t="s">
        <v>3</v>
      </c>
      <c r="DF106">
        <f>ROUND(ROUND(AE106,2)*CX106,2)</f>
        <v>0</v>
      </c>
      <c r="DG106">
        <f t="shared" si="31"/>
        <v>0</v>
      </c>
      <c r="DH106">
        <f t="shared" si="26"/>
        <v>0</v>
      </c>
      <c r="DI106">
        <f t="shared" si="23"/>
        <v>0</v>
      </c>
      <c r="DJ106">
        <f>DF106</f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ROW(Source!A71)</f>
        <v>71</v>
      </c>
      <c r="B107">
        <v>57034454</v>
      </c>
      <c r="C107">
        <v>57037687</v>
      </c>
      <c r="D107">
        <v>55424304</v>
      </c>
      <c r="E107">
        <v>1081</v>
      </c>
      <c r="F107">
        <v>1</v>
      </c>
      <c r="G107">
        <v>1081</v>
      </c>
      <c r="H107">
        <v>1</v>
      </c>
      <c r="I107" t="s">
        <v>459</v>
      </c>
      <c r="J107" t="s">
        <v>3</v>
      </c>
      <c r="K107" t="s">
        <v>460</v>
      </c>
      <c r="L107">
        <v>1191</v>
      </c>
      <c r="N107">
        <v>1013</v>
      </c>
      <c r="O107" t="s">
        <v>461</v>
      </c>
      <c r="P107" t="s">
        <v>461</v>
      </c>
      <c r="Q107">
        <v>1</v>
      </c>
      <c r="W107">
        <v>0</v>
      </c>
      <c r="X107">
        <v>476480486</v>
      </c>
      <c r="Y107">
        <f>(AT107*1.2)</f>
        <v>2.6999999999999997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5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2.25</v>
      </c>
      <c r="AU107" t="s">
        <v>105</v>
      </c>
      <c r="AV107">
        <v>1</v>
      </c>
      <c r="AW107">
        <v>2</v>
      </c>
      <c r="AX107">
        <v>57037690</v>
      </c>
      <c r="AY107">
        <v>1</v>
      </c>
      <c r="AZ107">
        <v>0</v>
      </c>
      <c r="BA107">
        <v>139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U107">
        <f>ROUND(AT107*Source!I71*AH107*AL107,2)</f>
        <v>0</v>
      </c>
      <c r="CV107">
        <f>ROUND(Y107*Source!I71,9)</f>
        <v>114.75</v>
      </c>
      <c r="CW107">
        <v>0</v>
      </c>
      <c r="CX107">
        <f>ROUND(Y107*Source!I71,9)</f>
        <v>114.75</v>
      </c>
      <c r="CY107">
        <f>AD107</f>
        <v>0</v>
      </c>
      <c r="CZ107">
        <f>AH107</f>
        <v>0</v>
      </c>
      <c r="DA107">
        <f>AL107</f>
        <v>1</v>
      </c>
      <c r="DB107">
        <f>ROUND((ROUND(AT107*CZ107,2)*1.2),6)</f>
        <v>0</v>
      </c>
      <c r="DC107">
        <f>ROUND((ROUND(AT107*AG107,2)*1.2),6)</f>
        <v>0</v>
      </c>
      <c r="DD107" t="s">
        <v>3</v>
      </c>
      <c r="DE107" t="s">
        <v>3</v>
      </c>
      <c r="DF107">
        <f>ROUND(ROUND(AE107,2)*CX107,2)</f>
        <v>0</v>
      </c>
      <c r="DG107">
        <f t="shared" si="31"/>
        <v>0</v>
      </c>
      <c r="DH107">
        <f t="shared" si="26"/>
        <v>0</v>
      </c>
      <c r="DI107">
        <f t="shared" si="23"/>
        <v>0</v>
      </c>
      <c r="DJ107">
        <f>DI107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ROW(Source!A71)</f>
        <v>71</v>
      </c>
      <c r="B108">
        <v>57034454</v>
      </c>
      <c r="C108">
        <v>57037687</v>
      </c>
      <c r="D108">
        <v>55424288</v>
      </c>
      <c r="E108">
        <v>1081</v>
      </c>
      <c r="F108">
        <v>1</v>
      </c>
      <c r="G108">
        <v>1081</v>
      </c>
      <c r="H108">
        <v>3</v>
      </c>
      <c r="I108" t="s">
        <v>510</v>
      </c>
      <c r="J108" t="s">
        <v>3</v>
      </c>
      <c r="K108" t="s">
        <v>511</v>
      </c>
      <c r="L108">
        <v>1348</v>
      </c>
      <c r="N108">
        <v>1009</v>
      </c>
      <c r="O108" t="s">
        <v>299</v>
      </c>
      <c r="P108" t="s">
        <v>299</v>
      </c>
      <c r="Q108">
        <v>1000</v>
      </c>
      <c r="W108">
        <v>0</v>
      </c>
      <c r="X108">
        <v>1489638031</v>
      </c>
      <c r="Y108">
        <f>(AT108*1)</f>
        <v>7.0000000000000001E-3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9.84</v>
      </c>
      <c r="AJ108">
        <v>1</v>
      </c>
      <c r="AK108">
        <v>1</v>
      </c>
      <c r="AL108">
        <v>1</v>
      </c>
      <c r="AM108">
        <v>5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7.0000000000000001E-3</v>
      </c>
      <c r="AU108" t="s">
        <v>104</v>
      </c>
      <c r="AV108">
        <v>0</v>
      </c>
      <c r="AW108">
        <v>2</v>
      </c>
      <c r="AX108">
        <v>57037691</v>
      </c>
      <c r="AY108">
        <v>1</v>
      </c>
      <c r="AZ108">
        <v>0</v>
      </c>
      <c r="BA108">
        <v>140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ROUND(Y108*Source!I71,9)</f>
        <v>0.29749999999999999</v>
      </c>
      <c r="CY108">
        <f>AA108</f>
        <v>0</v>
      </c>
      <c r="CZ108">
        <f>AE108</f>
        <v>0</v>
      </c>
      <c r="DA108">
        <f>AI108</f>
        <v>9.84</v>
      </c>
      <c r="DB108">
        <f>ROUND((ROUND(AT108*CZ108,2)*1),6)</f>
        <v>0</v>
      </c>
      <c r="DC108">
        <f>ROUND((ROUND(AT108*AG108,2)*1),6)</f>
        <v>0</v>
      </c>
      <c r="DD108" t="s">
        <v>3</v>
      </c>
      <c r="DE108" t="s">
        <v>3</v>
      </c>
      <c r="DF108">
        <f>ROUND(ROUND(AE108*AI108,2)*CX108,2)</f>
        <v>0</v>
      </c>
      <c r="DG108">
        <f t="shared" si="31"/>
        <v>0</v>
      </c>
      <c r="DH108">
        <f t="shared" si="26"/>
        <v>0</v>
      </c>
      <c r="DI108">
        <f t="shared" si="23"/>
        <v>0</v>
      </c>
      <c r="DJ108">
        <f>DF108</f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ROW(Source!A107)</f>
        <v>107</v>
      </c>
      <c r="B109">
        <v>57034452</v>
      </c>
      <c r="C109">
        <v>57035041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459</v>
      </c>
      <c r="J109" t="s">
        <v>3</v>
      </c>
      <c r="K109" t="s">
        <v>460</v>
      </c>
      <c r="L109">
        <v>1191</v>
      </c>
      <c r="N109">
        <v>1013</v>
      </c>
      <c r="O109" t="s">
        <v>461</v>
      </c>
      <c r="P109" t="s">
        <v>461</v>
      </c>
      <c r="Q109">
        <v>1</v>
      </c>
      <c r="W109">
        <v>0</v>
      </c>
      <c r="X109">
        <v>476480486</v>
      </c>
      <c r="Y109">
        <f>(AT109*1.2)</f>
        <v>3.7079999999999997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3.09</v>
      </c>
      <c r="AU109" t="s">
        <v>105</v>
      </c>
      <c r="AV109">
        <v>1</v>
      </c>
      <c r="AW109">
        <v>2</v>
      </c>
      <c r="AX109">
        <v>57035045</v>
      </c>
      <c r="AY109">
        <v>1</v>
      </c>
      <c r="AZ109">
        <v>0</v>
      </c>
      <c r="BA109">
        <v>141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ROUND(AT109*Source!I107*AH109*AL109,2)</f>
        <v>0</v>
      </c>
      <c r="CV109">
        <f>ROUND(Y109*Source!I107,9)</f>
        <v>3.7080000000000002</v>
      </c>
      <c r="CW109">
        <v>0</v>
      </c>
      <c r="CX109">
        <f>ROUND(Y109*Source!I107,9)</f>
        <v>3.7080000000000002</v>
      </c>
      <c r="CY109">
        <f>AD109</f>
        <v>0</v>
      </c>
      <c r="CZ109">
        <f>AH109</f>
        <v>0</v>
      </c>
      <c r="DA109">
        <f>AL109</f>
        <v>1</v>
      </c>
      <c r="DB109">
        <f>ROUND((ROUND(AT109*CZ109,2)*1.2),6)</f>
        <v>0</v>
      </c>
      <c r="DC109">
        <f>ROUND((ROUND(AT109*AG109,2)*1.2),6)</f>
        <v>0</v>
      </c>
      <c r="DD109" t="s">
        <v>3</v>
      </c>
      <c r="DE109" t="s">
        <v>3</v>
      </c>
      <c r="DF109">
        <f>ROUND(ROUND(AE109,2)*CX109,2)</f>
        <v>0</v>
      </c>
      <c r="DG109">
        <f t="shared" si="31"/>
        <v>0</v>
      </c>
      <c r="DH109">
        <f t="shared" si="26"/>
        <v>0</v>
      </c>
      <c r="DI109">
        <f t="shared" si="23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ROW(Source!A107)</f>
        <v>107</v>
      </c>
      <c r="B110">
        <v>57034452</v>
      </c>
      <c r="C110">
        <v>57035041</v>
      </c>
      <c r="D110">
        <v>55490209</v>
      </c>
      <c r="E110">
        <v>1</v>
      </c>
      <c r="F110">
        <v>1</v>
      </c>
      <c r="G110">
        <v>1081</v>
      </c>
      <c r="H110">
        <v>2</v>
      </c>
      <c r="I110" t="s">
        <v>462</v>
      </c>
      <c r="J110" t="s">
        <v>463</v>
      </c>
      <c r="K110" t="s">
        <v>464</v>
      </c>
      <c r="L110">
        <v>1368</v>
      </c>
      <c r="N110">
        <v>1011</v>
      </c>
      <c r="O110" t="s">
        <v>465</v>
      </c>
      <c r="P110" t="s">
        <v>465</v>
      </c>
      <c r="Q110">
        <v>1</v>
      </c>
      <c r="W110">
        <v>0</v>
      </c>
      <c r="X110">
        <v>874612079</v>
      </c>
      <c r="Y110">
        <f>(AT110*1.2)</f>
        <v>0.38400000000000001</v>
      </c>
      <c r="AA110">
        <v>0</v>
      </c>
      <c r="AB110">
        <v>87.01</v>
      </c>
      <c r="AC110">
        <v>13.21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0.32</v>
      </c>
      <c r="AU110" t="s">
        <v>105</v>
      </c>
      <c r="AV110">
        <v>0</v>
      </c>
      <c r="AW110">
        <v>2</v>
      </c>
      <c r="AX110">
        <v>57035046</v>
      </c>
      <c r="AY110">
        <v>1</v>
      </c>
      <c r="AZ110">
        <v>0</v>
      </c>
      <c r="BA110">
        <v>142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ROUND(Y110*Source!I107*DO110,9)</f>
        <v>4.8460799999999997</v>
      </c>
      <c r="CX110">
        <f>ROUND(Y110*Source!I107,9)</f>
        <v>0.38400000000000001</v>
      </c>
      <c r="CY110">
        <f>AB110</f>
        <v>87.01</v>
      </c>
      <c r="CZ110">
        <f>AF110</f>
        <v>83.1</v>
      </c>
      <c r="DA110">
        <f>AJ110</f>
        <v>1</v>
      </c>
      <c r="DB110">
        <f>ROUND((ROUND(AT110*CZ110,2)*1.2),6)</f>
        <v>31.908000000000001</v>
      </c>
      <c r="DC110">
        <f>ROUND((ROUND(AT110*AG110,2)*1.2),6)</f>
        <v>4.8479999999999999</v>
      </c>
      <c r="DD110" t="s">
        <v>3</v>
      </c>
      <c r="DE110" t="s">
        <v>3</v>
      </c>
      <c r="DF110">
        <f>ROUND(ROUND(AE110,2)*CX110,2)</f>
        <v>0</v>
      </c>
      <c r="DG110">
        <f t="shared" si="31"/>
        <v>31.91</v>
      </c>
      <c r="DH110">
        <f t="shared" si="26"/>
        <v>4.8499999999999996</v>
      </c>
      <c r="DI110">
        <f t="shared" si="23"/>
        <v>0</v>
      </c>
      <c r="DJ110">
        <f>DG110</f>
        <v>31.91</v>
      </c>
      <c r="DK110">
        <v>0</v>
      </c>
      <c r="DL110" t="s">
        <v>466</v>
      </c>
      <c r="DM110">
        <v>0</v>
      </c>
      <c r="DN110" t="s">
        <v>461</v>
      </c>
      <c r="DO110">
        <v>12.62</v>
      </c>
    </row>
    <row r="111" spans="1:119" x14ac:dyDescent="0.25">
      <c r="A111">
        <f>ROW(Source!A107)</f>
        <v>107</v>
      </c>
      <c r="B111">
        <v>57034452</v>
      </c>
      <c r="C111">
        <v>57035041</v>
      </c>
      <c r="D111">
        <v>0</v>
      </c>
      <c r="E111">
        <v>0</v>
      </c>
      <c r="F111">
        <v>1</v>
      </c>
      <c r="G111">
        <v>1081</v>
      </c>
      <c r="H111">
        <v>3</v>
      </c>
      <c r="I111" t="s">
        <v>175</v>
      </c>
      <c r="J111" t="s">
        <v>3</v>
      </c>
      <c r="K111" t="s">
        <v>176</v>
      </c>
      <c r="L111">
        <v>1354</v>
      </c>
      <c r="N111">
        <v>1010</v>
      </c>
      <c r="O111" t="s">
        <v>177</v>
      </c>
      <c r="P111" t="s">
        <v>177</v>
      </c>
      <c r="Q111">
        <v>1</v>
      </c>
      <c r="W111">
        <v>0</v>
      </c>
      <c r="X111">
        <v>-1945388449</v>
      </c>
      <c r="Y111">
        <f>(AT111*1)</f>
        <v>1</v>
      </c>
      <c r="AA111">
        <v>52864.83</v>
      </c>
      <c r="AB111">
        <v>0</v>
      </c>
      <c r="AC111">
        <v>0</v>
      </c>
      <c r="AD111">
        <v>0</v>
      </c>
      <c r="AE111">
        <v>52864.83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 t="s">
        <v>3</v>
      </c>
      <c r="AT111">
        <v>1</v>
      </c>
      <c r="AU111" t="s">
        <v>104</v>
      </c>
      <c r="AV111">
        <v>0</v>
      </c>
      <c r="AW111">
        <v>1</v>
      </c>
      <c r="AX111">
        <v>-1</v>
      </c>
      <c r="AY111">
        <v>0</v>
      </c>
      <c r="AZ111">
        <v>0</v>
      </c>
      <c r="BA111" t="s">
        <v>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ROUND(Y111*Source!I107,9)</f>
        <v>1</v>
      </c>
      <c r="CY111">
        <f>AA111</f>
        <v>52864.83</v>
      </c>
      <c r="CZ111">
        <f>AE111</f>
        <v>52864.83</v>
      </c>
      <c r="DA111">
        <f>AI111</f>
        <v>1</v>
      </c>
      <c r="DB111">
        <f>ROUND((ROUND(AT111*CZ111,2)*1),6)</f>
        <v>52864.83</v>
      </c>
      <c r="DC111">
        <f>ROUND((ROUND(AT111*AG111,2)*1),6)</f>
        <v>0</v>
      </c>
      <c r="DD111" t="s">
        <v>3</v>
      </c>
      <c r="DE111" t="s">
        <v>3</v>
      </c>
      <c r="DF111">
        <f>ROUND(ROUND(AE111,2)*CX111,2)</f>
        <v>52864.83</v>
      </c>
      <c r="DG111">
        <f t="shared" si="31"/>
        <v>0</v>
      </c>
      <c r="DH111">
        <f t="shared" si="26"/>
        <v>0</v>
      </c>
      <c r="DI111">
        <f t="shared" si="23"/>
        <v>0</v>
      </c>
      <c r="DJ111">
        <f>DF111</f>
        <v>52864.83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ROW(Source!A108)</f>
        <v>108</v>
      </c>
      <c r="B112">
        <v>57034454</v>
      </c>
      <c r="C112">
        <v>57035041</v>
      </c>
      <c r="D112">
        <v>55424304</v>
      </c>
      <c r="E112">
        <v>1081</v>
      </c>
      <c r="F112">
        <v>1</v>
      </c>
      <c r="G112">
        <v>1081</v>
      </c>
      <c r="H112">
        <v>1</v>
      </c>
      <c r="I112" t="s">
        <v>459</v>
      </c>
      <c r="J112" t="s">
        <v>3</v>
      </c>
      <c r="K112" t="s">
        <v>460</v>
      </c>
      <c r="L112">
        <v>1191</v>
      </c>
      <c r="N112">
        <v>1013</v>
      </c>
      <c r="O112" t="s">
        <v>461</v>
      </c>
      <c r="P112" t="s">
        <v>461</v>
      </c>
      <c r="Q112">
        <v>1</v>
      </c>
      <c r="W112">
        <v>0</v>
      </c>
      <c r="X112">
        <v>476480486</v>
      </c>
      <c r="Y112">
        <f>(AT112*1.2)</f>
        <v>3.7079999999999997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5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3.09</v>
      </c>
      <c r="AU112" t="s">
        <v>105</v>
      </c>
      <c r="AV112">
        <v>1</v>
      </c>
      <c r="AW112">
        <v>2</v>
      </c>
      <c r="AX112">
        <v>57035045</v>
      </c>
      <c r="AY112">
        <v>1</v>
      </c>
      <c r="AZ112">
        <v>0</v>
      </c>
      <c r="BA112">
        <v>144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U112">
        <f>ROUND(AT112*Source!I108*AH112*AL112,2)</f>
        <v>0</v>
      </c>
      <c r="CV112">
        <f>ROUND(Y112*Source!I108,9)</f>
        <v>3.7080000000000002</v>
      </c>
      <c r="CW112">
        <v>0</v>
      </c>
      <c r="CX112">
        <f>ROUND(Y112*Source!I108,9)</f>
        <v>3.7080000000000002</v>
      </c>
      <c r="CY112">
        <f>AD112</f>
        <v>0</v>
      </c>
      <c r="CZ112">
        <f>AH112</f>
        <v>0</v>
      </c>
      <c r="DA112">
        <f>AL112</f>
        <v>1</v>
      </c>
      <c r="DB112">
        <f>ROUND((ROUND(AT112*CZ112,2)*1.2),6)</f>
        <v>0</v>
      </c>
      <c r="DC112">
        <f>ROUND((ROUND(AT112*AG112,2)*1.2),6)</f>
        <v>0</v>
      </c>
      <c r="DD112" t="s">
        <v>3</v>
      </c>
      <c r="DE112" t="s">
        <v>3</v>
      </c>
      <c r="DF112">
        <f>ROUND(ROUND(AE112,2)*CX112,2)</f>
        <v>0</v>
      </c>
      <c r="DG112">
        <f t="shared" si="31"/>
        <v>0</v>
      </c>
      <c r="DH112">
        <f t="shared" si="26"/>
        <v>0</v>
      </c>
      <c r="DI112">
        <f t="shared" si="23"/>
        <v>0</v>
      </c>
      <c r="DJ112">
        <f>DI112</f>
        <v>0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ROW(Source!A108)</f>
        <v>108</v>
      </c>
      <c r="B113">
        <v>57034454</v>
      </c>
      <c r="C113">
        <v>57035041</v>
      </c>
      <c r="D113">
        <v>55490209</v>
      </c>
      <c r="E113">
        <v>1</v>
      </c>
      <c r="F113">
        <v>1</v>
      </c>
      <c r="G113">
        <v>1081</v>
      </c>
      <c r="H113">
        <v>2</v>
      </c>
      <c r="I113" t="s">
        <v>462</v>
      </c>
      <c r="J113" t="s">
        <v>463</v>
      </c>
      <c r="K113" t="s">
        <v>464</v>
      </c>
      <c r="L113">
        <v>1368</v>
      </c>
      <c r="N113">
        <v>1011</v>
      </c>
      <c r="O113" t="s">
        <v>465</v>
      </c>
      <c r="P113" t="s">
        <v>465</v>
      </c>
      <c r="Q113">
        <v>1</v>
      </c>
      <c r="W113">
        <v>0</v>
      </c>
      <c r="X113">
        <v>874612079</v>
      </c>
      <c r="Y113">
        <f>(AT113*1.2)</f>
        <v>0.38400000000000001</v>
      </c>
      <c r="AA113">
        <v>0</v>
      </c>
      <c r="AB113">
        <v>1485.19</v>
      </c>
      <c r="AC113">
        <v>744.56</v>
      </c>
      <c r="AD113">
        <v>0</v>
      </c>
      <c r="AE113">
        <v>0</v>
      </c>
      <c r="AF113">
        <v>83.1</v>
      </c>
      <c r="AG113">
        <v>12.62</v>
      </c>
      <c r="AH113">
        <v>0</v>
      </c>
      <c r="AI113">
        <v>1</v>
      </c>
      <c r="AJ113">
        <v>17.07</v>
      </c>
      <c r="AK113">
        <v>56.35</v>
      </c>
      <c r="AL113">
        <v>1</v>
      </c>
      <c r="AM113">
        <v>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0.32</v>
      </c>
      <c r="AU113" t="s">
        <v>105</v>
      </c>
      <c r="AV113">
        <v>0</v>
      </c>
      <c r="AW113">
        <v>2</v>
      </c>
      <c r="AX113">
        <v>57035046</v>
      </c>
      <c r="AY113">
        <v>1</v>
      </c>
      <c r="AZ113">
        <v>0</v>
      </c>
      <c r="BA113">
        <v>145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ROUND(Y113*Source!I108*DO113,9)</f>
        <v>4.8460799999999997</v>
      </c>
      <c r="CX113">
        <f>ROUND(Y113*Source!I108,9)</f>
        <v>0.38400000000000001</v>
      </c>
      <c r="CY113">
        <f>AB113</f>
        <v>1485.19</v>
      </c>
      <c r="CZ113">
        <f>AF113</f>
        <v>83.1</v>
      </c>
      <c r="DA113">
        <f>AJ113</f>
        <v>17.07</v>
      </c>
      <c r="DB113">
        <f>ROUND((ROUND(AT113*CZ113,2)*1.2),6)</f>
        <v>31.908000000000001</v>
      </c>
      <c r="DC113">
        <f>ROUND((ROUND(AT113*AG113,2)*1.2),6)</f>
        <v>4.8479999999999999</v>
      </c>
      <c r="DD113" t="s">
        <v>3</v>
      </c>
      <c r="DE113" t="s">
        <v>3</v>
      </c>
      <c r="DF113">
        <f>ROUND(ROUND(AE113,2)*CX113,2)</f>
        <v>0</v>
      </c>
      <c r="DG113">
        <f>ROUND(ROUND(AF113*AJ113,2)*CX113,2)</f>
        <v>544.71</v>
      </c>
      <c r="DH113">
        <f>ROUND(ROUND(AG113*AK113,2)*CX113,2)</f>
        <v>273.08</v>
      </c>
      <c r="DI113">
        <f t="shared" si="23"/>
        <v>0</v>
      </c>
      <c r="DJ113">
        <f>DG113</f>
        <v>544.71</v>
      </c>
      <c r="DK113">
        <v>0</v>
      </c>
      <c r="DL113" t="s">
        <v>466</v>
      </c>
      <c r="DM113">
        <v>0</v>
      </c>
      <c r="DN113" t="s">
        <v>461</v>
      </c>
      <c r="DO113">
        <v>12.62</v>
      </c>
    </row>
    <row r="114" spans="1:119" x14ac:dyDescent="0.25">
      <c r="A114">
        <f>ROW(Source!A108)</f>
        <v>108</v>
      </c>
      <c r="B114">
        <v>57034454</v>
      </c>
      <c r="C114">
        <v>57035041</v>
      </c>
      <c r="D114">
        <v>0</v>
      </c>
      <c r="E114">
        <v>0</v>
      </c>
      <c r="F114">
        <v>1</v>
      </c>
      <c r="G114">
        <v>1081</v>
      </c>
      <c r="H114">
        <v>3</v>
      </c>
      <c r="I114" t="s">
        <v>175</v>
      </c>
      <c r="J114" t="s">
        <v>3</v>
      </c>
      <c r="K114" t="s">
        <v>176</v>
      </c>
      <c r="L114">
        <v>1354</v>
      </c>
      <c r="N114">
        <v>1010</v>
      </c>
      <c r="O114" t="s">
        <v>177</v>
      </c>
      <c r="P114" t="s">
        <v>177</v>
      </c>
      <c r="Q114">
        <v>1</v>
      </c>
      <c r="W114">
        <v>0</v>
      </c>
      <c r="X114">
        <v>-1945388449</v>
      </c>
      <c r="Y114">
        <f>(AT114*1)</f>
        <v>1</v>
      </c>
      <c r="AA114">
        <v>400186.76</v>
      </c>
      <c r="AB114">
        <v>0</v>
      </c>
      <c r="AC114">
        <v>0</v>
      </c>
      <c r="AD114">
        <v>0</v>
      </c>
      <c r="AE114">
        <v>52864.83</v>
      </c>
      <c r="AF114">
        <v>0</v>
      </c>
      <c r="AG114">
        <v>0</v>
      </c>
      <c r="AH114">
        <v>0</v>
      </c>
      <c r="AI114">
        <v>7.57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 t="s">
        <v>3</v>
      </c>
      <c r="AT114">
        <v>1</v>
      </c>
      <c r="AU114" t="s">
        <v>104</v>
      </c>
      <c r="AV114">
        <v>0</v>
      </c>
      <c r="AW114">
        <v>1</v>
      </c>
      <c r="AX114">
        <v>-1</v>
      </c>
      <c r="AY114">
        <v>0</v>
      </c>
      <c r="AZ114">
        <v>0</v>
      </c>
      <c r="BA114" t="s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ROUND(Y114*Source!I108,9)</f>
        <v>1</v>
      </c>
      <c r="CY114">
        <f>AA114</f>
        <v>400186.76</v>
      </c>
      <c r="CZ114">
        <f>AE114</f>
        <v>52864.83</v>
      </c>
      <c r="DA114">
        <f>AI114</f>
        <v>7.57</v>
      </c>
      <c r="DB114">
        <f>ROUND((ROUND(AT114*CZ114,2)*1),6)</f>
        <v>52864.83</v>
      </c>
      <c r="DC114">
        <f>ROUND((ROUND(AT114*AG114,2)*1),6)</f>
        <v>0</v>
      </c>
      <c r="DD114" t="s">
        <v>3</v>
      </c>
      <c r="DE114" t="s">
        <v>3</v>
      </c>
      <c r="DF114">
        <f>ROUND(ROUND(AE114*AI114,2)*CX114,2)</f>
        <v>400186.76</v>
      </c>
      <c r="DG114">
        <f t="shared" ref="DG114:DG140" si="32">ROUND(ROUND(AF114,2)*CX114,2)</f>
        <v>0</v>
      </c>
      <c r="DH114">
        <f t="shared" ref="DH114:DH145" si="33">ROUND(ROUND(AG114,2)*CX114,2)</f>
        <v>0</v>
      </c>
      <c r="DI114">
        <f t="shared" si="23"/>
        <v>0</v>
      </c>
      <c r="DJ114">
        <f>DF114</f>
        <v>400186.76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ROW(Source!A146)</f>
        <v>146</v>
      </c>
      <c r="B115">
        <v>57034452</v>
      </c>
      <c r="C115">
        <v>57036069</v>
      </c>
      <c r="D115">
        <v>55424304</v>
      </c>
      <c r="E115">
        <v>1081</v>
      </c>
      <c r="F115">
        <v>1</v>
      </c>
      <c r="G115">
        <v>1081</v>
      </c>
      <c r="H115">
        <v>1</v>
      </c>
      <c r="I115" t="s">
        <v>459</v>
      </c>
      <c r="J115" t="s">
        <v>3</v>
      </c>
      <c r="K115" t="s">
        <v>460</v>
      </c>
      <c r="L115">
        <v>1191</v>
      </c>
      <c r="N115">
        <v>1013</v>
      </c>
      <c r="O115" t="s">
        <v>461</v>
      </c>
      <c r="P115" t="s">
        <v>461</v>
      </c>
      <c r="Q115">
        <v>1</v>
      </c>
      <c r="W115">
        <v>0</v>
      </c>
      <c r="X115">
        <v>476480486</v>
      </c>
      <c r="Y115">
        <f>(AT115*1.2)</f>
        <v>8.64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7.2</v>
      </c>
      <c r="AU115" t="s">
        <v>105</v>
      </c>
      <c r="AV115">
        <v>1</v>
      </c>
      <c r="AW115">
        <v>2</v>
      </c>
      <c r="AX115">
        <v>57036070</v>
      </c>
      <c r="AY115">
        <v>1</v>
      </c>
      <c r="AZ115">
        <v>0</v>
      </c>
      <c r="BA115">
        <v>147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ROUND(AT115*Source!I146*AH115*AL115,2)</f>
        <v>0</v>
      </c>
      <c r="CV115">
        <f>ROUND(Y115*Source!I146,9)</f>
        <v>25.92</v>
      </c>
      <c r="CW115">
        <v>0</v>
      </c>
      <c r="CX115">
        <f>ROUND(Y115*Source!I146,9)</f>
        <v>25.92</v>
      </c>
      <c r="CY115">
        <f>AD115</f>
        <v>0</v>
      </c>
      <c r="CZ115">
        <f>AH115</f>
        <v>0</v>
      </c>
      <c r="DA115">
        <f>AL115</f>
        <v>1</v>
      </c>
      <c r="DB115">
        <f>ROUND((ROUND(AT115*CZ115,2)*1.2),6)</f>
        <v>0</v>
      </c>
      <c r="DC115">
        <f>ROUND((ROUND(AT115*AG115,2)*1.2),6)</f>
        <v>0</v>
      </c>
      <c r="DD115" t="s">
        <v>3</v>
      </c>
      <c r="DE115" t="s">
        <v>3</v>
      </c>
      <c r="DF115">
        <f>ROUND(ROUND(AE115,2)*CX115,2)</f>
        <v>0</v>
      </c>
      <c r="DG115">
        <f t="shared" si="32"/>
        <v>0</v>
      </c>
      <c r="DH115">
        <f t="shared" si="33"/>
        <v>0</v>
      </c>
      <c r="DI115">
        <f t="shared" si="23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ROW(Source!A147)</f>
        <v>147</v>
      </c>
      <c r="B116">
        <v>57034454</v>
      </c>
      <c r="C116">
        <v>57036069</v>
      </c>
      <c r="D116">
        <v>55424304</v>
      </c>
      <c r="E116">
        <v>1081</v>
      </c>
      <c r="F116">
        <v>1</v>
      </c>
      <c r="G116">
        <v>1081</v>
      </c>
      <c r="H116">
        <v>1</v>
      </c>
      <c r="I116" t="s">
        <v>459</v>
      </c>
      <c r="J116" t="s">
        <v>3</v>
      </c>
      <c r="K116" t="s">
        <v>460</v>
      </c>
      <c r="L116">
        <v>1191</v>
      </c>
      <c r="N116">
        <v>1013</v>
      </c>
      <c r="O116" t="s">
        <v>461</v>
      </c>
      <c r="P116" t="s">
        <v>461</v>
      </c>
      <c r="Q116">
        <v>1</v>
      </c>
      <c r="W116">
        <v>0</v>
      </c>
      <c r="X116">
        <v>476480486</v>
      </c>
      <c r="Y116">
        <f>(AT116*1.2)</f>
        <v>8.64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5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7.2</v>
      </c>
      <c r="AU116" t="s">
        <v>105</v>
      </c>
      <c r="AV116">
        <v>1</v>
      </c>
      <c r="AW116">
        <v>2</v>
      </c>
      <c r="AX116">
        <v>57036070</v>
      </c>
      <c r="AY116">
        <v>1</v>
      </c>
      <c r="AZ116">
        <v>0</v>
      </c>
      <c r="BA116">
        <v>148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U116">
        <f>ROUND(AT116*Source!I147*AH116*AL116,2)</f>
        <v>0</v>
      </c>
      <c r="CV116">
        <f>ROUND(Y116*Source!I147,9)</f>
        <v>25.92</v>
      </c>
      <c r="CW116">
        <v>0</v>
      </c>
      <c r="CX116">
        <f>ROUND(Y116*Source!I147,9)</f>
        <v>25.92</v>
      </c>
      <c r="CY116">
        <f>AD116</f>
        <v>0</v>
      </c>
      <c r="CZ116">
        <f>AH116</f>
        <v>0</v>
      </c>
      <c r="DA116">
        <f>AL116</f>
        <v>1</v>
      </c>
      <c r="DB116">
        <f>ROUND((ROUND(AT116*CZ116,2)*1.2),6)</f>
        <v>0</v>
      </c>
      <c r="DC116">
        <f>ROUND((ROUND(AT116*AG116,2)*1.2),6)</f>
        <v>0</v>
      </c>
      <c r="DD116" t="s">
        <v>3</v>
      </c>
      <c r="DE116" t="s">
        <v>3</v>
      </c>
      <c r="DF116">
        <f>ROUND(ROUND(AE116,2)*CX116,2)</f>
        <v>0</v>
      </c>
      <c r="DG116">
        <f t="shared" si="32"/>
        <v>0</v>
      </c>
      <c r="DH116">
        <f t="shared" si="33"/>
        <v>0</v>
      </c>
      <c r="DI116">
        <f t="shared" si="23"/>
        <v>0</v>
      </c>
      <c r="DJ116">
        <f>DI116</f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ROW(Source!A150)</f>
        <v>150</v>
      </c>
      <c r="B117">
        <v>57034452</v>
      </c>
      <c r="C117">
        <v>57035049</v>
      </c>
      <c r="D117">
        <v>55424304</v>
      </c>
      <c r="E117">
        <v>1081</v>
      </c>
      <c r="F117">
        <v>1</v>
      </c>
      <c r="G117">
        <v>1081</v>
      </c>
      <c r="H117">
        <v>1</v>
      </c>
      <c r="I117" t="s">
        <v>459</v>
      </c>
      <c r="J117" t="s">
        <v>3</v>
      </c>
      <c r="K117" t="s">
        <v>460</v>
      </c>
      <c r="L117">
        <v>1191</v>
      </c>
      <c r="N117">
        <v>1013</v>
      </c>
      <c r="O117" t="s">
        <v>461</v>
      </c>
      <c r="P117" t="s">
        <v>461</v>
      </c>
      <c r="Q117">
        <v>1</v>
      </c>
      <c r="W117">
        <v>0</v>
      </c>
      <c r="X117">
        <v>476480486</v>
      </c>
      <c r="Y117">
        <f>(AT117*1.2)</f>
        <v>14.04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11.7</v>
      </c>
      <c r="AU117" t="s">
        <v>105</v>
      </c>
      <c r="AV117">
        <v>1</v>
      </c>
      <c r="AW117">
        <v>2</v>
      </c>
      <c r="AX117">
        <v>57035052</v>
      </c>
      <c r="AY117">
        <v>1</v>
      </c>
      <c r="AZ117">
        <v>0</v>
      </c>
      <c r="BA117">
        <v>149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ROUND(AT117*Source!I150*AH117*AL117,2)</f>
        <v>0</v>
      </c>
      <c r="CV117">
        <f>ROUND(Y117*Source!I150,9)</f>
        <v>42.12</v>
      </c>
      <c r="CW117">
        <v>0</v>
      </c>
      <c r="CX117">
        <f>ROUND(Y117*Source!I150,9)</f>
        <v>42.12</v>
      </c>
      <c r="CY117">
        <f>AD117</f>
        <v>0</v>
      </c>
      <c r="CZ117">
        <f>AH117</f>
        <v>0</v>
      </c>
      <c r="DA117">
        <f>AL117</f>
        <v>1</v>
      </c>
      <c r="DB117">
        <f>ROUND((ROUND(AT117*CZ117,2)*1.2),6)</f>
        <v>0</v>
      </c>
      <c r="DC117">
        <f>ROUND((ROUND(AT117*AG117,2)*1.2),6)</f>
        <v>0</v>
      </c>
      <c r="DD117" t="s">
        <v>3</v>
      </c>
      <c r="DE117" t="s">
        <v>3</v>
      </c>
      <c r="DF117">
        <f>ROUND(ROUND(AE117,2)*CX117,2)</f>
        <v>0</v>
      </c>
      <c r="DG117">
        <f t="shared" si="32"/>
        <v>0</v>
      </c>
      <c r="DH117">
        <f t="shared" si="33"/>
        <v>0</v>
      </c>
      <c r="DI117">
        <f t="shared" si="23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ROW(Source!A150)</f>
        <v>150</v>
      </c>
      <c r="B118">
        <v>57034452</v>
      </c>
      <c r="C118">
        <v>57035049</v>
      </c>
      <c r="D118">
        <v>0</v>
      </c>
      <c r="E118">
        <v>0</v>
      </c>
      <c r="F118">
        <v>1</v>
      </c>
      <c r="G118">
        <v>1081</v>
      </c>
      <c r="H118">
        <v>3</v>
      </c>
      <c r="I118" t="s">
        <v>196</v>
      </c>
      <c r="J118" t="s">
        <v>3</v>
      </c>
      <c r="K118" t="s">
        <v>190</v>
      </c>
      <c r="L118">
        <v>1354</v>
      </c>
      <c r="N118">
        <v>1010</v>
      </c>
      <c r="O118" t="s">
        <v>177</v>
      </c>
      <c r="P118" t="s">
        <v>177</v>
      </c>
      <c r="Q118">
        <v>1</v>
      </c>
      <c r="W118">
        <v>0</v>
      </c>
      <c r="X118">
        <v>-254916553</v>
      </c>
      <c r="Y118">
        <f>(AT118*1)</f>
        <v>1</v>
      </c>
      <c r="AA118">
        <v>4851.08</v>
      </c>
      <c r="AB118">
        <v>0</v>
      </c>
      <c r="AC118">
        <v>0</v>
      </c>
      <c r="AD118">
        <v>0</v>
      </c>
      <c r="AE118">
        <v>4851.08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 t="s">
        <v>3</v>
      </c>
      <c r="AT118">
        <v>1</v>
      </c>
      <c r="AU118" t="s">
        <v>104</v>
      </c>
      <c r="AV118">
        <v>0</v>
      </c>
      <c r="AW118">
        <v>1</v>
      </c>
      <c r="AX118">
        <v>-1</v>
      </c>
      <c r="AY118">
        <v>0</v>
      </c>
      <c r="AZ118">
        <v>0</v>
      </c>
      <c r="BA118" t="s">
        <v>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ROUND(Y118*Source!I150,9)</f>
        <v>3</v>
      </c>
      <c r="CY118">
        <f>AA118</f>
        <v>4851.08</v>
      </c>
      <c r="CZ118">
        <f>AE118</f>
        <v>4851.08</v>
      </c>
      <c r="DA118">
        <f>AI118</f>
        <v>1</v>
      </c>
      <c r="DB118">
        <f>ROUND((ROUND(AT118*CZ118,2)*1),6)</f>
        <v>4851.08</v>
      </c>
      <c r="DC118">
        <f>ROUND((ROUND(AT118*AG118,2)*1),6)</f>
        <v>0</v>
      </c>
      <c r="DD118" t="s">
        <v>3</v>
      </c>
      <c r="DE118" t="s">
        <v>3</v>
      </c>
      <c r="DF118">
        <f>ROUND(ROUND(AE118,2)*CX118,2)</f>
        <v>14553.24</v>
      </c>
      <c r="DG118">
        <f t="shared" si="32"/>
        <v>0</v>
      </c>
      <c r="DH118">
        <f t="shared" si="33"/>
        <v>0</v>
      </c>
      <c r="DI118">
        <f t="shared" si="23"/>
        <v>0</v>
      </c>
      <c r="DJ118">
        <f>DF118</f>
        <v>14553.24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ROW(Source!A151)</f>
        <v>151</v>
      </c>
      <c r="B119">
        <v>57034454</v>
      </c>
      <c r="C119">
        <v>57035049</v>
      </c>
      <c r="D119">
        <v>55424304</v>
      </c>
      <c r="E119">
        <v>1081</v>
      </c>
      <c r="F119">
        <v>1</v>
      </c>
      <c r="G119">
        <v>1081</v>
      </c>
      <c r="H119">
        <v>1</v>
      </c>
      <c r="I119" t="s">
        <v>459</v>
      </c>
      <c r="J119" t="s">
        <v>3</v>
      </c>
      <c r="K119" t="s">
        <v>460</v>
      </c>
      <c r="L119">
        <v>1191</v>
      </c>
      <c r="N119">
        <v>1013</v>
      </c>
      <c r="O119" t="s">
        <v>461</v>
      </c>
      <c r="P119" t="s">
        <v>461</v>
      </c>
      <c r="Q119">
        <v>1</v>
      </c>
      <c r="W119">
        <v>0</v>
      </c>
      <c r="X119">
        <v>476480486</v>
      </c>
      <c r="Y119">
        <f>(AT119*1.2)</f>
        <v>14.04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5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11.7</v>
      </c>
      <c r="AU119" t="s">
        <v>105</v>
      </c>
      <c r="AV119">
        <v>1</v>
      </c>
      <c r="AW119">
        <v>2</v>
      </c>
      <c r="AX119">
        <v>57035052</v>
      </c>
      <c r="AY119">
        <v>1</v>
      </c>
      <c r="AZ119">
        <v>0</v>
      </c>
      <c r="BA119">
        <v>150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ROUND(AT119*Source!I151*AH119*AL119,2)</f>
        <v>0</v>
      </c>
      <c r="CV119">
        <f>ROUND(Y119*Source!I151,9)</f>
        <v>42.12</v>
      </c>
      <c r="CW119">
        <v>0</v>
      </c>
      <c r="CX119">
        <f>ROUND(Y119*Source!I151,9)</f>
        <v>42.12</v>
      </c>
      <c r="CY119">
        <f>AD119</f>
        <v>0</v>
      </c>
      <c r="CZ119">
        <f>AH119</f>
        <v>0</v>
      </c>
      <c r="DA119">
        <f>AL119</f>
        <v>1</v>
      </c>
      <c r="DB119">
        <f>ROUND((ROUND(AT119*CZ119,2)*1.2),6)</f>
        <v>0</v>
      </c>
      <c r="DC119">
        <f>ROUND((ROUND(AT119*AG119,2)*1.2),6)</f>
        <v>0</v>
      </c>
      <c r="DD119" t="s">
        <v>3</v>
      </c>
      <c r="DE119" t="s">
        <v>3</v>
      </c>
      <c r="DF119">
        <f>ROUND(ROUND(AE119,2)*CX119,2)</f>
        <v>0</v>
      </c>
      <c r="DG119">
        <f t="shared" si="32"/>
        <v>0</v>
      </c>
      <c r="DH119">
        <f t="shared" si="33"/>
        <v>0</v>
      </c>
      <c r="DI119">
        <f t="shared" si="23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ROW(Source!A151)</f>
        <v>151</v>
      </c>
      <c r="B120">
        <v>57034454</v>
      </c>
      <c r="C120">
        <v>57035049</v>
      </c>
      <c r="D120">
        <v>0</v>
      </c>
      <c r="E120">
        <v>0</v>
      </c>
      <c r="F120">
        <v>1</v>
      </c>
      <c r="G120">
        <v>1081</v>
      </c>
      <c r="H120">
        <v>3</v>
      </c>
      <c r="I120" t="s">
        <v>196</v>
      </c>
      <c r="J120" t="s">
        <v>3</v>
      </c>
      <c r="K120" t="s">
        <v>190</v>
      </c>
      <c r="L120">
        <v>1354</v>
      </c>
      <c r="N120">
        <v>1010</v>
      </c>
      <c r="O120" t="s">
        <v>177</v>
      </c>
      <c r="P120" t="s">
        <v>177</v>
      </c>
      <c r="Q120">
        <v>1</v>
      </c>
      <c r="W120">
        <v>0</v>
      </c>
      <c r="X120">
        <v>-254916553</v>
      </c>
      <c r="Y120">
        <f>(AT120*1)</f>
        <v>1</v>
      </c>
      <c r="AA120">
        <v>36722.68</v>
      </c>
      <c r="AB120">
        <v>0</v>
      </c>
      <c r="AC120">
        <v>0</v>
      </c>
      <c r="AD120">
        <v>0</v>
      </c>
      <c r="AE120">
        <v>4851.08</v>
      </c>
      <c r="AF120">
        <v>0</v>
      </c>
      <c r="AG120">
        <v>0</v>
      </c>
      <c r="AH120">
        <v>0</v>
      </c>
      <c r="AI120">
        <v>7.57</v>
      </c>
      <c r="AJ120">
        <v>1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 t="s">
        <v>3</v>
      </c>
      <c r="AT120">
        <v>1</v>
      </c>
      <c r="AU120" t="s">
        <v>104</v>
      </c>
      <c r="AV120">
        <v>0</v>
      </c>
      <c r="AW120">
        <v>1</v>
      </c>
      <c r="AX120">
        <v>-1</v>
      </c>
      <c r="AY120">
        <v>0</v>
      </c>
      <c r="AZ120">
        <v>0</v>
      </c>
      <c r="BA120" t="s">
        <v>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ROUND(Y120*Source!I151,9)</f>
        <v>3</v>
      </c>
      <c r="CY120">
        <f>AA120</f>
        <v>36722.68</v>
      </c>
      <c r="CZ120">
        <f>AE120</f>
        <v>4851.08</v>
      </c>
      <c r="DA120">
        <f>AI120</f>
        <v>7.57</v>
      </c>
      <c r="DB120">
        <f>ROUND((ROUND(AT120*CZ120,2)*1),6)</f>
        <v>4851.08</v>
      </c>
      <c r="DC120">
        <f>ROUND((ROUND(AT120*AG120,2)*1),6)</f>
        <v>0</v>
      </c>
      <c r="DD120" t="s">
        <v>3</v>
      </c>
      <c r="DE120" t="s">
        <v>3</v>
      </c>
      <c r="DF120">
        <f>ROUND(ROUND(AE120*AI120,2)*CX120,2)</f>
        <v>110168.04</v>
      </c>
      <c r="DG120">
        <f t="shared" si="32"/>
        <v>0</v>
      </c>
      <c r="DH120">
        <f t="shared" si="33"/>
        <v>0</v>
      </c>
      <c r="DI120">
        <f t="shared" si="23"/>
        <v>0</v>
      </c>
      <c r="DJ120">
        <f>DF120</f>
        <v>110168.04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5">
      <c r="A121">
        <f>ROW(Source!A154)</f>
        <v>154</v>
      </c>
      <c r="B121">
        <v>57034452</v>
      </c>
      <c r="C121">
        <v>57035054</v>
      </c>
      <c r="D121">
        <v>55424304</v>
      </c>
      <c r="E121">
        <v>1081</v>
      </c>
      <c r="F121">
        <v>1</v>
      </c>
      <c r="G121">
        <v>1081</v>
      </c>
      <c r="H121">
        <v>1</v>
      </c>
      <c r="I121" t="s">
        <v>459</v>
      </c>
      <c r="J121" t="s">
        <v>3</v>
      </c>
      <c r="K121" t="s">
        <v>460</v>
      </c>
      <c r="L121">
        <v>1191</v>
      </c>
      <c r="N121">
        <v>1013</v>
      </c>
      <c r="O121" t="s">
        <v>461</v>
      </c>
      <c r="P121" t="s">
        <v>461</v>
      </c>
      <c r="Q121">
        <v>1</v>
      </c>
      <c r="W121">
        <v>0</v>
      </c>
      <c r="X121">
        <v>476480486</v>
      </c>
      <c r="Y121">
        <f>(AT121*1.2)</f>
        <v>3.1799999999999997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2.65</v>
      </c>
      <c r="AU121" t="s">
        <v>105</v>
      </c>
      <c r="AV121">
        <v>1</v>
      </c>
      <c r="AW121">
        <v>2</v>
      </c>
      <c r="AX121">
        <v>57035060</v>
      </c>
      <c r="AY121">
        <v>1</v>
      </c>
      <c r="AZ121">
        <v>0</v>
      </c>
      <c r="BA121">
        <v>151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U121">
        <f>ROUND(AT121*Source!I154*AH121*AL121,2)</f>
        <v>0</v>
      </c>
      <c r="CV121">
        <f>ROUND(Y121*Source!I154,9)</f>
        <v>3.18</v>
      </c>
      <c r="CW121">
        <v>0</v>
      </c>
      <c r="CX121">
        <f>ROUND(Y121*Source!I154,9)</f>
        <v>3.18</v>
      </c>
      <c r="CY121">
        <f>AD121</f>
        <v>0</v>
      </c>
      <c r="CZ121">
        <f>AH121</f>
        <v>0</v>
      </c>
      <c r="DA121">
        <f>AL121</f>
        <v>1</v>
      </c>
      <c r="DB121">
        <f>ROUND((ROUND(AT121*CZ121,2)*1.2),6)</f>
        <v>0</v>
      </c>
      <c r="DC121">
        <f>ROUND((ROUND(AT121*AG121,2)*1.2),6)</f>
        <v>0</v>
      </c>
      <c r="DD121" t="s">
        <v>3</v>
      </c>
      <c r="DE121" t="s">
        <v>3</v>
      </c>
      <c r="DF121">
        <f t="shared" ref="DF121:DF126" si="34">ROUND(ROUND(AE121,2)*CX121,2)</f>
        <v>0</v>
      </c>
      <c r="DG121">
        <f t="shared" si="32"/>
        <v>0</v>
      </c>
      <c r="DH121">
        <f t="shared" si="33"/>
        <v>0</v>
      </c>
      <c r="DI121">
        <f t="shared" si="23"/>
        <v>0</v>
      </c>
      <c r="DJ121">
        <f>DI121</f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ROW(Source!A154)</f>
        <v>154</v>
      </c>
      <c r="B122">
        <v>57034452</v>
      </c>
      <c r="C122">
        <v>57035054</v>
      </c>
      <c r="D122">
        <v>55461074</v>
      </c>
      <c r="E122">
        <v>1</v>
      </c>
      <c r="F122">
        <v>1</v>
      </c>
      <c r="G122">
        <v>1081</v>
      </c>
      <c r="H122">
        <v>3</v>
      </c>
      <c r="I122" t="s">
        <v>467</v>
      </c>
      <c r="J122" t="s">
        <v>468</v>
      </c>
      <c r="K122" t="s">
        <v>469</v>
      </c>
      <c r="L122">
        <v>1346</v>
      </c>
      <c r="N122">
        <v>1009</v>
      </c>
      <c r="O122" t="s">
        <v>433</v>
      </c>
      <c r="P122" t="s">
        <v>433</v>
      </c>
      <c r="Q122">
        <v>1</v>
      </c>
      <c r="W122">
        <v>0</v>
      </c>
      <c r="X122">
        <v>-861631226</v>
      </c>
      <c r="Y122">
        <f>(AT122*1)</f>
        <v>6.2700000000000004E-3</v>
      </c>
      <c r="AA122">
        <v>27.62</v>
      </c>
      <c r="AB122">
        <v>0</v>
      </c>
      <c r="AC122">
        <v>0</v>
      </c>
      <c r="AD122">
        <v>0</v>
      </c>
      <c r="AE122">
        <v>27.62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6.2700000000000004E-3</v>
      </c>
      <c r="AU122" t="s">
        <v>104</v>
      </c>
      <c r="AV122">
        <v>0</v>
      </c>
      <c r="AW122">
        <v>2</v>
      </c>
      <c r="AX122">
        <v>57035061</v>
      </c>
      <c r="AY122">
        <v>1</v>
      </c>
      <c r="AZ122">
        <v>0</v>
      </c>
      <c r="BA122">
        <v>152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ROUND(Y122*Source!I154,9)</f>
        <v>6.2700000000000004E-3</v>
      </c>
      <c r="CY122">
        <f>AA122</f>
        <v>27.62</v>
      </c>
      <c r="CZ122">
        <f>AE122</f>
        <v>27.62</v>
      </c>
      <c r="DA122">
        <f>AI122</f>
        <v>1</v>
      </c>
      <c r="DB122">
        <f>ROUND((ROUND(AT122*CZ122,2)*1),6)</f>
        <v>0.17</v>
      </c>
      <c r="DC122">
        <f>ROUND((ROUND(AT122*AG122,2)*1),6)</f>
        <v>0</v>
      </c>
      <c r="DD122" t="s">
        <v>3</v>
      </c>
      <c r="DE122" t="s">
        <v>3</v>
      </c>
      <c r="DF122">
        <f t="shared" si="34"/>
        <v>0.17</v>
      </c>
      <c r="DG122">
        <f t="shared" si="32"/>
        <v>0</v>
      </c>
      <c r="DH122">
        <f t="shared" si="33"/>
        <v>0</v>
      </c>
      <c r="DI122">
        <f t="shared" si="23"/>
        <v>0</v>
      </c>
      <c r="DJ122">
        <f>DF122</f>
        <v>0.17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ROW(Source!A154)</f>
        <v>154</v>
      </c>
      <c r="B123">
        <v>57034452</v>
      </c>
      <c r="C123">
        <v>57035054</v>
      </c>
      <c r="D123">
        <v>55459793</v>
      </c>
      <c r="E123">
        <v>1</v>
      </c>
      <c r="F123">
        <v>1</v>
      </c>
      <c r="G123">
        <v>1081</v>
      </c>
      <c r="H123">
        <v>3</v>
      </c>
      <c r="I123" t="s">
        <v>470</v>
      </c>
      <c r="J123" t="s">
        <v>471</v>
      </c>
      <c r="K123" t="s">
        <v>472</v>
      </c>
      <c r="L123">
        <v>1348</v>
      </c>
      <c r="N123">
        <v>1009</v>
      </c>
      <c r="O123" t="s">
        <v>299</v>
      </c>
      <c r="P123" t="s">
        <v>299</v>
      </c>
      <c r="Q123">
        <v>1000</v>
      </c>
      <c r="W123">
        <v>0</v>
      </c>
      <c r="X123">
        <v>-761454284</v>
      </c>
      <c r="Y123">
        <f>(AT123*1)</f>
        <v>1.0000000000000001E-5</v>
      </c>
      <c r="AA123">
        <v>64123.05</v>
      </c>
      <c r="AB123">
        <v>0</v>
      </c>
      <c r="AC123">
        <v>0</v>
      </c>
      <c r="AD123">
        <v>0</v>
      </c>
      <c r="AE123">
        <v>64123.05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1.0000000000000001E-5</v>
      </c>
      <c r="AU123" t="s">
        <v>104</v>
      </c>
      <c r="AV123">
        <v>0</v>
      </c>
      <c r="AW123">
        <v>2</v>
      </c>
      <c r="AX123">
        <v>57035062</v>
      </c>
      <c r="AY123">
        <v>1</v>
      </c>
      <c r="AZ123">
        <v>0</v>
      </c>
      <c r="BA123">
        <v>153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ROUND(Y123*Source!I154,9)</f>
        <v>1.0000000000000001E-5</v>
      </c>
      <c r="CY123">
        <f>AA123</f>
        <v>64123.05</v>
      </c>
      <c r="CZ123">
        <f>AE123</f>
        <v>64123.05</v>
      </c>
      <c r="DA123">
        <f>AI123</f>
        <v>1</v>
      </c>
      <c r="DB123">
        <f>ROUND((ROUND(AT123*CZ123,2)*1),6)</f>
        <v>0.64</v>
      </c>
      <c r="DC123">
        <f>ROUND((ROUND(AT123*AG123,2)*1),6)</f>
        <v>0</v>
      </c>
      <c r="DD123" t="s">
        <v>3</v>
      </c>
      <c r="DE123" t="s">
        <v>3</v>
      </c>
      <c r="DF123">
        <f t="shared" si="34"/>
        <v>0.64</v>
      </c>
      <c r="DG123">
        <f t="shared" si="32"/>
        <v>0</v>
      </c>
      <c r="DH123">
        <f t="shared" si="33"/>
        <v>0</v>
      </c>
      <c r="DI123">
        <f t="shared" si="23"/>
        <v>0</v>
      </c>
      <c r="DJ123">
        <f>DF123</f>
        <v>0.64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ROW(Source!A154)</f>
        <v>154</v>
      </c>
      <c r="B124">
        <v>57034452</v>
      </c>
      <c r="C124">
        <v>57035054</v>
      </c>
      <c r="D124">
        <v>55469253</v>
      </c>
      <c r="E124">
        <v>1</v>
      </c>
      <c r="F124">
        <v>1</v>
      </c>
      <c r="G124">
        <v>1081</v>
      </c>
      <c r="H124">
        <v>3</v>
      </c>
      <c r="I124" t="s">
        <v>473</v>
      </c>
      <c r="J124" t="s">
        <v>474</v>
      </c>
      <c r="K124" t="s">
        <v>475</v>
      </c>
      <c r="L124">
        <v>1354</v>
      </c>
      <c r="N124">
        <v>1010</v>
      </c>
      <c r="O124" t="s">
        <v>177</v>
      </c>
      <c r="P124" t="s">
        <v>177</v>
      </c>
      <c r="Q124">
        <v>1</v>
      </c>
      <c r="W124">
        <v>0</v>
      </c>
      <c r="X124">
        <v>-32785108</v>
      </c>
      <c r="Y124">
        <f>(AT124*1)</f>
        <v>0.1</v>
      </c>
      <c r="AA124">
        <v>15.25</v>
      </c>
      <c r="AB124">
        <v>0</v>
      </c>
      <c r="AC124">
        <v>0</v>
      </c>
      <c r="AD124">
        <v>0</v>
      </c>
      <c r="AE124">
        <v>15.25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0.1</v>
      </c>
      <c r="AU124" t="s">
        <v>104</v>
      </c>
      <c r="AV124">
        <v>0</v>
      </c>
      <c r="AW124">
        <v>2</v>
      </c>
      <c r="AX124">
        <v>57035063</v>
      </c>
      <c r="AY124">
        <v>1</v>
      </c>
      <c r="AZ124">
        <v>0</v>
      </c>
      <c r="BA124">
        <v>154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ROUND(Y124*Source!I154,9)</f>
        <v>0.1</v>
      </c>
      <c r="CY124">
        <f>AA124</f>
        <v>15.25</v>
      </c>
      <c r="CZ124">
        <f>AE124</f>
        <v>15.25</v>
      </c>
      <c r="DA124">
        <f>AI124</f>
        <v>1</v>
      </c>
      <c r="DB124">
        <f>ROUND((ROUND(AT124*CZ124,2)*1),6)</f>
        <v>1.53</v>
      </c>
      <c r="DC124">
        <f>ROUND((ROUND(AT124*AG124,2)*1),6)</f>
        <v>0</v>
      </c>
      <c r="DD124" t="s">
        <v>3</v>
      </c>
      <c r="DE124" t="s">
        <v>3</v>
      </c>
      <c r="DF124">
        <f t="shared" si="34"/>
        <v>1.53</v>
      </c>
      <c r="DG124">
        <f t="shared" si="32"/>
        <v>0</v>
      </c>
      <c r="DH124">
        <f t="shared" si="33"/>
        <v>0</v>
      </c>
      <c r="DI124">
        <f t="shared" si="23"/>
        <v>0</v>
      </c>
      <c r="DJ124">
        <f>DF124</f>
        <v>1.53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5">
      <c r="A125">
        <f>ROW(Source!A154)</f>
        <v>154</v>
      </c>
      <c r="B125">
        <v>57034452</v>
      </c>
      <c r="C125">
        <v>57035054</v>
      </c>
      <c r="D125">
        <v>0</v>
      </c>
      <c r="E125">
        <v>0</v>
      </c>
      <c r="F125">
        <v>1</v>
      </c>
      <c r="G125">
        <v>1081</v>
      </c>
      <c r="H125">
        <v>3</v>
      </c>
      <c r="I125" t="s">
        <v>200</v>
      </c>
      <c r="J125" t="s">
        <v>3</v>
      </c>
      <c r="K125" t="s">
        <v>201</v>
      </c>
      <c r="L125">
        <v>1354</v>
      </c>
      <c r="N125">
        <v>1010</v>
      </c>
      <c r="O125" t="s">
        <v>177</v>
      </c>
      <c r="P125" t="s">
        <v>177</v>
      </c>
      <c r="Q125">
        <v>1</v>
      </c>
      <c r="W125">
        <v>0</v>
      </c>
      <c r="X125">
        <v>227882004</v>
      </c>
      <c r="Y125">
        <f>(AT125*1)</f>
        <v>1</v>
      </c>
      <c r="AA125">
        <v>2385.0700000000002</v>
      </c>
      <c r="AB125">
        <v>0</v>
      </c>
      <c r="AC125">
        <v>0</v>
      </c>
      <c r="AD125">
        <v>0</v>
      </c>
      <c r="AE125">
        <v>2385.0700000000002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 t="s">
        <v>3</v>
      </c>
      <c r="AT125">
        <v>1</v>
      </c>
      <c r="AU125" t="s">
        <v>104</v>
      </c>
      <c r="AV125">
        <v>0</v>
      </c>
      <c r="AW125">
        <v>1</v>
      </c>
      <c r="AX125">
        <v>-1</v>
      </c>
      <c r="AY125">
        <v>0</v>
      </c>
      <c r="AZ125">
        <v>0</v>
      </c>
      <c r="BA125" t="s">
        <v>3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ROUND(Y125*Source!I154,9)</f>
        <v>1</v>
      </c>
      <c r="CY125">
        <f>AA125</f>
        <v>2385.0700000000002</v>
      </c>
      <c r="CZ125">
        <f>AE125</f>
        <v>2385.0700000000002</v>
      </c>
      <c r="DA125">
        <f>AI125</f>
        <v>1</v>
      </c>
      <c r="DB125">
        <f>ROUND((ROUND(AT125*CZ125,2)*1),6)</f>
        <v>2385.0700000000002</v>
      </c>
      <c r="DC125">
        <f>ROUND((ROUND(AT125*AG125,2)*1),6)</f>
        <v>0</v>
      </c>
      <c r="DD125" t="s">
        <v>3</v>
      </c>
      <c r="DE125" t="s">
        <v>3</v>
      </c>
      <c r="DF125">
        <f t="shared" si="34"/>
        <v>2385.0700000000002</v>
      </c>
      <c r="DG125">
        <f t="shared" si="32"/>
        <v>0</v>
      </c>
      <c r="DH125">
        <f t="shared" si="33"/>
        <v>0</v>
      </c>
      <c r="DI125">
        <f t="shared" si="23"/>
        <v>0</v>
      </c>
      <c r="DJ125">
        <f>DF125</f>
        <v>2385.0700000000002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ROW(Source!A155)</f>
        <v>155</v>
      </c>
      <c r="B126">
        <v>57034454</v>
      </c>
      <c r="C126">
        <v>57035054</v>
      </c>
      <c r="D126">
        <v>55424304</v>
      </c>
      <c r="E126">
        <v>1081</v>
      </c>
      <c r="F126">
        <v>1</v>
      </c>
      <c r="G126">
        <v>1081</v>
      </c>
      <c r="H126">
        <v>1</v>
      </c>
      <c r="I126" t="s">
        <v>459</v>
      </c>
      <c r="J126" t="s">
        <v>3</v>
      </c>
      <c r="K126" t="s">
        <v>460</v>
      </c>
      <c r="L126">
        <v>1191</v>
      </c>
      <c r="N126">
        <v>1013</v>
      </c>
      <c r="O126" t="s">
        <v>461</v>
      </c>
      <c r="P126" t="s">
        <v>461</v>
      </c>
      <c r="Q126">
        <v>1</v>
      </c>
      <c r="W126">
        <v>0</v>
      </c>
      <c r="X126">
        <v>476480486</v>
      </c>
      <c r="Y126">
        <f>(AT126*1.2)</f>
        <v>3.1799999999999997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5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2.65</v>
      </c>
      <c r="AU126" t="s">
        <v>105</v>
      </c>
      <c r="AV126">
        <v>1</v>
      </c>
      <c r="AW126">
        <v>2</v>
      </c>
      <c r="AX126">
        <v>57035060</v>
      </c>
      <c r="AY126">
        <v>1</v>
      </c>
      <c r="AZ126">
        <v>0</v>
      </c>
      <c r="BA126">
        <v>156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U126">
        <f>ROUND(AT126*Source!I155*AH126*AL126,2)</f>
        <v>0</v>
      </c>
      <c r="CV126">
        <f>ROUND(Y126*Source!I155,9)</f>
        <v>3.18</v>
      </c>
      <c r="CW126">
        <v>0</v>
      </c>
      <c r="CX126">
        <f>ROUND(Y126*Source!I155,9)</f>
        <v>3.18</v>
      </c>
      <c r="CY126">
        <f>AD126</f>
        <v>0</v>
      </c>
      <c r="CZ126">
        <f>AH126</f>
        <v>0</v>
      </c>
      <c r="DA126">
        <f>AL126</f>
        <v>1</v>
      </c>
      <c r="DB126">
        <f>ROUND((ROUND(AT126*CZ126,2)*1.2),6)</f>
        <v>0</v>
      </c>
      <c r="DC126">
        <f>ROUND((ROUND(AT126*AG126,2)*1.2),6)</f>
        <v>0</v>
      </c>
      <c r="DD126" t="s">
        <v>3</v>
      </c>
      <c r="DE126" t="s">
        <v>3</v>
      </c>
      <c r="DF126">
        <f t="shared" si="34"/>
        <v>0</v>
      </c>
      <c r="DG126">
        <f t="shared" si="32"/>
        <v>0</v>
      </c>
      <c r="DH126">
        <f t="shared" si="33"/>
        <v>0</v>
      </c>
      <c r="DI126">
        <f t="shared" si="23"/>
        <v>0</v>
      </c>
      <c r="DJ126">
        <f>DI126</f>
        <v>0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ROW(Source!A155)</f>
        <v>155</v>
      </c>
      <c r="B127">
        <v>57034454</v>
      </c>
      <c r="C127">
        <v>57035054</v>
      </c>
      <c r="D127">
        <v>55461074</v>
      </c>
      <c r="E127">
        <v>1</v>
      </c>
      <c r="F127">
        <v>1</v>
      </c>
      <c r="G127">
        <v>1081</v>
      </c>
      <c r="H127">
        <v>3</v>
      </c>
      <c r="I127" t="s">
        <v>467</v>
      </c>
      <c r="J127" t="s">
        <v>468</v>
      </c>
      <c r="K127" t="s">
        <v>469</v>
      </c>
      <c r="L127">
        <v>1346</v>
      </c>
      <c r="N127">
        <v>1009</v>
      </c>
      <c r="O127" t="s">
        <v>433</v>
      </c>
      <c r="P127" t="s">
        <v>433</v>
      </c>
      <c r="Q127">
        <v>1</v>
      </c>
      <c r="W127">
        <v>0</v>
      </c>
      <c r="X127">
        <v>-861631226</v>
      </c>
      <c r="Y127">
        <f>(AT127*1)</f>
        <v>6.2700000000000004E-3</v>
      </c>
      <c r="AA127">
        <v>163.51</v>
      </c>
      <c r="AB127">
        <v>0</v>
      </c>
      <c r="AC127">
        <v>0</v>
      </c>
      <c r="AD127">
        <v>0</v>
      </c>
      <c r="AE127">
        <v>27.62</v>
      </c>
      <c r="AF127">
        <v>0</v>
      </c>
      <c r="AG127">
        <v>0</v>
      </c>
      <c r="AH127">
        <v>0</v>
      </c>
      <c r="AI127">
        <v>5.92</v>
      </c>
      <c r="AJ127">
        <v>1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6.2700000000000004E-3</v>
      </c>
      <c r="AU127" t="s">
        <v>104</v>
      </c>
      <c r="AV127">
        <v>0</v>
      </c>
      <c r="AW127">
        <v>2</v>
      </c>
      <c r="AX127">
        <v>57035061</v>
      </c>
      <c r="AY127">
        <v>1</v>
      </c>
      <c r="AZ127">
        <v>0</v>
      </c>
      <c r="BA127">
        <v>157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ROUND(Y127*Source!I155,9)</f>
        <v>6.2700000000000004E-3</v>
      </c>
      <c r="CY127">
        <f>AA127</f>
        <v>163.51</v>
      </c>
      <c r="CZ127">
        <f>AE127</f>
        <v>27.62</v>
      </c>
      <c r="DA127">
        <f>AI127</f>
        <v>5.92</v>
      </c>
      <c r="DB127">
        <f>ROUND((ROUND(AT127*CZ127,2)*1),6)</f>
        <v>0.17</v>
      </c>
      <c r="DC127">
        <f>ROUND((ROUND(AT127*AG127,2)*1),6)</f>
        <v>0</v>
      </c>
      <c r="DD127" t="s">
        <v>3</v>
      </c>
      <c r="DE127" t="s">
        <v>3</v>
      </c>
      <c r="DF127">
        <f>ROUND(ROUND(AE127*AI127,2)*CX127,2)</f>
        <v>1.03</v>
      </c>
      <c r="DG127">
        <f t="shared" si="32"/>
        <v>0</v>
      </c>
      <c r="DH127">
        <f t="shared" si="33"/>
        <v>0</v>
      </c>
      <c r="DI127">
        <f t="shared" si="23"/>
        <v>0</v>
      </c>
      <c r="DJ127">
        <f>DF127</f>
        <v>1.03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ROW(Source!A155)</f>
        <v>155</v>
      </c>
      <c r="B128">
        <v>57034454</v>
      </c>
      <c r="C128">
        <v>57035054</v>
      </c>
      <c r="D128">
        <v>55459793</v>
      </c>
      <c r="E128">
        <v>1</v>
      </c>
      <c r="F128">
        <v>1</v>
      </c>
      <c r="G128">
        <v>1081</v>
      </c>
      <c r="H128">
        <v>3</v>
      </c>
      <c r="I128" t="s">
        <v>470</v>
      </c>
      <c r="J128" t="s">
        <v>471</v>
      </c>
      <c r="K128" t="s">
        <v>472</v>
      </c>
      <c r="L128">
        <v>1348</v>
      </c>
      <c r="N128">
        <v>1009</v>
      </c>
      <c r="O128" t="s">
        <v>299</v>
      </c>
      <c r="P128" t="s">
        <v>299</v>
      </c>
      <c r="Q128">
        <v>1000</v>
      </c>
      <c r="W128">
        <v>0</v>
      </c>
      <c r="X128">
        <v>-761454284</v>
      </c>
      <c r="Y128">
        <f>(AT128*1)</f>
        <v>1.0000000000000001E-5</v>
      </c>
      <c r="AA128">
        <v>1930745.04</v>
      </c>
      <c r="AB128">
        <v>0</v>
      </c>
      <c r="AC128">
        <v>0</v>
      </c>
      <c r="AD128">
        <v>0</v>
      </c>
      <c r="AE128">
        <v>64123.05</v>
      </c>
      <c r="AF128">
        <v>0</v>
      </c>
      <c r="AG128">
        <v>0</v>
      </c>
      <c r="AH128">
        <v>0</v>
      </c>
      <c r="AI128">
        <v>30.11</v>
      </c>
      <c r="AJ128">
        <v>1</v>
      </c>
      <c r="AK128">
        <v>1</v>
      </c>
      <c r="AL128">
        <v>1</v>
      </c>
      <c r="AM128">
        <v>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1.0000000000000001E-5</v>
      </c>
      <c r="AU128" t="s">
        <v>104</v>
      </c>
      <c r="AV128">
        <v>0</v>
      </c>
      <c r="AW128">
        <v>2</v>
      </c>
      <c r="AX128">
        <v>57035062</v>
      </c>
      <c r="AY128">
        <v>1</v>
      </c>
      <c r="AZ128">
        <v>0</v>
      </c>
      <c r="BA128">
        <v>158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ROUND(Y128*Source!I155,9)</f>
        <v>1.0000000000000001E-5</v>
      </c>
      <c r="CY128">
        <f>AA128</f>
        <v>1930745.04</v>
      </c>
      <c r="CZ128">
        <f>AE128</f>
        <v>64123.05</v>
      </c>
      <c r="DA128">
        <f>AI128</f>
        <v>30.11</v>
      </c>
      <c r="DB128">
        <f>ROUND((ROUND(AT128*CZ128,2)*1),6)</f>
        <v>0.64</v>
      </c>
      <c r="DC128">
        <f>ROUND((ROUND(AT128*AG128,2)*1),6)</f>
        <v>0</v>
      </c>
      <c r="DD128" t="s">
        <v>3</v>
      </c>
      <c r="DE128" t="s">
        <v>3</v>
      </c>
      <c r="DF128">
        <f>ROUND(ROUND(AE128*AI128,2)*CX128,2)</f>
        <v>19.309999999999999</v>
      </c>
      <c r="DG128">
        <f t="shared" si="32"/>
        <v>0</v>
      </c>
      <c r="DH128">
        <f t="shared" si="33"/>
        <v>0</v>
      </c>
      <c r="DI128">
        <f t="shared" si="23"/>
        <v>0</v>
      </c>
      <c r="DJ128">
        <f>DF128</f>
        <v>19.309999999999999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ROW(Source!A155)</f>
        <v>155</v>
      </c>
      <c r="B129">
        <v>57034454</v>
      </c>
      <c r="C129">
        <v>57035054</v>
      </c>
      <c r="D129">
        <v>55469253</v>
      </c>
      <c r="E129">
        <v>1</v>
      </c>
      <c r="F129">
        <v>1</v>
      </c>
      <c r="G129">
        <v>1081</v>
      </c>
      <c r="H129">
        <v>3</v>
      </c>
      <c r="I129" t="s">
        <v>473</v>
      </c>
      <c r="J129" t="s">
        <v>474</v>
      </c>
      <c r="K129" t="s">
        <v>475</v>
      </c>
      <c r="L129">
        <v>1354</v>
      </c>
      <c r="N129">
        <v>1010</v>
      </c>
      <c r="O129" t="s">
        <v>177</v>
      </c>
      <c r="P129" t="s">
        <v>177</v>
      </c>
      <c r="Q129">
        <v>1</v>
      </c>
      <c r="W129">
        <v>0</v>
      </c>
      <c r="X129">
        <v>-32785108</v>
      </c>
      <c r="Y129">
        <f>(AT129*1)</f>
        <v>0.1</v>
      </c>
      <c r="AA129">
        <v>36.14</v>
      </c>
      <c r="AB129">
        <v>0</v>
      </c>
      <c r="AC129">
        <v>0</v>
      </c>
      <c r="AD129">
        <v>0</v>
      </c>
      <c r="AE129">
        <v>15.25</v>
      </c>
      <c r="AF129">
        <v>0</v>
      </c>
      <c r="AG129">
        <v>0</v>
      </c>
      <c r="AH129">
        <v>0</v>
      </c>
      <c r="AI129">
        <v>2.37</v>
      </c>
      <c r="AJ129">
        <v>1</v>
      </c>
      <c r="AK129">
        <v>1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0.1</v>
      </c>
      <c r="AU129" t="s">
        <v>104</v>
      </c>
      <c r="AV129">
        <v>0</v>
      </c>
      <c r="AW129">
        <v>2</v>
      </c>
      <c r="AX129">
        <v>57035063</v>
      </c>
      <c r="AY129">
        <v>1</v>
      </c>
      <c r="AZ129">
        <v>0</v>
      </c>
      <c r="BA129">
        <v>159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ROUND(Y129*Source!I155,9)</f>
        <v>0.1</v>
      </c>
      <c r="CY129">
        <f>AA129</f>
        <v>36.14</v>
      </c>
      <c r="CZ129">
        <f>AE129</f>
        <v>15.25</v>
      </c>
      <c r="DA129">
        <f>AI129</f>
        <v>2.37</v>
      </c>
      <c r="DB129">
        <f>ROUND((ROUND(AT129*CZ129,2)*1),6)</f>
        <v>1.53</v>
      </c>
      <c r="DC129">
        <f>ROUND((ROUND(AT129*AG129,2)*1),6)</f>
        <v>0</v>
      </c>
      <c r="DD129" t="s">
        <v>3</v>
      </c>
      <c r="DE129" t="s">
        <v>3</v>
      </c>
      <c r="DF129">
        <f>ROUND(ROUND(AE129*AI129,2)*CX129,2)</f>
        <v>3.61</v>
      </c>
      <c r="DG129">
        <f t="shared" si="32"/>
        <v>0</v>
      </c>
      <c r="DH129">
        <f t="shared" si="33"/>
        <v>0</v>
      </c>
      <c r="DI129">
        <f t="shared" ref="DI129:DI192" si="35">ROUND(ROUND(AH129,2)*CX129,2)</f>
        <v>0</v>
      </c>
      <c r="DJ129">
        <f>DF129</f>
        <v>3.61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ROW(Source!A155)</f>
        <v>155</v>
      </c>
      <c r="B130">
        <v>57034454</v>
      </c>
      <c r="C130">
        <v>57035054</v>
      </c>
      <c r="D130">
        <v>0</v>
      </c>
      <c r="E130">
        <v>0</v>
      </c>
      <c r="F130">
        <v>1</v>
      </c>
      <c r="G130">
        <v>1081</v>
      </c>
      <c r="H130">
        <v>3</v>
      </c>
      <c r="I130" t="s">
        <v>200</v>
      </c>
      <c r="J130" t="s">
        <v>3</v>
      </c>
      <c r="K130" t="s">
        <v>201</v>
      </c>
      <c r="L130">
        <v>1354</v>
      </c>
      <c r="N130">
        <v>1010</v>
      </c>
      <c r="O130" t="s">
        <v>177</v>
      </c>
      <c r="P130" t="s">
        <v>177</v>
      </c>
      <c r="Q130">
        <v>1</v>
      </c>
      <c r="W130">
        <v>0</v>
      </c>
      <c r="X130">
        <v>227882004</v>
      </c>
      <c r="Y130">
        <f>(AT130*1)</f>
        <v>1</v>
      </c>
      <c r="AA130">
        <v>18054.98</v>
      </c>
      <c r="AB130">
        <v>0</v>
      </c>
      <c r="AC130">
        <v>0</v>
      </c>
      <c r="AD130">
        <v>0</v>
      </c>
      <c r="AE130">
        <v>2385.0700000000002</v>
      </c>
      <c r="AF130">
        <v>0</v>
      </c>
      <c r="AG130">
        <v>0</v>
      </c>
      <c r="AH130">
        <v>0</v>
      </c>
      <c r="AI130">
        <v>7.57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 t="s">
        <v>3</v>
      </c>
      <c r="AT130">
        <v>1</v>
      </c>
      <c r="AU130" t="s">
        <v>104</v>
      </c>
      <c r="AV130">
        <v>0</v>
      </c>
      <c r="AW130">
        <v>1</v>
      </c>
      <c r="AX130">
        <v>-1</v>
      </c>
      <c r="AY130">
        <v>0</v>
      </c>
      <c r="AZ130">
        <v>0</v>
      </c>
      <c r="BA130" t="s">
        <v>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ROUND(Y130*Source!I155,9)</f>
        <v>1</v>
      </c>
      <c r="CY130">
        <f>AA130</f>
        <v>18054.98</v>
      </c>
      <c r="CZ130">
        <f>AE130</f>
        <v>2385.0700000000002</v>
      </c>
      <c r="DA130">
        <f>AI130</f>
        <v>7.57</v>
      </c>
      <c r="DB130">
        <f>ROUND((ROUND(AT130*CZ130,2)*1),6)</f>
        <v>2385.0700000000002</v>
      </c>
      <c r="DC130">
        <f>ROUND((ROUND(AT130*AG130,2)*1),6)</f>
        <v>0</v>
      </c>
      <c r="DD130" t="s">
        <v>3</v>
      </c>
      <c r="DE130" t="s">
        <v>3</v>
      </c>
      <c r="DF130">
        <f>ROUND(ROUND(AE130*AI130,2)*CX130,2)</f>
        <v>18054.98</v>
      </c>
      <c r="DG130">
        <f t="shared" si="32"/>
        <v>0</v>
      </c>
      <c r="DH130">
        <f t="shared" si="33"/>
        <v>0</v>
      </c>
      <c r="DI130">
        <f t="shared" si="35"/>
        <v>0</v>
      </c>
      <c r="DJ130">
        <f>DF130</f>
        <v>18054.98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ROW(Source!A158)</f>
        <v>158</v>
      </c>
      <c r="B131">
        <v>57034452</v>
      </c>
      <c r="C131">
        <v>57035066</v>
      </c>
      <c r="D131">
        <v>55424304</v>
      </c>
      <c r="E131">
        <v>1081</v>
      </c>
      <c r="F131">
        <v>1</v>
      </c>
      <c r="G131">
        <v>1081</v>
      </c>
      <c r="H131">
        <v>1</v>
      </c>
      <c r="I131" t="s">
        <v>459</v>
      </c>
      <c r="J131" t="s">
        <v>3</v>
      </c>
      <c r="K131" t="s">
        <v>460</v>
      </c>
      <c r="L131">
        <v>1191</v>
      </c>
      <c r="N131">
        <v>1013</v>
      </c>
      <c r="O131" t="s">
        <v>461</v>
      </c>
      <c r="P131" t="s">
        <v>461</v>
      </c>
      <c r="Q131">
        <v>1</v>
      </c>
      <c r="W131">
        <v>0</v>
      </c>
      <c r="X131">
        <v>476480486</v>
      </c>
      <c r="Y131">
        <f>(AT131*1.2)</f>
        <v>1.6320000000000001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1.36</v>
      </c>
      <c r="AU131" t="s">
        <v>105</v>
      </c>
      <c r="AV131">
        <v>1</v>
      </c>
      <c r="AW131">
        <v>2</v>
      </c>
      <c r="AX131">
        <v>57035076</v>
      </c>
      <c r="AY131">
        <v>1</v>
      </c>
      <c r="AZ131">
        <v>0</v>
      </c>
      <c r="BA131">
        <v>161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ROUND(AT131*Source!I158*AH131*AL131,2)</f>
        <v>0</v>
      </c>
      <c r="CV131">
        <f>ROUND(Y131*Source!I158,9)</f>
        <v>6.5279999999999996</v>
      </c>
      <c r="CW131">
        <v>0</v>
      </c>
      <c r="CX131">
        <f>ROUND(Y131*Source!I158,9)</f>
        <v>6.5279999999999996</v>
      </c>
      <c r="CY131">
        <f>AD131</f>
        <v>0</v>
      </c>
      <c r="CZ131">
        <f>AH131</f>
        <v>0</v>
      </c>
      <c r="DA131">
        <f>AL131</f>
        <v>1</v>
      </c>
      <c r="DB131">
        <f>ROUND((ROUND(AT131*CZ131,2)*1.2),6)</f>
        <v>0</v>
      </c>
      <c r="DC131">
        <f>ROUND((ROUND(AT131*AG131,2)*1.2),6)</f>
        <v>0</v>
      </c>
      <c r="DD131" t="s">
        <v>3</v>
      </c>
      <c r="DE131" t="s">
        <v>3</v>
      </c>
      <c r="DF131">
        <f t="shared" ref="DF131:DF142" si="36">ROUND(ROUND(AE131,2)*CX131,2)</f>
        <v>0</v>
      </c>
      <c r="DG131">
        <f t="shared" si="32"/>
        <v>0</v>
      </c>
      <c r="DH131">
        <f t="shared" si="33"/>
        <v>0</v>
      </c>
      <c r="DI131">
        <f t="shared" si="35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ROW(Source!A158)</f>
        <v>158</v>
      </c>
      <c r="B132">
        <v>57034452</v>
      </c>
      <c r="C132">
        <v>57035066</v>
      </c>
      <c r="D132">
        <v>55490330</v>
      </c>
      <c r="E132">
        <v>1</v>
      </c>
      <c r="F132">
        <v>1</v>
      </c>
      <c r="G132">
        <v>1081</v>
      </c>
      <c r="H132">
        <v>2</v>
      </c>
      <c r="I132" t="s">
        <v>476</v>
      </c>
      <c r="J132" t="s">
        <v>477</v>
      </c>
      <c r="K132" t="s">
        <v>478</v>
      </c>
      <c r="L132">
        <v>1368</v>
      </c>
      <c r="N132">
        <v>1011</v>
      </c>
      <c r="O132" t="s">
        <v>465</v>
      </c>
      <c r="P132" t="s">
        <v>465</v>
      </c>
      <c r="Q132">
        <v>1</v>
      </c>
      <c r="W132">
        <v>0</v>
      </c>
      <c r="X132">
        <v>-2083101341</v>
      </c>
      <c r="Y132">
        <f>(AT132*1.2)</f>
        <v>2.0400000000000001E-2</v>
      </c>
      <c r="AA132">
        <v>0</v>
      </c>
      <c r="AB132">
        <v>0.84</v>
      </c>
      <c r="AC132">
        <v>0</v>
      </c>
      <c r="AD132">
        <v>0</v>
      </c>
      <c r="AE132">
        <v>0</v>
      </c>
      <c r="AF132">
        <v>0.8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1.7000000000000001E-2</v>
      </c>
      <c r="AU132" t="s">
        <v>105</v>
      </c>
      <c r="AV132">
        <v>0</v>
      </c>
      <c r="AW132">
        <v>2</v>
      </c>
      <c r="AX132">
        <v>57035077</v>
      </c>
      <c r="AY132">
        <v>1</v>
      </c>
      <c r="AZ132">
        <v>0</v>
      </c>
      <c r="BA132">
        <v>162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ROUND(Y132*Source!I158*DO132,9)</f>
        <v>0</v>
      </c>
      <c r="CX132">
        <f>ROUND(Y132*Source!I158,9)</f>
        <v>8.1600000000000006E-2</v>
      </c>
      <c r="CY132">
        <f>AB132</f>
        <v>0.84</v>
      </c>
      <c r="CZ132">
        <f>AF132</f>
        <v>0.8</v>
      </c>
      <c r="DA132">
        <f>AJ132</f>
        <v>1</v>
      </c>
      <c r="DB132">
        <f>ROUND((ROUND(AT132*CZ132,2)*1.2),6)</f>
        <v>1.2E-2</v>
      </c>
      <c r="DC132">
        <f>ROUND((ROUND(AT132*AG132,2)*1.2),6)</f>
        <v>0</v>
      </c>
      <c r="DD132" t="s">
        <v>3</v>
      </c>
      <c r="DE132" t="s">
        <v>3</v>
      </c>
      <c r="DF132">
        <f t="shared" si="36"/>
        <v>0</v>
      </c>
      <c r="DG132">
        <f t="shared" si="32"/>
        <v>7.0000000000000007E-2</v>
      </c>
      <c r="DH132">
        <f t="shared" si="33"/>
        <v>0</v>
      </c>
      <c r="DI132">
        <f t="shared" si="35"/>
        <v>0</v>
      </c>
      <c r="DJ132">
        <f>DG132</f>
        <v>7.0000000000000007E-2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ROW(Source!A158)</f>
        <v>158</v>
      </c>
      <c r="B133">
        <v>57034452</v>
      </c>
      <c r="C133">
        <v>57035066</v>
      </c>
      <c r="D133">
        <v>55490296</v>
      </c>
      <c r="E133">
        <v>1</v>
      </c>
      <c r="F133">
        <v>1</v>
      </c>
      <c r="G133">
        <v>1081</v>
      </c>
      <c r="H133">
        <v>2</v>
      </c>
      <c r="I133" t="s">
        <v>479</v>
      </c>
      <c r="J133" t="s">
        <v>480</v>
      </c>
      <c r="K133" t="s">
        <v>481</v>
      </c>
      <c r="L133">
        <v>1368</v>
      </c>
      <c r="N133">
        <v>1011</v>
      </c>
      <c r="O133" t="s">
        <v>465</v>
      </c>
      <c r="P133" t="s">
        <v>465</v>
      </c>
      <c r="Q133">
        <v>1</v>
      </c>
      <c r="W133">
        <v>0</v>
      </c>
      <c r="X133">
        <v>-643591644</v>
      </c>
      <c r="Y133">
        <f>(AT133*1.2)</f>
        <v>2.4E-2</v>
      </c>
      <c r="AA133">
        <v>0</v>
      </c>
      <c r="AB133">
        <v>0.49</v>
      </c>
      <c r="AC133">
        <v>0</v>
      </c>
      <c r="AD133">
        <v>0</v>
      </c>
      <c r="AE133">
        <v>0</v>
      </c>
      <c r="AF133">
        <v>0.47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0.02</v>
      </c>
      <c r="AU133" t="s">
        <v>105</v>
      </c>
      <c r="AV133">
        <v>0</v>
      </c>
      <c r="AW133">
        <v>2</v>
      </c>
      <c r="AX133">
        <v>57035078</v>
      </c>
      <c r="AY133">
        <v>1</v>
      </c>
      <c r="AZ133">
        <v>0</v>
      </c>
      <c r="BA133">
        <v>163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ROUND(Y133*Source!I158*DO133,9)</f>
        <v>0</v>
      </c>
      <c r="CX133">
        <f>ROUND(Y133*Source!I158,9)</f>
        <v>9.6000000000000002E-2</v>
      </c>
      <c r="CY133">
        <f>AB133</f>
        <v>0.49</v>
      </c>
      <c r="CZ133">
        <f>AF133</f>
        <v>0.47</v>
      </c>
      <c r="DA133">
        <f>AJ133</f>
        <v>1</v>
      </c>
      <c r="DB133">
        <f>ROUND((ROUND(AT133*CZ133,2)*1.2),6)</f>
        <v>1.2E-2</v>
      </c>
      <c r="DC133">
        <f>ROUND((ROUND(AT133*AG133,2)*1.2),6)</f>
        <v>0</v>
      </c>
      <c r="DD133" t="s">
        <v>3</v>
      </c>
      <c r="DE133" t="s">
        <v>3</v>
      </c>
      <c r="DF133">
        <f t="shared" si="36"/>
        <v>0</v>
      </c>
      <c r="DG133">
        <f t="shared" si="32"/>
        <v>0.05</v>
      </c>
      <c r="DH133">
        <f t="shared" si="33"/>
        <v>0</v>
      </c>
      <c r="DI133">
        <f t="shared" si="35"/>
        <v>0</v>
      </c>
      <c r="DJ133">
        <f>DG133</f>
        <v>0.05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ROW(Source!A158)</f>
        <v>158</v>
      </c>
      <c r="B134">
        <v>57034452</v>
      </c>
      <c r="C134">
        <v>57035066</v>
      </c>
      <c r="D134">
        <v>55461074</v>
      </c>
      <c r="E134">
        <v>1</v>
      </c>
      <c r="F134">
        <v>1</v>
      </c>
      <c r="G134">
        <v>1081</v>
      </c>
      <c r="H134">
        <v>3</v>
      </c>
      <c r="I134" t="s">
        <v>467</v>
      </c>
      <c r="J134" t="s">
        <v>468</v>
      </c>
      <c r="K134" t="s">
        <v>469</v>
      </c>
      <c r="L134">
        <v>1346</v>
      </c>
      <c r="N134">
        <v>1009</v>
      </c>
      <c r="O134" t="s">
        <v>433</v>
      </c>
      <c r="P134" t="s">
        <v>433</v>
      </c>
      <c r="Q134">
        <v>1</v>
      </c>
      <c r="W134">
        <v>0</v>
      </c>
      <c r="X134">
        <v>-861631226</v>
      </c>
      <c r="Y134">
        <f>(AT134*1)</f>
        <v>6.2700000000000004E-3</v>
      </c>
      <c r="AA134">
        <v>27.62</v>
      </c>
      <c r="AB134">
        <v>0</v>
      </c>
      <c r="AC134">
        <v>0</v>
      </c>
      <c r="AD134">
        <v>0</v>
      </c>
      <c r="AE134">
        <v>27.62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6.2700000000000004E-3</v>
      </c>
      <c r="AU134" t="s">
        <v>104</v>
      </c>
      <c r="AV134">
        <v>0</v>
      </c>
      <c r="AW134">
        <v>2</v>
      </c>
      <c r="AX134">
        <v>57035079</v>
      </c>
      <c r="AY134">
        <v>1</v>
      </c>
      <c r="AZ134">
        <v>0</v>
      </c>
      <c r="BA134">
        <v>164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ROUND(Y134*Source!I158,9)</f>
        <v>2.5080000000000002E-2</v>
      </c>
      <c r="CY134">
        <f t="shared" ref="CY134:CY139" si="37">AA134</f>
        <v>27.62</v>
      </c>
      <c r="CZ134">
        <f t="shared" ref="CZ134:CZ139" si="38">AE134</f>
        <v>27.62</v>
      </c>
      <c r="DA134">
        <f t="shared" ref="DA134:DA139" si="39">AI134</f>
        <v>1</v>
      </c>
      <c r="DB134">
        <f>ROUND((ROUND(AT134*CZ134,2)*1),6)</f>
        <v>0.17</v>
      </c>
      <c r="DC134">
        <f>ROUND((ROUND(AT134*AG134,2)*1),6)</f>
        <v>0</v>
      </c>
      <c r="DD134" t="s">
        <v>3</v>
      </c>
      <c r="DE134" t="s">
        <v>3</v>
      </c>
      <c r="DF134">
        <f t="shared" si="36"/>
        <v>0.69</v>
      </c>
      <c r="DG134">
        <f t="shared" si="32"/>
        <v>0</v>
      </c>
      <c r="DH134">
        <f t="shared" si="33"/>
        <v>0</v>
      </c>
      <c r="DI134">
        <f t="shared" si="35"/>
        <v>0</v>
      </c>
      <c r="DJ134">
        <f t="shared" ref="DJ134:DJ139" si="40">DF134</f>
        <v>0.69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ROW(Source!A158)</f>
        <v>158</v>
      </c>
      <c r="B135">
        <v>57034452</v>
      </c>
      <c r="C135">
        <v>57035066</v>
      </c>
      <c r="D135">
        <v>55459793</v>
      </c>
      <c r="E135">
        <v>1</v>
      </c>
      <c r="F135">
        <v>1</v>
      </c>
      <c r="G135">
        <v>1081</v>
      </c>
      <c r="H135">
        <v>3</v>
      </c>
      <c r="I135" t="s">
        <v>470</v>
      </c>
      <c r="J135" t="s">
        <v>471</v>
      </c>
      <c r="K135" t="s">
        <v>472</v>
      </c>
      <c r="L135">
        <v>1348</v>
      </c>
      <c r="N135">
        <v>1009</v>
      </c>
      <c r="O135" t="s">
        <v>299</v>
      </c>
      <c r="P135" t="s">
        <v>299</v>
      </c>
      <c r="Q135">
        <v>1000</v>
      </c>
      <c r="W135">
        <v>0</v>
      </c>
      <c r="X135">
        <v>-761454284</v>
      </c>
      <c r="Y135">
        <f>(AT135*1)</f>
        <v>1.0000000000000001E-5</v>
      </c>
      <c r="AA135">
        <v>64123.05</v>
      </c>
      <c r="AB135">
        <v>0</v>
      </c>
      <c r="AC135">
        <v>0</v>
      </c>
      <c r="AD135">
        <v>0</v>
      </c>
      <c r="AE135">
        <v>64123.05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1.0000000000000001E-5</v>
      </c>
      <c r="AU135" t="s">
        <v>104</v>
      </c>
      <c r="AV135">
        <v>0</v>
      </c>
      <c r="AW135">
        <v>2</v>
      </c>
      <c r="AX135">
        <v>57035080</v>
      </c>
      <c r="AY135">
        <v>1</v>
      </c>
      <c r="AZ135">
        <v>0</v>
      </c>
      <c r="BA135">
        <v>165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ROUND(Y135*Source!I158,9)</f>
        <v>4.0000000000000003E-5</v>
      </c>
      <c r="CY135">
        <f t="shared" si="37"/>
        <v>64123.05</v>
      </c>
      <c r="CZ135">
        <f t="shared" si="38"/>
        <v>64123.05</v>
      </c>
      <c r="DA135">
        <f t="shared" si="39"/>
        <v>1</v>
      </c>
      <c r="DB135">
        <f>ROUND((ROUND(AT135*CZ135,2)*1),6)</f>
        <v>0.64</v>
      </c>
      <c r="DC135">
        <f>ROUND((ROUND(AT135*AG135,2)*1),6)</f>
        <v>0</v>
      </c>
      <c r="DD135" t="s">
        <v>3</v>
      </c>
      <c r="DE135" t="s">
        <v>3</v>
      </c>
      <c r="DF135">
        <f t="shared" si="36"/>
        <v>2.56</v>
      </c>
      <c r="DG135">
        <f t="shared" si="32"/>
        <v>0</v>
      </c>
      <c r="DH135">
        <f t="shared" si="33"/>
        <v>0</v>
      </c>
      <c r="DI135">
        <f t="shared" si="35"/>
        <v>0</v>
      </c>
      <c r="DJ135">
        <f t="shared" si="40"/>
        <v>2.56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ROW(Source!A158)</f>
        <v>158</v>
      </c>
      <c r="B136">
        <v>57034452</v>
      </c>
      <c r="C136">
        <v>57035066</v>
      </c>
      <c r="D136">
        <v>55469253</v>
      </c>
      <c r="E136">
        <v>1</v>
      </c>
      <c r="F136">
        <v>1</v>
      </c>
      <c r="G136">
        <v>1081</v>
      </c>
      <c r="H136">
        <v>3</v>
      </c>
      <c r="I136" t="s">
        <v>473</v>
      </c>
      <c r="J136" t="s">
        <v>474</v>
      </c>
      <c r="K136" t="s">
        <v>475</v>
      </c>
      <c r="L136">
        <v>1354</v>
      </c>
      <c r="N136">
        <v>1010</v>
      </c>
      <c r="O136" t="s">
        <v>177</v>
      </c>
      <c r="P136" t="s">
        <v>177</v>
      </c>
      <c r="Q136">
        <v>1</v>
      </c>
      <c r="W136">
        <v>0</v>
      </c>
      <c r="X136">
        <v>-32785108</v>
      </c>
      <c r="Y136">
        <f>(AT136*1)</f>
        <v>0.1</v>
      </c>
      <c r="AA136">
        <v>15.25</v>
      </c>
      <c r="AB136">
        <v>0</v>
      </c>
      <c r="AC136">
        <v>0</v>
      </c>
      <c r="AD136">
        <v>0</v>
      </c>
      <c r="AE136">
        <v>15.25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0.1</v>
      </c>
      <c r="AU136" t="s">
        <v>104</v>
      </c>
      <c r="AV136">
        <v>0</v>
      </c>
      <c r="AW136">
        <v>2</v>
      </c>
      <c r="AX136">
        <v>57035081</v>
      </c>
      <c r="AY136">
        <v>1</v>
      </c>
      <c r="AZ136">
        <v>0</v>
      </c>
      <c r="BA136">
        <v>166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ROUND(Y136*Source!I158,9)</f>
        <v>0.4</v>
      </c>
      <c r="CY136">
        <f t="shared" si="37"/>
        <v>15.25</v>
      </c>
      <c r="CZ136">
        <f t="shared" si="38"/>
        <v>15.25</v>
      </c>
      <c r="DA136">
        <f t="shared" si="39"/>
        <v>1</v>
      </c>
      <c r="DB136">
        <f>ROUND((ROUND(AT136*CZ136,2)*1),6)</f>
        <v>1.53</v>
      </c>
      <c r="DC136">
        <f>ROUND((ROUND(AT136*AG136,2)*1),6)</f>
        <v>0</v>
      </c>
      <c r="DD136" t="s">
        <v>3</v>
      </c>
      <c r="DE136" t="s">
        <v>3</v>
      </c>
      <c r="DF136">
        <f t="shared" si="36"/>
        <v>6.1</v>
      </c>
      <c r="DG136">
        <f t="shared" si="32"/>
        <v>0</v>
      </c>
      <c r="DH136">
        <f t="shared" si="33"/>
        <v>0</v>
      </c>
      <c r="DI136">
        <f t="shared" si="35"/>
        <v>0</v>
      </c>
      <c r="DJ136">
        <f t="shared" si="40"/>
        <v>6.1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ROW(Source!A158)</f>
        <v>158</v>
      </c>
      <c r="B137">
        <v>57034452</v>
      </c>
      <c r="C137">
        <v>57035066</v>
      </c>
      <c r="D137">
        <v>0</v>
      </c>
      <c r="E137">
        <v>0</v>
      </c>
      <c r="F137">
        <v>1</v>
      </c>
      <c r="G137">
        <v>1081</v>
      </c>
      <c r="H137">
        <v>3</v>
      </c>
      <c r="I137" t="s">
        <v>206</v>
      </c>
      <c r="J137" t="s">
        <v>3</v>
      </c>
      <c r="K137" t="s">
        <v>207</v>
      </c>
      <c r="L137">
        <v>1354</v>
      </c>
      <c r="N137">
        <v>1010</v>
      </c>
      <c r="O137" t="s">
        <v>177</v>
      </c>
      <c r="P137" t="s">
        <v>177</v>
      </c>
      <c r="Q137">
        <v>1</v>
      </c>
      <c r="W137">
        <v>0</v>
      </c>
      <c r="X137">
        <v>-232997279</v>
      </c>
      <c r="Y137">
        <f>AT137</f>
        <v>0.25</v>
      </c>
      <c r="AA137">
        <v>861.62</v>
      </c>
      <c r="AB137">
        <v>0</v>
      </c>
      <c r="AC137">
        <v>0</v>
      </c>
      <c r="AD137">
        <v>0</v>
      </c>
      <c r="AE137">
        <v>861.62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 t="s">
        <v>3</v>
      </c>
      <c r="AT137">
        <v>0.25</v>
      </c>
      <c r="AU137" t="s">
        <v>3</v>
      </c>
      <c r="AV137">
        <v>0</v>
      </c>
      <c r="AW137">
        <v>1</v>
      </c>
      <c r="AX137">
        <v>-1</v>
      </c>
      <c r="AY137">
        <v>0</v>
      </c>
      <c r="AZ137">
        <v>0</v>
      </c>
      <c r="BA137" t="s">
        <v>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ROUND(Y137*Source!I158,9)</f>
        <v>1</v>
      </c>
      <c r="CY137">
        <f t="shared" si="37"/>
        <v>861.62</v>
      </c>
      <c r="CZ137">
        <f t="shared" si="38"/>
        <v>861.62</v>
      </c>
      <c r="DA137">
        <f t="shared" si="39"/>
        <v>1</v>
      </c>
      <c r="DB137">
        <f>ROUND(ROUND(AT137*CZ137,2),6)</f>
        <v>215.41</v>
      </c>
      <c r="DC137">
        <f>ROUND(ROUND(AT137*AG137,2),6)</f>
        <v>0</v>
      </c>
      <c r="DD137" t="s">
        <v>3</v>
      </c>
      <c r="DE137" t="s">
        <v>3</v>
      </c>
      <c r="DF137">
        <f t="shared" si="36"/>
        <v>861.62</v>
      </c>
      <c r="DG137">
        <f t="shared" si="32"/>
        <v>0</v>
      </c>
      <c r="DH137">
        <f t="shared" si="33"/>
        <v>0</v>
      </c>
      <c r="DI137">
        <f t="shared" si="35"/>
        <v>0</v>
      </c>
      <c r="DJ137">
        <f t="shared" si="40"/>
        <v>861.62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ROW(Source!A158)</f>
        <v>158</v>
      </c>
      <c r="B138">
        <v>57034452</v>
      </c>
      <c r="C138">
        <v>57035066</v>
      </c>
      <c r="D138">
        <v>0</v>
      </c>
      <c r="E138">
        <v>0</v>
      </c>
      <c r="F138">
        <v>1</v>
      </c>
      <c r="G138">
        <v>1081</v>
      </c>
      <c r="H138">
        <v>3</v>
      </c>
      <c r="I138" t="s">
        <v>210</v>
      </c>
      <c r="J138" t="s">
        <v>3</v>
      </c>
      <c r="K138" t="s">
        <v>211</v>
      </c>
      <c r="L138">
        <v>1354</v>
      </c>
      <c r="N138">
        <v>1010</v>
      </c>
      <c r="O138" t="s">
        <v>177</v>
      </c>
      <c r="P138" t="s">
        <v>177</v>
      </c>
      <c r="Q138">
        <v>1</v>
      </c>
      <c r="W138">
        <v>0</v>
      </c>
      <c r="X138">
        <v>-566908173</v>
      </c>
      <c r="Y138">
        <f>AT138</f>
        <v>0.5</v>
      </c>
      <c r="AA138">
        <v>937.47</v>
      </c>
      <c r="AB138">
        <v>0</v>
      </c>
      <c r="AC138">
        <v>0</v>
      </c>
      <c r="AD138">
        <v>0</v>
      </c>
      <c r="AE138">
        <v>937.47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 t="s">
        <v>3</v>
      </c>
      <c r="AT138">
        <v>0.5</v>
      </c>
      <c r="AU138" t="s">
        <v>3</v>
      </c>
      <c r="AV138">
        <v>0</v>
      </c>
      <c r="AW138">
        <v>1</v>
      </c>
      <c r="AX138">
        <v>-1</v>
      </c>
      <c r="AY138">
        <v>0</v>
      </c>
      <c r="AZ138">
        <v>0</v>
      </c>
      <c r="BA138" t="s">
        <v>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ROUND(Y138*Source!I158,9)</f>
        <v>2</v>
      </c>
      <c r="CY138">
        <f t="shared" si="37"/>
        <v>937.47</v>
      </c>
      <c r="CZ138">
        <f t="shared" si="38"/>
        <v>937.47</v>
      </c>
      <c r="DA138">
        <f t="shared" si="39"/>
        <v>1</v>
      </c>
      <c r="DB138">
        <f>ROUND(ROUND(AT138*CZ138,2),6)</f>
        <v>468.74</v>
      </c>
      <c r="DC138">
        <f>ROUND(ROUND(AT138*AG138,2),6)</f>
        <v>0</v>
      </c>
      <c r="DD138" t="s">
        <v>3</v>
      </c>
      <c r="DE138" t="s">
        <v>3</v>
      </c>
      <c r="DF138">
        <f t="shared" si="36"/>
        <v>1874.94</v>
      </c>
      <c r="DG138">
        <f t="shared" si="32"/>
        <v>0</v>
      </c>
      <c r="DH138">
        <f t="shared" si="33"/>
        <v>0</v>
      </c>
      <c r="DI138">
        <f t="shared" si="35"/>
        <v>0</v>
      </c>
      <c r="DJ138">
        <f t="shared" si="40"/>
        <v>1874.94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ROW(Source!A158)</f>
        <v>158</v>
      </c>
      <c r="B139">
        <v>57034452</v>
      </c>
      <c r="C139">
        <v>57035066</v>
      </c>
      <c r="D139">
        <v>0</v>
      </c>
      <c r="E139">
        <v>0</v>
      </c>
      <c r="F139">
        <v>1</v>
      </c>
      <c r="G139">
        <v>1081</v>
      </c>
      <c r="H139">
        <v>3</v>
      </c>
      <c r="I139" t="s">
        <v>214</v>
      </c>
      <c r="J139" t="s">
        <v>3</v>
      </c>
      <c r="K139" t="s">
        <v>215</v>
      </c>
      <c r="L139">
        <v>1354</v>
      </c>
      <c r="N139">
        <v>1010</v>
      </c>
      <c r="O139" t="s">
        <v>177</v>
      </c>
      <c r="P139" t="s">
        <v>177</v>
      </c>
      <c r="Q139">
        <v>1</v>
      </c>
      <c r="W139">
        <v>0</v>
      </c>
      <c r="X139">
        <v>1919494281</v>
      </c>
      <c r="Y139">
        <f>AT139</f>
        <v>0.25</v>
      </c>
      <c r="AA139">
        <v>1470.07</v>
      </c>
      <c r="AB139">
        <v>0</v>
      </c>
      <c r="AC139">
        <v>0</v>
      </c>
      <c r="AD139">
        <v>0</v>
      </c>
      <c r="AE139">
        <v>1470.07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 t="s">
        <v>3</v>
      </c>
      <c r="AT139">
        <v>0.25</v>
      </c>
      <c r="AU139" t="s">
        <v>3</v>
      </c>
      <c r="AV139">
        <v>0</v>
      </c>
      <c r="AW139">
        <v>1</v>
      </c>
      <c r="AX139">
        <v>-1</v>
      </c>
      <c r="AY139">
        <v>0</v>
      </c>
      <c r="AZ139">
        <v>0</v>
      </c>
      <c r="BA139" t="s">
        <v>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ROUND(Y139*Source!I158,9)</f>
        <v>1</v>
      </c>
      <c r="CY139">
        <f t="shared" si="37"/>
        <v>1470.07</v>
      </c>
      <c r="CZ139">
        <f t="shared" si="38"/>
        <v>1470.07</v>
      </c>
      <c r="DA139">
        <f t="shared" si="39"/>
        <v>1</v>
      </c>
      <c r="DB139">
        <f>ROUND(ROUND(AT139*CZ139,2),6)</f>
        <v>367.52</v>
      </c>
      <c r="DC139">
        <f>ROUND(ROUND(AT139*AG139,2),6)</f>
        <v>0</v>
      </c>
      <c r="DD139" t="s">
        <v>3</v>
      </c>
      <c r="DE139" t="s">
        <v>3</v>
      </c>
      <c r="DF139">
        <f t="shared" si="36"/>
        <v>1470.07</v>
      </c>
      <c r="DG139">
        <f t="shared" si="32"/>
        <v>0</v>
      </c>
      <c r="DH139">
        <f t="shared" si="33"/>
        <v>0</v>
      </c>
      <c r="DI139">
        <f t="shared" si="35"/>
        <v>0</v>
      </c>
      <c r="DJ139">
        <f t="shared" si="40"/>
        <v>1470.07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ROW(Source!A159)</f>
        <v>159</v>
      </c>
      <c r="B140">
        <v>57034454</v>
      </c>
      <c r="C140">
        <v>57035066</v>
      </c>
      <c r="D140">
        <v>55424304</v>
      </c>
      <c r="E140">
        <v>1081</v>
      </c>
      <c r="F140">
        <v>1</v>
      </c>
      <c r="G140">
        <v>1081</v>
      </c>
      <c r="H140">
        <v>1</v>
      </c>
      <c r="I140" t="s">
        <v>459</v>
      </c>
      <c r="J140" t="s">
        <v>3</v>
      </c>
      <c r="K140" t="s">
        <v>460</v>
      </c>
      <c r="L140">
        <v>1191</v>
      </c>
      <c r="N140">
        <v>1013</v>
      </c>
      <c r="O140" t="s">
        <v>461</v>
      </c>
      <c r="P140" t="s">
        <v>461</v>
      </c>
      <c r="Q140">
        <v>1</v>
      </c>
      <c r="W140">
        <v>0</v>
      </c>
      <c r="X140">
        <v>476480486</v>
      </c>
      <c r="Y140">
        <f>(AT140*1.2)</f>
        <v>1.6320000000000001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5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1.36</v>
      </c>
      <c r="AU140" t="s">
        <v>105</v>
      </c>
      <c r="AV140">
        <v>1</v>
      </c>
      <c r="AW140">
        <v>2</v>
      </c>
      <c r="AX140">
        <v>57035076</v>
      </c>
      <c r="AY140">
        <v>1</v>
      </c>
      <c r="AZ140">
        <v>0</v>
      </c>
      <c r="BA140">
        <v>168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U140">
        <f>ROUND(AT140*Source!I159*AH140*AL140,2)</f>
        <v>0</v>
      </c>
      <c r="CV140">
        <f>ROUND(Y140*Source!I159,9)</f>
        <v>6.5279999999999996</v>
      </c>
      <c r="CW140">
        <v>0</v>
      </c>
      <c r="CX140">
        <f>ROUND(Y140*Source!I159,9)</f>
        <v>6.5279999999999996</v>
      </c>
      <c r="CY140">
        <f>AD140</f>
        <v>0</v>
      </c>
      <c r="CZ140">
        <f>AH140</f>
        <v>0</v>
      </c>
      <c r="DA140">
        <f>AL140</f>
        <v>1</v>
      </c>
      <c r="DB140">
        <f>ROUND((ROUND(AT140*CZ140,2)*1.2),6)</f>
        <v>0</v>
      </c>
      <c r="DC140">
        <f>ROUND((ROUND(AT140*AG140,2)*1.2),6)</f>
        <v>0</v>
      </c>
      <c r="DD140" t="s">
        <v>3</v>
      </c>
      <c r="DE140" t="s">
        <v>3</v>
      </c>
      <c r="DF140">
        <f t="shared" si="36"/>
        <v>0</v>
      </c>
      <c r="DG140">
        <f t="shared" si="32"/>
        <v>0</v>
      </c>
      <c r="DH140">
        <f t="shared" si="33"/>
        <v>0</v>
      </c>
      <c r="DI140">
        <f t="shared" si="35"/>
        <v>0</v>
      </c>
      <c r="DJ140">
        <f>DI140</f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ROW(Source!A159)</f>
        <v>159</v>
      </c>
      <c r="B141">
        <v>57034454</v>
      </c>
      <c r="C141">
        <v>57035066</v>
      </c>
      <c r="D141">
        <v>55490330</v>
      </c>
      <c r="E141">
        <v>1</v>
      </c>
      <c r="F141">
        <v>1</v>
      </c>
      <c r="G141">
        <v>1081</v>
      </c>
      <c r="H141">
        <v>2</v>
      </c>
      <c r="I141" t="s">
        <v>476</v>
      </c>
      <c r="J141" t="s">
        <v>477</v>
      </c>
      <c r="K141" t="s">
        <v>478</v>
      </c>
      <c r="L141">
        <v>1368</v>
      </c>
      <c r="N141">
        <v>1011</v>
      </c>
      <c r="O141" t="s">
        <v>465</v>
      </c>
      <c r="P141" t="s">
        <v>465</v>
      </c>
      <c r="Q141">
        <v>1</v>
      </c>
      <c r="W141">
        <v>0</v>
      </c>
      <c r="X141">
        <v>-2083101341</v>
      </c>
      <c r="Y141">
        <f>(AT141*1.2)</f>
        <v>2.0400000000000001E-2</v>
      </c>
      <c r="AA141">
        <v>0</v>
      </c>
      <c r="AB141">
        <v>7.92</v>
      </c>
      <c r="AC141">
        <v>0</v>
      </c>
      <c r="AD141">
        <v>0</v>
      </c>
      <c r="AE141">
        <v>0</v>
      </c>
      <c r="AF141">
        <v>0.8</v>
      </c>
      <c r="AG141">
        <v>0</v>
      </c>
      <c r="AH141">
        <v>0</v>
      </c>
      <c r="AI141">
        <v>1</v>
      </c>
      <c r="AJ141">
        <v>9.4600000000000009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1.7000000000000001E-2</v>
      </c>
      <c r="AU141" t="s">
        <v>105</v>
      </c>
      <c r="AV141">
        <v>0</v>
      </c>
      <c r="AW141">
        <v>2</v>
      </c>
      <c r="AX141">
        <v>57035077</v>
      </c>
      <c r="AY141">
        <v>1</v>
      </c>
      <c r="AZ141">
        <v>0</v>
      </c>
      <c r="BA141">
        <v>169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ROUND(Y141*Source!I159*DO141,9)</f>
        <v>0</v>
      </c>
      <c r="CX141">
        <f>ROUND(Y141*Source!I159,9)</f>
        <v>8.1600000000000006E-2</v>
      </c>
      <c r="CY141">
        <f>AB141</f>
        <v>7.92</v>
      </c>
      <c r="CZ141">
        <f>AF141</f>
        <v>0.8</v>
      </c>
      <c r="DA141">
        <f>AJ141</f>
        <v>9.4600000000000009</v>
      </c>
      <c r="DB141">
        <f>ROUND((ROUND(AT141*CZ141,2)*1.2),6)</f>
        <v>1.2E-2</v>
      </c>
      <c r="DC141">
        <f>ROUND((ROUND(AT141*AG141,2)*1.2),6)</f>
        <v>0</v>
      </c>
      <c r="DD141" t="s">
        <v>3</v>
      </c>
      <c r="DE141" t="s">
        <v>3</v>
      </c>
      <c r="DF141">
        <f t="shared" si="36"/>
        <v>0</v>
      </c>
      <c r="DG141">
        <f>ROUND(ROUND(AF141*AJ141,2)*CX141,2)</f>
        <v>0.62</v>
      </c>
      <c r="DH141">
        <f t="shared" si="33"/>
        <v>0</v>
      </c>
      <c r="DI141">
        <f t="shared" si="35"/>
        <v>0</v>
      </c>
      <c r="DJ141">
        <f>DG141</f>
        <v>0.62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ROW(Source!A159)</f>
        <v>159</v>
      </c>
      <c r="B142">
        <v>57034454</v>
      </c>
      <c r="C142">
        <v>57035066</v>
      </c>
      <c r="D142">
        <v>55490296</v>
      </c>
      <c r="E142">
        <v>1</v>
      </c>
      <c r="F142">
        <v>1</v>
      </c>
      <c r="G142">
        <v>1081</v>
      </c>
      <c r="H142">
        <v>2</v>
      </c>
      <c r="I142" t="s">
        <v>479</v>
      </c>
      <c r="J142" t="s">
        <v>480</v>
      </c>
      <c r="K142" t="s">
        <v>481</v>
      </c>
      <c r="L142">
        <v>1368</v>
      </c>
      <c r="N142">
        <v>1011</v>
      </c>
      <c r="O142" t="s">
        <v>465</v>
      </c>
      <c r="P142" t="s">
        <v>465</v>
      </c>
      <c r="Q142">
        <v>1</v>
      </c>
      <c r="W142">
        <v>0</v>
      </c>
      <c r="X142">
        <v>-643591644</v>
      </c>
      <c r="Y142">
        <f>(AT142*1.2)</f>
        <v>2.4E-2</v>
      </c>
      <c r="AA142">
        <v>0</v>
      </c>
      <c r="AB142">
        <v>4.75</v>
      </c>
      <c r="AC142">
        <v>0</v>
      </c>
      <c r="AD142">
        <v>0</v>
      </c>
      <c r="AE142">
        <v>0</v>
      </c>
      <c r="AF142">
        <v>0.47</v>
      </c>
      <c r="AG142">
        <v>0</v>
      </c>
      <c r="AH142">
        <v>0</v>
      </c>
      <c r="AI142">
        <v>1</v>
      </c>
      <c r="AJ142">
        <v>9.66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0.02</v>
      </c>
      <c r="AU142" t="s">
        <v>105</v>
      </c>
      <c r="AV142">
        <v>0</v>
      </c>
      <c r="AW142">
        <v>2</v>
      </c>
      <c r="AX142">
        <v>57035078</v>
      </c>
      <c r="AY142">
        <v>1</v>
      </c>
      <c r="AZ142">
        <v>0</v>
      </c>
      <c r="BA142">
        <v>170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ROUND(Y142*Source!I159*DO142,9)</f>
        <v>0</v>
      </c>
      <c r="CX142">
        <f>ROUND(Y142*Source!I159,9)</f>
        <v>9.6000000000000002E-2</v>
      </c>
      <c r="CY142">
        <f>AB142</f>
        <v>4.75</v>
      </c>
      <c r="CZ142">
        <f>AF142</f>
        <v>0.47</v>
      </c>
      <c r="DA142">
        <f>AJ142</f>
        <v>9.66</v>
      </c>
      <c r="DB142">
        <f>ROUND((ROUND(AT142*CZ142,2)*1.2),6)</f>
        <v>1.2E-2</v>
      </c>
      <c r="DC142">
        <f>ROUND((ROUND(AT142*AG142,2)*1.2),6)</f>
        <v>0</v>
      </c>
      <c r="DD142" t="s">
        <v>3</v>
      </c>
      <c r="DE142" t="s">
        <v>3</v>
      </c>
      <c r="DF142">
        <f t="shared" si="36"/>
        <v>0</v>
      </c>
      <c r="DG142">
        <f>ROUND(ROUND(AF142*AJ142,2)*CX142,2)</f>
        <v>0.44</v>
      </c>
      <c r="DH142">
        <f t="shared" si="33"/>
        <v>0</v>
      </c>
      <c r="DI142">
        <f t="shared" si="35"/>
        <v>0</v>
      </c>
      <c r="DJ142">
        <f>DG142</f>
        <v>0.44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ROW(Source!A159)</f>
        <v>159</v>
      </c>
      <c r="B143">
        <v>57034454</v>
      </c>
      <c r="C143">
        <v>57035066</v>
      </c>
      <c r="D143">
        <v>55461074</v>
      </c>
      <c r="E143">
        <v>1</v>
      </c>
      <c r="F143">
        <v>1</v>
      </c>
      <c r="G143">
        <v>1081</v>
      </c>
      <c r="H143">
        <v>3</v>
      </c>
      <c r="I143" t="s">
        <v>467</v>
      </c>
      <c r="J143" t="s">
        <v>468</v>
      </c>
      <c r="K143" t="s">
        <v>469</v>
      </c>
      <c r="L143">
        <v>1346</v>
      </c>
      <c r="N143">
        <v>1009</v>
      </c>
      <c r="O143" t="s">
        <v>433</v>
      </c>
      <c r="P143" t="s">
        <v>433</v>
      </c>
      <c r="Q143">
        <v>1</v>
      </c>
      <c r="W143">
        <v>0</v>
      </c>
      <c r="X143">
        <v>-861631226</v>
      </c>
      <c r="Y143">
        <f>(AT143*1)</f>
        <v>6.2700000000000004E-3</v>
      </c>
      <c r="AA143">
        <v>163.51</v>
      </c>
      <c r="AB143">
        <v>0</v>
      </c>
      <c r="AC143">
        <v>0</v>
      </c>
      <c r="AD143">
        <v>0</v>
      </c>
      <c r="AE143">
        <v>27.62</v>
      </c>
      <c r="AF143">
        <v>0</v>
      </c>
      <c r="AG143">
        <v>0</v>
      </c>
      <c r="AH143">
        <v>0</v>
      </c>
      <c r="AI143">
        <v>5.92</v>
      </c>
      <c r="AJ143">
        <v>1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6.2700000000000004E-3</v>
      </c>
      <c r="AU143" t="s">
        <v>104</v>
      </c>
      <c r="AV143">
        <v>0</v>
      </c>
      <c r="AW143">
        <v>2</v>
      </c>
      <c r="AX143">
        <v>57035079</v>
      </c>
      <c r="AY143">
        <v>1</v>
      </c>
      <c r="AZ143">
        <v>0</v>
      </c>
      <c r="BA143">
        <v>171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ROUND(Y143*Source!I159,9)</f>
        <v>2.5080000000000002E-2</v>
      </c>
      <c r="CY143">
        <f t="shared" ref="CY143:CY148" si="41">AA143</f>
        <v>163.51</v>
      </c>
      <c r="CZ143">
        <f t="shared" ref="CZ143:CZ148" si="42">AE143</f>
        <v>27.62</v>
      </c>
      <c r="DA143">
        <f t="shared" ref="DA143:DA148" si="43">AI143</f>
        <v>5.92</v>
      </c>
      <c r="DB143">
        <f>ROUND((ROUND(AT143*CZ143,2)*1),6)</f>
        <v>0.17</v>
      </c>
      <c r="DC143">
        <f>ROUND((ROUND(AT143*AG143,2)*1),6)</f>
        <v>0</v>
      </c>
      <c r="DD143" t="s">
        <v>3</v>
      </c>
      <c r="DE143" t="s">
        <v>3</v>
      </c>
      <c r="DF143">
        <f t="shared" ref="DF143:DF148" si="44">ROUND(ROUND(AE143*AI143,2)*CX143,2)</f>
        <v>4.0999999999999996</v>
      </c>
      <c r="DG143">
        <f t="shared" ref="DG143:DG174" si="45">ROUND(ROUND(AF143,2)*CX143,2)</f>
        <v>0</v>
      </c>
      <c r="DH143">
        <f t="shared" si="33"/>
        <v>0</v>
      </c>
      <c r="DI143">
        <f t="shared" si="35"/>
        <v>0</v>
      </c>
      <c r="DJ143">
        <f t="shared" ref="DJ143:DJ148" si="46">DF143</f>
        <v>4.0999999999999996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ROW(Source!A159)</f>
        <v>159</v>
      </c>
      <c r="B144">
        <v>57034454</v>
      </c>
      <c r="C144">
        <v>57035066</v>
      </c>
      <c r="D144">
        <v>55459793</v>
      </c>
      <c r="E144">
        <v>1</v>
      </c>
      <c r="F144">
        <v>1</v>
      </c>
      <c r="G144">
        <v>1081</v>
      </c>
      <c r="H144">
        <v>3</v>
      </c>
      <c r="I144" t="s">
        <v>470</v>
      </c>
      <c r="J144" t="s">
        <v>471</v>
      </c>
      <c r="K144" t="s">
        <v>472</v>
      </c>
      <c r="L144">
        <v>1348</v>
      </c>
      <c r="N144">
        <v>1009</v>
      </c>
      <c r="O144" t="s">
        <v>299</v>
      </c>
      <c r="P144" t="s">
        <v>299</v>
      </c>
      <c r="Q144">
        <v>1000</v>
      </c>
      <c r="W144">
        <v>0</v>
      </c>
      <c r="X144">
        <v>-761454284</v>
      </c>
      <c r="Y144">
        <f>(AT144*1)</f>
        <v>1.0000000000000001E-5</v>
      </c>
      <c r="AA144">
        <v>1930745.04</v>
      </c>
      <c r="AB144">
        <v>0</v>
      </c>
      <c r="AC144">
        <v>0</v>
      </c>
      <c r="AD144">
        <v>0</v>
      </c>
      <c r="AE144">
        <v>64123.05</v>
      </c>
      <c r="AF144">
        <v>0</v>
      </c>
      <c r="AG144">
        <v>0</v>
      </c>
      <c r="AH144">
        <v>0</v>
      </c>
      <c r="AI144">
        <v>30.11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1.0000000000000001E-5</v>
      </c>
      <c r="AU144" t="s">
        <v>104</v>
      </c>
      <c r="AV144">
        <v>0</v>
      </c>
      <c r="AW144">
        <v>2</v>
      </c>
      <c r="AX144">
        <v>57035080</v>
      </c>
      <c r="AY144">
        <v>1</v>
      </c>
      <c r="AZ144">
        <v>0</v>
      </c>
      <c r="BA144">
        <v>172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ROUND(Y144*Source!I159,9)</f>
        <v>4.0000000000000003E-5</v>
      </c>
      <c r="CY144">
        <f t="shared" si="41"/>
        <v>1930745.04</v>
      </c>
      <c r="CZ144">
        <f t="shared" si="42"/>
        <v>64123.05</v>
      </c>
      <c r="DA144">
        <f t="shared" si="43"/>
        <v>30.11</v>
      </c>
      <c r="DB144">
        <f>ROUND((ROUND(AT144*CZ144,2)*1),6)</f>
        <v>0.64</v>
      </c>
      <c r="DC144">
        <f>ROUND((ROUND(AT144*AG144,2)*1),6)</f>
        <v>0</v>
      </c>
      <c r="DD144" t="s">
        <v>3</v>
      </c>
      <c r="DE144" t="s">
        <v>3</v>
      </c>
      <c r="DF144">
        <f t="shared" si="44"/>
        <v>77.23</v>
      </c>
      <c r="DG144">
        <f t="shared" si="45"/>
        <v>0</v>
      </c>
      <c r="DH144">
        <f t="shared" si="33"/>
        <v>0</v>
      </c>
      <c r="DI144">
        <f t="shared" si="35"/>
        <v>0</v>
      </c>
      <c r="DJ144">
        <f t="shared" si="46"/>
        <v>77.23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ROW(Source!A159)</f>
        <v>159</v>
      </c>
      <c r="B145">
        <v>57034454</v>
      </c>
      <c r="C145">
        <v>57035066</v>
      </c>
      <c r="D145">
        <v>55469253</v>
      </c>
      <c r="E145">
        <v>1</v>
      </c>
      <c r="F145">
        <v>1</v>
      </c>
      <c r="G145">
        <v>1081</v>
      </c>
      <c r="H145">
        <v>3</v>
      </c>
      <c r="I145" t="s">
        <v>473</v>
      </c>
      <c r="J145" t="s">
        <v>474</v>
      </c>
      <c r="K145" t="s">
        <v>475</v>
      </c>
      <c r="L145">
        <v>1354</v>
      </c>
      <c r="N145">
        <v>1010</v>
      </c>
      <c r="O145" t="s">
        <v>177</v>
      </c>
      <c r="P145" t="s">
        <v>177</v>
      </c>
      <c r="Q145">
        <v>1</v>
      </c>
      <c r="W145">
        <v>0</v>
      </c>
      <c r="X145">
        <v>-32785108</v>
      </c>
      <c r="Y145">
        <f>(AT145*1)</f>
        <v>0.1</v>
      </c>
      <c r="AA145">
        <v>36.14</v>
      </c>
      <c r="AB145">
        <v>0</v>
      </c>
      <c r="AC145">
        <v>0</v>
      </c>
      <c r="AD145">
        <v>0</v>
      </c>
      <c r="AE145">
        <v>15.25</v>
      </c>
      <c r="AF145">
        <v>0</v>
      </c>
      <c r="AG145">
        <v>0</v>
      </c>
      <c r="AH145">
        <v>0</v>
      </c>
      <c r="AI145">
        <v>2.37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0.1</v>
      </c>
      <c r="AU145" t="s">
        <v>104</v>
      </c>
      <c r="AV145">
        <v>0</v>
      </c>
      <c r="AW145">
        <v>2</v>
      </c>
      <c r="AX145">
        <v>57035081</v>
      </c>
      <c r="AY145">
        <v>1</v>
      </c>
      <c r="AZ145">
        <v>0</v>
      </c>
      <c r="BA145">
        <v>173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ROUND(Y145*Source!I159,9)</f>
        <v>0.4</v>
      </c>
      <c r="CY145">
        <f t="shared" si="41"/>
        <v>36.14</v>
      </c>
      <c r="CZ145">
        <f t="shared" si="42"/>
        <v>15.25</v>
      </c>
      <c r="DA145">
        <f t="shared" si="43"/>
        <v>2.37</v>
      </c>
      <c r="DB145">
        <f>ROUND((ROUND(AT145*CZ145,2)*1),6)</f>
        <v>1.53</v>
      </c>
      <c r="DC145">
        <f>ROUND((ROUND(AT145*AG145,2)*1),6)</f>
        <v>0</v>
      </c>
      <c r="DD145" t="s">
        <v>3</v>
      </c>
      <c r="DE145" t="s">
        <v>3</v>
      </c>
      <c r="DF145">
        <f t="shared" si="44"/>
        <v>14.46</v>
      </c>
      <c r="DG145">
        <f t="shared" si="45"/>
        <v>0</v>
      </c>
      <c r="DH145">
        <f t="shared" si="33"/>
        <v>0</v>
      </c>
      <c r="DI145">
        <f t="shared" si="35"/>
        <v>0</v>
      </c>
      <c r="DJ145">
        <f t="shared" si="46"/>
        <v>14.46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ROW(Source!A159)</f>
        <v>159</v>
      </c>
      <c r="B146">
        <v>57034454</v>
      </c>
      <c r="C146">
        <v>57035066</v>
      </c>
      <c r="D146">
        <v>0</v>
      </c>
      <c r="E146">
        <v>0</v>
      </c>
      <c r="F146">
        <v>1</v>
      </c>
      <c r="G146">
        <v>1081</v>
      </c>
      <c r="H146">
        <v>3</v>
      </c>
      <c r="I146" t="s">
        <v>206</v>
      </c>
      <c r="J146" t="s">
        <v>3</v>
      </c>
      <c r="K146" t="s">
        <v>207</v>
      </c>
      <c r="L146">
        <v>1354</v>
      </c>
      <c r="N146">
        <v>1010</v>
      </c>
      <c r="O146" t="s">
        <v>177</v>
      </c>
      <c r="P146" t="s">
        <v>177</v>
      </c>
      <c r="Q146">
        <v>1</v>
      </c>
      <c r="W146">
        <v>0</v>
      </c>
      <c r="X146">
        <v>-232997279</v>
      </c>
      <c r="Y146">
        <f>AT146</f>
        <v>0.25</v>
      </c>
      <c r="AA146">
        <v>6522.46</v>
      </c>
      <c r="AB146">
        <v>0</v>
      </c>
      <c r="AC146">
        <v>0</v>
      </c>
      <c r="AD146">
        <v>0</v>
      </c>
      <c r="AE146">
        <v>861.62</v>
      </c>
      <c r="AF146">
        <v>0</v>
      </c>
      <c r="AG146">
        <v>0</v>
      </c>
      <c r="AH146">
        <v>0</v>
      </c>
      <c r="AI146">
        <v>7.57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 t="s">
        <v>3</v>
      </c>
      <c r="AT146">
        <v>0.25</v>
      </c>
      <c r="AU146" t="s">
        <v>3</v>
      </c>
      <c r="AV146">
        <v>0</v>
      </c>
      <c r="AW146">
        <v>1</v>
      </c>
      <c r="AX146">
        <v>-1</v>
      </c>
      <c r="AY146">
        <v>0</v>
      </c>
      <c r="AZ146">
        <v>0</v>
      </c>
      <c r="BA146" t="s">
        <v>3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ROUND(Y146*Source!I159,9)</f>
        <v>1</v>
      </c>
      <c r="CY146">
        <f t="shared" si="41"/>
        <v>6522.46</v>
      </c>
      <c r="CZ146">
        <f t="shared" si="42"/>
        <v>861.62</v>
      </c>
      <c r="DA146">
        <f t="shared" si="43"/>
        <v>7.57</v>
      </c>
      <c r="DB146">
        <f>ROUND(ROUND(AT146*CZ146,2),6)</f>
        <v>215.41</v>
      </c>
      <c r="DC146">
        <f>ROUND(ROUND(AT146*AG146,2),6)</f>
        <v>0</v>
      </c>
      <c r="DD146" t="s">
        <v>3</v>
      </c>
      <c r="DE146" t="s">
        <v>3</v>
      </c>
      <c r="DF146">
        <f t="shared" si="44"/>
        <v>6522.46</v>
      </c>
      <c r="DG146">
        <f t="shared" si="45"/>
        <v>0</v>
      </c>
      <c r="DH146">
        <f t="shared" ref="DH146:DH177" si="47">ROUND(ROUND(AG146,2)*CX146,2)</f>
        <v>0</v>
      </c>
      <c r="DI146">
        <f t="shared" si="35"/>
        <v>0</v>
      </c>
      <c r="DJ146">
        <f t="shared" si="46"/>
        <v>6522.46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ROW(Source!A159)</f>
        <v>159</v>
      </c>
      <c r="B147">
        <v>57034454</v>
      </c>
      <c r="C147">
        <v>57035066</v>
      </c>
      <c r="D147">
        <v>0</v>
      </c>
      <c r="E147">
        <v>0</v>
      </c>
      <c r="F147">
        <v>1</v>
      </c>
      <c r="G147">
        <v>1081</v>
      </c>
      <c r="H147">
        <v>3</v>
      </c>
      <c r="I147" t="s">
        <v>210</v>
      </c>
      <c r="J147" t="s">
        <v>3</v>
      </c>
      <c r="K147" t="s">
        <v>211</v>
      </c>
      <c r="L147">
        <v>1354</v>
      </c>
      <c r="N147">
        <v>1010</v>
      </c>
      <c r="O147" t="s">
        <v>177</v>
      </c>
      <c r="P147" t="s">
        <v>177</v>
      </c>
      <c r="Q147">
        <v>1</v>
      </c>
      <c r="W147">
        <v>0</v>
      </c>
      <c r="X147">
        <v>-566908173</v>
      </c>
      <c r="Y147">
        <f>AT147</f>
        <v>0.5</v>
      </c>
      <c r="AA147">
        <v>7096.65</v>
      </c>
      <c r="AB147">
        <v>0</v>
      </c>
      <c r="AC147">
        <v>0</v>
      </c>
      <c r="AD147">
        <v>0</v>
      </c>
      <c r="AE147">
        <v>937.47</v>
      </c>
      <c r="AF147">
        <v>0</v>
      </c>
      <c r="AG147">
        <v>0</v>
      </c>
      <c r="AH147">
        <v>0</v>
      </c>
      <c r="AI147">
        <v>7.57</v>
      </c>
      <c r="AJ147">
        <v>1</v>
      </c>
      <c r="AK147">
        <v>1</v>
      </c>
      <c r="AL147">
        <v>1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 t="s">
        <v>3</v>
      </c>
      <c r="AT147">
        <v>0.5</v>
      </c>
      <c r="AU147" t="s">
        <v>3</v>
      </c>
      <c r="AV147">
        <v>0</v>
      </c>
      <c r="AW147">
        <v>1</v>
      </c>
      <c r="AX147">
        <v>-1</v>
      </c>
      <c r="AY147">
        <v>0</v>
      </c>
      <c r="AZ147">
        <v>0</v>
      </c>
      <c r="BA147" t="s">
        <v>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ROUND(Y147*Source!I159,9)</f>
        <v>2</v>
      </c>
      <c r="CY147">
        <f t="shared" si="41"/>
        <v>7096.65</v>
      </c>
      <c r="CZ147">
        <f t="shared" si="42"/>
        <v>937.47</v>
      </c>
      <c r="DA147">
        <f t="shared" si="43"/>
        <v>7.57</v>
      </c>
      <c r="DB147">
        <f>ROUND(ROUND(AT147*CZ147,2),6)</f>
        <v>468.74</v>
      </c>
      <c r="DC147">
        <f>ROUND(ROUND(AT147*AG147,2),6)</f>
        <v>0</v>
      </c>
      <c r="DD147" t="s">
        <v>3</v>
      </c>
      <c r="DE147" t="s">
        <v>3</v>
      </c>
      <c r="DF147">
        <f t="shared" si="44"/>
        <v>14193.3</v>
      </c>
      <c r="DG147">
        <f t="shared" si="45"/>
        <v>0</v>
      </c>
      <c r="DH147">
        <f t="shared" si="47"/>
        <v>0</v>
      </c>
      <c r="DI147">
        <f t="shared" si="35"/>
        <v>0</v>
      </c>
      <c r="DJ147">
        <f t="shared" si="46"/>
        <v>14193.3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ROW(Source!A159)</f>
        <v>159</v>
      </c>
      <c r="B148">
        <v>57034454</v>
      </c>
      <c r="C148">
        <v>57035066</v>
      </c>
      <c r="D148">
        <v>0</v>
      </c>
      <c r="E148">
        <v>0</v>
      </c>
      <c r="F148">
        <v>1</v>
      </c>
      <c r="G148">
        <v>1081</v>
      </c>
      <c r="H148">
        <v>3</v>
      </c>
      <c r="I148" t="s">
        <v>214</v>
      </c>
      <c r="J148" t="s">
        <v>3</v>
      </c>
      <c r="K148" t="s">
        <v>215</v>
      </c>
      <c r="L148">
        <v>1354</v>
      </c>
      <c r="N148">
        <v>1010</v>
      </c>
      <c r="O148" t="s">
        <v>177</v>
      </c>
      <c r="P148" t="s">
        <v>177</v>
      </c>
      <c r="Q148">
        <v>1</v>
      </c>
      <c r="W148">
        <v>0</v>
      </c>
      <c r="X148">
        <v>1919494281</v>
      </c>
      <c r="Y148">
        <f>AT148</f>
        <v>0.25</v>
      </c>
      <c r="AA148">
        <v>11128.43</v>
      </c>
      <c r="AB148">
        <v>0</v>
      </c>
      <c r="AC148">
        <v>0</v>
      </c>
      <c r="AD148">
        <v>0</v>
      </c>
      <c r="AE148">
        <v>1470.07</v>
      </c>
      <c r="AF148">
        <v>0</v>
      </c>
      <c r="AG148">
        <v>0</v>
      </c>
      <c r="AH148">
        <v>0</v>
      </c>
      <c r="AI148">
        <v>7.57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 t="s">
        <v>3</v>
      </c>
      <c r="AT148">
        <v>0.25</v>
      </c>
      <c r="AU148" t="s">
        <v>3</v>
      </c>
      <c r="AV148">
        <v>0</v>
      </c>
      <c r="AW148">
        <v>1</v>
      </c>
      <c r="AX148">
        <v>-1</v>
      </c>
      <c r="AY148">
        <v>0</v>
      </c>
      <c r="AZ148">
        <v>0</v>
      </c>
      <c r="BA148" t="s">
        <v>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ROUND(Y148*Source!I159,9)</f>
        <v>1</v>
      </c>
      <c r="CY148">
        <f t="shared" si="41"/>
        <v>11128.43</v>
      </c>
      <c r="CZ148">
        <f t="shared" si="42"/>
        <v>1470.07</v>
      </c>
      <c r="DA148">
        <f t="shared" si="43"/>
        <v>7.57</v>
      </c>
      <c r="DB148">
        <f>ROUND(ROUND(AT148*CZ148,2),6)</f>
        <v>367.52</v>
      </c>
      <c r="DC148">
        <f>ROUND(ROUND(AT148*AG148,2),6)</f>
        <v>0</v>
      </c>
      <c r="DD148" t="s">
        <v>3</v>
      </c>
      <c r="DE148" t="s">
        <v>3</v>
      </c>
      <c r="DF148">
        <f t="shared" si="44"/>
        <v>11128.43</v>
      </c>
      <c r="DG148">
        <f t="shared" si="45"/>
        <v>0</v>
      </c>
      <c r="DH148">
        <f t="shared" si="47"/>
        <v>0</v>
      </c>
      <c r="DI148">
        <f t="shared" si="35"/>
        <v>0</v>
      </c>
      <c r="DJ148">
        <f t="shared" si="46"/>
        <v>11128.43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ROW(Source!A201)</f>
        <v>201</v>
      </c>
      <c r="B149">
        <v>57034452</v>
      </c>
      <c r="C149">
        <v>57035086</v>
      </c>
      <c r="D149">
        <v>55424304</v>
      </c>
      <c r="E149">
        <v>1081</v>
      </c>
      <c r="F149">
        <v>1</v>
      </c>
      <c r="G149">
        <v>1081</v>
      </c>
      <c r="H149">
        <v>1</v>
      </c>
      <c r="I149" t="s">
        <v>459</v>
      </c>
      <c r="J149" t="s">
        <v>3</v>
      </c>
      <c r="K149" t="s">
        <v>460</v>
      </c>
      <c r="L149">
        <v>1191</v>
      </c>
      <c r="N149">
        <v>1013</v>
      </c>
      <c r="O149" t="s">
        <v>461</v>
      </c>
      <c r="P149" t="s">
        <v>461</v>
      </c>
      <c r="Q149">
        <v>1</v>
      </c>
      <c r="W149">
        <v>0</v>
      </c>
      <c r="X149">
        <v>476480486</v>
      </c>
      <c r="Y149">
        <f>(AT149*1.2)</f>
        <v>2.016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1.68</v>
      </c>
      <c r="AU149" t="s">
        <v>105</v>
      </c>
      <c r="AV149">
        <v>1</v>
      </c>
      <c r="AW149">
        <v>2</v>
      </c>
      <c r="AX149">
        <v>57035090</v>
      </c>
      <c r="AY149">
        <v>1</v>
      </c>
      <c r="AZ149">
        <v>0</v>
      </c>
      <c r="BA149">
        <v>175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U149">
        <f>ROUND(AT149*Source!I201*AH149*AL149,2)</f>
        <v>0</v>
      </c>
      <c r="CV149">
        <f>ROUND(Y149*Source!I201,9)</f>
        <v>1056.384</v>
      </c>
      <c r="CW149">
        <v>0</v>
      </c>
      <c r="CX149">
        <f>ROUND(Y149*Source!I201,9)</f>
        <v>1056.384</v>
      </c>
      <c r="CY149">
        <f>AD149</f>
        <v>0</v>
      </c>
      <c r="CZ149">
        <f>AH149</f>
        <v>0</v>
      </c>
      <c r="DA149">
        <f>AL149</f>
        <v>1</v>
      </c>
      <c r="DB149">
        <f>ROUND((ROUND(AT149*CZ149,2)*1.2),6)</f>
        <v>0</v>
      </c>
      <c r="DC149">
        <f>ROUND((ROUND(AT149*AG149,2)*1.2),6)</f>
        <v>0</v>
      </c>
      <c r="DD149" t="s">
        <v>3</v>
      </c>
      <c r="DE149" t="s">
        <v>3</v>
      </c>
      <c r="DF149">
        <f>ROUND(ROUND(AE149,2)*CX149,2)</f>
        <v>0</v>
      </c>
      <c r="DG149">
        <f t="shared" si="45"/>
        <v>0</v>
      </c>
      <c r="DH149">
        <f t="shared" si="47"/>
        <v>0</v>
      </c>
      <c r="DI149">
        <f t="shared" si="35"/>
        <v>0</v>
      </c>
      <c r="DJ149">
        <f>DI149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ROW(Source!A201)</f>
        <v>201</v>
      </c>
      <c r="B150">
        <v>57034452</v>
      </c>
      <c r="C150">
        <v>57035086</v>
      </c>
      <c r="D150">
        <v>55563416</v>
      </c>
      <c r="E150">
        <v>1</v>
      </c>
      <c r="F150">
        <v>1</v>
      </c>
      <c r="G150">
        <v>1081</v>
      </c>
      <c r="H150">
        <v>3</v>
      </c>
      <c r="I150" t="s">
        <v>219</v>
      </c>
      <c r="J150" t="s">
        <v>220</v>
      </c>
      <c r="K150" t="s">
        <v>616</v>
      </c>
      <c r="L150">
        <v>1354</v>
      </c>
      <c r="N150">
        <v>1010</v>
      </c>
      <c r="O150" t="s">
        <v>177</v>
      </c>
      <c r="P150" t="s">
        <v>177</v>
      </c>
      <c r="Q150">
        <v>1</v>
      </c>
      <c r="W150">
        <v>0</v>
      </c>
      <c r="X150">
        <v>-1258334123</v>
      </c>
      <c r="Y150">
        <f>(AT150*1)</f>
        <v>0.98854961799999996</v>
      </c>
      <c r="AA150">
        <v>114.76</v>
      </c>
      <c r="AB150">
        <v>0</v>
      </c>
      <c r="AC150">
        <v>0</v>
      </c>
      <c r="AD150">
        <v>0</v>
      </c>
      <c r="AE150">
        <v>114.76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 t="s">
        <v>3</v>
      </c>
      <c r="AT150">
        <v>0.98854961799999996</v>
      </c>
      <c r="AU150" t="s">
        <v>104</v>
      </c>
      <c r="AV150">
        <v>0</v>
      </c>
      <c r="AW150">
        <v>1</v>
      </c>
      <c r="AX150">
        <v>-1</v>
      </c>
      <c r="AY150">
        <v>0</v>
      </c>
      <c r="AZ150">
        <v>0</v>
      </c>
      <c r="BA150" t="s">
        <v>3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ROUND(Y150*Source!I201,9)</f>
        <v>517.99999983199996</v>
      </c>
      <c r="CY150">
        <f>AA150</f>
        <v>114.76</v>
      </c>
      <c r="CZ150">
        <f>AE150</f>
        <v>114.76</v>
      </c>
      <c r="DA150">
        <f>AI150</f>
        <v>1</v>
      </c>
      <c r="DB150">
        <f>ROUND((ROUND(AT150*CZ150,2)*1),6)</f>
        <v>113.45</v>
      </c>
      <c r="DC150">
        <f>ROUND((ROUND(AT150*AG150,2)*1),6)</f>
        <v>0</v>
      </c>
      <c r="DD150" t="s">
        <v>3</v>
      </c>
      <c r="DE150" t="s">
        <v>3</v>
      </c>
      <c r="DF150">
        <f>ROUND(ROUND(AE150,2)*CX150,2)</f>
        <v>59445.68</v>
      </c>
      <c r="DG150">
        <f t="shared" si="45"/>
        <v>0</v>
      </c>
      <c r="DH150">
        <f t="shared" si="47"/>
        <v>0</v>
      </c>
      <c r="DI150">
        <f t="shared" si="35"/>
        <v>0</v>
      </c>
      <c r="DJ150">
        <f>DF150</f>
        <v>59445.68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ROW(Source!A201)</f>
        <v>201</v>
      </c>
      <c r="B151">
        <v>57034452</v>
      </c>
      <c r="C151">
        <v>57035086</v>
      </c>
      <c r="D151">
        <v>55563418</v>
      </c>
      <c r="E151">
        <v>1</v>
      </c>
      <c r="F151">
        <v>1</v>
      </c>
      <c r="G151">
        <v>1081</v>
      </c>
      <c r="H151">
        <v>3</v>
      </c>
      <c r="I151" t="s">
        <v>221</v>
      </c>
      <c r="J151" t="s">
        <v>222</v>
      </c>
      <c r="K151" t="s">
        <v>617</v>
      </c>
      <c r="L151">
        <v>1354</v>
      </c>
      <c r="N151">
        <v>1010</v>
      </c>
      <c r="O151" t="s">
        <v>177</v>
      </c>
      <c r="P151" t="s">
        <v>177</v>
      </c>
      <c r="Q151">
        <v>1</v>
      </c>
      <c r="W151">
        <v>0</v>
      </c>
      <c r="X151">
        <v>-1518973088</v>
      </c>
      <c r="Y151">
        <f>(AT151*1)</f>
        <v>1.1450382E-2</v>
      </c>
      <c r="AA151">
        <v>1959.81</v>
      </c>
      <c r="AB151">
        <v>0</v>
      </c>
      <c r="AC151">
        <v>0</v>
      </c>
      <c r="AD151">
        <v>0</v>
      </c>
      <c r="AE151">
        <v>1959.81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 t="s">
        <v>3</v>
      </c>
      <c r="AT151">
        <v>1.1450382E-2</v>
      </c>
      <c r="AU151" t="s">
        <v>104</v>
      </c>
      <c r="AV151">
        <v>0</v>
      </c>
      <c r="AW151">
        <v>1</v>
      </c>
      <c r="AX151">
        <v>-1</v>
      </c>
      <c r="AY151">
        <v>0</v>
      </c>
      <c r="AZ151">
        <v>0</v>
      </c>
      <c r="BA151" t="s">
        <v>3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ROUND(Y151*Source!I201,9)</f>
        <v>6.0000001679999997</v>
      </c>
      <c r="CY151">
        <f>AA151</f>
        <v>1959.81</v>
      </c>
      <c r="CZ151">
        <f>AE151</f>
        <v>1959.81</v>
      </c>
      <c r="DA151">
        <f>AI151</f>
        <v>1</v>
      </c>
      <c r="DB151">
        <f>ROUND((ROUND(AT151*CZ151,2)*1),6)</f>
        <v>22.44</v>
      </c>
      <c r="DC151">
        <f>ROUND((ROUND(AT151*AG151,2)*1),6)</f>
        <v>0</v>
      </c>
      <c r="DD151" t="s">
        <v>3</v>
      </c>
      <c r="DE151" t="s">
        <v>3</v>
      </c>
      <c r="DF151">
        <f>ROUND(ROUND(AE151,2)*CX151,2)</f>
        <v>11758.86</v>
      </c>
      <c r="DG151">
        <f t="shared" si="45"/>
        <v>0</v>
      </c>
      <c r="DH151">
        <f t="shared" si="47"/>
        <v>0</v>
      </c>
      <c r="DI151">
        <f t="shared" si="35"/>
        <v>0</v>
      </c>
      <c r="DJ151">
        <f>DF151</f>
        <v>11758.86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ROW(Source!A202)</f>
        <v>202</v>
      </c>
      <c r="B152">
        <v>57034454</v>
      </c>
      <c r="C152">
        <v>57035086</v>
      </c>
      <c r="D152">
        <v>55424304</v>
      </c>
      <c r="E152">
        <v>1081</v>
      </c>
      <c r="F152">
        <v>1</v>
      </c>
      <c r="G152">
        <v>1081</v>
      </c>
      <c r="H152">
        <v>1</v>
      </c>
      <c r="I152" t="s">
        <v>459</v>
      </c>
      <c r="J152" t="s">
        <v>3</v>
      </c>
      <c r="K152" t="s">
        <v>460</v>
      </c>
      <c r="L152">
        <v>1191</v>
      </c>
      <c r="N152">
        <v>1013</v>
      </c>
      <c r="O152" t="s">
        <v>461</v>
      </c>
      <c r="P152" t="s">
        <v>461</v>
      </c>
      <c r="Q152">
        <v>1</v>
      </c>
      <c r="W152">
        <v>0</v>
      </c>
      <c r="X152">
        <v>476480486</v>
      </c>
      <c r="Y152">
        <f>(AT152*1.2)</f>
        <v>2.016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5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1.68</v>
      </c>
      <c r="AU152" t="s">
        <v>105</v>
      </c>
      <c r="AV152">
        <v>1</v>
      </c>
      <c r="AW152">
        <v>2</v>
      </c>
      <c r="AX152">
        <v>57035090</v>
      </c>
      <c r="AY152">
        <v>1</v>
      </c>
      <c r="AZ152">
        <v>0</v>
      </c>
      <c r="BA152">
        <v>176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U152">
        <f>ROUND(AT152*Source!I202*AH152*AL152,2)</f>
        <v>0</v>
      </c>
      <c r="CV152">
        <f>ROUND(Y152*Source!I202,9)</f>
        <v>1056.384</v>
      </c>
      <c r="CW152">
        <v>0</v>
      </c>
      <c r="CX152">
        <f>ROUND(Y152*Source!I202,9)</f>
        <v>1056.384</v>
      </c>
      <c r="CY152">
        <f>AD152</f>
        <v>0</v>
      </c>
      <c r="CZ152">
        <f>AH152</f>
        <v>0</v>
      </c>
      <c r="DA152">
        <f>AL152</f>
        <v>1</v>
      </c>
      <c r="DB152">
        <f>ROUND((ROUND(AT152*CZ152,2)*1.2),6)</f>
        <v>0</v>
      </c>
      <c r="DC152">
        <f>ROUND((ROUND(AT152*AG152,2)*1.2),6)</f>
        <v>0</v>
      </c>
      <c r="DD152" t="s">
        <v>3</v>
      </c>
      <c r="DE152" t="s">
        <v>3</v>
      </c>
      <c r="DF152">
        <f>ROUND(ROUND(AE152,2)*CX152,2)</f>
        <v>0</v>
      </c>
      <c r="DG152">
        <f t="shared" si="45"/>
        <v>0</v>
      </c>
      <c r="DH152">
        <f t="shared" si="47"/>
        <v>0</v>
      </c>
      <c r="DI152">
        <f t="shared" si="35"/>
        <v>0</v>
      </c>
      <c r="DJ152">
        <f>DI152</f>
        <v>0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ROW(Source!A202)</f>
        <v>202</v>
      </c>
      <c r="B153">
        <v>57034454</v>
      </c>
      <c r="C153">
        <v>57035086</v>
      </c>
      <c r="D153">
        <v>55563416</v>
      </c>
      <c r="E153">
        <v>1</v>
      </c>
      <c r="F153">
        <v>1</v>
      </c>
      <c r="G153">
        <v>1081</v>
      </c>
      <c r="H153">
        <v>3</v>
      </c>
      <c r="I153" t="s">
        <v>219</v>
      </c>
      <c r="J153" t="s">
        <v>220</v>
      </c>
      <c r="K153" t="s">
        <v>616</v>
      </c>
      <c r="L153">
        <v>1354</v>
      </c>
      <c r="N153">
        <v>1010</v>
      </c>
      <c r="O153" t="s">
        <v>177</v>
      </c>
      <c r="P153" t="s">
        <v>177</v>
      </c>
      <c r="Q153">
        <v>1</v>
      </c>
      <c r="W153">
        <v>0</v>
      </c>
      <c r="X153">
        <v>-1258334123</v>
      </c>
      <c r="Y153">
        <f>(AT153*1)</f>
        <v>0.98854961799999996</v>
      </c>
      <c r="AA153">
        <v>1156.78</v>
      </c>
      <c r="AB153">
        <v>0</v>
      </c>
      <c r="AC153">
        <v>0</v>
      </c>
      <c r="AD153">
        <v>0</v>
      </c>
      <c r="AE153">
        <v>114.76</v>
      </c>
      <c r="AF153">
        <v>0</v>
      </c>
      <c r="AG153">
        <v>0</v>
      </c>
      <c r="AH153">
        <v>0</v>
      </c>
      <c r="AI153">
        <v>10.08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 t="s">
        <v>3</v>
      </c>
      <c r="AT153">
        <v>0.98854961799999996</v>
      </c>
      <c r="AU153" t="s">
        <v>104</v>
      </c>
      <c r="AV153">
        <v>0</v>
      </c>
      <c r="AW153">
        <v>1</v>
      </c>
      <c r="AX153">
        <v>-1</v>
      </c>
      <c r="AY153">
        <v>0</v>
      </c>
      <c r="AZ153">
        <v>0</v>
      </c>
      <c r="BA153" t="s">
        <v>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ROUND(Y153*Source!I202,9)</f>
        <v>517.99999983199996</v>
      </c>
      <c r="CY153">
        <f>AA153</f>
        <v>1156.78</v>
      </c>
      <c r="CZ153">
        <f>AE153</f>
        <v>114.76</v>
      </c>
      <c r="DA153">
        <f>AI153</f>
        <v>10.08</v>
      </c>
      <c r="DB153">
        <f>ROUND((ROUND(AT153*CZ153,2)*1),6)</f>
        <v>113.45</v>
      </c>
      <c r="DC153">
        <f>ROUND((ROUND(AT153*AG153,2)*1),6)</f>
        <v>0</v>
      </c>
      <c r="DD153" t="s">
        <v>3</v>
      </c>
      <c r="DE153" t="s">
        <v>3</v>
      </c>
      <c r="DF153">
        <f>ROUND(ROUND(AE153*AI153,2)*CX153,2)</f>
        <v>599212.04</v>
      </c>
      <c r="DG153">
        <f t="shared" si="45"/>
        <v>0</v>
      </c>
      <c r="DH153">
        <f t="shared" si="47"/>
        <v>0</v>
      </c>
      <c r="DI153">
        <f t="shared" si="35"/>
        <v>0</v>
      </c>
      <c r="DJ153">
        <f>DF153</f>
        <v>599212.04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ROW(Source!A202)</f>
        <v>202</v>
      </c>
      <c r="B154">
        <v>57034454</v>
      </c>
      <c r="C154">
        <v>57035086</v>
      </c>
      <c r="D154">
        <v>55563418</v>
      </c>
      <c r="E154">
        <v>1</v>
      </c>
      <c r="F154">
        <v>1</v>
      </c>
      <c r="G154">
        <v>1081</v>
      </c>
      <c r="H154">
        <v>3</v>
      </c>
      <c r="I154" t="s">
        <v>221</v>
      </c>
      <c r="J154" t="s">
        <v>222</v>
      </c>
      <c r="K154" t="s">
        <v>617</v>
      </c>
      <c r="L154">
        <v>1354</v>
      </c>
      <c r="N154">
        <v>1010</v>
      </c>
      <c r="O154" t="s">
        <v>177</v>
      </c>
      <c r="P154" t="s">
        <v>177</v>
      </c>
      <c r="Q154">
        <v>1</v>
      </c>
      <c r="W154">
        <v>0</v>
      </c>
      <c r="X154">
        <v>-1518973088</v>
      </c>
      <c r="Y154">
        <f>(AT154*1)</f>
        <v>1.1450382E-2</v>
      </c>
      <c r="AA154">
        <v>19754.88</v>
      </c>
      <c r="AB154">
        <v>0</v>
      </c>
      <c r="AC154">
        <v>0</v>
      </c>
      <c r="AD154">
        <v>0</v>
      </c>
      <c r="AE154">
        <v>1959.81</v>
      </c>
      <c r="AF154">
        <v>0</v>
      </c>
      <c r="AG154">
        <v>0</v>
      </c>
      <c r="AH154">
        <v>0</v>
      </c>
      <c r="AI154">
        <v>10.08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 t="s">
        <v>3</v>
      </c>
      <c r="AT154">
        <v>1.1450382E-2</v>
      </c>
      <c r="AU154" t="s">
        <v>104</v>
      </c>
      <c r="AV154">
        <v>0</v>
      </c>
      <c r="AW154">
        <v>1</v>
      </c>
      <c r="AX154">
        <v>-1</v>
      </c>
      <c r="AY154">
        <v>0</v>
      </c>
      <c r="AZ154">
        <v>0</v>
      </c>
      <c r="BA154" t="s">
        <v>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ROUND(Y154*Source!I202,9)</f>
        <v>6.0000001679999997</v>
      </c>
      <c r="CY154">
        <f>AA154</f>
        <v>19754.88</v>
      </c>
      <c r="CZ154">
        <f>AE154</f>
        <v>1959.81</v>
      </c>
      <c r="DA154">
        <f>AI154</f>
        <v>10.08</v>
      </c>
      <c r="DB154">
        <f>ROUND((ROUND(AT154*CZ154,2)*1),6)</f>
        <v>22.44</v>
      </c>
      <c r="DC154">
        <f>ROUND((ROUND(AT154*AG154,2)*1),6)</f>
        <v>0</v>
      </c>
      <c r="DD154" t="s">
        <v>3</v>
      </c>
      <c r="DE154" t="s">
        <v>3</v>
      </c>
      <c r="DF154">
        <f>ROUND(ROUND(AE154*AI154,2)*CX154,2)</f>
        <v>118529.28</v>
      </c>
      <c r="DG154">
        <f t="shared" si="45"/>
        <v>0</v>
      </c>
      <c r="DH154">
        <f t="shared" si="47"/>
        <v>0</v>
      </c>
      <c r="DI154">
        <f t="shared" si="35"/>
        <v>0</v>
      </c>
      <c r="DJ154">
        <f>DF154</f>
        <v>118529.28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ROW(Source!A207)</f>
        <v>207</v>
      </c>
      <c r="B155">
        <v>57034452</v>
      </c>
      <c r="C155">
        <v>57044331</v>
      </c>
      <c r="D155">
        <v>55424304</v>
      </c>
      <c r="E155">
        <v>1081</v>
      </c>
      <c r="F155">
        <v>1</v>
      </c>
      <c r="G155">
        <v>1081</v>
      </c>
      <c r="H155">
        <v>1</v>
      </c>
      <c r="I155" t="s">
        <v>459</v>
      </c>
      <c r="J155" t="s">
        <v>3</v>
      </c>
      <c r="K155" t="s">
        <v>460</v>
      </c>
      <c r="L155">
        <v>1191</v>
      </c>
      <c r="N155">
        <v>1013</v>
      </c>
      <c r="O155" t="s">
        <v>461</v>
      </c>
      <c r="P155" t="s">
        <v>461</v>
      </c>
      <c r="Q155">
        <v>1</v>
      </c>
      <c r="W155">
        <v>0</v>
      </c>
      <c r="X155">
        <v>476480486</v>
      </c>
      <c r="Y155">
        <f>(AT155*1.2)</f>
        <v>2.016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1.68</v>
      </c>
      <c r="AU155" t="s">
        <v>105</v>
      </c>
      <c r="AV155">
        <v>1</v>
      </c>
      <c r="AW155">
        <v>2</v>
      </c>
      <c r="AX155">
        <v>57044335</v>
      </c>
      <c r="AY155">
        <v>1</v>
      </c>
      <c r="AZ155">
        <v>0</v>
      </c>
      <c r="BA155">
        <v>177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U155">
        <f>ROUND(AT155*Source!I207*AH155*AL155,2)</f>
        <v>0</v>
      </c>
      <c r="CV155">
        <f>ROUND(Y155*Source!I207,9)</f>
        <v>1056.384</v>
      </c>
      <c r="CW155">
        <v>0</v>
      </c>
      <c r="CX155">
        <f>ROUND(Y155*Source!I207,9)</f>
        <v>1056.384</v>
      </c>
      <c r="CY155">
        <f>AD155</f>
        <v>0</v>
      </c>
      <c r="CZ155">
        <f>AH155</f>
        <v>0</v>
      </c>
      <c r="DA155">
        <f>AL155</f>
        <v>1</v>
      </c>
      <c r="DB155">
        <f>ROUND((ROUND(AT155*CZ155,2)*1.2),6)</f>
        <v>0</v>
      </c>
      <c r="DC155">
        <f>ROUND((ROUND(AT155*AG155,2)*1.2),6)</f>
        <v>0</v>
      </c>
      <c r="DD155" t="s">
        <v>3</v>
      </c>
      <c r="DE155" t="s">
        <v>3</v>
      </c>
      <c r="DF155">
        <f>ROUND(ROUND(AE155,2)*CX155,2)</f>
        <v>0</v>
      </c>
      <c r="DG155">
        <f t="shared" si="45"/>
        <v>0</v>
      </c>
      <c r="DH155">
        <f t="shared" si="47"/>
        <v>0</v>
      </c>
      <c r="DI155">
        <f t="shared" si="35"/>
        <v>0</v>
      </c>
      <c r="DJ155">
        <f>DI155</f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ROW(Source!A208)</f>
        <v>208</v>
      </c>
      <c r="B156">
        <v>57034454</v>
      </c>
      <c r="C156">
        <v>57044331</v>
      </c>
      <c r="D156">
        <v>55424304</v>
      </c>
      <c r="E156">
        <v>1081</v>
      </c>
      <c r="F156">
        <v>1</v>
      </c>
      <c r="G156">
        <v>1081</v>
      </c>
      <c r="H156">
        <v>1</v>
      </c>
      <c r="I156" t="s">
        <v>459</v>
      </c>
      <c r="J156" t="s">
        <v>3</v>
      </c>
      <c r="K156" t="s">
        <v>460</v>
      </c>
      <c r="L156">
        <v>1191</v>
      </c>
      <c r="N156">
        <v>1013</v>
      </c>
      <c r="O156" t="s">
        <v>461</v>
      </c>
      <c r="P156" t="s">
        <v>461</v>
      </c>
      <c r="Q156">
        <v>1</v>
      </c>
      <c r="W156">
        <v>0</v>
      </c>
      <c r="X156">
        <v>476480486</v>
      </c>
      <c r="Y156">
        <f>(AT156*1.2)</f>
        <v>2.016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5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1.68</v>
      </c>
      <c r="AU156" t="s">
        <v>105</v>
      </c>
      <c r="AV156">
        <v>1</v>
      </c>
      <c r="AW156">
        <v>2</v>
      </c>
      <c r="AX156">
        <v>57044335</v>
      </c>
      <c r="AY156">
        <v>1</v>
      </c>
      <c r="AZ156">
        <v>0</v>
      </c>
      <c r="BA156">
        <v>178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U156">
        <f>ROUND(AT156*Source!I208*AH156*AL156,2)</f>
        <v>0</v>
      </c>
      <c r="CV156">
        <f>ROUND(Y156*Source!I208,9)</f>
        <v>1056.384</v>
      </c>
      <c r="CW156">
        <v>0</v>
      </c>
      <c r="CX156">
        <f>ROUND(Y156*Source!I208,9)</f>
        <v>1056.384</v>
      </c>
      <c r="CY156">
        <f>AD156</f>
        <v>0</v>
      </c>
      <c r="CZ156">
        <f>AH156</f>
        <v>0</v>
      </c>
      <c r="DA156">
        <f>AL156</f>
        <v>1</v>
      </c>
      <c r="DB156">
        <f>ROUND((ROUND(AT156*CZ156,2)*1.2),6)</f>
        <v>0</v>
      </c>
      <c r="DC156">
        <f>ROUND((ROUND(AT156*AG156,2)*1.2),6)</f>
        <v>0</v>
      </c>
      <c r="DD156" t="s">
        <v>3</v>
      </c>
      <c r="DE156" t="s">
        <v>3</v>
      </c>
      <c r="DF156">
        <f>ROUND(ROUND(AE156,2)*CX156,2)</f>
        <v>0</v>
      </c>
      <c r="DG156">
        <f t="shared" si="45"/>
        <v>0</v>
      </c>
      <c r="DH156">
        <f t="shared" si="47"/>
        <v>0</v>
      </c>
      <c r="DI156">
        <f t="shared" si="35"/>
        <v>0</v>
      </c>
      <c r="DJ156">
        <f>DI156</f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ROW(Source!A213)</f>
        <v>213</v>
      </c>
      <c r="B157">
        <v>57034452</v>
      </c>
      <c r="C157">
        <v>57035093</v>
      </c>
      <c r="D157">
        <v>55424304</v>
      </c>
      <c r="E157">
        <v>1081</v>
      </c>
      <c r="F157">
        <v>1</v>
      </c>
      <c r="G157">
        <v>1081</v>
      </c>
      <c r="H157">
        <v>1</v>
      </c>
      <c r="I157" t="s">
        <v>459</v>
      </c>
      <c r="J157" t="s">
        <v>3</v>
      </c>
      <c r="K157" t="s">
        <v>460</v>
      </c>
      <c r="L157">
        <v>1191</v>
      </c>
      <c r="N157">
        <v>1013</v>
      </c>
      <c r="O157" t="s">
        <v>461</v>
      </c>
      <c r="P157" t="s">
        <v>461</v>
      </c>
      <c r="Q157">
        <v>1</v>
      </c>
      <c r="W157">
        <v>0</v>
      </c>
      <c r="X157">
        <v>476480486</v>
      </c>
      <c r="Y157">
        <f>(AT157*1.2)</f>
        <v>1.008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0.84</v>
      </c>
      <c r="AU157" t="s">
        <v>105</v>
      </c>
      <c r="AV157">
        <v>1</v>
      </c>
      <c r="AW157">
        <v>2</v>
      </c>
      <c r="AX157">
        <v>57035096</v>
      </c>
      <c r="AY157">
        <v>1</v>
      </c>
      <c r="AZ157">
        <v>0</v>
      </c>
      <c r="BA157">
        <v>179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U157">
        <f>ROUND(AT157*Source!I213*AH157*AL157,2)</f>
        <v>0</v>
      </c>
      <c r="CV157">
        <f>ROUND(Y157*Source!I213,9)</f>
        <v>10.08</v>
      </c>
      <c r="CW157">
        <v>0</v>
      </c>
      <c r="CX157">
        <f>ROUND(Y157*Source!I213,9)</f>
        <v>10.08</v>
      </c>
      <c r="CY157">
        <f>AD157</f>
        <v>0</v>
      </c>
      <c r="CZ157">
        <f>AH157</f>
        <v>0</v>
      </c>
      <c r="DA157">
        <f>AL157</f>
        <v>1</v>
      </c>
      <c r="DB157">
        <f>ROUND((ROUND(AT157*CZ157,2)*1.2),6)</f>
        <v>0</v>
      </c>
      <c r="DC157">
        <f>ROUND((ROUND(AT157*AG157,2)*1.2),6)</f>
        <v>0</v>
      </c>
      <c r="DD157" t="s">
        <v>3</v>
      </c>
      <c r="DE157" t="s">
        <v>3</v>
      </c>
      <c r="DF157">
        <f>ROUND(ROUND(AE157,2)*CX157,2)</f>
        <v>0</v>
      </c>
      <c r="DG157">
        <f t="shared" si="45"/>
        <v>0</v>
      </c>
      <c r="DH157">
        <f t="shared" si="47"/>
        <v>0</v>
      </c>
      <c r="DI157">
        <f t="shared" si="35"/>
        <v>0</v>
      </c>
      <c r="DJ157">
        <f>DI157</f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ROW(Source!A213)</f>
        <v>213</v>
      </c>
      <c r="B158">
        <v>57034452</v>
      </c>
      <c r="C158">
        <v>57035093</v>
      </c>
      <c r="D158">
        <v>55563430</v>
      </c>
      <c r="E158">
        <v>1</v>
      </c>
      <c r="F158">
        <v>1</v>
      </c>
      <c r="G158">
        <v>1081</v>
      </c>
      <c r="H158">
        <v>3</v>
      </c>
      <c r="I158" t="s">
        <v>233</v>
      </c>
      <c r="J158" t="s">
        <v>234</v>
      </c>
      <c r="K158" t="s">
        <v>618</v>
      </c>
      <c r="L158">
        <v>1354</v>
      </c>
      <c r="N158">
        <v>1010</v>
      </c>
      <c r="O158" t="s">
        <v>177</v>
      </c>
      <c r="P158" t="s">
        <v>177</v>
      </c>
      <c r="Q158">
        <v>1</v>
      </c>
      <c r="W158">
        <v>0</v>
      </c>
      <c r="X158">
        <v>1410259455</v>
      </c>
      <c r="Y158">
        <f>AT158</f>
        <v>1</v>
      </c>
      <c r="AA158">
        <v>71.39</v>
      </c>
      <c r="AB158">
        <v>0</v>
      </c>
      <c r="AC158">
        <v>0</v>
      </c>
      <c r="AD158">
        <v>0</v>
      </c>
      <c r="AE158">
        <v>71.39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 t="s">
        <v>3</v>
      </c>
      <c r="AT158">
        <v>1</v>
      </c>
      <c r="AU158" t="s">
        <v>3</v>
      </c>
      <c r="AV158">
        <v>0</v>
      </c>
      <c r="AW158">
        <v>1</v>
      </c>
      <c r="AX158">
        <v>-1</v>
      </c>
      <c r="AY158">
        <v>0</v>
      </c>
      <c r="AZ158">
        <v>0</v>
      </c>
      <c r="BA158" t="s">
        <v>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ROUND(Y158*Source!I213,9)</f>
        <v>10</v>
      </c>
      <c r="CY158">
        <f>AA158</f>
        <v>71.39</v>
      </c>
      <c r="CZ158">
        <f>AE158</f>
        <v>71.39</v>
      </c>
      <c r="DA158">
        <f>AI158</f>
        <v>1</v>
      </c>
      <c r="DB158">
        <f>ROUND(ROUND(AT158*CZ158,2),6)</f>
        <v>71.39</v>
      </c>
      <c r="DC158">
        <f>ROUND(ROUND(AT158*AG158,2),6)</f>
        <v>0</v>
      </c>
      <c r="DD158" t="s">
        <v>3</v>
      </c>
      <c r="DE158" t="s">
        <v>3</v>
      </c>
      <c r="DF158">
        <f>ROUND(ROUND(AE158,2)*CX158,2)</f>
        <v>713.9</v>
      </c>
      <c r="DG158">
        <f t="shared" si="45"/>
        <v>0</v>
      </c>
      <c r="DH158">
        <f t="shared" si="47"/>
        <v>0</v>
      </c>
      <c r="DI158">
        <f t="shared" si="35"/>
        <v>0</v>
      </c>
      <c r="DJ158">
        <f>DF158</f>
        <v>713.9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ROW(Source!A214)</f>
        <v>214</v>
      </c>
      <c r="B159">
        <v>57034454</v>
      </c>
      <c r="C159">
        <v>57035093</v>
      </c>
      <c r="D159">
        <v>55424304</v>
      </c>
      <c r="E159">
        <v>1081</v>
      </c>
      <c r="F159">
        <v>1</v>
      </c>
      <c r="G159">
        <v>1081</v>
      </c>
      <c r="H159">
        <v>1</v>
      </c>
      <c r="I159" t="s">
        <v>459</v>
      </c>
      <c r="J159" t="s">
        <v>3</v>
      </c>
      <c r="K159" t="s">
        <v>460</v>
      </c>
      <c r="L159">
        <v>1191</v>
      </c>
      <c r="N159">
        <v>1013</v>
      </c>
      <c r="O159" t="s">
        <v>461</v>
      </c>
      <c r="P159" t="s">
        <v>461</v>
      </c>
      <c r="Q159">
        <v>1</v>
      </c>
      <c r="W159">
        <v>0</v>
      </c>
      <c r="X159">
        <v>476480486</v>
      </c>
      <c r="Y159">
        <f>(AT159*1.2)</f>
        <v>1.008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5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0.84</v>
      </c>
      <c r="AU159" t="s">
        <v>105</v>
      </c>
      <c r="AV159">
        <v>1</v>
      </c>
      <c r="AW159">
        <v>2</v>
      </c>
      <c r="AX159">
        <v>57035096</v>
      </c>
      <c r="AY159">
        <v>1</v>
      </c>
      <c r="AZ159">
        <v>0</v>
      </c>
      <c r="BA159">
        <v>180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ROUND(AT159*Source!I214*AH159*AL159,2)</f>
        <v>0</v>
      </c>
      <c r="CV159">
        <f>ROUND(Y159*Source!I214,9)</f>
        <v>10.08</v>
      </c>
      <c r="CW159">
        <v>0</v>
      </c>
      <c r="CX159">
        <f>ROUND(Y159*Source!I214,9)</f>
        <v>10.08</v>
      </c>
      <c r="CY159">
        <f>AD159</f>
        <v>0</v>
      </c>
      <c r="CZ159">
        <f>AH159</f>
        <v>0</v>
      </c>
      <c r="DA159">
        <f>AL159</f>
        <v>1</v>
      </c>
      <c r="DB159">
        <f>ROUND((ROUND(AT159*CZ159,2)*1.2),6)</f>
        <v>0</v>
      </c>
      <c r="DC159">
        <f>ROUND((ROUND(AT159*AG159,2)*1.2),6)</f>
        <v>0</v>
      </c>
      <c r="DD159" t="s">
        <v>3</v>
      </c>
      <c r="DE159" t="s">
        <v>3</v>
      </c>
      <c r="DF159">
        <f>ROUND(ROUND(AE159,2)*CX159,2)</f>
        <v>0</v>
      </c>
      <c r="DG159">
        <f t="shared" si="45"/>
        <v>0</v>
      </c>
      <c r="DH159">
        <f t="shared" si="47"/>
        <v>0</v>
      </c>
      <c r="DI159">
        <f t="shared" si="35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ROW(Source!A214)</f>
        <v>214</v>
      </c>
      <c r="B160">
        <v>57034454</v>
      </c>
      <c r="C160">
        <v>57035093</v>
      </c>
      <c r="D160">
        <v>55563430</v>
      </c>
      <c r="E160">
        <v>1</v>
      </c>
      <c r="F160">
        <v>1</v>
      </c>
      <c r="G160">
        <v>1081</v>
      </c>
      <c r="H160">
        <v>3</v>
      </c>
      <c r="I160" t="s">
        <v>233</v>
      </c>
      <c r="J160" t="s">
        <v>234</v>
      </c>
      <c r="K160" t="s">
        <v>618</v>
      </c>
      <c r="L160">
        <v>1354</v>
      </c>
      <c r="N160">
        <v>1010</v>
      </c>
      <c r="O160" t="s">
        <v>177</v>
      </c>
      <c r="P160" t="s">
        <v>177</v>
      </c>
      <c r="Q160">
        <v>1</v>
      </c>
      <c r="W160">
        <v>0</v>
      </c>
      <c r="X160">
        <v>1410259455</v>
      </c>
      <c r="Y160">
        <f>AT160</f>
        <v>1</v>
      </c>
      <c r="AA160">
        <v>1015.17</v>
      </c>
      <c r="AB160">
        <v>0</v>
      </c>
      <c r="AC160">
        <v>0</v>
      </c>
      <c r="AD160">
        <v>0</v>
      </c>
      <c r="AE160">
        <v>71.39</v>
      </c>
      <c r="AF160">
        <v>0</v>
      </c>
      <c r="AG160">
        <v>0</v>
      </c>
      <c r="AH160">
        <v>0</v>
      </c>
      <c r="AI160">
        <v>14.22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1</v>
      </c>
      <c r="AU160" t="s">
        <v>3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ROUND(Y160*Source!I214,9)</f>
        <v>10</v>
      </c>
      <c r="CY160">
        <f>AA160</f>
        <v>1015.17</v>
      </c>
      <c r="CZ160">
        <f>AE160</f>
        <v>71.39</v>
      </c>
      <c r="DA160">
        <f>AI160</f>
        <v>14.22</v>
      </c>
      <c r="DB160">
        <f>ROUND(ROUND(AT160*CZ160,2),6)</f>
        <v>71.39</v>
      </c>
      <c r="DC160">
        <f>ROUND(ROUND(AT160*AG160,2),6)</f>
        <v>0</v>
      </c>
      <c r="DD160" t="s">
        <v>3</v>
      </c>
      <c r="DE160" t="s">
        <v>3</v>
      </c>
      <c r="DF160">
        <f>ROUND(ROUND(AE160*AI160,2)*CX160,2)</f>
        <v>10151.700000000001</v>
      </c>
      <c r="DG160">
        <f t="shared" si="45"/>
        <v>0</v>
      </c>
      <c r="DH160">
        <f t="shared" si="47"/>
        <v>0</v>
      </c>
      <c r="DI160">
        <f t="shared" si="35"/>
        <v>0</v>
      </c>
      <c r="DJ160">
        <f>DF160</f>
        <v>10151.700000000001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ROW(Source!A217)</f>
        <v>217</v>
      </c>
      <c r="B161">
        <v>57034452</v>
      </c>
      <c r="C161">
        <v>57044360</v>
      </c>
      <c r="D161">
        <v>55424304</v>
      </c>
      <c r="E161">
        <v>1081</v>
      </c>
      <c r="F161">
        <v>1</v>
      </c>
      <c r="G161">
        <v>1081</v>
      </c>
      <c r="H161">
        <v>1</v>
      </c>
      <c r="I161" t="s">
        <v>459</v>
      </c>
      <c r="J161" t="s">
        <v>3</v>
      </c>
      <c r="K161" t="s">
        <v>460</v>
      </c>
      <c r="L161">
        <v>1191</v>
      </c>
      <c r="N161">
        <v>1013</v>
      </c>
      <c r="O161" t="s">
        <v>461</v>
      </c>
      <c r="P161" t="s">
        <v>461</v>
      </c>
      <c r="Q161">
        <v>1</v>
      </c>
      <c r="W161">
        <v>0</v>
      </c>
      <c r="X161">
        <v>476480486</v>
      </c>
      <c r="Y161">
        <f>(AT161*1.2)</f>
        <v>1.008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0.84</v>
      </c>
      <c r="AU161" t="s">
        <v>105</v>
      </c>
      <c r="AV161">
        <v>1</v>
      </c>
      <c r="AW161">
        <v>2</v>
      </c>
      <c r="AX161">
        <v>57044363</v>
      </c>
      <c r="AY161">
        <v>1</v>
      </c>
      <c r="AZ161">
        <v>0</v>
      </c>
      <c r="BA161">
        <v>181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ROUND(AT161*Source!I217*AH161*AL161,2)</f>
        <v>0</v>
      </c>
      <c r="CV161">
        <f>ROUND(Y161*Source!I217,9)</f>
        <v>10.08</v>
      </c>
      <c r="CW161">
        <v>0</v>
      </c>
      <c r="CX161">
        <f>ROUND(Y161*Source!I217,9)</f>
        <v>10.08</v>
      </c>
      <c r="CY161">
        <f>AD161</f>
        <v>0</v>
      </c>
      <c r="CZ161">
        <f>AH161</f>
        <v>0</v>
      </c>
      <c r="DA161">
        <f>AL161</f>
        <v>1</v>
      </c>
      <c r="DB161">
        <f>ROUND((ROUND(AT161*CZ161,2)*1.2),6)</f>
        <v>0</v>
      </c>
      <c r="DC161">
        <f>ROUND((ROUND(AT161*AG161,2)*1.2),6)</f>
        <v>0</v>
      </c>
      <c r="DD161" t="s">
        <v>3</v>
      </c>
      <c r="DE161" t="s">
        <v>3</v>
      </c>
      <c r="DF161">
        <f t="shared" ref="DF161:DF167" si="48">ROUND(ROUND(AE161,2)*CX161,2)</f>
        <v>0</v>
      </c>
      <c r="DG161">
        <f t="shared" si="45"/>
        <v>0</v>
      </c>
      <c r="DH161">
        <f t="shared" si="47"/>
        <v>0</v>
      </c>
      <c r="DI161">
        <f t="shared" si="35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ROW(Source!A218)</f>
        <v>218</v>
      </c>
      <c r="B162">
        <v>57034454</v>
      </c>
      <c r="C162">
        <v>57044360</v>
      </c>
      <c r="D162">
        <v>55424304</v>
      </c>
      <c r="E162">
        <v>1081</v>
      </c>
      <c r="F162">
        <v>1</v>
      </c>
      <c r="G162">
        <v>1081</v>
      </c>
      <c r="H162">
        <v>1</v>
      </c>
      <c r="I162" t="s">
        <v>459</v>
      </c>
      <c r="J162" t="s">
        <v>3</v>
      </c>
      <c r="K162" t="s">
        <v>460</v>
      </c>
      <c r="L162">
        <v>1191</v>
      </c>
      <c r="N162">
        <v>1013</v>
      </c>
      <c r="O162" t="s">
        <v>461</v>
      </c>
      <c r="P162" t="s">
        <v>461</v>
      </c>
      <c r="Q162">
        <v>1</v>
      </c>
      <c r="W162">
        <v>0</v>
      </c>
      <c r="X162">
        <v>476480486</v>
      </c>
      <c r="Y162">
        <f>(AT162*1.2)</f>
        <v>1.008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5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0.84</v>
      </c>
      <c r="AU162" t="s">
        <v>105</v>
      </c>
      <c r="AV162">
        <v>1</v>
      </c>
      <c r="AW162">
        <v>2</v>
      </c>
      <c r="AX162">
        <v>57044363</v>
      </c>
      <c r="AY162">
        <v>1</v>
      </c>
      <c r="AZ162">
        <v>0</v>
      </c>
      <c r="BA162">
        <v>182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U162">
        <f>ROUND(AT162*Source!I218*AH162*AL162,2)</f>
        <v>0</v>
      </c>
      <c r="CV162">
        <f>ROUND(Y162*Source!I218,9)</f>
        <v>10.08</v>
      </c>
      <c r="CW162">
        <v>0</v>
      </c>
      <c r="CX162">
        <f>ROUND(Y162*Source!I218,9)</f>
        <v>10.08</v>
      </c>
      <c r="CY162">
        <f>AD162</f>
        <v>0</v>
      </c>
      <c r="CZ162">
        <f>AH162</f>
        <v>0</v>
      </c>
      <c r="DA162">
        <f>AL162</f>
        <v>1</v>
      </c>
      <c r="DB162">
        <f>ROUND((ROUND(AT162*CZ162,2)*1.2),6)</f>
        <v>0</v>
      </c>
      <c r="DC162">
        <f>ROUND((ROUND(AT162*AG162,2)*1.2),6)</f>
        <v>0</v>
      </c>
      <c r="DD162" t="s">
        <v>3</v>
      </c>
      <c r="DE162" t="s">
        <v>3</v>
      </c>
      <c r="DF162">
        <f t="shared" si="48"/>
        <v>0</v>
      </c>
      <c r="DG162">
        <f t="shared" si="45"/>
        <v>0</v>
      </c>
      <c r="DH162">
        <f t="shared" si="47"/>
        <v>0</v>
      </c>
      <c r="DI162">
        <f t="shared" si="35"/>
        <v>0</v>
      </c>
      <c r="DJ162">
        <f>DI162</f>
        <v>0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ROW(Source!A221)</f>
        <v>221</v>
      </c>
      <c r="B163">
        <v>57034452</v>
      </c>
      <c r="C163">
        <v>57035098</v>
      </c>
      <c r="D163">
        <v>55424304</v>
      </c>
      <c r="E163">
        <v>1081</v>
      </c>
      <c r="F163">
        <v>1</v>
      </c>
      <c r="G163">
        <v>1081</v>
      </c>
      <c r="H163">
        <v>1</v>
      </c>
      <c r="I163" t="s">
        <v>459</v>
      </c>
      <c r="J163" t="s">
        <v>3</v>
      </c>
      <c r="K163" t="s">
        <v>460</v>
      </c>
      <c r="L163">
        <v>1191</v>
      </c>
      <c r="N163">
        <v>1013</v>
      </c>
      <c r="O163" t="s">
        <v>461</v>
      </c>
      <c r="P163" t="s">
        <v>461</v>
      </c>
      <c r="Q163">
        <v>1</v>
      </c>
      <c r="W163">
        <v>0</v>
      </c>
      <c r="X163">
        <v>476480486</v>
      </c>
      <c r="Y163">
        <f>(AT163*1.2)</f>
        <v>1.2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</v>
      </c>
      <c r="AU163" t="s">
        <v>105</v>
      </c>
      <c r="AV163">
        <v>1</v>
      </c>
      <c r="AW163">
        <v>2</v>
      </c>
      <c r="AX163">
        <v>57035103</v>
      </c>
      <c r="AY163">
        <v>1</v>
      </c>
      <c r="AZ163">
        <v>0</v>
      </c>
      <c r="BA163">
        <v>183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ROUND(AT163*Source!I221*AH163*AL163,2)</f>
        <v>0</v>
      </c>
      <c r="CV163">
        <f>ROUND(Y163*Source!I221,9)</f>
        <v>73.2</v>
      </c>
      <c r="CW163">
        <v>0</v>
      </c>
      <c r="CX163">
        <f>ROUND(Y163*Source!I221,9)</f>
        <v>73.2</v>
      </c>
      <c r="CY163">
        <f>AD163</f>
        <v>0</v>
      </c>
      <c r="CZ163">
        <f>AH163</f>
        <v>0</v>
      </c>
      <c r="DA163">
        <f>AL163</f>
        <v>1</v>
      </c>
      <c r="DB163">
        <f>ROUND((ROUND(AT163*CZ163,2)*1.2),6)</f>
        <v>0</v>
      </c>
      <c r="DC163">
        <f>ROUND((ROUND(AT163*AG163,2)*1.2),6)</f>
        <v>0</v>
      </c>
      <c r="DD163" t="s">
        <v>3</v>
      </c>
      <c r="DE163" t="s">
        <v>3</v>
      </c>
      <c r="DF163">
        <f t="shared" si="48"/>
        <v>0</v>
      </c>
      <c r="DG163">
        <f t="shared" si="45"/>
        <v>0</v>
      </c>
      <c r="DH163">
        <f t="shared" si="47"/>
        <v>0</v>
      </c>
      <c r="DI163">
        <f t="shared" si="35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ROW(Source!A221)</f>
        <v>221</v>
      </c>
      <c r="B164">
        <v>57034452</v>
      </c>
      <c r="C164">
        <v>57035098</v>
      </c>
      <c r="D164">
        <v>55459793</v>
      </c>
      <c r="E164">
        <v>1</v>
      </c>
      <c r="F164">
        <v>1</v>
      </c>
      <c r="G164">
        <v>1081</v>
      </c>
      <c r="H164">
        <v>3</v>
      </c>
      <c r="I164" t="s">
        <v>470</v>
      </c>
      <c r="J164" t="s">
        <v>471</v>
      </c>
      <c r="K164" t="s">
        <v>472</v>
      </c>
      <c r="L164">
        <v>1348</v>
      </c>
      <c r="N164">
        <v>1009</v>
      </c>
      <c r="O164" t="s">
        <v>299</v>
      </c>
      <c r="P164" t="s">
        <v>299</v>
      </c>
      <c r="Q164">
        <v>1000</v>
      </c>
      <c r="W164">
        <v>0</v>
      </c>
      <c r="X164">
        <v>-761454284</v>
      </c>
      <c r="Y164">
        <f>(AT164*1)</f>
        <v>1.0000000000000001E-5</v>
      </c>
      <c r="AA164">
        <v>64123.05</v>
      </c>
      <c r="AB164">
        <v>0</v>
      </c>
      <c r="AC164">
        <v>0</v>
      </c>
      <c r="AD164">
        <v>0</v>
      </c>
      <c r="AE164">
        <v>64123.05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1.0000000000000001E-5</v>
      </c>
      <c r="AU164" t="s">
        <v>104</v>
      </c>
      <c r="AV164">
        <v>0</v>
      </c>
      <c r="AW164">
        <v>2</v>
      </c>
      <c r="AX164">
        <v>57035104</v>
      </c>
      <c r="AY164">
        <v>1</v>
      </c>
      <c r="AZ164">
        <v>0</v>
      </c>
      <c r="BA164">
        <v>184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ROUND(Y164*Source!I221,9)</f>
        <v>6.0999999999999997E-4</v>
      </c>
      <c r="CY164">
        <f>AA164</f>
        <v>64123.05</v>
      </c>
      <c r="CZ164">
        <f>AE164</f>
        <v>64123.05</v>
      </c>
      <c r="DA164">
        <f>AI164</f>
        <v>1</v>
      </c>
      <c r="DB164">
        <f>ROUND((ROUND(AT164*CZ164,2)*1),6)</f>
        <v>0.64</v>
      </c>
      <c r="DC164">
        <f>ROUND((ROUND(AT164*AG164,2)*1),6)</f>
        <v>0</v>
      </c>
      <c r="DD164" t="s">
        <v>3</v>
      </c>
      <c r="DE164" t="s">
        <v>3</v>
      </c>
      <c r="DF164">
        <f t="shared" si="48"/>
        <v>39.119999999999997</v>
      </c>
      <c r="DG164">
        <f t="shared" si="45"/>
        <v>0</v>
      </c>
      <c r="DH164">
        <f t="shared" si="47"/>
        <v>0</v>
      </c>
      <c r="DI164">
        <f t="shared" si="35"/>
        <v>0</v>
      </c>
      <c r="DJ164">
        <f>DF164</f>
        <v>39.119999999999997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5">
      <c r="A165">
        <f>ROW(Source!A221)</f>
        <v>221</v>
      </c>
      <c r="B165">
        <v>57034452</v>
      </c>
      <c r="C165">
        <v>57035098</v>
      </c>
      <c r="D165">
        <v>55487942</v>
      </c>
      <c r="E165">
        <v>1</v>
      </c>
      <c r="F165">
        <v>1</v>
      </c>
      <c r="G165">
        <v>1081</v>
      </c>
      <c r="H165">
        <v>3</v>
      </c>
      <c r="I165" t="s">
        <v>482</v>
      </c>
      <c r="J165" t="s">
        <v>483</v>
      </c>
      <c r="K165" t="s">
        <v>484</v>
      </c>
      <c r="L165">
        <v>1303</v>
      </c>
      <c r="N165">
        <v>1003</v>
      </c>
      <c r="O165" t="s">
        <v>485</v>
      </c>
      <c r="P165" t="s">
        <v>485</v>
      </c>
      <c r="Q165">
        <v>1000</v>
      </c>
      <c r="W165">
        <v>0</v>
      </c>
      <c r="X165">
        <v>-1692873835</v>
      </c>
      <c r="Y165">
        <f>(AT165*1)</f>
        <v>2E-3</v>
      </c>
      <c r="AA165">
        <v>516.63</v>
      </c>
      <c r="AB165">
        <v>0</v>
      </c>
      <c r="AC165">
        <v>0</v>
      </c>
      <c r="AD165">
        <v>0</v>
      </c>
      <c r="AE165">
        <v>516.63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2E-3</v>
      </c>
      <c r="AU165" t="s">
        <v>104</v>
      </c>
      <c r="AV165">
        <v>0</v>
      </c>
      <c r="AW165">
        <v>2</v>
      </c>
      <c r="AX165">
        <v>57035105</v>
      </c>
      <c r="AY165">
        <v>1</v>
      </c>
      <c r="AZ165">
        <v>0</v>
      </c>
      <c r="BA165">
        <v>185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ROUND(Y165*Source!I221,9)</f>
        <v>0.122</v>
      </c>
      <c r="CY165">
        <f>AA165</f>
        <v>516.63</v>
      </c>
      <c r="CZ165">
        <f>AE165</f>
        <v>516.63</v>
      </c>
      <c r="DA165">
        <f>AI165</f>
        <v>1</v>
      </c>
      <c r="DB165">
        <f>ROUND((ROUND(AT165*CZ165,2)*1),6)</f>
        <v>1.03</v>
      </c>
      <c r="DC165">
        <f>ROUND((ROUND(AT165*AG165,2)*1),6)</f>
        <v>0</v>
      </c>
      <c r="DD165" t="s">
        <v>3</v>
      </c>
      <c r="DE165" t="s">
        <v>3</v>
      </c>
      <c r="DF165">
        <f t="shared" si="48"/>
        <v>63.03</v>
      </c>
      <c r="DG165">
        <f t="shared" si="45"/>
        <v>0</v>
      </c>
      <c r="DH165">
        <f t="shared" si="47"/>
        <v>0</v>
      </c>
      <c r="DI165">
        <f t="shared" si="35"/>
        <v>0</v>
      </c>
      <c r="DJ165">
        <f>DF165</f>
        <v>63.03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ROW(Source!A221)</f>
        <v>221</v>
      </c>
      <c r="B166">
        <v>57034452</v>
      </c>
      <c r="C166">
        <v>57035098</v>
      </c>
      <c r="D166">
        <v>55563274</v>
      </c>
      <c r="E166">
        <v>1</v>
      </c>
      <c r="F166">
        <v>1</v>
      </c>
      <c r="G166">
        <v>1081</v>
      </c>
      <c r="H166">
        <v>3</v>
      </c>
      <c r="I166" t="s">
        <v>243</v>
      </c>
      <c r="J166" t="s">
        <v>245</v>
      </c>
      <c r="K166" t="s">
        <v>244</v>
      </c>
      <c r="L166">
        <v>1354</v>
      </c>
      <c r="N166">
        <v>1010</v>
      </c>
      <c r="O166" t="s">
        <v>177</v>
      </c>
      <c r="P166" t="s">
        <v>177</v>
      </c>
      <c r="Q166">
        <v>1</v>
      </c>
      <c r="W166">
        <v>0</v>
      </c>
      <c r="X166">
        <v>-1614010790</v>
      </c>
      <c r="Y166">
        <f>(AT166*1)</f>
        <v>1</v>
      </c>
      <c r="AA166">
        <v>59</v>
      </c>
      <c r="AB166">
        <v>0</v>
      </c>
      <c r="AC166">
        <v>0</v>
      </c>
      <c r="AD166">
        <v>0</v>
      </c>
      <c r="AE166">
        <v>59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 t="s">
        <v>3</v>
      </c>
      <c r="AT166">
        <v>1</v>
      </c>
      <c r="AU166" t="s">
        <v>104</v>
      </c>
      <c r="AV166">
        <v>0</v>
      </c>
      <c r="AW166">
        <v>1</v>
      </c>
      <c r="AX166">
        <v>-1</v>
      </c>
      <c r="AY166">
        <v>0</v>
      </c>
      <c r="AZ166">
        <v>0</v>
      </c>
      <c r="BA166" t="s">
        <v>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ROUND(Y166*Source!I221,9)</f>
        <v>61</v>
      </c>
      <c r="CY166">
        <f>AA166</f>
        <v>59</v>
      </c>
      <c r="CZ166">
        <f>AE166</f>
        <v>59</v>
      </c>
      <c r="DA166">
        <f>AI166</f>
        <v>1</v>
      </c>
      <c r="DB166">
        <f>ROUND((ROUND(AT166*CZ166,2)*1),6)</f>
        <v>59</v>
      </c>
      <c r="DC166">
        <f>ROUND((ROUND(AT166*AG166,2)*1),6)</f>
        <v>0</v>
      </c>
      <c r="DD166" t="s">
        <v>3</v>
      </c>
      <c r="DE166" t="s">
        <v>3</v>
      </c>
      <c r="DF166">
        <f t="shared" si="48"/>
        <v>3599</v>
      </c>
      <c r="DG166">
        <f t="shared" si="45"/>
        <v>0</v>
      </c>
      <c r="DH166">
        <f t="shared" si="47"/>
        <v>0</v>
      </c>
      <c r="DI166">
        <f t="shared" si="35"/>
        <v>0</v>
      </c>
      <c r="DJ166">
        <f>DF166</f>
        <v>3599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ROW(Source!A222)</f>
        <v>222</v>
      </c>
      <c r="B167">
        <v>57034454</v>
      </c>
      <c r="C167">
        <v>57035098</v>
      </c>
      <c r="D167">
        <v>55424304</v>
      </c>
      <c r="E167">
        <v>1081</v>
      </c>
      <c r="F167">
        <v>1</v>
      </c>
      <c r="G167">
        <v>1081</v>
      </c>
      <c r="H167">
        <v>1</v>
      </c>
      <c r="I167" t="s">
        <v>459</v>
      </c>
      <c r="J167" t="s">
        <v>3</v>
      </c>
      <c r="K167" t="s">
        <v>460</v>
      </c>
      <c r="L167">
        <v>1191</v>
      </c>
      <c r="N167">
        <v>1013</v>
      </c>
      <c r="O167" t="s">
        <v>461</v>
      </c>
      <c r="P167" t="s">
        <v>461</v>
      </c>
      <c r="Q167">
        <v>1</v>
      </c>
      <c r="W167">
        <v>0</v>
      </c>
      <c r="X167">
        <v>476480486</v>
      </c>
      <c r="Y167">
        <f>(AT167*1.2)</f>
        <v>1.2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5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</v>
      </c>
      <c r="AU167" t="s">
        <v>105</v>
      </c>
      <c r="AV167">
        <v>1</v>
      </c>
      <c r="AW167">
        <v>2</v>
      </c>
      <c r="AX167">
        <v>57035103</v>
      </c>
      <c r="AY167">
        <v>1</v>
      </c>
      <c r="AZ167">
        <v>0</v>
      </c>
      <c r="BA167">
        <v>187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U167">
        <f>ROUND(AT167*Source!I222*AH167*AL167,2)</f>
        <v>0</v>
      </c>
      <c r="CV167">
        <f>ROUND(Y167*Source!I222,9)</f>
        <v>73.2</v>
      </c>
      <c r="CW167">
        <v>0</v>
      </c>
      <c r="CX167">
        <f>ROUND(Y167*Source!I222,9)</f>
        <v>73.2</v>
      </c>
      <c r="CY167">
        <f>AD167</f>
        <v>0</v>
      </c>
      <c r="CZ167">
        <f>AH167</f>
        <v>0</v>
      </c>
      <c r="DA167">
        <f>AL167</f>
        <v>1</v>
      </c>
      <c r="DB167">
        <f>ROUND((ROUND(AT167*CZ167,2)*1.2),6)</f>
        <v>0</v>
      </c>
      <c r="DC167">
        <f>ROUND((ROUND(AT167*AG167,2)*1.2),6)</f>
        <v>0</v>
      </c>
      <c r="DD167" t="s">
        <v>3</v>
      </c>
      <c r="DE167" t="s">
        <v>3</v>
      </c>
      <c r="DF167">
        <f t="shared" si="48"/>
        <v>0</v>
      </c>
      <c r="DG167">
        <f t="shared" si="45"/>
        <v>0</v>
      </c>
      <c r="DH167">
        <f t="shared" si="47"/>
        <v>0</v>
      </c>
      <c r="DI167">
        <f t="shared" si="35"/>
        <v>0</v>
      </c>
      <c r="DJ167">
        <f>DI167</f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ROW(Source!A222)</f>
        <v>222</v>
      </c>
      <c r="B168">
        <v>57034454</v>
      </c>
      <c r="C168">
        <v>57035098</v>
      </c>
      <c r="D168">
        <v>55459793</v>
      </c>
      <c r="E168">
        <v>1</v>
      </c>
      <c r="F168">
        <v>1</v>
      </c>
      <c r="G168">
        <v>1081</v>
      </c>
      <c r="H168">
        <v>3</v>
      </c>
      <c r="I168" t="s">
        <v>470</v>
      </c>
      <c r="J168" t="s">
        <v>471</v>
      </c>
      <c r="K168" t="s">
        <v>472</v>
      </c>
      <c r="L168">
        <v>1348</v>
      </c>
      <c r="N168">
        <v>1009</v>
      </c>
      <c r="O168" t="s">
        <v>299</v>
      </c>
      <c r="P168" t="s">
        <v>299</v>
      </c>
      <c r="Q168">
        <v>1000</v>
      </c>
      <c r="W168">
        <v>0</v>
      </c>
      <c r="X168">
        <v>-761454284</v>
      </c>
      <c r="Y168">
        <f>(AT168*1)</f>
        <v>1.0000000000000001E-5</v>
      </c>
      <c r="AA168">
        <v>1930745.04</v>
      </c>
      <c r="AB168">
        <v>0</v>
      </c>
      <c r="AC168">
        <v>0</v>
      </c>
      <c r="AD168">
        <v>0</v>
      </c>
      <c r="AE168">
        <v>64123.05</v>
      </c>
      <c r="AF168">
        <v>0</v>
      </c>
      <c r="AG168">
        <v>0</v>
      </c>
      <c r="AH168">
        <v>0</v>
      </c>
      <c r="AI168">
        <v>30.11</v>
      </c>
      <c r="AJ168">
        <v>1</v>
      </c>
      <c r="AK168">
        <v>1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1.0000000000000001E-5</v>
      </c>
      <c r="AU168" t="s">
        <v>104</v>
      </c>
      <c r="AV168">
        <v>0</v>
      </c>
      <c r="AW168">
        <v>2</v>
      </c>
      <c r="AX168">
        <v>57035104</v>
      </c>
      <c r="AY168">
        <v>1</v>
      </c>
      <c r="AZ168">
        <v>0</v>
      </c>
      <c r="BA168">
        <v>188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ROUND(Y168*Source!I222,9)</f>
        <v>6.0999999999999997E-4</v>
      </c>
      <c r="CY168">
        <f>AA168</f>
        <v>1930745.04</v>
      </c>
      <c r="CZ168">
        <f>AE168</f>
        <v>64123.05</v>
      </c>
      <c r="DA168">
        <f>AI168</f>
        <v>30.11</v>
      </c>
      <c r="DB168">
        <f>ROUND((ROUND(AT168*CZ168,2)*1),6)</f>
        <v>0.64</v>
      </c>
      <c r="DC168">
        <f>ROUND((ROUND(AT168*AG168,2)*1),6)</f>
        <v>0</v>
      </c>
      <c r="DD168" t="s">
        <v>3</v>
      </c>
      <c r="DE168" t="s">
        <v>3</v>
      </c>
      <c r="DF168">
        <f>ROUND(ROUND(AE168*AI168,2)*CX168,2)</f>
        <v>1177.75</v>
      </c>
      <c r="DG168">
        <f t="shared" si="45"/>
        <v>0</v>
      </c>
      <c r="DH168">
        <f t="shared" si="47"/>
        <v>0</v>
      </c>
      <c r="DI168">
        <f t="shared" si="35"/>
        <v>0</v>
      </c>
      <c r="DJ168">
        <f>DF168</f>
        <v>1177.75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ROW(Source!A222)</f>
        <v>222</v>
      </c>
      <c r="B169">
        <v>57034454</v>
      </c>
      <c r="C169">
        <v>57035098</v>
      </c>
      <c r="D169">
        <v>55487942</v>
      </c>
      <c r="E169">
        <v>1</v>
      </c>
      <c r="F169">
        <v>1</v>
      </c>
      <c r="G169">
        <v>1081</v>
      </c>
      <c r="H169">
        <v>3</v>
      </c>
      <c r="I169" t="s">
        <v>482</v>
      </c>
      <c r="J169" t="s">
        <v>483</v>
      </c>
      <c r="K169" t="s">
        <v>484</v>
      </c>
      <c r="L169">
        <v>1303</v>
      </c>
      <c r="N169">
        <v>1003</v>
      </c>
      <c r="O169" t="s">
        <v>485</v>
      </c>
      <c r="P169" t="s">
        <v>485</v>
      </c>
      <c r="Q169">
        <v>1000</v>
      </c>
      <c r="W169">
        <v>0</v>
      </c>
      <c r="X169">
        <v>-1692873835</v>
      </c>
      <c r="Y169">
        <f>(AT169*1)</f>
        <v>2E-3</v>
      </c>
      <c r="AA169">
        <v>5269.63</v>
      </c>
      <c r="AB169">
        <v>0</v>
      </c>
      <c r="AC169">
        <v>0</v>
      </c>
      <c r="AD169">
        <v>0</v>
      </c>
      <c r="AE169">
        <v>516.63</v>
      </c>
      <c r="AF169">
        <v>0</v>
      </c>
      <c r="AG169">
        <v>0</v>
      </c>
      <c r="AH169">
        <v>0</v>
      </c>
      <c r="AI169">
        <v>10.199999999999999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2E-3</v>
      </c>
      <c r="AU169" t="s">
        <v>104</v>
      </c>
      <c r="AV169">
        <v>0</v>
      </c>
      <c r="AW169">
        <v>2</v>
      </c>
      <c r="AX169">
        <v>57035105</v>
      </c>
      <c r="AY169">
        <v>1</v>
      </c>
      <c r="AZ169">
        <v>0</v>
      </c>
      <c r="BA169">
        <v>189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ROUND(Y169*Source!I222,9)</f>
        <v>0.122</v>
      </c>
      <c r="CY169">
        <f>AA169</f>
        <v>5269.63</v>
      </c>
      <c r="CZ169">
        <f>AE169</f>
        <v>516.63</v>
      </c>
      <c r="DA169">
        <f>AI169</f>
        <v>10.199999999999999</v>
      </c>
      <c r="DB169">
        <f>ROUND((ROUND(AT169*CZ169,2)*1),6)</f>
        <v>1.03</v>
      </c>
      <c r="DC169">
        <f>ROUND((ROUND(AT169*AG169,2)*1),6)</f>
        <v>0</v>
      </c>
      <c r="DD169" t="s">
        <v>3</v>
      </c>
      <c r="DE169" t="s">
        <v>3</v>
      </c>
      <c r="DF169">
        <f>ROUND(ROUND(AE169*AI169,2)*CX169,2)</f>
        <v>642.89</v>
      </c>
      <c r="DG169">
        <f t="shared" si="45"/>
        <v>0</v>
      </c>
      <c r="DH169">
        <f t="shared" si="47"/>
        <v>0</v>
      </c>
      <c r="DI169">
        <f t="shared" si="35"/>
        <v>0</v>
      </c>
      <c r="DJ169">
        <f>DF169</f>
        <v>642.89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ROW(Source!A222)</f>
        <v>222</v>
      </c>
      <c r="B170">
        <v>57034454</v>
      </c>
      <c r="C170">
        <v>57035098</v>
      </c>
      <c r="D170">
        <v>55563274</v>
      </c>
      <c r="E170">
        <v>1</v>
      </c>
      <c r="F170">
        <v>1</v>
      </c>
      <c r="G170">
        <v>1081</v>
      </c>
      <c r="H170">
        <v>3</v>
      </c>
      <c r="I170" t="s">
        <v>243</v>
      </c>
      <c r="J170" t="s">
        <v>245</v>
      </c>
      <c r="K170" t="s">
        <v>244</v>
      </c>
      <c r="L170">
        <v>1354</v>
      </c>
      <c r="N170">
        <v>1010</v>
      </c>
      <c r="O170" t="s">
        <v>177</v>
      </c>
      <c r="P170" t="s">
        <v>177</v>
      </c>
      <c r="Q170">
        <v>1</v>
      </c>
      <c r="W170">
        <v>0</v>
      </c>
      <c r="X170">
        <v>-1614010790</v>
      </c>
      <c r="Y170">
        <f>(AT170*1)</f>
        <v>1</v>
      </c>
      <c r="AA170">
        <v>846.65</v>
      </c>
      <c r="AB170">
        <v>0</v>
      </c>
      <c r="AC170">
        <v>0</v>
      </c>
      <c r="AD170">
        <v>0</v>
      </c>
      <c r="AE170">
        <v>59</v>
      </c>
      <c r="AF170">
        <v>0</v>
      </c>
      <c r="AG170">
        <v>0</v>
      </c>
      <c r="AH170">
        <v>0</v>
      </c>
      <c r="AI170">
        <v>14.35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1</v>
      </c>
      <c r="AU170" t="s">
        <v>104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ROUND(Y170*Source!I222,9)</f>
        <v>61</v>
      </c>
      <c r="CY170">
        <f>AA170</f>
        <v>846.65</v>
      </c>
      <c r="CZ170">
        <f>AE170</f>
        <v>59</v>
      </c>
      <c r="DA170">
        <f>AI170</f>
        <v>14.35</v>
      </c>
      <c r="DB170">
        <f>ROUND((ROUND(AT170*CZ170,2)*1),6)</f>
        <v>59</v>
      </c>
      <c r="DC170">
        <f>ROUND((ROUND(AT170*AG170,2)*1),6)</f>
        <v>0</v>
      </c>
      <c r="DD170" t="s">
        <v>3</v>
      </c>
      <c r="DE170" t="s">
        <v>3</v>
      </c>
      <c r="DF170">
        <f>ROUND(ROUND(AE170*AI170,2)*CX170,2)</f>
        <v>51645.65</v>
      </c>
      <c r="DG170">
        <f t="shared" si="45"/>
        <v>0</v>
      </c>
      <c r="DH170">
        <f t="shared" si="47"/>
        <v>0</v>
      </c>
      <c r="DI170">
        <f t="shared" si="35"/>
        <v>0</v>
      </c>
      <c r="DJ170">
        <f>DF170</f>
        <v>51645.65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ROW(Source!A225)</f>
        <v>225</v>
      </c>
      <c r="B171">
        <v>57034452</v>
      </c>
      <c r="C171">
        <v>57035108</v>
      </c>
      <c r="D171">
        <v>55424304</v>
      </c>
      <c r="E171">
        <v>1081</v>
      </c>
      <c r="F171">
        <v>1</v>
      </c>
      <c r="G171">
        <v>1081</v>
      </c>
      <c r="H171">
        <v>1</v>
      </c>
      <c r="I171" t="s">
        <v>459</v>
      </c>
      <c r="J171" t="s">
        <v>3</v>
      </c>
      <c r="K171" t="s">
        <v>460</v>
      </c>
      <c r="L171">
        <v>1191</v>
      </c>
      <c r="N171">
        <v>1013</v>
      </c>
      <c r="O171" t="s">
        <v>461</v>
      </c>
      <c r="P171" t="s">
        <v>461</v>
      </c>
      <c r="Q171">
        <v>1</v>
      </c>
      <c r="W171">
        <v>0</v>
      </c>
      <c r="X171">
        <v>476480486</v>
      </c>
      <c r="Y171">
        <f>(AT171*1.2)</f>
        <v>1.44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1.2</v>
      </c>
      <c r="AU171" t="s">
        <v>105</v>
      </c>
      <c r="AV171">
        <v>1</v>
      </c>
      <c r="AW171">
        <v>2</v>
      </c>
      <c r="AX171">
        <v>57035111</v>
      </c>
      <c r="AY171">
        <v>1</v>
      </c>
      <c r="AZ171">
        <v>0</v>
      </c>
      <c r="BA171">
        <v>191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U171">
        <f>ROUND(AT171*Source!I225*AH171*AL171,2)</f>
        <v>0</v>
      </c>
      <c r="CV171">
        <f>ROUND(Y171*Source!I225,9)</f>
        <v>149.76</v>
      </c>
      <c r="CW171">
        <v>0</v>
      </c>
      <c r="CX171">
        <f>ROUND(Y171*Source!I225,9)</f>
        <v>149.76</v>
      </c>
      <c r="CY171">
        <f>AD171</f>
        <v>0</v>
      </c>
      <c r="CZ171">
        <f>AH171</f>
        <v>0</v>
      </c>
      <c r="DA171">
        <f>AL171</f>
        <v>1</v>
      </c>
      <c r="DB171">
        <f>ROUND((ROUND(AT171*CZ171,2)*1.2),6)</f>
        <v>0</v>
      </c>
      <c r="DC171">
        <f>ROUND((ROUND(AT171*AG171,2)*1.2),6)</f>
        <v>0</v>
      </c>
      <c r="DD171" t="s">
        <v>3</v>
      </c>
      <c r="DE171" t="s">
        <v>3</v>
      </c>
      <c r="DF171">
        <f>ROUND(ROUND(AE171,2)*CX171,2)</f>
        <v>0</v>
      </c>
      <c r="DG171">
        <f t="shared" si="45"/>
        <v>0</v>
      </c>
      <c r="DH171">
        <f t="shared" si="47"/>
        <v>0</v>
      </c>
      <c r="DI171">
        <f t="shared" si="35"/>
        <v>0</v>
      </c>
      <c r="DJ171">
        <f>DI171</f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ROW(Source!A225)</f>
        <v>225</v>
      </c>
      <c r="B172">
        <v>57034452</v>
      </c>
      <c r="C172">
        <v>57035108</v>
      </c>
      <c r="D172">
        <v>55563434</v>
      </c>
      <c r="E172">
        <v>1</v>
      </c>
      <c r="F172">
        <v>1</v>
      </c>
      <c r="G172">
        <v>1081</v>
      </c>
      <c r="H172">
        <v>3</v>
      </c>
      <c r="I172" t="s">
        <v>247</v>
      </c>
      <c r="J172" t="s">
        <v>248</v>
      </c>
      <c r="K172" t="s">
        <v>619</v>
      </c>
      <c r="L172">
        <v>1354</v>
      </c>
      <c r="N172">
        <v>1010</v>
      </c>
      <c r="O172" t="s">
        <v>177</v>
      </c>
      <c r="P172" t="s">
        <v>177</v>
      </c>
      <c r="Q172">
        <v>1</v>
      </c>
      <c r="W172">
        <v>0</v>
      </c>
      <c r="X172">
        <v>2121643748</v>
      </c>
      <c r="Y172">
        <f>(AT172*1)</f>
        <v>1</v>
      </c>
      <c r="AA172">
        <v>43.98</v>
      </c>
      <c r="AB172">
        <v>0</v>
      </c>
      <c r="AC172">
        <v>0</v>
      </c>
      <c r="AD172">
        <v>0</v>
      </c>
      <c r="AE172">
        <v>43.98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1</v>
      </c>
      <c r="AU172" t="s">
        <v>104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ROUND(Y172*Source!I225,9)</f>
        <v>104</v>
      </c>
      <c r="CY172">
        <f>AA172</f>
        <v>43.98</v>
      </c>
      <c r="CZ172">
        <f>AE172</f>
        <v>43.98</v>
      </c>
      <c r="DA172">
        <f>AI172</f>
        <v>1</v>
      </c>
      <c r="DB172">
        <f>ROUND((ROUND(AT172*CZ172,2)*1),6)</f>
        <v>43.98</v>
      </c>
      <c r="DC172">
        <f>ROUND((ROUND(AT172*AG172,2)*1),6)</f>
        <v>0</v>
      </c>
      <c r="DD172" t="s">
        <v>3</v>
      </c>
      <c r="DE172" t="s">
        <v>3</v>
      </c>
      <c r="DF172">
        <f>ROUND(ROUND(AE172,2)*CX172,2)</f>
        <v>4573.92</v>
      </c>
      <c r="DG172">
        <f t="shared" si="45"/>
        <v>0</v>
      </c>
      <c r="DH172">
        <f t="shared" si="47"/>
        <v>0</v>
      </c>
      <c r="DI172">
        <f t="shared" si="35"/>
        <v>0</v>
      </c>
      <c r="DJ172">
        <f>DF172</f>
        <v>4573.92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ROW(Source!A226)</f>
        <v>226</v>
      </c>
      <c r="B173">
        <v>57034454</v>
      </c>
      <c r="C173">
        <v>57035108</v>
      </c>
      <c r="D173">
        <v>55424304</v>
      </c>
      <c r="E173">
        <v>1081</v>
      </c>
      <c r="F173">
        <v>1</v>
      </c>
      <c r="G173">
        <v>1081</v>
      </c>
      <c r="H173">
        <v>1</v>
      </c>
      <c r="I173" t="s">
        <v>459</v>
      </c>
      <c r="J173" t="s">
        <v>3</v>
      </c>
      <c r="K173" t="s">
        <v>460</v>
      </c>
      <c r="L173">
        <v>1191</v>
      </c>
      <c r="N173">
        <v>1013</v>
      </c>
      <c r="O173" t="s">
        <v>461</v>
      </c>
      <c r="P173" t="s">
        <v>461</v>
      </c>
      <c r="Q173">
        <v>1</v>
      </c>
      <c r="W173">
        <v>0</v>
      </c>
      <c r="X173">
        <v>476480486</v>
      </c>
      <c r="Y173">
        <f>(AT173*1.2)</f>
        <v>1.44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5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1.2</v>
      </c>
      <c r="AU173" t="s">
        <v>105</v>
      </c>
      <c r="AV173">
        <v>1</v>
      </c>
      <c r="AW173">
        <v>2</v>
      </c>
      <c r="AX173">
        <v>57035111</v>
      </c>
      <c r="AY173">
        <v>1</v>
      </c>
      <c r="AZ173">
        <v>0</v>
      </c>
      <c r="BA173">
        <v>192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ROUND(AT173*Source!I226*AH173*AL173,2)</f>
        <v>0</v>
      </c>
      <c r="CV173">
        <f>ROUND(Y173*Source!I226,9)</f>
        <v>149.76</v>
      </c>
      <c r="CW173">
        <v>0</v>
      </c>
      <c r="CX173">
        <f>ROUND(Y173*Source!I226,9)</f>
        <v>149.76</v>
      </c>
      <c r="CY173">
        <f>AD173</f>
        <v>0</v>
      </c>
      <c r="CZ173">
        <f>AH173</f>
        <v>0</v>
      </c>
      <c r="DA173">
        <f>AL173</f>
        <v>1</v>
      </c>
      <c r="DB173">
        <f>ROUND((ROUND(AT173*CZ173,2)*1.2),6)</f>
        <v>0</v>
      </c>
      <c r="DC173">
        <f>ROUND((ROUND(AT173*AG173,2)*1.2),6)</f>
        <v>0</v>
      </c>
      <c r="DD173" t="s">
        <v>3</v>
      </c>
      <c r="DE173" t="s">
        <v>3</v>
      </c>
      <c r="DF173">
        <f>ROUND(ROUND(AE173,2)*CX173,2)</f>
        <v>0</v>
      </c>
      <c r="DG173">
        <f t="shared" si="45"/>
        <v>0</v>
      </c>
      <c r="DH173">
        <f t="shared" si="47"/>
        <v>0</v>
      </c>
      <c r="DI173">
        <f t="shared" si="35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ROW(Source!A226)</f>
        <v>226</v>
      </c>
      <c r="B174">
        <v>57034454</v>
      </c>
      <c r="C174">
        <v>57035108</v>
      </c>
      <c r="D174">
        <v>55563434</v>
      </c>
      <c r="E174">
        <v>1</v>
      </c>
      <c r="F174">
        <v>1</v>
      </c>
      <c r="G174">
        <v>1081</v>
      </c>
      <c r="H174">
        <v>3</v>
      </c>
      <c r="I174" t="s">
        <v>247</v>
      </c>
      <c r="J174" t="s">
        <v>248</v>
      </c>
      <c r="K174" t="s">
        <v>619</v>
      </c>
      <c r="L174">
        <v>1354</v>
      </c>
      <c r="N174">
        <v>1010</v>
      </c>
      <c r="O174" t="s">
        <v>177</v>
      </c>
      <c r="P174" t="s">
        <v>177</v>
      </c>
      <c r="Q174">
        <v>1</v>
      </c>
      <c r="W174">
        <v>0</v>
      </c>
      <c r="X174">
        <v>2121643748</v>
      </c>
      <c r="Y174">
        <f>(AT174*1)</f>
        <v>1</v>
      </c>
      <c r="AA174">
        <v>495.65</v>
      </c>
      <c r="AB174">
        <v>0</v>
      </c>
      <c r="AC174">
        <v>0</v>
      </c>
      <c r="AD174">
        <v>0</v>
      </c>
      <c r="AE174">
        <v>43.98</v>
      </c>
      <c r="AF174">
        <v>0</v>
      </c>
      <c r="AG174">
        <v>0</v>
      </c>
      <c r="AH174">
        <v>0</v>
      </c>
      <c r="AI174">
        <v>11.27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 t="s">
        <v>3</v>
      </c>
      <c r="AT174">
        <v>1</v>
      </c>
      <c r="AU174" t="s">
        <v>104</v>
      </c>
      <c r="AV174">
        <v>0</v>
      </c>
      <c r="AW174">
        <v>1</v>
      </c>
      <c r="AX174">
        <v>-1</v>
      </c>
      <c r="AY174">
        <v>0</v>
      </c>
      <c r="AZ174">
        <v>0</v>
      </c>
      <c r="BA174" t="s">
        <v>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ROUND(Y174*Source!I226,9)</f>
        <v>104</v>
      </c>
      <c r="CY174">
        <f>AA174</f>
        <v>495.65</v>
      </c>
      <c r="CZ174">
        <f>AE174</f>
        <v>43.98</v>
      </c>
      <c r="DA174">
        <f>AI174</f>
        <v>11.27</v>
      </c>
      <c r="DB174">
        <f>ROUND((ROUND(AT174*CZ174,2)*1),6)</f>
        <v>43.98</v>
      </c>
      <c r="DC174">
        <f>ROUND((ROUND(AT174*AG174,2)*1),6)</f>
        <v>0</v>
      </c>
      <c r="DD174" t="s">
        <v>3</v>
      </c>
      <c r="DE174" t="s">
        <v>3</v>
      </c>
      <c r="DF174">
        <f>ROUND(ROUND(AE174*AI174,2)*CX174,2)</f>
        <v>51547.6</v>
      </c>
      <c r="DG174">
        <f t="shared" si="45"/>
        <v>0</v>
      </c>
      <c r="DH174">
        <f t="shared" si="47"/>
        <v>0</v>
      </c>
      <c r="DI174">
        <f t="shared" si="35"/>
        <v>0</v>
      </c>
      <c r="DJ174">
        <f>DF174</f>
        <v>51547.6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ROW(Source!A229)</f>
        <v>229</v>
      </c>
      <c r="B175">
        <v>57034452</v>
      </c>
      <c r="C175">
        <v>57044367</v>
      </c>
      <c r="D175">
        <v>55424304</v>
      </c>
      <c r="E175">
        <v>1081</v>
      </c>
      <c r="F175">
        <v>1</v>
      </c>
      <c r="G175">
        <v>1081</v>
      </c>
      <c r="H175">
        <v>1</v>
      </c>
      <c r="I175" t="s">
        <v>459</v>
      </c>
      <c r="J175" t="s">
        <v>3</v>
      </c>
      <c r="K175" t="s">
        <v>460</v>
      </c>
      <c r="L175">
        <v>1191</v>
      </c>
      <c r="N175">
        <v>1013</v>
      </c>
      <c r="O175" t="s">
        <v>461</v>
      </c>
      <c r="P175" t="s">
        <v>461</v>
      </c>
      <c r="Q175">
        <v>1</v>
      </c>
      <c r="W175">
        <v>0</v>
      </c>
      <c r="X175">
        <v>476480486</v>
      </c>
      <c r="Y175">
        <f>(AT175*1.2)</f>
        <v>1.44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1.2</v>
      </c>
      <c r="AU175" t="s">
        <v>105</v>
      </c>
      <c r="AV175">
        <v>1</v>
      </c>
      <c r="AW175">
        <v>2</v>
      </c>
      <c r="AX175">
        <v>57044370</v>
      </c>
      <c r="AY175">
        <v>1</v>
      </c>
      <c r="AZ175">
        <v>0</v>
      </c>
      <c r="BA175">
        <v>193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U175">
        <f>ROUND(AT175*Source!I229*AH175*AL175,2)</f>
        <v>0</v>
      </c>
      <c r="CV175">
        <f>ROUND(Y175*Source!I229,9)</f>
        <v>149.76</v>
      </c>
      <c r="CW175">
        <v>0</v>
      </c>
      <c r="CX175">
        <f>ROUND(Y175*Source!I229,9)</f>
        <v>149.76</v>
      </c>
      <c r="CY175">
        <f>AD175</f>
        <v>0</v>
      </c>
      <c r="CZ175">
        <f>AH175</f>
        <v>0</v>
      </c>
      <c r="DA175">
        <f>AL175</f>
        <v>1</v>
      </c>
      <c r="DB175">
        <f>ROUND((ROUND(AT175*CZ175,2)*1.2),6)</f>
        <v>0</v>
      </c>
      <c r="DC175">
        <f>ROUND((ROUND(AT175*AG175,2)*1.2),6)</f>
        <v>0</v>
      </c>
      <c r="DD175" t="s">
        <v>3</v>
      </c>
      <c r="DE175" t="s">
        <v>3</v>
      </c>
      <c r="DF175">
        <f>ROUND(ROUND(AE175,2)*CX175,2)</f>
        <v>0</v>
      </c>
      <c r="DG175">
        <f t="shared" ref="DG175:DG200" si="49">ROUND(ROUND(AF175,2)*CX175,2)</f>
        <v>0</v>
      </c>
      <c r="DH175">
        <f t="shared" si="47"/>
        <v>0</v>
      </c>
      <c r="DI175">
        <f t="shared" si="35"/>
        <v>0</v>
      </c>
      <c r="DJ175">
        <f>DI175</f>
        <v>0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ROW(Source!A230)</f>
        <v>230</v>
      </c>
      <c r="B176">
        <v>57034454</v>
      </c>
      <c r="C176">
        <v>57044367</v>
      </c>
      <c r="D176">
        <v>55424304</v>
      </c>
      <c r="E176">
        <v>1081</v>
      </c>
      <c r="F176">
        <v>1</v>
      </c>
      <c r="G176">
        <v>1081</v>
      </c>
      <c r="H176">
        <v>1</v>
      </c>
      <c r="I176" t="s">
        <v>459</v>
      </c>
      <c r="J176" t="s">
        <v>3</v>
      </c>
      <c r="K176" t="s">
        <v>460</v>
      </c>
      <c r="L176">
        <v>1191</v>
      </c>
      <c r="N176">
        <v>1013</v>
      </c>
      <c r="O176" t="s">
        <v>461</v>
      </c>
      <c r="P176" t="s">
        <v>461</v>
      </c>
      <c r="Q176">
        <v>1</v>
      </c>
      <c r="W176">
        <v>0</v>
      </c>
      <c r="X176">
        <v>476480486</v>
      </c>
      <c r="Y176">
        <f>(AT176*1.2)</f>
        <v>1.44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5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1.2</v>
      </c>
      <c r="AU176" t="s">
        <v>105</v>
      </c>
      <c r="AV176">
        <v>1</v>
      </c>
      <c r="AW176">
        <v>2</v>
      </c>
      <c r="AX176">
        <v>57044370</v>
      </c>
      <c r="AY176">
        <v>1</v>
      </c>
      <c r="AZ176">
        <v>0</v>
      </c>
      <c r="BA176">
        <v>194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U176">
        <f>ROUND(AT176*Source!I230*AH176*AL176,2)</f>
        <v>0</v>
      </c>
      <c r="CV176">
        <f>ROUND(Y176*Source!I230,9)</f>
        <v>149.76</v>
      </c>
      <c r="CW176">
        <v>0</v>
      </c>
      <c r="CX176">
        <f>ROUND(Y176*Source!I230,9)</f>
        <v>149.76</v>
      </c>
      <c r="CY176">
        <f>AD176</f>
        <v>0</v>
      </c>
      <c r="CZ176">
        <f>AH176</f>
        <v>0</v>
      </c>
      <c r="DA176">
        <f>AL176</f>
        <v>1</v>
      </c>
      <c r="DB176">
        <f>ROUND((ROUND(AT176*CZ176,2)*1.2),6)</f>
        <v>0</v>
      </c>
      <c r="DC176">
        <f>ROUND((ROUND(AT176*AG176,2)*1.2),6)</f>
        <v>0</v>
      </c>
      <c r="DD176" t="s">
        <v>3</v>
      </c>
      <c r="DE176" t="s">
        <v>3</v>
      </c>
      <c r="DF176">
        <f>ROUND(ROUND(AE176,2)*CX176,2)</f>
        <v>0</v>
      </c>
      <c r="DG176">
        <f t="shared" si="49"/>
        <v>0</v>
      </c>
      <c r="DH176">
        <f t="shared" si="47"/>
        <v>0</v>
      </c>
      <c r="DI176">
        <f t="shared" si="35"/>
        <v>0</v>
      </c>
      <c r="DJ176">
        <f>DI176</f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ROW(Source!A235)</f>
        <v>235</v>
      </c>
      <c r="B177">
        <v>57034452</v>
      </c>
      <c r="C177">
        <v>57035113</v>
      </c>
      <c r="D177">
        <v>55424304</v>
      </c>
      <c r="E177">
        <v>1081</v>
      </c>
      <c r="F177">
        <v>1</v>
      </c>
      <c r="G177">
        <v>1081</v>
      </c>
      <c r="H177">
        <v>1</v>
      </c>
      <c r="I177" t="s">
        <v>459</v>
      </c>
      <c r="J177" t="s">
        <v>3</v>
      </c>
      <c r="K177" t="s">
        <v>460</v>
      </c>
      <c r="L177">
        <v>1191</v>
      </c>
      <c r="N177">
        <v>1013</v>
      </c>
      <c r="O177" t="s">
        <v>461</v>
      </c>
      <c r="P177" t="s">
        <v>461</v>
      </c>
      <c r="Q177">
        <v>1</v>
      </c>
      <c r="W177">
        <v>0</v>
      </c>
      <c r="X177">
        <v>476480486</v>
      </c>
      <c r="Y177">
        <f>(AT177*1.2)</f>
        <v>0.42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0.35</v>
      </c>
      <c r="AU177" t="s">
        <v>105</v>
      </c>
      <c r="AV177">
        <v>1</v>
      </c>
      <c r="AW177">
        <v>2</v>
      </c>
      <c r="AX177">
        <v>57035116</v>
      </c>
      <c r="AY177">
        <v>1</v>
      </c>
      <c r="AZ177">
        <v>0</v>
      </c>
      <c r="BA177">
        <v>195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U177">
        <f>ROUND(AT177*Source!I235*AH177*AL177,2)</f>
        <v>0</v>
      </c>
      <c r="CV177">
        <f>ROUND(Y177*Source!I235,9)</f>
        <v>24.36</v>
      </c>
      <c r="CW177">
        <v>0</v>
      </c>
      <c r="CX177">
        <f>ROUND(Y177*Source!I235,9)</f>
        <v>24.36</v>
      </c>
      <c r="CY177">
        <f>AD177</f>
        <v>0</v>
      </c>
      <c r="CZ177">
        <f>AH177</f>
        <v>0</v>
      </c>
      <c r="DA177">
        <f>AL177</f>
        <v>1</v>
      </c>
      <c r="DB177">
        <f>ROUND((ROUND(AT177*CZ177,2)*1.2),6)</f>
        <v>0</v>
      </c>
      <c r="DC177">
        <f>ROUND((ROUND(AT177*AG177,2)*1.2),6)</f>
        <v>0</v>
      </c>
      <c r="DD177" t="s">
        <v>3</v>
      </c>
      <c r="DE177" t="s">
        <v>3</v>
      </c>
      <c r="DF177">
        <f>ROUND(ROUND(AE177,2)*CX177,2)</f>
        <v>0</v>
      </c>
      <c r="DG177">
        <f t="shared" si="49"/>
        <v>0</v>
      </c>
      <c r="DH177">
        <f t="shared" si="47"/>
        <v>0</v>
      </c>
      <c r="DI177">
        <f t="shared" si="35"/>
        <v>0</v>
      </c>
      <c r="DJ177">
        <f>DI177</f>
        <v>0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ROW(Source!A235)</f>
        <v>235</v>
      </c>
      <c r="B178">
        <v>57034452</v>
      </c>
      <c r="C178">
        <v>57035113</v>
      </c>
      <c r="D178">
        <v>55477719</v>
      </c>
      <c r="E178">
        <v>1</v>
      </c>
      <c r="F178">
        <v>1</v>
      </c>
      <c r="G178">
        <v>1081</v>
      </c>
      <c r="H178">
        <v>3</v>
      </c>
      <c r="I178" t="s">
        <v>261</v>
      </c>
      <c r="J178" t="s">
        <v>263</v>
      </c>
      <c r="K178" t="s">
        <v>262</v>
      </c>
      <c r="L178">
        <v>1354</v>
      </c>
      <c r="N178">
        <v>1010</v>
      </c>
      <c r="O178" t="s">
        <v>177</v>
      </c>
      <c r="P178" t="s">
        <v>177</v>
      </c>
      <c r="Q178">
        <v>1</v>
      </c>
      <c r="W178">
        <v>0</v>
      </c>
      <c r="X178">
        <v>-1974369850</v>
      </c>
      <c r="Y178">
        <f>(AT178*1)</f>
        <v>1</v>
      </c>
      <c r="AA178">
        <v>15.49</v>
      </c>
      <c r="AB178">
        <v>0</v>
      </c>
      <c r="AC178">
        <v>0</v>
      </c>
      <c r="AD178">
        <v>0</v>
      </c>
      <c r="AE178">
        <v>15.49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 t="s">
        <v>3</v>
      </c>
      <c r="AT178">
        <v>1</v>
      </c>
      <c r="AU178" t="s">
        <v>104</v>
      </c>
      <c r="AV178">
        <v>0</v>
      </c>
      <c r="AW178">
        <v>1</v>
      </c>
      <c r="AX178">
        <v>-1</v>
      </c>
      <c r="AY178">
        <v>0</v>
      </c>
      <c r="AZ178">
        <v>0</v>
      </c>
      <c r="BA178" t="s">
        <v>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ROUND(Y178*Source!I235,9)</f>
        <v>58</v>
      </c>
      <c r="CY178">
        <f>AA178</f>
        <v>15.49</v>
      </c>
      <c r="CZ178">
        <f>AE178</f>
        <v>15.49</v>
      </c>
      <c r="DA178">
        <f>AI178</f>
        <v>1</v>
      </c>
      <c r="DB178">
        <f>ROUND((ROUND(AT178*CZ178,2)*1),6)</f>
        <v>15.49</v>
      </c>
      <c r="DC178">
        <f>ROUND((ROUND(AT178*AG178,2)*1),6)</f>
        <v>0</v>
      </c>
      <c r="DD178" t="s">
        <v>3</v>
      </c>
      <c r="DE178" t="s">
        <v>3</v>
      </c>
      <c r="DF178">
        <f>ROUND(ROUND(AE178,2)*CX178,2)</f>
        <v>898.42</v>
      </c>
      <c r="DG178">
        <f t="shared" si="49"/>
        <v>0</v>
      </c>
      <c r="DH178">
        <f t="shared" ref="DH178:DH214" si="50">ROUND(ROUND(AG178,2)*CX178,2)</f>
        <v>0</v>
      </c>
      <c r="DI178">
        <f t="shared" si="35"/>
        <v>0</v>
      </c>
      <c r="DJ178">
        <f>DF178</f>
        <v>898.42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ROW(Source!A236)</f>
        <v>236</v>
      </c>
      <c r="B179">
        <v>57034454</v>
      </c>
      <c r="C179">
        <v>57035113</v>
      </c>
      <c r="D179">
        <v>55424304</v>
      </c>
      <c r="E179">
        <v>1081</v>
      </c>
      <c r="F179">
        <v>1</v>
      </c>
      <c r="G179">
        <v>1081</v>
      </c>
      <c r="H179">
        <v>1</v>
      </c>
      <c r="I179" t="s">
        <v>459</v>
      </c>
      <c r="J179" t="s">
        <v>3</v>
      </c>
      <c r="K179" t="s">
        <v>460</v>
      </c>
      <c r="L179">
        <v>1191</v>
      </c>
      <c r="N179">
        <v>1013</v>
      </c>
      <c r="O179" t="s">
        <v>461</v>
      </c>
      <c r="P179" t="s">
        <v>461</v>
      </c>
      <c r="Q179">
        <v>1</v>
      </c>
      <c r="W179">
        <v>0</v>
      </c>
      <c r="X179">
        <v>476480486</v>
      </c>
      <c r="Y179">
        <f>(AT179*1.2)</f>
        <v>0.42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5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0.35</v>
      </c>
      <c r="AU179" t="s">
        <v>105</v>
      </c>
      <c r="AV179">
        <v>1</v>
      </c>
      <c r="AW179">
        <v>2</v>
      </c>
      <c r="AX179">
        <v>57035116</v>
      </c>
      <c r="AY179">
        <v>1</v>
      </c>
      <c r="AZ179">
        <v>0</v>
      </c>
      <c r="BA179">
        <v>196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U179">
        <f>ROUND(AT179*Source!I236*AH179*AL179,2)</f>
        <v>0</v>
      </c>
      <c r="CV179">
        <f>ROUND(Y179*Source!I236,9)</f>
        <v>24.36</v>
      </c>
      <c r="CW179">
        <v>0</v>
      </c>
      <c r="CX179">
        <f>ROUND(Y179*Source!I236,9)</f>
        <v>24.36</v>
      </c>
      <c r="CY179">
        <f>AD179</f>
        <v>0</v>
      </c>
      <c r="CZ179">
        <f>AH179</f>
        <v>0</v>
      </c>
      <c r="DA179">
        <f>AL179</f>
        <v>1</v>
      </c>
      <c r="DB179">
        <f>ROUND((ROUND(AT179*CZ179,2)*1.2),6)</f>
        <v>0</v>
      </c>
      <c r="DC179">
        <f>ROUND((ROUND(AT179*AG179,2)*1.2),6)</f>
        <v>0</v>
      </c>
      <c r="DD179" t="s">
        <v>3</v>
      </c>
      <c r="DE179" t="s">
        <v>3</v>
      </c>
      <c r="DF179">
        <f>ROUND(ROUND(AE179,2)*CX179,2)</f>
        <v>0</v>
      </c>
      <c r="DG179">
        <f t="shared" si="49"/>
        <v>0</v>
      </c>
      <c r="DH179">
        <f t="shared" si="50"/>
        <v>0</v>
      </c>
      <c r="DI179">
        <f t="shared" si="35"/>
        <v>0</v>
      </c>
      <c r="DJ179">
        <f>DI179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ROW(Source!A236)</f>
        <v>236</v>
      </c>
      <c r="B180">
        <v>57034454</v>
      </c>
      <c r="C180">
        <v>57035113</v>
      </c>
      <c r="D180">
        <v>55477719</v>
      </c>
      <c r="E180">
        <v>1</v>
      </c>
      <c r="F180">
        <v>1</v>
      </c>
      <c r="G180">
        <v>1081</v>
      </c>
      <c r="H180">
        <v>3</v>
      </c>
      <c r="I180" t="s">
        <v>261</v>
      </c>
      <c r="J180" t="s">
        <v>263</v>
      </c>
      <c r="K180" t="s">
        <v>262</v>
      </c>
      <c r="L180">
        <v>1354</v>
      </c>
      <c r="N180">
        <v>1010</v>
      </c>
      <c r="O180" t="s">
        <v>177</v>
      </c>
      <c r="P180" t="s">
        <v>177</v>
      </c>
      <c r="Q180">
        <v>1</v>
      </c>
      <c r="W180">
        <v>0</v>
      </c>
      <c r="X180">
        <v>-1974369850</v>
      </c>
      <c r="Y180">
        <f>(AT180*1)</f>
        <v>1</v>
      </c>
      <c r="AA180">
        <v>105.33</v>
      </c>
      <c r="AB180">
        <v>0</v>
      </c>
      <c r="AC180">
        <v>0</v>
      </c>
      <c r="AD180">
        <v>0</v>
      </c>
      <c r="AE180">
        <v>15.49</v>
      </c>
      <c r="AF180">
        <v>0</v>
      </c>
      <c r="AG180">
        <v>0</v>
      </c>
      <c r="AH180">
        <v>0</v>
      </c>
      <c r="AI180">
        <v>6.8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1</v>
      </c>
      <c r="AU180" t="s">
        <v>104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ROUND(Y180*Source!I236,9)</f>
        <v>58</v>
      </c>
      <c r="CY180">
        <f>AA180</f>
        <v>105.33</v>
      </c>
      <c r="CZ180">
        <f>AE180</f>
        <v>15.49</v>
      </c>
      <c r="DA180">
        <f>AI180</f>
        <v>6.8</v>
      </c>
      <c r="DB180">
        <f>ROUND((ROUND(AT180*CZ180,2)*1),6)</f>
        <v>15.49</v>
      </c>
      <c r="DC180">
        <f>ROUND((ROUND(AT180*AG180,2)*1),6)</f>
        <v>0</v>
      </c>
      <c r="DD180" t="s">
        <v>3</v>
      </c>
      <c r="DE180" t="s">
        <v>3</v>
      </c>
      <c r="DF180">
        <f>ROUND(ROUND(AE180*AI180,2)*CX180,2)</f>
        <v>6109.14</v>
      </c>
      <c r="DG180">
        <f t="shared" si="49"/>
        <v>0</v>
      </c>
      <c r="DH180">
        <f t="shared" si="50"/>
        <v>0</v>
      </c>
      <c r="DI180">
        <f t="shared" si="35"/>
        <v>0</v>
      </c>
      <c r="DJ180">
        <f>DF180</f>
        <v>6109.14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ROW(Source!A315)</f>
        <v>315</v>
      </c>
      <c r="B181">
        <v>57034452</v>
      </c>
      <c r="C181">
        <v>57036072</v>
      </c>
      <c r="D181">
        <v>55424304</v>
      </c>
      <c r="E181">
        <v>1081</v>
      </c>
      <c r="F181">
        <v>1</v>
      </c>
      <c r="G181">
        <v>1081</v>
      </c>
      <c r="H181">
        <v>1</v>
      </c>
      <c r="I181" t="s">
        <v>459</v>
      </c>
      <c r="J181" t="s">
        <v>3</v>
      </c>
      <c r="K181" t="s">
        <v>460</v>
      </c>
      <c r="L181">
        <v>1191</v>
      </c>
      <c r="N181">
        <v>1013</v>
      </c>
      <c r="O181" t="s">
        <v>461</v>
      </c>
      <c r="P181" t="s">
        <v>461</v>
      </c>
      <c r="Q181">
        <v>1</v>
      </c>
      <c r="W181">
        <v>0</v>
      </c>
      <c r="X181">
        <v>476480486</v>
      </c>
      <c r="Y181">
        <f>(AT181*1.2)</f>
        <v>8.64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7.2</v>
      </c>
      <c r="AU181" t="s">
        <v>105</v>
      </c>
      <c r="AV181">
        <v>1</v>
      </c>
      <c r="AW181">
        <v>2</v>
      </c>
      <c r="AX181">
        <v>57036073</v>
      </c>
      <c r="AY181">
        <v>1</v>
      </c>
      <c r="AZ181">
        <v>0</v>
      </c>
      <c r="BA181">
        <v>197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U181">
        <f>ROUND(AT181*Source!I315*AH181*AL181,2)</f>
        <v>0</v>
      </c>
      <c r="CV181">
        <f>ROUND(Y181*Source!I315,9)</f>
        <v>17.28</v>
      </c>
      <c r="CW181">
        <v>0</v>
      </c>
      <c r="CX181">
        <f>ROUND(Y181*Source!I315,9)</f>
        <v>17.28</v>
      </c>
      <c r="CY181">
        <f>AD181</f>
        <v>0</v>
      </c>
      <c r="CZ181">
        <f>AH181</f>
        <v>0</v>
      </c>
      <c r="DA181">
        <f>AL181</f>
        <v>1</v>
      </c>
      <c r="DB181">
        <f>ROUND((ROUND(AT181*CZ181,2)*1.2),6)</f>
        <v>0</v>
      </c>
      <c r="DC181">
        <f>ROUND((ROUND(AT181*AG181,2)*1.2),6)</f>
        <v>0</v>
      </c>
      <c r="DD181" t="s">
        <v>3</v>
      </c>
      <c r="DE181" t="s">
        <v>3</v>
      </c>
      <c r="DF181">
        <f>ROUND(ROUND(AE181,2)*CX181,2)</f>
        <v>0</v>
      </c>
      <c r="DG181">
        <f t="shared" si="49"/>
        <v>0</v>
      </c>
      <c r="DH181">
        <f t="shared" si="50"/>
        <v>0</v>
      </c>
      <c r="DI181">
        <f t="shared" si="35"/>
        <v>0</v>
      </c>
      <c r="DJ181">
        <f>DI181</f>
        <v>0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ROW(Source!A316)</f>
        <v>316</v>
      </c>
      <c r="B182">
        <v>57034454</v>
      </c>
      <c r="C182">
        <v>57036072</v>
      </c>
      <c r="D182">
        <v>55424304</v>
      </c>
      <c r="E182">
        <v>1081</v>
      </c>
      <c r="F182">
        <v>1</v>
      </c>
      <c r="G182">
        <v>1081</v>
      </c>
      <c r="H182">
        <v>1</v>
      </c>
      <c r="I182" t="s">
        <v>459</v>
      </c>
      <c r="J182" t="s">
        <v>3</v>
      </c>
      <c r="K182" t="s">
        <v>460</v>
      </c>
      <c r="L182">
        <v>1191</v>
      </c>
      <c r="N182">
        <v>1013</v>
      </c>
      <c r="O182" t="s">
        <v>461</v>
      </c>
      <c r="P182" t="s">
        <v>461</v>
      </c>
      <c r="Q182">
        <v>1</v>
      </c>
      <c r="W182">
        <v>0</v>
      </c>
      <c r="X182">
        <v>476480486</v>
      </c>
      <c r="Y182">
        <f>(AT182*1.2)</f>
        <v>8.64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5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7.2</v>
      </c>
      <c r="AU182" t="s">
        <v>105</v>
      </c>
      <c r="AV182">
        <v>1</v>
      </c>
      <c r="AW182">
        <v>2</v>
      </c>
      <c r="AX182">
        <v>57036073</v>
      </c>
      <c r="AY182">
        <v>1</v>
      </c>
      <c r="AZ182">
        <v>0</v>
      </c>
      <c r="BA182">
        <v>198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U182">
        <f>ROUND(AT182*Source!I316*AH182*AL182,2)</f>
        <v>0</v>
      </c>
      <c r="CV182">
        <f>ROUND(Y182*Source!I316,9)</f>
        <v>17.28</v>
      </c>
      <c r="CW182">
        <v>0</v>
      </c>
      <c r="CX182">
        <f>ROUND(Y182*Source!I316,9)</f>
        <v>17.28</v>
      </c>
      <c r="CY182">
        <f>AD182</f>
        <v>0</v>
      </c>
      <c r="CZ182">
        <f>AH182</f>
        <v>0</v>
      </c>
      <c r="DA182">
        <f>AL182</f>
        <v>1</v>
      </c>
      <c r="DB182">
        <f>ROUND((ROUND(AT182*CZ182,2)*1.2),6)</f>
        <v>0</v>
      </c>
      <c r="DC182">
        <f>ROUND((ROUND(AT182*AG182,2)*1.2),6)</f>
        <v>0</v>
      </c>
      <c r="DD182" t="s">
        <v>3</v>
      </c>
      <c r="DE182" t="s">
        <v>3</v>
      </c>
      <c r="DF182">
        <f>ROUND(ROUND(AE182,2)*CX182,2)</f>
        <v>0</v>
      </c>
      <c r="DG182">
        <f t="shared" si="49"/>
        <v>0</v>
      </c>
      <c r="DH182">
        <f t="shared" si="50"/>
        <v>0</v>
      </c>
      <c r="DI182">
        <f t="shared" si="35"/>
        <v>0</v>
      </c>
      <c r="DJ182">
        <f>DI182</f>
        <v>0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ROW(Source!A319)</f>
        <v>319</v>
      </c>
      <c r="B183">
        <v>57034452</v>
      </c>
      <c r="C183">
        <v>57035124</v>
      </c>
      <c r="D183">
        <v>55424304</v>
      </c>
      <c r="E183">
        <v>1081</v>
      </c>
      <c r="F183">
        <v>1</v>
      </c>
      <c r="G183">
        <v>1081</v>
      </c>
      <c r="H183">
        <v>1</v>
      </c>
      <c r="I183" t="s">
        <v>459</v>
      </c>
      <c r="J183" t="s">
        <v>3</v>
      </c>
      <c r="K183" t="s">
        <v>460</v>
      </c>
      <c r="L183">
        <v>1191</v>
      </c>
      <c r="N183">
        <v>1013</v>
      </c>
      <c r="O183" t="s">
        <v>461</v>
      </c>
      <c r="P183" t="s">
        <v>461</v>
      </c>
      <c r="Q183">
        <v>1</v>
      </c>
      <c r="W183">
        <v>0</v>
      </c>
      <c r="X183">
        <v>476480486</v>
      </c>
      <c r="Y183">
        <f>(AT183*1.2)</f>
        <v>14.04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11.7</v>
      </c>
      <c r="AU183" t="s">
        <v>105</v>
      </c>
      <c r="AV183">
        <v>1</v>
      </c>
      <c r="AW183">
        <v>2</v>
      </c>
      <c r="AX183">
        <v>57035127</v>
      </c>
      <c r="AY183">
        <v>1</v>
      </c>
      <c r="AZ183">
        <v>0</v>
      </c>
      <c r="BA183">
        <v>199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ROUND(AT183*Source!I319*AH183*AL183,2)</f>
        <v>0</v>
      </c>
      <c r="CV183">
        <f>ROUND(Y183*Source!I319,9)</f>
        <v>28.08</v>
      </c>
      <c r="CW183">
        <v>0</v>
      </c>
      <c r="CX183">
        <f>ROUND(Y183*Source!I319,9)</f>
        <v>28.08</v>
      </c>
      <c r="CY183">
        <f>AD183</f>
        <v>0</v>
      </c>
      <c r="CZ183">
        <f>AH183</f>
        <v>0</v>
      </c>
      <c r="DA183">
        <f>AL183</f>
        <v>1</v>
      </c>
      <c r="DB183">
        <f>ROUND((ROUND(AT183*CZ183,2)*1.2),6)</f>
        <v>0</v>
      </c>
      <c r="DC183">
        <f>ROUND((ROUND(AT183*AG183,2)*1.2),6)</f>
        <v>0</v>
      </c>
      <c r="DD183" t="s">
        <v>3</v>
      </c>
      <c r="DE183" t="s">
        <v>3</v>
      </c>
      <c r="DF183">
        <f>ROUND(ROUND(AE183,2)*CX183,2)</f>
        <v>0</v>
      </c>
      <c r="DG183">
        <f t="shared" si="49"/>
        <v>0</v>
      </c>
      <c r="DH183">
        <f t="shared" si="50"/>
        <v>0</v>
      </c>
      <c r="DI183">
        <f t="shared" si="35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ROW(Source!A319)</f>
        <v>319</v>
      </c>
      <c r="B184">
        <v>57034452</v>
      </c>
      <c r="C184">
        <v>57035124</v>
      </c>
      <c r="D184">
        <v>0</v>
      </c>
      <c r="E184">
        <v>0</v>
      </c>
      <c r="F184">
        <v>1</v>
      </c>
      <c r="G184">
        <v>1081</v>
      </c>
      <c r="H184">
        <v>3</v>
      </c>
      <c r="I184" t="s">
        <v>196</v>
      </c>
      <c r="J184" t="s">
        <v>3</v>
      </c>
      <c r="K184" t="s">
        <v>190</v>
      </c>
      <c r="L184">
        <v>1354</v>
      </c>
      <c r="N184">
        <v>1010</v>
      </c>
      <c r="O184" t="s">
        <v>177</v>
      </c>
      <c r="P184" t="s">
        <v>177</v>
      </c>
      <c r="Q184">
        <v>1</v>
      </c>
      <c r="W184">
        <v>0</v>
      </c>
      <c r="X184">
        <v>-254916553</v>
      </c>
      <c r="Y184">
        <f>(AT184*1)</f>
        <v>1</v>
      </c>
      <c r="AA184">
        <v>4851.08</v>
      </c>
      <c r="AB184">
        <v>0</v>
      </c>
      <c r="AC184">
        <v>0</v>
      </c>
      <c r="AD184">
        <v>0</v>
      </c>
      <c r="AE184">
        <v>4851.08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 t="s">
        <v>3</v>
      </c>
      <c r="AT184">
        <v>1</v>
      </c>
      <c r="AU184" t="s">
        <v>104</v>
      </c>
      <c r="AV184">
        <v>0</v>
      </c>
      <c r="AW184">
        <v>1</v>
      </c>
      <c r="AX184">
        <v>-1</v>
      </c>
      <c r="AY184">
        <v>0</v>
      </c>
      <c r="AZ184">
        <v>0</v>
      </c>
      <c r="BA184" t="s">
        <v>3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ROUND(Y184*Source!I319,9)</f>
        <v>2</v>
      </c>
      <c r="CY184">
        <f>AA184</f>
        <v>4851.08</v>
      </c>
      <c r="CZ184">
        <f>AE184</f>
        <v>4851.08</v>
      </c>
      <c r="DA184">
        <f>AI184</f>
        <v>1</v>
      </c>
      <c r="DB184">
        <f>ROUND((ROUND(AT184*CZ184,2)*1),6)</f>
        <v>4851.08</v>
      </c>
      <c r="DC184">
        <f>ROUND((ROUND(AT184*AG184,2)*1),6)</f>
        <v>0</v>
      </c>
      <c r="DD184" t="s">
        <v>3</v>
      </c>
      <c r="DE184" t="s">
        <v>3</v>
      </c>
      <c r="DF184">
        <f>ROUND(ROUND(AE184,2)*CX184,2)</f>
        <v>9702.16</v>
      </c>
      <c r="DG184">
        <f t="shared" si="49"/>
        <v>0</v>
      </c>
      <c r="DH184">
        <f t="shared" si="50"/>
        <v>0</v>
      </c>
      <c r="DI184">
        <f t="shared" si="35"/>
        <v>0</v>
      </c>
      <c r="DJ184">
        <f>DF184</f>
        <v>9702.16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ROW(Source!A320)</f>
        <v>320</v>
      </c>
      <c r="B185">
        <v>57034454</v>
      </c>
      <c r="C185">
        <v>57035124</v>
      </c>
      <c r="D185">
        <v>55424304</v>
      </c>
      <c r="E185">
        <v>1081</v>
      </c>
      <c r="F185">
        <v>1</v>
      </c>
      <c r="G185">
        <v>1081</v>
      </c>
      <c r="H185">
        <v>1</v>
      </c>
      <c r="I185" t="s">
        <v>459</v>
      </c>
      <c r="J185" t="s">
        <v>3</v>
      </c>
      <c r="K185" t="s">
        <v>460</v>
      </c>
      <c r="L185">
        <v>1191</v>
      </c>
      <c r="N185">
        <v>1013</v>
      </c>
      <c r="O185" t="s">
        <v>461</v>
      </c>
      <c r="P185" t="s">
        <v>461</v>
      </c>
      <c r="Q185">
        <v>1</v>
      </c>
      <c r="W185">
        <v>0</v>
      </c>
      <c r="X185">
        <v>476480486</v>
      </c>
      <c r="Y185">
        <f>(AT185*1.2)</f>
        <v>14.04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5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11.7</v>
      </c>
      <c r="AU185" t="s">
        <v>105</v>
      </c>
      <c r="AV185">
        <v>1</v>
      </c>
      <c r="AW185">
        <v>2</v>
      </c>
      <c r="AX185">
        <v>57035127</v>
      </c>
      <c r="AY185">
        <v>1</v>
      </c>
      <c r="AZ185">
        <v>0</v>
      </c>
      <c r="BA185">
        <v>200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U185">
        <f>ROUND(AT185*Source!I320*AH185*AL185,2)</f>
        <v>0</v>
      </c>
      <c r="CV185">
        <f>ROUND(Y185*Source!I320,9)</f>
        <v>28.08</v>
      </c>
      <c r="CW185">
        <v>0</v>
      </c>
      <c r="CX185">
        <f>ROUND(Y185*Source!I320,9)</f>
        <v>28.08</v>
      </c>
      <c r="CY185">
        <f>AD185</f>
        <v>0</v>
      </c>
      <c r="CZ185">
        <f>AH185</f>
        <v>0</v>
      </c>
      <c r="DA185">
        <f>AL185</f>
        <v>1</v>
      </c>
      <c r="DB185">
        <f>ROUND((ROUND(AT185*CZ185,2)*1.2),6)</f>
        <v>0</v>
      </c>
      <c r="DC185">
        <f>ROUND((ROUND(AT185*AG185,2)*1.2),6)</f>
        <v>0</v>
      </c>
      <c r="DD185" t="s">
        <v>3</v>
      </c>
      <c r="DE185" t="s">
        <v>3</v>
      </c>
      <c r="DF185">
        <f>ROUND(ROUND(AE185,2)*CX185,2)</f>
        <v>0</v>
      </c>
      <c r="DG185">
        <f t="shared" si="49"/>
        <v>0</v>
      </c>
      <c r="DH185">
        <f t="shared" si="50"/>
        <v>0</v>
      </c>
      <c r="DI185">
        <f t="shared" si="35"/>
        <v>0</v>
      </c>
      <c r="DJ185">
        <f>DI185</f>
        <v>0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ROW(Source!A320)</f>
        <v>320</v>
      </c>
      <c r="B186">
        <v>57034454</v>
      </c>
      <c r="C186">
        <v>57035124</v>
      </c>
      <c r="D186">
        <v>0</v>
      </c>
      <c r="E186">
        <v>0</v>
      </c>
      <c r="F186">
        <v>1</v>
      </c>
      <c r="G186">
        <v>1081</v>
      </c>
      <c r="H186">
        <v>3</v>
      </c>
      <c r="I186" t="s">
        <v>196</v>
      </c>
      <c r="J186" t="s">
        <v>3</v>
      </c>
      <c r="K186" t="s">
        <v>190</v>
      </c>
      <c r="L186">
        <v>1354</v>
      </c>
      <c r="N186">
        <v>1010</v>
      </c>
      <c r="O186" t="s">
        <v>177</v>
      </c>
      <c r="P186" t="s">
        <v>177</v>
      </c>
      <c r="Q186">
        <v>1</v>
      </c>
      <c r="W186">
        <v>0</v>
      </c>
      <c r="X186">
        <v>-254916553</v>
      </c>
      <c r="Y186">
        <f>(AT186*1)</f>
        <v>1</v>
      </c>
      <c r="AA186">
        <v>36722.68</v>
      </c>
      <c r="AB186">
        <v>0</v>
      </c>
      <c r="AC186">
        <v>0</v>
      </c>
      <c r="AD186">
        <v>0</v>
      </c>
      <c r="AE186">
        <v>4851.08</v>
      </c>
      <c r="AF186">
        <v>0</v>
      </c>
      <c r="AG186">
        <v>0</v>
      </c>
      <c r="AH186">
        <v>0</v>
      </c>
      <c r="AI186">
        <v>7.57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 t="s">
        <v>3</v>
      </c>
      <c r="AT186">
        <v>1</v>
      </c>
      <c r="AU186" t="s">
        <v>104</v>
      </c>
      <c r="AV186">
        <v>0</v>
      </c>
      <c r="AW186">
        <v>1</v>
      </c>
      <c r="AX186">
        <v>-1</v>
      </c>
      <c r="AY186">
        <v>0</v>
      </c>
      <c r="AZ186">
        <v>0</v>
      </c>
      <c r="BA186" t="s">
        <v>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ROUND(Y186*Source!I320,9)</f>
        <v>2</v>
      </c>
      <c r="CY186">
        <f>AA186</f>
        <v>36722.68</v>
      </c>
      <c r="CZ186">
        <f>AE186</f>
        <v>4851.08</v>
      </c>
      <c r="DA186">
        <f>AI186</f>
        <v>7.57</v>
      </c>
      <c r="DB186">
        <f>ROUND((ROUND(AT186*CZ186,2)*1),6)</f>
        <v>4851.08</v>
      </c>
      <c r="DC186">
        <f>ROUND((ROUND(AT186*AG186,2)*1),6)</f>
        <v>0</v>
      </c>
      <c r="DD186" t="s">
        <v>3</v>
      </c>
      <c r="DE186" t="s">
        <v>3</v>
      </c>
      <c r="DF186">
        <f>ROUND(ROUND(AE186*AI186,2)*CX186,2)</f>
        <v>73445.36</v>
      </c>
      <c r="DG186">
        <f t="shared" si="49"/>
        <v>0</v>
      </c>
      <c r="DH186">
        <f t="shared" si="50"/>
        <v>0</v>
      </c>
      <c r="DI186">
        <f t="shared" si="35"/>
        <v>0</v>
      </c>
      <c r="DJ186">
        <f>DF186</f>
        <v>73445.36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ROW(Source!A323)</f>
        <v>323</v>
      </c>
      <c r="B187">
        <v>57034452</v>
      </c>
      <c r="C187">
        <v>57035129</v>
      </c>
      <c r="D187">
        <v>55424304</v>
      </c>
      <c r="E187">
        <v>1081</v>
      </c>
      <c r="F187">
        <v>1</v>
      </c>
      <c r="G187">
        <v>1081</v>
      </c>
      <c r="H187">
        <v>1</v>
      </c>
      <c r="I187" t="s">
        <v>459</v>
      </c>
      <c r="J187" t="s">
        <v>3</v>
      </c>
      <c r="K187" t="s">
        <v>460</v>
      </c>
      <c r="L187">
        <v>1191</v>
      </c>
      <c r="N187">
        <v>1013</v>
      </c>
      <c r="O187" t="s">
        <v>461</v>
      </c>
      <c r="P187" t="s">
        <v>461</v>
      </c>
      <c r="Q187">
        <v>1</v>
      </c>
      <c r="W187">
        <v>0</v>
      </c>
      <c r="X187">
        <v>476480486</v>
      </c>
      <c r="Y187">
        <f>(AT187*1.2)</f>
        <v>1.44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1.2</v>
      </c>
      <c r="AU187" t="s">
        <v>105</v>
      </c>
      <c r="AV187">
        <v>1</v>
      </c>
      <c r="AW187">
        <v>2</v>
      </c>
      <c r="AX187">
        <v>57035133</v>
      </c>
      <c r="AY187">
        <v>1</v>
      </c>
      <c r="AZ187">
        <v>0</v>
      </c>
      <c r="BA187">
        <v>201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U187">
        <f>ROUND(AT187*Source!I323*AH187*AL187,2)</f>
        <v>0</v>
      </c>
      <c r="CV187">
        <f>ROUND(Y187*Source!I323,9)</f>
        <v>2.88</v>
      </c>
      <c r="CW187">
        <v>0</v>
      </c>
      <c r="CX187">
        <f>ROUND(Y187*Source!I323,9)</f>
        <v>2.88</v>
      </c>
      <c r="CY187">
        <f>AD187</f>
        <v>0</v>
      </c>
      <c r="CZ187">
        <f>AH187</f>
        <v>0</v>
      </c>
      <c r="DA187">
        <f>AL187</f>
        <v>1</v>
      </c>
      <c r="DB187">
        <f>ROUND((ROUND(AT187*CZ187,2)*1.2),6)</f>
        <v>0</v>
      </c>
      <c r="DC187">
        <f>ROUND((ROUND(AT187*AG187,2)*1.2),6)</f>
        <v>0</v>
      </c>
      <c r="DD187" t="s">
        <v>3</v>
      </c>
      <c r="DE187" t="s">
        <v>3</v>
      </c>
      <c r="DF187">
        <f>ROUND(ROUND(AE187,2)*CX187,2)</f>
        <v>0</v>
      </c>
      <c r="DG187">
        <f t="shared" si="49"/>
        <v>0</v>
      </c>
      <c r="DH187">
        <f t="shared" si="50"/>
        <v>0</v>
      </c>
      <c r="DI187">
        <f t="shared" si="35"/>
        <v>0</v>
      </c>
      <c r="DJ187">
        <f>DI187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ROW(Source!A323)</f>
        <v>323</v>
      </c>
      <c r="B188">
        <v>57034452</v>
      </c>
      <c r="C188">
        <v>57035129</v>
      </c>
      <c r="D188">
        <v>0</v>
      </c>
      <c r="E188">
        <v>0</v>
      </c>
      <c r="F188">
        <v>1</v>
      </c>
      <c r="G188">
        <v>1081</v>
      </c>
      <c r="H188">
        <v>3</v>
      </c>
      <c r="I188" t="s">
        <v>282</v>
      </c>
      <c r="J188" t="s">
        <v>3</v>
      </c>
      <c r="K188" t="s">
        <v>283</v>
      </c>
      <c r="L188">
        <v>1354</v>
      </c>
      <c r="N188">
        <v>1010</v>
      </c>
      <c r="O188" t="s">
        <v>177</v>
      </c>
      <c r="P188" t="s">
        <v>177</v>
      </c>
      <c r="Q188">
        <v>1</v>
      </c>
      <c r="W188">
        <v>0</v>
      </c>
      <c r="X188">
        <v>928045099</v>
      </c>
      <c r="Y188">
        <f>(AT188*1)</f>
        <v>0.5</v>
      </c>
      <c r="AA188">
        <v>898.41</v>
      </c>
      <c r="AB188">
        <v>0</v>
      </c>
      <c r="AC188">
        <v>0</v>
      </c>
      <c r="AD188">
        <v>0</v>
      </c>
      <c r="AE188">
        <v>898.41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 t="s">
        <v>3</v>
      </c>
      <c r="AT188">
        <v>0.5</v>
      </c>
      <c r="AU188" t="s">
        <v>104</v>
      </c>
      <c r="AV188">
        <v>0</v>
      </c>
      <c r="AW188">
        <v>1</v>
      </c>
      <c r="AX188">
        <v>-1</v>
      </c>
      <c r="AY188">
        <v>0</v>
      </c>
      <c r="AZ188">
        <v>0</v>
      </c>
      <c r="BA188" t="s">
        <v>3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ROUND(Y188*Source!I323,9)</f>
        <v>1</v>
      </c>
      <c r="CY188">
        <f>AA188</f>
        <v>898.41</v>
      </c>
      <c r="CZ188">
        <f>AE188</f>
        <v>898.41</v>
      </c>
      <c r="DA188">
        <f>AI188</f>
        <v>1</v>
      </c>
      <c r="DB188">
        <f>ROUND((ROUND(AT188*CZ188,2)*1),6)</f>
        <v>449.21</v>
      </c>
      <c r="DC188">
        <f>ROUND((ROUND(AT188*AG188,2)*1),6)</f>
        <v>0</v>
      </c>
      <c r="DD188" t="s">
        <v>3</v>
      </c>
      <c r="DE188" t="s">
        <v>3</v>
      </c>
      <c r="DF188">
        <f>ROUND(ROUND(AE188,2)*CX188,2)</f>
        <v>898.41</v>
      </c>
      <c r="DG188">
        <f t="shared" si="49"/>
        <v>0</v>
      </c>
      <c r="DH188">
        <f t="shared" si="50"/>
        <v>0</v>
      </c>
      <c r="DI188">
        <f t="shared" si="35"/>
        <v>0</v>
      </c>
      <c r="DJ188">
        <f>DF188</f>
        <v>898.41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ROW(Source!A323)</f>
        <v>323</v>
      </c>
      <c r="B189">
        <v>57034452</v>
      </c>
      <c r="C189">
        <v>57035129</v>
      </c>
      <c r="D189">
        <v>0</v>
      </c>
      <c r="E189">
        <v>0</v>
      </c>
      <c r="F189">
        <v>1</v>
      </c>
      <c r="G189">
        <v>1081</v>
      </c>
      <c r="H189">
        <v>3</v>
      </c>
      <c r="I189" t="s">
        <v>286</v>
      </c>
      <c r="J189" t="s">
        <v>3</v>
      </c>
      <c r="K189" t="s">
        <v>287</v>
      </c>
      <c r="L189">
        <v>1354</v>
      </c>
      <c r="N189">
        <v>1010</v>
      </c>
      <c r="O189" t="s">
        <v>177</v>
      </c>
      <c r="P189" t="s">
        <v>177</v>
      </c>
      <c r="Q189">
        <v>1</v>
      </c>
      <c r="W189">
        <v>0</v>
      </c>
      <c r="X189">
        <v>-1372420145</v>
      </c>
      <c r="Y189">
        <f>(AT189*1)</f>
        <v>0.5</v>
      </c>
      <c r="AA189">
        <v>2208.4499999999998</v>
      </c>
      <c r="AB189">
        <v>0</v>
      </c>
      <c r="AC189">
        <v>0</v>
      </c>
      <c r="AD189">
        <v>0</v>
      </c>
      <c r="AE189">
        <v>2208.4499999999998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 t="s">
        <v>3</v>
      </c>
      <c r="AT189">
        <v>0.5</v>
      </c>
      <c r="AU189" t="s">
        <v>104</v>
      </c>
      <c r="AV189">
        <v>0</v>
      </c>
      <c r="AW189">
        <v>1</v>
      </c>
      <c r="AX189">
        <v>-1</v>
      </c>
      <c r="AY189">
        <v>0</v>
      </c>
      <c r="AZ189">
        <v>0</v>
      </c>
      <c r="BA189" t="s">
        <v>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ROUND(Y189*Source!I323,9)</f>
        <v>1</v>
      </c>
      <c r="CY189">
        <f>AA189</f>
        <v>2208.4499999999998</v>
      </c>
      <c r="CZ189">
        <f>AE189</f>
        <v>2208.4499999999998</v>
      </c>
      <c r="DA189">
        <f>AI189</f>
        <v>1</v>
      </c>
      <c r="DB189">
        <f>ROUND((ROUND(AT189*CZ189,2)*1),6)</f>
        <v>1104.23</v>
      </c>
      <c r="DC189">
        <f>ROUND((ROUND(AT189*AG189,2)*1),6)</f>
        <v>0</v>
      </c>
      <c r="DD189" t="s">
        <v>3</v>
      </c>
      <c r="DE189" t="s">
        <v>3</v>
      </c>
      <c r="DF189">
        <f>ROUND(ROUND(AE189,2)*CX189,2)</f>
        <v>2208.4499999999998</v>
      </c>
      <c r="DG189">
        <f t="shared" si="49"/>
        <v>0</v>
      </c>
      <c r="DH189">
        <f t="shared" si="50"/>
        <v>0</v>
      </c>
      <c r="DI189">
        <f t="shared" si="35"/>
        <v>0</v>
      </c>
      <c r="DJ189">
        <f>DF189</f>
        <v>2208.4499999999998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ROW(Source!A324)</f>
        <v>324</v>
      </c>
      <c r="B190">
        <v>57034454</v>
      </c>
      <c r="C190">
        <v>57035129</v>
      </c>
      <c r="D190">
        <v>55424304</v>
      </c>
      <c r="E190">
        <v>1081</v>
      </c>
      <c r="F190">
        <v>1</v>
      </c>
      <c r="G190">
        <v>1081</v>
      </c>
      <c r="H190">
        <v>1</v>
      </c>
      <c r="I190" t="s">
        <v>459</v>
      </c>
      <c r="J190" t="s">
        <v>3</v>
      </c>
      <c r="K190" t="s">
        <v>460</v>
      </c>
      <c r="L190">
        <v>1191</v>
      </c>
      <c r="N190">
        <v>1013</v>
      </c>
      <c r="O190" t="s">
        <v>461</v>
      </c>
      <c r="P190" t="s">
        <v>461</v>
      </c>
      <c r="Q190">
        <v>1</v>
      </c>
      <c r="W190">
        <v>0</v>
      </c>
      <c r="X190">
        <v>476480486</v>
      </c>
      <c r="Y190">
        <f>(AT190*1.2)</f>
        <v>1.44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5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1.2</v>
      </c>
      <c r="AU190" t="s">
        <v>105</v>
      </c>
      <c r="AV190">
        <v>1</v>
      </c>
      <c r="AW190">
        <v>2</v>
      </c>
      <c r="AX190">
        <v>57035133</v>
      </c>
      <c r="AY190">
        <v>1</v>
      </c>
      <c r="AZ190">
        <v>0</v>
      </c>
      <c r="BA190">
        <v>202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U190">
        <f>ROUND(AT190*Source!I324*AH190*AL190,2)</f>
        <v>0</v>
      </c>
      <c r="CV190">
        <f>ROUND(Y190*Source!I324,9)</f>
        <v>2.88</v>
      </c>
      <c r="CW190">
        <v>0</v>
      </c>
      <c r="CX190">
        <f>ROUND(Y190*Source!I324,9)</f>
        <v>2.88</v>
      </c>
      <c r="CY190">
        <f>AD190</f>
        <v>0</v>
      </c>
      <c r="CZ190">
        <f>AH190</f>
        <v>0</v>
      </c>
      <c r="DA190">
        <f>AL190</f>
        <v>1</v>
      </c>
      <c r="DB190">
        <f>ROUND((ROUND(AT190*CZ190,2)*1.2),6)</f>
        <v>0</v>
      </c>
      <c r="DC190">
        <f>ROUND((ROUND(AT190*AG190,2)*1.2),6)</f>
        <v>0</v>
      </c>
      <c r="DD190" t="s">
        <v>3</v>
      </c>
      <c r="DE190" t="s">
        <v>3</v>
      </c>
      <c r="DF190">
        <f>ROUND(ROUND(AE190,2)*CX190,2)</f>
        <v>0</v>
      </c>
      <c r="DG190">
        <f t="shared" si="49"/>
        <v>0</v>
      </c>
      <c r="DH190">
        <f t="shared" si="50"/>
        <v>0</v>
      </c>
      <c r="DI190">
        <f t="shared" si="35"/>
        <v>0</v>
      </c>
      <c r="DJ190">
        <f>DI190</f>
        <v>0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ROW(Source!A324)</f>
        <v>324</v>
      </c>
      <c r="B191">
        <v>57034454</v>
      </c>
      <c r="C191">
        <v>57035129</v>
      </c>
      <c r="D191">
        <v>0</v>
      </c>
      <c r="E191">
        <v>0</v>
      </c>
      <c r="F191">
        <v>1</v>
      </c>
      <c r="G191">
        <v>1081</v>
      </c>
      <c r="H191">
        <v>3</v>
      </c>
      <c r="I191" t="s">
        <v>282</v>
      </c>
      <c r="J191" t="s">
        <v>3</v>
      </c>
      <c r="K191" t="s">
        <v>283</v>
      </c>
      <c r="L191">
        <v>1354</v>
      </c>
      <c r="N191">
        <v>1010</v>
      </c>
      <c r="O191" t="s">
        <v>177</v>
      </c>
      <c r="P191" t="s">
        <v>177</v>
      </c>
      <c r="Q191">
        <v>1</v>
      </c>
      <c r="W191">
        <v>0</v>
      </c>
      <c r="X191">
        <v>928045099</v>
      </c>
      <c r="Y191">
        <f>(AT191*1)</f>
        <v>0.5</v>
      </c>
      <c r="AA191">
        <v>6800.96</v>
      </c>
      <c r="AB191">
        <v>0</v>
      </c>
      <c r="AC191">
        <v>0</v>
      </c>
      <c r="AD191">
        <v>0</v>
      </c>
      <c r="AE191">
        <v>898.41</v>
      </c>
      <c r="AF191">
        <v>0</v>
      </c>
      <c r="AG191">
        <v>0</v>
      </c>
      <c r="AH191">
        <v>0</v>
      </c>
      <c r="AI191">
        <v>7.57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 t="s">
        <v>3</v>
      </c>
      <c r="AT191">
        <v>0.5</v>
      </c>
      <c r="AU191" t="s">
        <v>104</v>
      </c>
      <c r="AV191">
        <v>0</v>
      </c>
      <c r="AW191">
        <v>1</v>
      </c>
      <c r="AX191">
        <v>-1</v>
      </c>
      <c r="AY191">
        <v>0</v>
      </c>
      <c r="AZ191">
        <v>0</v>
      </c>
      <c r="BA191" t="s">
        <v>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ROUND(Y191*Source!I324,9)</f>
        <v>1</v>
      </c>
      <c r="CY191">
        <f>AA191</f>
        <v>6800.96</v>
      </c>
      <c r="CZ191">
        <f>AE191</f>
        <v>898.41</v>
      </c>
      <c r="DA191">
        <f>AI191</f>
        <v>7.57</v>
      </c>
      <c r="DB191">
        <f>ROUND((ROUND(AT191*CZ191,2)*1),6)</f>
        <v>449.21</v>
      </c>
      <c r="DC191">
        <f>ROUND((ROUND(AT191*AG191,2)*1),6)</f>
        <v>0</v>
      </c>
      <c r="DD191" t="s">
        <v>3</v>
      </c>
      <c r="DE191" t="s">
        <v>3</v>
      </c>
      <c r="DF191">
        <f>ROUND(ROUND(AE191*AI191,2)*CX191,2)</f>
        <v>6800.96</v>
      </c>
      <c r="DG191">
        <f t="shared" si="49"/>
        <v>0</v>
      </c>
      <c r="DH191">
        <f t="shared" si="50"/>
        <v>0</v>
      </c>
      <c r="DI191">
        <f t="shared" si="35"/>
        <v>0</v>
      </c>
      <c r="DJ191">
        <f>DF191</f>
        <v>6800.96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ROW(Source!A324)</f>
        <v>324</v>
      </c>
      <c r="B192">
        <v>57034454</v>
      </c>
      <c r="C192">
        <v>57035129</v>
      </c>
      <c r="D192">
        <v>0</v>
      </c>
      <c r="E192">
        <v>0</v>
      </c>
      <c r="F192">
        <v>1</v>
      </c>
      <c r="G192">
        <v>1081</v>
      </c>
      <c r="H192">
        <v>3</v>
      </c>
      <c r="I192" t="s">
        <v>286</v>
      </c>
      <c r="J192" t="s">
        <v>3</v>
      </c>
      <c r="K192" t="s">
        <v>287</v>
      </c>
      <c r="L192">
        <v>1354</v>
      </c>
      <c r="N192">
        <v>1010</v>
      </c>
      <c r="O192" t="s">
        <v>177</v>
      </c>
      <c r="P192" t="s">
        <v>177</v>
      </c>
      <c r="Q192">
        <v>1</v>
      </c>
      <c r="W192">
        <v>0</v>
      </c>
      <c r="X192">
        <v>-1372420145</v>
      </c>
      <c r="Y192">
        <f>(AT192*1)</f>
        <v>0.5</v>
      </c>
      <c r="AA192">
        <v>16717.97</v>
      </c>
      <c r="AB192">
        <v>0</v>
      </c>
      <c r="AC192">
        <v>0</v>
      </c>
      <c r="AD192">
        <v>0</v>
      </c>
      <c r="AE192">
        <v>2208.4499999999998</v>
      </c>
      <c r="AF192">
        <v>0</v>
      </c>
      <c r="AG192">
        <v>0</v>
      </c>
      <c r="AH192">
        <v>0</v>
      </c>
      <c r="AI192">
        <v>7.57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0.5</v>
      </c>
      <c r="AU192" t="s">
        <v>104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ROUND(Y192*Source!I324,9)</f>
        <v>1</v>
      </c>
      <c r="CY192">
        <f>AA192</f>
        <v>16717.97</v>
      </c>
      <c r="CZ192">
        <f>AE192</f>
        <v>2208.4499999999998</v>
      </c>
      <c r="DA192">
        <f>AI192</f>
        <v>7.57</v>
      </c>
      <c r="DB192">
        <f>ROUND((ROUND(AT192*CZ192,2)*1),6)</f>
        <v>1104.23</v>
      </c>
      <c r="DC192">
        <f>ROUND((ROUND(AT192*AG192,2)*1),6)</f>
        <v>0</v>
      </c>
      <c r="DD192" t="s">
        <v>3</v>
      </c>
      <c r="DE192" t="s">
        <v>3</v>
      </c>
      <c r="DF192">
        <f>ROUND(ROUND(AE192*AI192,2)*CX192,2)</f>
        <v>16717.97</v>
      </c>
      <c r="DG192">
        <f t="shared" si="49"/>
        <v>0</v>
      </c>
      <c r="DH192">
        <f t="shared" si="50"/>
        <v>0</v>
      </c>
      <c r="DI192">
        <f t="shared" si="35"/>
        <v>0</v>
      </c>
      <c r="DJ192">
        <f>DF192</f>
        <v>16717.97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ROW(Source!A329)</f>
        <v>329</v>
      </c>
      <c r="B193">
        <v>57034452</v>
      </c>
      <c r="C193">
        <v>57035136</v>
      </c>
      <c r="D193">
        <v>55424304</v>
      </c>
      <c r="E193">
        <v>1081</v>
      </c>
      <c r="F193">
        <v>1</v>
      </c>
      <c r="G193">
        <v>1081</v>
      </c>
      <c r="H193">
        <v>1</v>
      </c>
      <c r="I193" t="s">
        <v>459</v>
      </c>
      <c r="J193" t="s">
        <v>3</v>
      </c>
      <c r="K193" t="s">
        <v>460</v>
      </c>
      <c r="L193">
        <v>1191</v>
      </c>
      <c r="N193">
        <v>1013</v>
      </c>
      <c r="O193" t="s">
        <v>461</v>
      </c>
      <c r="P193" t="s">
        <v>461</v>
      </c>
      <c r="Q193">
        <v>1</v>
      </c>
      <c r="W193">
        <v>0</v>
      </c>
      <c r="X193">
        <v>476480486</v>
      </c>
      <c r="Y193">
        <f>(AT193*1.2)</f>
        <v>1.6320000000000001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1.36</v>
      </c>
      <c r="AU193" t="s">
        <v>105</v>
      </c>
      <c r="AV193">
        <v>1</v>
      </c>
      <c r="AW193">
        <v>2</v>
      </c>
      <c r="AX193">
        <v>57035144</v>
      </c>
      <c r="AY193">
        <v>1</v>
      </c>
      <c r="AZ193">
        <v>0</v>
      </c>
      <c r="BA193">
        <v>203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U193">
        <f>ROUND(AT193*Source!I329*AH193*AL193,2)</f>
        <v>0</v>
      </c>
      <c r="CV193">
        <f>ROUND(Y193*Source!I329,9)</f>
        <v>3.2639999999999998</v>
      </c>
      <c r="CW193">
        <v>0</v>
      </c>
      <c r="CX193">
        <f>ROUND(Y193*Source!I329,9)</f>
        <v>3.2639999999999998</v>
      </c>
      <c r="CY193">
        <f>AD193</f>
        <v>0</v>
      </c>
      <c r="CZ193">
        <f>AH193</f>
        <v>0</v>
      </c>
      <c r="DA193">
        <f>AL193</f>
        <v>1</v>
      </c>
      <c r="DB193">
        <f>ROUND((ROUND(AT193*CZ193,2)*1.2),6)</f>
        <v>0</v>
      </c>
      <c r="DC193">
        <f>ROUND((ROUND(AT193*AG193,2)*1.2),6)</f>
        <v>0</v>
      </c>
      <c r="DD193" t="s">
        <v>3</v>
      </c>
      <c r="DE193" t="s">
        <v>3</v>
      </c>
      <c r="DF193">
        <f t="shared" ref="DF193:DF202" si="51">ROUND(ROUND(AE193,2)*CX193,2)</f>
        <v>0</v>
      </c>
      <c r="DG193">
        <f t="shared" si="49"/>
        <v>0</v>
      </c>
      <c r="DH193">
        <f t="shared" si="50"/>
        <v>0</v>
      </c>
      <c r="DI193">
        <f t="shared" ref="DI193:DI256" si="52">ROUND(ROUND(AH193,2)*CX193,2)</f>
        <v>0</v>
      </c>
      <c r="DJ193">
        <f>DI193</f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ROW(Source!A329)</f>
        <v>329</v>
      </c>
      <c r="B194">
        <v>57034452</v>
      </c>
      <c r="C194">
        <v>57035136</v>
      </c>
      <c r="D194">
        <v>55490330</v>
      </c>
      <c r="E194">
        <v>1</v>
      </c>
      <c r="F194">
        <v>1</v>
      </c>
      <c r="G194">
        <v>1081</v>
      </c>
      <c r="H194">
        <v>2</v>
      </c>
      <c r="I194" t="s">
        <v>476</v>
      </c>
      <c r="J194" t="s">
        <v>477</v>
      </c>
      <c r="K194" t="s">
        <v>478</v>
      </c>
      <c r="L194">
        <v>1368</v>
      </c>
      <c r="N194">
        <v>1011</v>
      </c>
      <c r="O194" t="s">
        <v>465</v>
      </c>
      <c r="P194" t="s">
        <v>465</v>
      </c>
      <c r="Q194">
        <v>1</v>
      </c>
      <c r="W194">
        <v>0</v>
      </c>
      <c r="X194">
        <v>-2083101341</v>
      </c>
      <c r="Y194">
        <f>(AT194*1.2)</f>
        <v>2.0400000000000001E-2</v>
      </c>
      <c r="AA194">
        <v>0</v>
      </c>
      <c r="AB194">
        <v>0.84</v>
      </c>
      <c r="AC194">
        <v>0</v>
      </c>
      <c r="AD194">
        <v>0</v>
      </c>
      <c r="AE194">
        <v>0</v>
      </c>
      <c r="AF194">
        <v>0.8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1.7000000000000001E-2</v>
      </c>
      <c r="AU194" t="s">
        <v>105</v>
      </c>
      <c r="AV194">
        <v>0</v>
      </c>
      <c r="AW194">
        <v>2</v>
      </c>
      <c r="AX194">
        <v>57035145</v>
      </c>
      <c r="AY194">
        <v>1</v>
      </c>
      <c r="AZ194">
        <v>0</v>
      </c>
      <c r="BA194">
        <v>204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f>ROUND(Y194*Source!I329*DO194,9)</f>
        <v>0</v>
      </c>
      <c r="CX194">
        <f>ROUND(Y194*Source!I329,9)</f>
        <v>4.0800000000000003E-2</v>
      </c>
      <c r="CY194">
        <f>AB194</f>
        <v>0.84</v>
      </c>
      <c r="CZ194">
        <f>AF194</f>
        <v>0.8</v>
      </c>
      <c r="DA194">
        <f>AJ194</f>
        <v>1</v>
      </c>
      <c r="DB194">
        <f>ROUND((ROUND(AT194*CZ194,2)*1.2),6)</f>
        <v>1.2E-2</v>
      </c>
      <c r="DC194">
        <f>ROUND((ROUND(AT194*AG194,2)*1.2),6)</f>
        <v>0</v>
      </c>
      <c r="DD194" t="s">
        <v>3</v>
      </c>
      <c r="DE194" t="s">
        <v>3</v>
      </c>
      <c r="DF194">
        <f t="shared" si="51"/>
        <v>0</v>
      </c>
      <c r="DG194">
        <f t="shared" si="49"/>
        <v>0.03</v>
      </c>
      <c r="DH194">
        <f t="shared" si="50"/>
        <v>0</v>
      </c>
      <c r="DI194">
        <f t="shared" si="52"/>
        <v>0</v>
      </c>
      <c r="DJ194">
        <f>DG194</f>
        <v>0.03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ROW(Source!A329)</f>
        <v>329</v>
      </c>
      <c r="B195">
        <v>57034452</v>
      </c>
      <c r="C195">
        <v>57035136</v>
      </c>
      <c r="D195">
        <v>55490296</v>
      </c>
      <c r="E195">
        <v>1</v>
      </c>
      <c r="F195">
        <v>1</v>
      </c>
      <c r="G195">
        <v>1081</v>
      </c>
      <c r="H195">
        <v>2</v>
      </c>
      <c r="I195" t="s">
        <v>479</v>
      </c>
      <c r="J195" t="s">
        <v>480</v>
      </c>
      <c r="K195" t="s">
        <v>481</v>
      </c>
      <c r="L195">
        <v>1368</v>
      </c>
      <c r="N195">
        <v>1011</v>
      </c>
      <c r="O195" t="s">
        <v>465</v>
      </c>
      <c r="P195" t="s">
        <v>465</v>
      </c>
      <c r="Q195">
        <v>1</v>
      </c>
      <c r="W195">
        <v>0</v>
      </c>
      <c r="X195">
        <v>-643591644</v>
      </c>
      <c r="Y195">
        <f>(AT195*1.2)</f>
        <v>2.4E-2</v>
      </c>
      <c r="AA195">
        <v>0</v>
      </c>
      <c r="AB195">
        <v>0.49</v>
      </c>
      <c r="AC195">
        <v>0</v>
      </c>
      <c r="AD195">
        <v>0</v>
      </c>
      <c r="AE195">
        <v>0</v>
      </c>
      <c r="AF195">
        <v>0.47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0.02</v>
      </c>
      <c r="AU195" t="s">
        <v>105</v>
      </c>
      <c r="AV195">
        <v>0</v>
      </c>
      <c r="AW195">
        <v>2</v>
      </c>
      <c r="AX195">
        <v>57035146</v>
      </c>
      <c r="AY195">
        <v>1</v>
      </c>
      <c r="AZ195">
        <v>0</v>
      </c>
      <c r="BA195">
        <v>205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f>ROUND(Y195*Source!I329*DO195,9)</f>
        <v>0</v>
      </c>
      <c r="CX195">
        <f>ROUND(Y195*Source!I329,9)</f>
        <v>4.8000000000000001E-2</v>
      </c>
      <c r="CY195">
        <f>AB195</f>
        <v>0.49</v>
      </c>
      <c r="CZ195">
        <f>AF195</f>
        <v>0.47</v>
      </c>
      <c r="DA195">
        <f>AJ195</f>
        <v>1</v>
      </c>
      <c r="DB195">
        <f>ROUND((ROUND(AT195*CZ195,2)*1.2),6)</f>
        <v>1.2E-2</v>
      </c>
      <c r="DC195">
        <f>ROUND((ROUND(AT195*AG195,2)*1.2),6)</f>
        <v>0</v>
      </c>
      <c r="DD195" t="s">
        <v>3</v>
      </c>
      <c r="DE195" t="s">
        <v>3</v>
      </c>
      <c r="DF195">
        <f t="shared" si="51"/>
        <v>0</v>
      </c>
      <c r="DG195">
        <f t="shared" si="49"/>
        <v>0.02</v>
      </c>
      <c r="DH195">
        <f t="shared" si="50"/>
        <v>0</v>
      </c>
      <c r="DI195">
        <f t="shared" si="52"/>
        <v>0</v>
      </c>
      <c r="DJ195">
        <f>DG195</f>
        <v>0.02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ROW(Source!A329)</f>
        <v>329</v>
      </c>
      <c r="B196">
        <v>57034452</v>
      </c>
      <c r="C196">
        <v>57035136</v>
      </c>
      <c r="D196">
        <v>55461074</v>
      </c>
      <c r="E196">
        <v>1</v>
      </c>
      <c r="F196">
        <v>1</v>
      </c>
      <c r="G196">
        <v>1081</v>
      </c>
      <c r="H196">
        <v>3</v>
      </c>
      <c r="I196" t="s">
        <v>467</v>
      </c>
      <c r="J196" t="s">
        <v>468</v>
      </c>
      <c r="K196" t="s">
        <v>469</v>
      </c>
      <c r="L196">
        <v>1346</v>
      </c>
      <c r="N196">
        <v>1009</v>
      </c>
      <c r="O196" t="s">
        <v>433</v>
      </c>
      <c r="P196" t="s">
        <v>433</v>
      </c>
      <c r="Q196">
        <v>1</v>
      </c>
      <c r="W196">
        <v>0</v>
      </c>
      <c r="X196">
        <v>-861631226</v>
      </c>
      <c r="Y196">
        <f>(AT196*1)</f>
        <v>6.2700000000000004E-3</v>
      </c>
      <c r="AA196">
        <v>27.62</v>
      </c>
      <c r="AB196">
        <v>0</v>
      </c>
      <c r="AC196">
        <v>0</v>
      </c>
      <c r="AD196">
        <v>0</v>
      </c>
      <c r="AE196">
        <v>27.62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6.2700000000000004E-3</v>
      </c>
      <c r="AU196" t="s">
        <v>104</v>
      </c>
      <c r="AV196">
        <v>0</v>
      </c>
      <c r="AW196">
        <v>2</v>
      </c>
      <c r="AX196">
        <v>57035147</v>
      </c>
      <c r="AY196">
        <v>1</v>
      </c>
      <c r="AZ196">
        <v>0</v>
      </c>
      <c r="BA196">
        <v>206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ROUND(Y196*Source!I329,9)</f>
        <v>1.2540000000000001E-2</v>
      </c>
      <c r="CY196">
        <f>AA196</f>
        <v>27.62</v>
      </c>
      <c r="CZ196">
        <f>AE196</f>
        <v>27.62</v>
      </c>
      <c r="DA196">
        <f>AI196</f>
        <v>1</v>
      </c>
      <c r="DB196">
        <f>ROUND((ROUND(AT196*CZ196,2)*1),6)</f>
        <v>0.17</v>
      </c>
      <c r="DC196">
        <f>ROUND((ROUND(AT196*AG196,2)*1),6)</f>
        <v>0</v>
      </c>
      <c r="DD196" t="s">
        <v>3</v>
      </c>
      <c r="DE196" t="s">
        <v>3</v>
      </c>
      <c r="DF196">
        <f t="shared" si="51"/>
        <v>0.35</v>
      </c>
      <c r="DG196">
        <f t="shared" si="49"/>
        <v>0</v>
      </c>
      <c r="DH196">
        <f t="shared" si="50"/>
        <v>0</v>
      </c>
      <c r="DI196">
        <f t="shared" si="52"/>
        <v>0</v>
      </c>
      <c r="DJ196">
        <f>DF196</f>
        <v>0.35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ROW(Source!A329)</f>
        <v>329</v>
      </c>
      <c r="B197">
        <v>57034452</v>
      </c>
      <c r="C197">
        <v>57035136</v>
      </c>
      <c r="D197">
        <v>55459793</v>
      </c>
      <c r="E197">
        <v>1</v>
      </c>
      <c r="F197">
        <v>1</v>
      </c>
      <c r="G197">
        <v>1081</v>
      </c>
      <c r="H197">
        <v>3</v>
      </c>
      <c r="I197" t="s">
        <v>470</v>
      </c>
      <c r="J197" t="s">
        <v>471</v>
      </c>
      <c r="K197" t="s">
        <v>472</v>
      </c>
      <c r="L197">
        <v>1348</v>
      </c>
      <c r="N197">
        <v>1009</v>
      </c>
      <c r="O197" t="s">
        <v>299</v>
      </c>
      <c r="P197" t="s">
        <v>299</v>
      </c>
      <c r="Q197">
        <v>1000</v>
      </c>
      <c r="W197">
        <v>0</v>
      </c>
      <c r="X197">
        <v>-761454284</v>
      </c>
      <c r="Y197">
        <f>(AT197*1)</f>
        <v>1.0000000000000001E-5</v>
      </c>
      <c r="AA197">
        <v>64123.05</v>
      </c>
      <c r="AB197">
        <v>0</v>
      </c>
      <c r="AC197">
        <v>0</v>
      </c>
      <c r="AD197">
        <v>0</v>
      </c>
      <c r="AE197">
        <v>64123.05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1.0000000000000001E-5</v>
      </c>
      <c r="AU197" t="s">
        <v>104</v>
      </c>
      <c r="AV197">
        <v>0</v>
      </c>
      <c r="AW197">
        <v>2</v>
      </c>
      <c r="AX197">
        <v>57035148</v>
      </c>
      <c r="AY197">
        <v>1</v>
      </c>
      <c r="AZ197">
        <v>0</v>
      </c>
      <c r="BA197">
        <v>207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ROUND(Y197*Source!I329,9)</f>
        <v>2.0000000000000002E-5</v>
      </c>
      <c r="CY197">
        <f>AA197</f>
        <v>64123.05</v>
      </c>
      <c r="CZ197">
        <f>AE197</f>
        <v>64123.05</v>
      </c>
      <c r="DA197">
        <f>AI197</f>
        <v>1</v>
      </c>
      <c r="DB197">
        <f>ROUND((ROUND(AT197*CZ197,2)*1),6)</f>
        <v>0.64</v>
      </c>
      <c r="DC197">
        <f>ROUND((ROUND(AT197*AG197,2)*1),6)</f>
        <v>0</v>
      </c>
      <c r="DD197" t="s">
        <v>3</v>
      </c>
      <c r="DE197" t="s">
        <v>3</v>
      </c>
      <c r="DF197">
        <f t="shared" si="51"/>
        <v>1.28</v>
      </c>
      <c r="DG197">
        <f t="shared" si="49"/>
        <v>0</v>
      </c>
      <c r="DH197">
        <f t="shared" si="50"/>
        <v>0</v>
      </c>
      <c r="DI197">
        <f t="shared" si="52"/>
        <v>0</v>
      </c>
      <c r="DJ197">
        <f>DF197</f>
        <v>1.28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ROW(Source!A329)</f>
        <v>329</v>
      </c>
      <c r="B198">
        <v>57034452</v>
      </c>
      <c r="C198">
        <v>57035136</v>
      </c>
      <c r="D198">
        <v>55469253</v>
      </c>
      <c r="E198">
        <v>1</v>
      </c>
      <c r="F198">
        <v>1</v>
      </c>
      <c r="G198">
        <v>1081</v>
      </c>
      <c r="H198">
        <v>3</v>
      </c>
      <c r="I198" t="s">
        <v>473</v>
      </c>
      <c r="J198" t="s">
        <v>474</v>
      </c>
      <c r="K198" t="s">
        <v>475</v>
      </c>
      <c r="L198">
        <v>1354</v>
      </c>
      <c r="N198">
        <v>1010</v>
      </c>
      <c r="O198" t="s">
        <v>177</v>
      </c>
      <c r="P198" t="s">
        <v>177</v>
      </c>
      <c r="Q198">
        <v>1</v>
      </c>
      <c r="W198">
        <v>0</v>
      </c>
      <c r="X198">
        <v>-32785108</v>
      </c>
      <c r="Y198">
        <f>(AT198*1)</f>
        <v>0.1</v>
      </c>
      <c r="AA198">
        <v>15.25</v>
      </c>
      <c r="AB198">
        <v>0</v>
      </c>
      <c r="AC198">
        <v>0</v>
      </c>
      <c r="AD198">
        <v>0</v>
      </c>
      <c r="AE198">
        <v>15.25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0.1</v>
      </c>
      <c r="AU198" t="s">
        <v>104</v>
      </c>
      <c r="AV198">
        <v>0</v>
      </c>
      <c r="AW198">
        <v>2</v>
      </c>
      <c r="AX198">
        <v>57035149</v>
      </c>
      <c r="AY198">
        <v>1</v>
      </c>
      <c r="AZ198">
        <v>0</v>
      </c>
      <c r="BA198">
        <v>208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ROUND(Y198*Source!I329,9)</f>
        <v>0.2</v>
      </c>
      <c r="CY198">
        <f>AA198</f>
        <v>15.25</v>
      </c>
      <c r="CZ198">
        <f>AE198</f>
        <v>15.25</v>
      </c>
      <c r="DA198">
        <f>AI198</f>
        <v>1</v>
      </c>
      <c r="DB198">
        <f>ROUND((ROUND(AT198*CZ198,2)*1),6)</f>
        <v>1.53</v>
      </c>
      <c r="DC198">
        <f>ROUND((ROUND(AT198*AG198,2)*1),6)</f>
        <v>0</v>
      </c>
      <c r="DD198" t="s">
        <v>3</v>
      </c>
      <c r="DE198" t="s">
        <v>3</v>
      </c>
      <c r="DF198">
        <f t="shared" si="51"/>
        <v>3.05</v>
      </c>
      <c r="DG198">
        <f t="shared" si="49"/>
        <v>0</v>
      </c>
      <c r="DH198">
        <f t="shared" si="50"/>
        <v>0</v>
      </c>
      <c r="DI198">
        <f t="shared" si="52"/>
        <v>0</v>
      </c>
      <c r="DJ198">
        <f>DF198</f>
        <v>3.05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ROW(Source!A329)</f>
        <v>329</v>
      </c>
      <c r="B199">
        <v>57034452</v>
      </c>
      <c r="C199">
        <v>57035136</v>
      </c>
      <c r="D199">
        <v>0</v>
      </c>
      <c r="E199">
        <v>0</v>
      </c>
      <c r="F199">
        <v>1</v>
      </c>
      <c r="G199">
        <v>1081</v>
      </c>
      <c r="H199">
        <v>3</v>
      </c>
      <c r="I199" t="s">
        <v>210</v>
      </c>
      <c r="J199" t="s">
        <v>3</v>
      </c>
      <c r="K199" t="s">
        <v>211</v>
      </c>
      <c r="L199">
        <v>1354</v>
      </c>
      <c r="N199">
        <v>1010</v>
      </c>
      <c r="O199" t="s">
        <v>177</v>
      </c>
      <c r="P199" t="s">
        <v>177</v>
      </c>
      <c r="Q199">
        <v>1</v>
      </c>
      <c r="W199">
        <v>0</v>
      </c>
      <c r="X199">
        <v>-566908173</v>
      </c>
      <c r="Y199">
        <f>(AT199*1)</f>
        <v>1</v>
      </c>
      <c r="AA199">
        <v>937.47</v>
      </c>
      <c r="AB199">
        <v>0</v>
      </c>
      <c r="AC199">
        <v>0</v>
      </c>
      <c r="AD199">
        <v>0</v>
      </c>
      <c r="AE199">
        <v>937.47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 t="s">
        <v>3</v>
      </c>
      <c r="AT199">
        <v>1</v>
      </c>
      <c r="AU199" t="s">
        <v>104</v>
      </c>
      <c r="AV199">
        <v>0</v>
      </c>
      <c r="AW199">
        <v>1</v>
      </c>
      <c r="AX199">
        <v>-1</v>
      </c>
      <c r="AY199">
        <v>0</v>
      </c>
      <c r="AZ199">
        <v>0</v>
      </c>
      <c r="BA199" t="s">
        <v>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ROUND(Y199*Source!I329,9)</f>
        <v>2</v>
      </c>
      <c r="CY199">
        <f>AA199</f>
        <v>937.47</v>
      </c>
      <c r="CZ199">
        <f>AE199</f>
        <v>937.47</v>
      </c>
      <c r="DA199">
        <f>AI199</f>
        <v>1</v>
      </c>
      <c r="DB199">
        <f>ROUND((ROUND(AT199*CZ199,2)*1),6)</f>
        <v>937.47</v>
      </c>
      <c r="DC199">
        <f>ROUND((ROUND(AT199*AG199,2)*1),6)</f>
        <v>0</v>
      </c>
      <c r="DD199" t="s">
        <v>3</v>
      </c>
      <c r="DE199" t="s">
        <v>3</v>
      </c>
      <c r="DF199">
        <f t="shared" si="51"/>
        <v>1874.94</v>
      </c>
      <c r="DG199">
        <f t="shared" si="49"/>
        <v>0</v>
      </c>
      <c r="DH199">
        <f t="shared" si="50"/>
        <v>0</v>
      </c>
      <c r="DI199">
        <f t="shared" si="52"/>
        <v>0</v>
      </c>
      <c r="DJ199">
        <f>DF199</f>
        <v>1874.94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ROW(Source!A330)</f>
        <v>330</v>
      </c>
      <c r="B200">
        <v>57034454</v>
      </c>
      <c r="C200">
        <v>57035136</v>
      </c>
      <c r="D200">
        <v>55424304</v>
      </c>
      <c r="E200">
        <v>1081</v>
      </c>
      <c r="F200">
        <v>1</v>
      </c>
      <c r="G200">
        <v>1081</v>
      </c>
      <c r="H200">
        <v>1</v>
      </c>
      <c r="I200" t="s">
        <v>459</v>
      </c>
      <c r="J200" t="s">
        <v>3</v>
      </c>
      <c r="K200" t="s">
        <v>460</v>
      </c>
      <c r="L200">
        <v>1191</v>
      </c>
      <c r="N200">
        <v>1013</v>
      </c>
      <c r="O200" t="s">
        <v>461</v>
      </c>
      <c r="P200" t="s">
        <v>461</v>
      </c>
      <c r="Q200">
        <v>1</v>
      </c>
      <c r="W200">
        <v>0</v>
      </c>
      <c r="X200">
        <v>476480486</v>
      </c>
      <c r="Y200">
        <f>(AT200*1.2)</f>
        <v>1.6320000000000001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5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1.36</v>
      </c>
      <c r="AU200" t="s">
        <v>105</v>
      </c>
      <c r="AV200">
        <v>1</v>
      </c>
      <c r="AW200">
        <v>2</v>
      </c>
      <c r="AX200">
        <v>57035144</v>
      </c>
      <c r="AY200">
        <v>1</v>
      </c>
      <c r="AZ200">
        <v>0</v>
      </c>
      <c r="BA200">
        <v>210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U200">
        <f>ROUND(AT200*Source!I330*AH200*AL200,2)</f>
        <v>0</v>
      </c>
      <c r="CV200">
        <f>ROUND(Y200*Source!I330,9)</f>
        <v>3.2639999999999998</v>
      </c>
      <c r="CW200">
        <v>0</v>
      </c>
      <c r="CX200">
        <f>ROUND(Y200*Source!I330,9)</f>
        <v>3.2639999999999998</v>
      </c>
      <c r="CY200">
        <f>AD200</f>
        <v>0</v>
      </c>
      <c r="CZ200">
        <f>AH200</f>
        <v>0</v>
      </c>
      <c r="DA200">
        <f>AL200</f>
        <v>1</v>
      </c>
      <c r="DB200">
        <f>ROUND((ROUND(AT200*CZ200,2)*1.2),6)</f>
        <v>0</v>
      </c>
      <c r="DC200">
        <f>ROUND((ROUND(AT200*AG200,2)*1.2),6)</f>
        <v>0</v>
      </c>
      <c r="DD200" t="s">
        <v>3</v>
      </c>
      <c r="DE200" t="s">
        <v>3</v>
      </c>
      <c r="DF200">
        <f t="shared" si="51"/>
        <v>0</v>
      </c>
      <c r="DG200">
        <f t="shared" si="49"/>
        <v>0</v>
      </c>
      <c r="DH200">
        <f t="shared" si="50"/>
        <v>0</v>
      </c>
      <c r="DI200">
        <f t="shared" si="52"/>
        <v>0</v>
      </c>
      <c r="DJ200">
        <f>DI200</f>
        <v>0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ROW(Source!A330)</f>
        <v>330</v>
      </c>
      <c r="B201">
        <v>57034454</v>
      </c>
      <c r="C201">
        <v>57035136</v>
      </c>
      <c r="D201">
        <v>55490330</v>
      </c>
      <c r="E201">
        <v>1</v>
      </c>
      <c r="F201">
        <v>1</v>
      </c>
      <c r="G201">
        <v>1081</v>
      </c>
      <c r="H201">
        <v>2</v>
      </c>
      <c r="I201" t="s">
        <v>476</v>
      </c>
      <c r="J201" t="s">
        <v>477</v>
      </c>
      <c r="K201" t="s">
        <v>478</v>
      </c>
      <c r="L201">
        <v>1368</v>
      </c>
      <c r="N201">
        <v>1011</v>
      </c>
      <c r="O201" t="s">
        <v>465</v>
      </c>
      <c r="P201" t="s">
        <v>465</v>
      </c>
      <c r="Q201">
        <v>1</v>
      </c>
      <c r="W201">
        <v>0</v>
      </c>
      <c r="X201">
        <v>-2083101341</v>
      </c>
      <c r="Y201">
        <f>(AT201*1.2)</f>
        <v>2.0400000000000001E-2</v>
      </c>
      <c r="AA201">
        <v>0</v>
      </c>
      <c r="AB201">
        <v>7.92</v>
      </c>
      <c r="AC201">
        <v>0</v>
      </c>
      <c r="AD201">
        <v>0</v>
      </c>
      <c r="AE201">
        <v>0</v>
      </c>
      <c r="AF201">
        <v>0.8</v>
      </c>
      <c r="AG201">
        <v>0</v>
      </c>
      <c r="AH201">
        <v>0</v>
      </c>
      <c r="AI201">
        <v>1</v>
      </c>
      <c r="AJ201">
        <v>9.4600000000000009</v>
      </c>
      <c r="AK201">
        <v>1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1.7000000000000001E-2</v>
      </c>
      <c r="AU201" t="s">
        <v>105</v>
      </c>
      <c r="AV201">
        <v>0</v>
      </c>
      <c r="AW201">
        <v>2</v>
      </c>
      <c r="AX201">
        <v>57035145</v>
      </c>
      <c r="AY201">
        <v>1</v>
      </c>
      <c r="AZ201">
        <v>0</v>
      </c>
      <c r="BA201">
        <v>211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f>ROUND(Y201*Source!I330*DO201,9)</f>
        <v>0</v>
      </c>
      <c r="CX201">
        <f>ROUND(Y201*Source!I330,9)</f>
        <v>4.0800000000000003E-2</v>
      </c>
      <c r="CY201">
        <f>AB201</f>
        <v>7.92</v>
      </c>
      <c r="CZ201">
        <f>AF201</f>
        <v>0.8</v>
      </c>
      <c r="DA201">
        <f>AJ201</f>
        <v>9.4600000000000009</v>
      </c>
      <c r="DB201">
        <f>ROUND((ROUND(AT201*CZ201,2)*1.2),6)</f>
        <v>1.2E-2</v>
      </c>
      <c r="DC201">
        <f>ROUND((ROUND(AT201*AG201,2)*1.2),6)</f>
        <v>0</v>
      </c>
      <c r="DD201" t="s">
        <v>3</v>
      </c>
      <c r="DE201" t="s">
        <v>3</v>
      </c>
      <c r="DF201">
        <f t="shared" si="51"/>
        <v>0</v>
      </c>
      <c r="DG201">
        <f>ROUND(ROUND(AF201*AJ201,2)*CX201,2)</f>
        <v>0.31</v>
      </c>
      <c r="DH201">
        <f t="shared" si="50"/>
        <v>0</v>
      </c>
      <c r="DI201">
        <f t="shared" si="52"/>
        <v>0</v>
      </c>
      <c r="DJ201">
        <f>DG201</f>
        <v>0.31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ROW(Source!A330)</f>
        <v>330</v>
      </c>
      <c r="B202">
        <v>57034454</v>
      </c>
      <c r="C202">
        <v>57035136</v>
      </c>
      <c r="D202">
        <v>55490296</v>
      </c>
      <c r="E202">
        <v>1</v>
      </c>
      <c r="F202">
        <v>1</v>
      </c>
      <c r="G202">
        <v>1081</v>
      </c>
      <c r="H202">
        <v>2</v>
      </c>
      <c r="I202" t="s">
        <v>479</v>
      </c>
      <c r="J202" t="s">
        <v>480</v>
      </c>
      <c r="K202" t="s">
        <v>481</v>
      </c>
      <c r="L202">
        <v>1368</v>
      </c>
      <c r="N202">
        <v>1011</v>
      </c>
      <c r="O202" t="s">
        <v>465</v>
      </c>
      <c r="P202" t="s">
        <v>465</v>
      </c>
      <c r="Q202">
        <v>1</v>
      </c>
      <c r="W202">
        <v>0</v>
      </c>
      <c r="X202">
        <v>-643591644</v>
      </c>
      <c r="Y202">
        <f>(AT202*1.2)</f>
        <v>2.4E-2</v>
      </c>
      <c r="AA202">
        <v>0</v>
      </c>
      <c r="AB202">
        <v>4.75</v>
      </c>
      <c r="AC202">
        <v>0</v>
      </c>
      <c r="AD202">
        <v>0</v>
      </c>
      <c r="AE202">
        <v>0</v>
      </c>
      <c r="AF202">
        <v>0.47</v>
      </c>
      <c r="AG202">
        <v>0</v>
      </c>
      <c r="AH202">
        <v>0</v>
      </c>
      <c r="AI202">
        <v>1</v>
      </c>
      <c r="AJ202">
        <v>9.66</v>
      </c>
      <c r="AK202">
        <v>1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0.02</v>
      </c>
      <c r="AU202" t="s">
        <v>105</v>
      </c>
      <c r="AV202">
        <v>0</v>
      </c>
      <c r="AW202">
        <v>2</v>
      </c>
      <c r="AX202">
        <v>57035146</v>
      </c>
      <c r="AY202">
        <v>1</v>
      </c>
      <c r="AZ202">
        <v>0</v>
      </c>
      <c r="BA202">
        <v>212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f>ROUND(Y202*Source!I330*DO202,9)</f>
        <v>0</v>
      </c>
      <c r="CX202">
        <f>ROUND(Y202*Source!I330,9)</f>
        <v>4.8000000000000001E-2</v>
      </c>
      <c r="CY202">
        <f>AB202</f>
        <v>4.75</v>
      </c>
      <c r="CZ202">
        <f>AF202</f>
        <v>0.47</v>
      </c>
      <c r="DA202">
        <f>AJ202</f>
        <v>9.66</v>
      </c>
      <c r="DB202">
        <f>ROUND((ROUND(AT202*CZ202,2)*1.2),6)</f>
        <v>1.2E-2</v>
      </c>
      <c r="DC202">
        <f>ROUND((ROUND(AT202*AG202,2)*1.2),6)</f>
        <v>0</v>
      </c>
      <c r="DD202" t="s">
        <v>3</v>
      </c>
      <c r="DE202" t="s">
        <v>3</v>
      </c>
      <c r="DF202">
        <f t="shared" si="51"/>
        <v>0</v>
      </c>
      <c r="DG202">
        <f>ROUND(ROUND(AF202*AJ202,2)*CX202,2)</f>
        <v>0.22</v>
      </c>
      <c r="DH202">
        <f t="shared" si="50"/>
        <v>0</v>
      </c>
      <c r="DI202">
        <f t="shared" si="52"/>
        <v>0</v>
      </c>
      <c r="DJ202">
        <f>DG202</f>
        <v>0.22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ROW(Source!A330)</f>
        <v>330</v>
      </c>
      <c r="B203">
        <v>57034454</v>
      </c>
      <c r="C203">
        <v>57035136</v>
      </c>
      <c r="D203">
        <v>55461074</v>
      </c>
      <c r="E203">
        <v>1</v>
      </c>
      <c r="F203">
        <v>1</v>
      </c>
      <c r="G203">
        <v>1081</v>
      </c>
      <c r="H203">
        <v>3</v>
      </c>
      <c r="I203" t="s">
        <v>467</v>
      </c>
      <c r="J203" t="s">
        <v>468</v>
      </c>
      <c r="K203" t="s">
        <v>469</v>
      </c>
      <c r="L203">
        <v>1346</v>
      </c>
      <c r="N203">
        <v>1009</v>
      </c>
      <c r="O203" t="s">
        <v>433</v>
      </c>
      <c r="P203" t="s">
        <v>433</v>
      </c>
      <c r="Q203">
        <v>1</v>
      </c>
      <c r="W203">
        <v>0</v>
      </c>
      <c r="X203">
        <v>-861631226</v>
      </c>
      <c r="Y203">
        <f>(AT203*1)</f>
        <v>6.2700000000000004E-3</v>
      </c>
      <c r="AA203">
        <v>163.51</v>
      </c>
      <c r="AB203">
        <v>0</v>
      </c>
      <c r="AC203">
        <v>0</v>
      </c>
      <c r="AD203">
        <v>0</v>
      </c>
      <c r="AE203">
        <v>27.62</v>
      </c>
      <c r="AF203">
        <v>0</v>
      </c>
      <c r="AG203">
        <v>0</v>
      </c>
      <c r="AH203">
        <v>0</v>
      </c>
      <c r="AI203">
        <v>5.92</v>
      </c>
      <c r="AJ203">
        <v>1</v>
      </c>
      <c r="AK203">
        <v>1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6.2700000000000004E-3</v>
      </c>
      <c r="AU203" t="s">
        <v>104</v>
      </c>
      <c r="AV203">
        <v>0</v>
      </c>
      <c r="AW203">
        <v>2</v>
      </c>
      <c r="AX203">
        <v>57035147</v>
      </c>
      <c r="AY203">
        <v>1</v>
      </c>
      <c r="AZ203">
        <v>0</v>
      </c>
      <c r="BA203">
        <v>213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ROUND(Y203*Source!I330,9)</f>
        <v>1.2540000000000001E-2</v>
      </c>
      <c r="CY203">
        <f>AA203</f>
        <v>163.51</v>
      </c>
      <c r="CZ203">
        <f>AE203</f>
        <v>27.62</v>
      </c>
      <c r="DA203">
        <f>AI203</f>
        <v>5.92</v>
      </c>
      <c r="DB203">
        <f>ROUND((ROUND(AT203*CZ203,2)*1),6)</f>
        <v>0.17</v>
      </c>
      <c r="DC203">
        <f>ROUND((ROUND(AT203*AG203,2)*1),6)</f>
        <v>0</v>
      </c>
      <c r="DD203" t="s">
        <v>3</v>
      </c>
      <c r="DE203" t="s">
        <v>3</v>
      </c>
      <c r="DF203">
        <f>ROUND(ROUND(AE203*AI203,2)*CX203,2)</f>
        <v>2.0499999999999998</v>
      </c>
      <c r="DG203">
        <f t="shared" ref="DG203:DG214" si="53">ROUND(ROUND(AF203,2)*CX203,2)</f>
        <v>0</v>
      </c>
      <c r="DH203">
        <f t="shared" si="50"/>
        <v>0</v>
      </c>
      <c r="DI203">
        <f t="shared" si="52"/>
        <v>0</v>
      </c>
      <c r="DJ203">
        <f>DF203</f>
        <v>2.0499999999999998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ROW(Source!A330)</f>
        <v>330</v>
      </c>
      <c r="B204">
        <v>57034454</v>
      </c>
      <c r="C204">
        <v>57035136</v>
      </c>
      <c r="D204">
        <v>55459793</v>
      </c>
      <c r="E204">
        <v>1</v>
      </c>
      <c r="F204">
        <v>1</v>
      </c>
      <c r="G204">
        <v>1081</v>
      </c>
      <c r="H204">
        <v>3</v>
      </c>
      <c r="I204" t="s">
        <v>470</v>
      </c>
      <c r="J204" t="s">
        <v>471</v>
      </c>
      <c r="K204" t="s">
        <v>472</v>
      </c>
      <c r="L204">
        <v>1348</v>
      </c>
      <c r="N204">
        <v>1009</v>
      </c>
      <c r="O204" t="s">
        <v>299</v>
      </c>
      <c r="P204" t="s">
        <v>299</v>
      </c>
      <c r="Q204">
        <v>1000</v>
      </c>
      <c r="W204">
        <v>0</v>
      </c>
      <c r="X204">
        <v>-761454284</v>
      </c>
      <c r="Y204">
        <f>(AT204*1)</f>
        <v>1.0000000000000001E-5</v>
      </c>
      <c r="AA204">
        <v>1930745.04</v>
      </c>
      <c r="AB204">
        <v>0</v>
      </c>
      <c r="AC204">
        <v>0</v>
      </c>
      <c r="AD204">
        <v>0</v>
      </c>
      <c r="AE204">
        <v>64123.05</v>
      </c>
      <c r="AF204">
        <v>0</v>
      </c>
      <c r="AG204">
        <v>0</v>
      </c>
      <c r="AH204">
        <v>0</v>
      </c>
      <c r="AI204">
        <v>30.11</v>
      </c>
      <c r="AJ204">
        <v>1</v>
      </c>
      <c r="AK204">
        <v>1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1.0000000000000001E-5</v>
      </c>
      <c r="AU204" t="s">
        <v>104</v>
      </c>
      <c r="AV204">
        <v>0</v>
      </c>
      <c r="AW204">
        <v>2</v>
      </c>
      <c r="AX204">
        <v>57035148</v>
      </c>
      <c r="AY204">
        <v>1</v>
      </c>
      <c r="AZ204">
        <v>0</v>
      </c>
      <c r="BA204">
        <v>214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ROUND(Y204*Source!I330,9)</f>
        <v>2.0000000000000002E-5</v>
      </c>
      <c r="CY204">
        <f>AA204</f>
        <v>1930745.04</v>
      </c>
      <c r="CZ204">
        <f>AE204</f>
        <v>64123.05</v>
      </c>
      <c r="DA204">
        <f>AI204</f>
        <v>30.11</v>
      </c>
      <c r="DB204">
        <f>ROUND((ROUND(AT204*CZ204,2)*1),6)</f>
        <v>0.64</v>
      </c>
      <c r="DC204">
        <f>ROUND((ROUND(AT204*AG204,2)*1),6)</f>
        <v>0</v>
      </c>
      <c r="DD204" t="s">
        <v>3</v>
      </c>
      <c r="DE204" t="s">
        <v>3</v>
      </c>
      <c r="DF204">
        <f>ROUND(ROUND(AE204*AI204,2)*CX204,2)</f>
        <v>38.61</v>
      </c>
      <c r="DG204">
        <f t="shared" si="53"/>
        <v>0</v>
      </c>
      <c r="DH204">
        <f t="shared" si="50"/>
        <v>0</v>
      </c>
      <c r="DI204">
        <f t="shared" si="52"/>
        <v>0</v>
      </c>
      <c r="DJ204">
        <f>DF204</f>
        <v>38.61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ROW(Source!A330)</f>
        <v>330</v>
      </c>
      <c r="B205">
        <v>57034454</v>
      </c>
      <c r="C205">
        <v>57035136</v>
      </c>
      <c r="D205">
        <v>55469253</v>
      </c>
      <c r="E205">
        <v>1</v>
      </c>
      <c r="F205">
        <v>1</v>
      </c>
      <c r="G205">
        <v>1081</v>
      </c>
      <c r="H205">
        <v>3</v>
      </c>
      <c r="I205" t="s">
        <v>473</v>
      </c>
      <c r="J205" t="s">
        <v>474</v>
      </c>
      <c r="K205" t="s">
        <v>475</v>
      </c>
      <c r="L205">
        <v>1354</v>
      </c>
      <c r="N205">
        <v>1010</v>
      </c>
      <c r="O205" t="s">
        <v>177</v>
      </c>
      <c r="P205" t="s">
        <v>177</v>
      </c>
      <c r="Q205">
        <v>1</v>
      </c>
      <c r="W205">
        <v>0</v>
      </c>
      <c r="X205">
        <v>-32785108</v>
      </c>
      <c r="Y205">
        <f>(AT205*1)</f>
        <v>0.1</v>
      </c>
      <c r="AA205">
        <v>36.14</v>
      </c>
      <c r="AB205">
        <v>0</v>
      </c>
      <c r="AC205">
        <v>0</v>
      </c>
      <c r="AD205">
        <v>0</v>
      </c>
      <c r="AE205">
        <v>15.25</v>
      </c>
      <c r="AF205">
        <v>0</v>
      </c>
      <c r="AG205">
        <v>0</v>
      </c>
      <c r="AH205">
        <v>0</v>
      </c>
      <c r="AI205">
        <v>2.37</v>
      </c>
      <c r="AJ205">
        <v>1</v>
      </c>
      <c r="AK205">
        <v>1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0.1</v>
      </c>
      <c r="AU205" t="s">
        <v>104</v>
      </c>
      <c r="AV205">
        <v>0</v>
      </c>
      <c r="AW205">
        <v>2</v>
      </c>
      <c r="AX205">
        <v>57035149</v>
      </c>
      <c r="AY205">
        <v>1</v>
      </c>
      <c r="AZ205">
        <v>0</v>
      </c>
      <c r="BA205">
        <v>215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ROUND(Y205*Source!I330,9)</f>
        <v>0.2</v>
      </c>
      <c r="CY205">
        <f>AA205</f>
        <v>36.14</v>
      </c>
      <c r="CZ205">
        <f>AE205</f>
        <v>15.25</v>
      </c>
      <c r="DA205">
        <f>AI205</f>
        <v>2.37</v>
      </c>
      <c r="DB205">
        <f>ROUND((ROUND(AT205*CZ205,2)*1),6)</f>
        <v>1.53</v>
      </c>
      <c r="DC205">
        <f>ROUND((ROUND(AT205*AG205,2)*1),6)</f>
        <v>0</v>
      </c>
      <c r="DD205" t="s">
        <v>3</v>
      </c>
      <c r="DE205" t="s">
        <v>3</v>
      </c>
      <c r="DF205">
        <f>ROUND(ROUND(AE205*AI205,2)*CX205,2)</f>
        <v>7.23</v>
      </c>
      <c r="DG205">
        <f t="shared" si="53"/>
        <v>0</v>
      </c>
      <c r="DH205">
        <f t="shared" si="50"/>
        <v>0</v>
      </c>
      <c r="DI205">
        <f t="shared" si="52"/>
        <v>0</v>
      </c>
      <c r="DJ205">
        <f>DF205</f>
        <v>7.23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5">
      <c r="A206">
        <f>ROW(Source!A330)</f>
        <v>330</v>
      </c>
      <c r="B206">
        <v>57034454</v>
      </c>
      <c r="C206">
        <v>57035136</v>
      </c>
      <c r="D206">
        <v>0</v>
      </c>
      <c r="E206">
        <v>0</v>
      </c>
      <c r="F206">
        <v>1</v>
      </c>
      <c r="G206">
        <v>1081</v>
      </c>
      <c r="H206">
        <v>3</v>
      </c>
      <c r="I206" t="s">
        <v>210</v>
      </c>
      <c r="J206" t="s">
        <v>3</v>
      </c>
      <c r="K206" t="s">
        <v>211</v>
      </c>
      <c r="L206">
        <v>1354</v>
      </c>
      <c r="N206">
        <v>1010</v>
      </c>
      <c r="O206" t="s">
        <v>177</v>
      </c>
      <c r="P206" t="s">
        <v>177</v>
      </c>
      <c r="Q206">
        <v>1</v>
      </c>
      <c r="W206">
        <v>0</v>
      </c>
      <c r="X206">
        <v>-566908173</v>
      </c>
      <c r="Y206">
        <f>(AT206*1)</f>
        <v>1</v>
      </c>
      <c r="AA206">
        <v>7096.65</v>
      </c>
      <c r="AB206">
        <v>0</v>
      </c>
      <c r="AC206">
        <v>0</v>
      </c>
      <c r="AD206">
        <v>0</v>
      </c>
      <c r="AE206">
        <v>937.47</v>
      </c>
      <c r="AF206">
        <v>0</v>
      </c>
      <c r="AG206">
        <v>0</v>
      </c>
      <c r="AH206">
        <v>0</v>
      </c>
      <c r="AI206">
        <v>7.57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 t="s">
        <v>3</v>
      </c>
      <c r="AT206">
        <v>1</v>
      </c>
      <c r="AU206" t="s">
        <v>104</v>
      </c>
      <c r="AV206">
        <v>0</v>
      </c>
      <c r="AW206">
        <v>1</v>
      </c>
      <c r="AX206">
        <v>-1</v>
      </c>
      <c r="AY206">
        <v>0</v>
      </c>
      <c r="AZ206">
        <v>0</v>
      </c>
      <c r="BA206" t="s">
        <v>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ROUND(Y206*Source!I330,9)</f>
        <v>2</v>
      </c>
      <c r="CY206">
        <f>AA206</f>
        <v>7096.65</v>
      </c>
      <c r="CZ206">
        <f>AE206</f>
        <v>937.47</v>
      </c>
      <c r="DA206">
        <f>AI206</f>
        <v>7.57</v>
      </c>
      <c r="DB206">
        <f>ROUND((ROUND(AT206*CZ206,2)*1),6)</f>
        <v>937.47</v>
      </c>
      <c r="DC206">
        <f>ROUND((ROUND(AT206*AG206,2)*1),6)</f>
        <v>0</v>
      </c>
      <c r="DD206" t="s">
        <v>3</v>
      </c>
      <c r="DE206" t="s">
        <v>3</v>
      </c>
      <c r="DF206">
        <f>ROUND(ROUND(AE206*AI206,2)*CX206,2)</f>
        <v>14193.3</v>
      </c>
      <c r="DG206">
        <f t="shared" si="53"/>
        <v>0</v>
      </c>
      <c r="DH206">
        <f t="shared" si="50"/>
        <v>0</v>
      </c>
      <c r="DI206">
        <f t="shared" si="52"/>
        <v>0</v>
      </c>
      <c r="DJ206">
        <f>DF206</f>
        <v>14193.3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ROW(Source!A368)</f>
        <v>368</v>
      </c>
      <c r="B207">
        <v>57034452</v>
      </c>
      <c r="C207">
        <v>57036076</v>
      </c>
      <c r="D207">
        <v>55424304</v>
      </c>
      <c r="E207">
        <v>1081</v>
      </c>
      <c r="F207">
        <v>1</v>
      </c>
      <c r="G207">
        <v>1081</v>
      </c>
      <c r="H207">
        <v>1</v>
      </c>
      <c r="I207" t="s">
        <v>459</v>
      </c>
      <c r="J207" t="s">
        <v>3</v>
      </c>
      <c r="K207" t="s">
        <v>460</v>
      </c>
      <c r="L207">
        <v>1191</v>
      </c>
      <c r="N207">
        <v>1013</v>
      </c>
      <c r="O207" t="s">
        <v>461</v>
      </c>
      <c r="P207" t="s">
        <v>461</v>
      </c>
      <c r="Q207">
        <v>1</v>
      </c>
      <c r="W207">
        <v>0</v>
      </c>
      <c r="X207">
        <v>476480486</v>
      </c>
      <c r="Y207">
        <f>(AT207*1.2)</f>
        <v>0.624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0.52</v>
      </c>
      <c r="AU207" t="s">
        <v>105</v>
      </c>
      <c r="AV207">
        <v>1</v>
      </c>
      <c r="AW207">
        <v>2</v>
      </c>
      <c r="AX207">
        <v>57036082</v>
      </c>
      <c r="AY207">
        <v>1</v>
      </c>
      <c r="AZ207">
        <v>0</v>
      </c>
      <c r="BA207">
        <v>217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U207">
        <f>ROUND(AT207*Source!I368*AH207*AL207,2)</f>
        <v>0</v>
      </c>
      <c r="CV207">
        <f>ROUND(Y207*Source!I368,9)</f>
        <v>139.15199999999999</v>
      </c>
      <c r="CW207">
        <v>0</v>
      </c>
      <c r="CX207">
        <f>ROUND(Y207*Source!I368,9)</f>
        <v>139.15199999999999</v>
      </c>
      <c r="CY207">
        <f>AD207</f>
        <v>0</v>
      </c>
      <c r="CZ207">
        <f>AH207</f>
        <v>0</v>
      </c>
      <c r="DA207">
        <f>AL207</f>
        <v>1</v>
      </c>
      <c r="DB207">
        <f>ROUND((ROUND(AT207*CZ207,2)*1.2),6)</f>
        <v>0</v>
      </c>
      <c r="DC207">
        <f>ROUND((ROUND(AT207*AG207,2)*1.2),6)</f>
        <v>0</v>
      </c>
      <c r="DD207" t="s">
        <v>3</v>
      </c>
      <c r="DE207" t="s">
        <v>3</v>
      </c>
      <c r="DF207">
        <f>ROUND(ROUND(AE207,2)*CX207,2)</f>
        <v>0</v>
      </c>
      <c r="DG207">
        <f t="shared" si="53"/>
        <v>0</v>
      </c>
      <c r="DH207">
        <f t="shared" si="50"/>
        <v>0</v>
      </c>
      <c r="DI207">
        <f t="shared" si="52"/>
        <v>0</v>
      </c>
      <c r="DJ207">
        <f>DI207</f>
        <v>0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ROW(Source!A368)</f>
        <v>368</v>
      </c>
      <c r="B208">
        <v>57034452</v>
      </c>
      <c r="C208">
        <v>57036076</v>
      </c>
      <c r="D208">
        <v>55459191</v>
      </c>
      <c r="E208">
        <v>1</v>
      </c>
      <c r="F208">
        <v>1</v>
      </c>
      <c r="G208">
        <v>1081</v>
      </c>
      <c r="H208">
        <v>3</v>
      </c>
      <c r="I208" t="s">
        <v>297</v>
      </c>
      <c r="J208" t="s">
        <v>300</v>
      </c>
      <c r="K208" t="s">
        <v>298</v>
      </c>
      <c r="L208">
        <v>1348</v>
      </c>
      <c r="N208">
        <v>1009</v>
      </c>
      <c r="O208" t="s">
        <v>299</v>
      </c>
      <c r="P208" t="s">
        <v>299</v>
      </c>
      <c r="Q208">
        <v>1000</v>
      </c>
      <c r="W208">
        <v>0</v>
      </c>
      <c r="X208">
        <v>1706974629</v>
      </c>
      <c r="Y208">
        <f>(AT208*1)</f>
        <v>3.5000000000000004E-5</v>
      </c>
      <c r="AA208">
        <v>22524.65</v>
      </c>
      <c r="AB208">
        <v>0</v>
      </c>
      <c r="AC208">
        <v>0</v>
      </c>
      <c r="AD208">
        <v>0</v>
      </c>
      <c r="AE208">
        <v>22524.65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 t="s">
        <v>3</v>
      </c>
      <c r="AT208">
        <v>3.5000000000000004E-5</v>
      </c>
      <c r="AU208" t="s">
        <v>104</v>
      </c>
      <c r="AV208">
        <v>0</v>
      </c>
      <c r="AW208">
        <v>1</v>
      </c>
      <c r="AX208">
        <v>-1</v>
      </c>
      <c r="AY208">
        <v>0</v>
      </c>
      <c r="AZ208">
        <v>0</v>
      </c>
      <c r="BA208" t="s">
        <v>3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ROUND(Y208*Source!I368,9)</f>
        <v>7.8050000000000003E-3</v>
      </c>
      <c r="CY208">
        <f>AA208</f>
        <v>22524.65</v>
      </c>
      <c r="CZ208">
        <f>AE208</f>
        <v>22524.65</v>
      </c>
      <c r="DA208">
        <f>AI208</f>
        <v>1</v>
      </c>
      <c r="DB208">
        <f>ROUND((ROUND(AT208*CZ208,2)*1),6)</f>
        <v>0.79</v>
      </c>
      <c r="DC208">
        <f>ROUND((ROUND(AT208*AG208,2)*1),6)</f>
        <v>0</v>
      </c>
      <c r="DD208" t="s">
        <v>3</v>
      </c>
      <c r="DE208" t="s">
        <v>3</v>
      </c>
      <c r="DF208">
        <f>ROUND(ROUND(AE208,2)*CX208,2)</f>
        <v>175.8</v>
      </c>
      <c r="DG208">
        <f t="shared" si="53"/>
        <v>0</v>
      </c>
      <c r="DH208">
        <f t="shared" si="50"/>
        <v>0</v>
      </c>
      <c r="DI208">
        <f t="shared" si="52"/>
        <v>0</v>
      </c>
      <c r="DJ208">
        <f>DF208</f>
        <v>175.8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ROW(Source!A369)</f>
        <v>369</v>
      </c>
      <c r="B209">
        <v>57034454</v>
      </c>
      <c r="C209">
        <v>57036076</v>
      </c>
      <c r="D209">
        <v>55424304</v>
      </c>
      <c r="E209">
        <v>1081</v>
      </c>
      <c r="F209">
        <v>1</v>
      </c>
      <c r="G209">
        <v>1081</v>
      </c>
      <c r="H209">
        <v>1</v>
      </c>
      <c r="I209" t="s">
        <v>459</v>
      </c>
      <c r="J209" t="s">
        <v>3</v>
      </c>
      <c r="K209" t="s">
        <v>460</v>
      </c>
      <c r="L209">
        <v>1191</v>
      </c>
      <c r="N209">
        <v>1013</v>
      </c>
      <c r="O209" t="s">
        <v>461</v>
      </c>
      <c r="P209" t="s">
        <v>461</v>
      </c>
      <c r="Q209">
        <v>1</v>
      </c>
      <c r="W209">
        <v>0</v>
      </c>
      <c r="X209">
        <v>476480486</v>
      </c>
      <c r="Y209">
        <f>(AT209*1.2)</f>
        <v>0.624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5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0.52</v>
      </c>
      <c r="AU209" t="s">
        <v>105</v>
      </c>
      <c r="AV209">
        <v>1</v>
      </c>
      <c r="AW209">
        <v>2</v>
      </c>
      <c r="AX209">
        <v>57036082</v>
      </c>
      <c r="AY209">
        <v>1</v>
      </c>
      <c r="AZ209">
        <v>0</v>
      </c>
      <c r="BA209">
        <v>220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U209">
        <f>ROUND(AT209*Source!I369*AH209*AL209,2)</f>
        <v>0</v>
      </c>
      <c r="CV209">
        <f>ROUND(Y209*Source!I369,9)</f>
        <v>139.15199999999999</v>
      </c>
      <c r="CW209">
        <v>0</v>
      </c>
      <c r="CX209">
        <f>ROUND(Y209*Source!I369,9)</f>
        <v>139.15199999999999</v>
      </c>
      <c r="CY209">
        <f>AD209</f>
        <v>0</v>
      </c>
      <c r="CZ209">
        <f>AH209</f>
        <v>0</v>
      </c>
      <c r="DA209">
        <f>AL209</f>
        <v>1</v>
      </c>
      <c r="DB209">
        <f>ROUND((ROUND(AT209*CZ209,2)*1.2),6)</f>
        <v>0</v>
      </c>
      <c r="DC209">
        <f>ROUND((ROUND(AT209*AG209,2)*1.2),6)</f>
        <v>0</v>
      </c>
      <c r="DD209" t="s">
        <v>3</v>
      </c>
      <c r="DE209" t="s">
        <v>3</v>
      </c>
      <c r="DF209">
        <f>ROUND(ROUND(AE209,2)*CX209,2)</f>
        <v>0</v>
      </c>
      <c r="DG209">
        <f t="shared" si="53"/>
        <v>0</v>
      </c>
      <c r="DH209">
        <f t="shared" si="50"/>
        <v>0</v>
      </c>
      <c r="DI209">
        <f t="shared" si="52"/>
        <v>0</v>
      </c>
      <c r="DJ209">
        <f>DI209</f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ROW(Source!A369)</f>
        <v>369</v>
      </c>
      <c r="B210">
        <v>57034454</v>
      </c>
      <c r="C210">
        <v>57036076</v>
      </c>
      <c r="D210">
        <v>55459191</v>
      </c>
      <c r="E210">
        <v>1</v>
      </c>
      <c r="F210">
        <v>1</v>
      </c>
      <c r="G210">
        <v>1081</v>
      </c>
      <c r="H210">
        <v>3</v>
      </c>
      <c r="I210" t="s">
        <v>297</v>
      </c>
      <c r="J210" t="s">
        <v>300</v>
      </c>
      <c r="K210" t="s">
        <v>298</v>
      </c>
      <c r="L210">
        <v>1348</v>
      </c>
      <c r="N210">
        <v>1009</v>
      </c>
      <c r="O210" t="s">
        <v>299</v>
      </c>
      <c r="P210" t="s">
        <v>299</v>
      </c>
      <c r="Q210">
        <v>1000</v>
      </c>
      <c r="W210">
        <v>0</v>
      </c>
      <c r="X210">
        <v>1706974629</v>
      </c>
      <c r="Y210">
        <f>(AT210*1)</f>
        <v>3.5000000000000004E-5</v>
      </c>
      <c r="AA210">
        <v>133571.17000000001</v>
      </c>
      <c r="AB210">
        <v>0</v>
      </c>
      <c r="AC210">
        <v>0</v>
      </c>
      <c r="AD210">
        <v>0</v>
      </c>
      <c r="AE210">
        <v>22524.65</v>
      </c>
      <c r="AF210">
        <v>0</v>
      </c>
      <c r="AG210">
        <v>0</v>
      </c>
      <c r="AH210">
        <v>0</v>
      </c>
      <c r="AI210">
        <v>5.93</v>
      </c>
      <c r="AJ210">
        <v>1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 t="s">
        <v>3</v>
      </c>
      <c r="AT210">
        <v>3.5000000000000004E-5</v>
      </c>
      <c r="AU210" t="s">
        <v>104</v>
      </c>
      <c r="AV210">
        <v>0</v>
      </c>
      <c r="AW210">
        <v>1</v>
      </c>
      <c r="AX210">
        <v>-1</v>
      </c>
      <c r="AY210">
        <v>0</v>
      </c>
      <c r="AZ210">
        <v>0</v>
      </c>
      <c r="BA210" t="s">
        <v>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ROUND(Y210*Source!I369,9)</f>
        <v>7.8050000000000003E-3</v>
      </c>
      <c r="CY210">
        <f>AA210</f>
        <v>133571.17000000001</v>
      </c>
      <c r="CZ210">
        <f>AE210</f>
        <v>22524.65</v>
      </c>
      <c r="DA210">
        <f>AI210</f>
        <v>5.93</v>
      </c>
      <c r="DB210">
        <f>ROUND((ROUND(AT210*CZ210,2)*1),6)</f>
        <v>0.79</v>
      </c>
      <c r="DC210">
        <f>ROUND((ROUND(AT210*AG210,2)*1),6)</f>
        <v>0</v>
      </c>
      <c r="DD210" t="s">
        <v>3</v>
      </c>
      <c r="DE210" t="s">
        <v>3</v>
      </c>
      <c r="DF210">
        <f>ROUND(ROUND(AE210*AI210,2)*CX210,2)</f>
        <v>1042.52</v>
      </c>
      <c r="DG210">
        <f t="shared" si="53"/>
        <v>0</v>
      </c>
      <c r="DH210">
        <f t="shared" si="50"/>
        <v>0</v>
      </c>
      <c r="DI210">
        <f t="shared" si="52"/>
        <v>0</v>
      </c>
      <c r="DJ210">
        <f>DF210</f>
        <v>1042.52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5">
      <c r="A211">
        <f>ROW(Source!A374)</f>
        <v>374</v>
      </c>
      <c r="B211">
        <v>57034452</v>
      </c>
      <c r="C211">
        <v>57035158</v>
      </c>
      <c r="D211">
        <v>55424304</v>
      </c>
      <c r="E211">
        <v>1081</v>
      </c>
      <c r="F211">
        <v>1</v>
      </c>
      <c r="G211">
        <v>1081</v>
      </c>
      <c r="H211">
        <v>1</v>
      </c>
      <c r="I211" t="s">
        <v>459</v>
      </c>
      <c r="J211" t="s">
        <v>3</v>
      </c>
      <c r="K211" t="s">
        <v>460</v>
      </c>
      <c r="L211">
        <v>1191</v>
      </c>
      <c r="N211">
        <v>1013</v>
      </c>
      <c r="O211" t="s">
        <v>461</v>
      </c>
      <c r="P211" t="s">
        <v>461</v>
      </c>
      <c r="Q211">
        <v>1</v>
      </c>
      <c r="W211">
        <v>0</v>
      </c>
      <c r="X211">
        <v>476480486</v>
      </c>
      <c r="Y211">
        <f>(AT211*1.2)</f>
        <v>1.236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1.03</v>
      </c>
      <c r="AU211" t="s">
        <v>105</v>
      </c>
      <c r="AV211">
        <v>1</v>
      </c>
      <c r="AW211">
        <v>2</v>
      </c>
      <c r="AX211">
        <v>57035162</v>
      </c>
      <c r="AY211">
        <v>1</v>
      </c>
      <c r="AZ211">
        <v>0</v>
      </c>
      <c r="BA211">
        <v>223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U211">
        <f>ROUND(AT211*Source!I374*AH211*AL211,2)</f>
        <v>0</v>
      </c>
      <c r="CV211">
        <f>ROUND(Y211*Source!I374,9)</f>
        <v>275.62799999999999</v>
      </c>
      <c r="CW211">
        <v>0</v>
      </c>
      <c r="CX211">
        <f>ROUND(Y211*Source!I374,9)</f>
        <v>275.62799999999999</v>
      </c>
      <c r="CY211">
        <f>AD211</f>
        <v>0</v>
      </c>
      <c r="CZ211">
        <f>AH211</f>
        <v>0</v>
      </c>
      <c r="DA211">
        <f>AL211</f>
        <v>1</v>
      </c>
      <c r="DB211">
        <f>ROUND((ROUND(AT211*CZ211,2)*1.2),6)</f>
        <v>0</v>
      </c>
      <c r="DC211">
        <f>ROUND((ROUND(AT211*AG211,2)*1.2),6)</f>
        <v>0</v>
      </c>
      <c r="DD211" t="s">
        <v>3</v>
      </c>
      <c r="DE211" t="s">
        <v>3</v>
      </c>
      <c r="DF211">
        <f>ROUND(ROUND(AE211,2)*CX211,2)</f>
        <v>0</v>
      </c>
      <c r="DG211">
        <f t="shared" si="53"/>
        <v>0</v>
      </c>
      <c r="DH211">
        <f t="shared" si="50"/>
        <v>0</v>
      </c>
      <c r="DI211">
        <f t="shared" si="52"/>
        <v>0</v>
      </c>
      <c r="DJ211">
        <f>DI211</f>
        <v>0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ROW(Source!A374)</f>
        <v>374</v>
      </c>
      <c r="B212">
        <v>57034452</v>
      </c>
      <c r="C212">
        <v>57035158</v>
      </c>
      <c r="D212">
        <v>55490209</v>
      </c>
      <c r="E212">
        <v>1</v>
      </c>
      <c r="F212">
        <v>1</v>
      </c>
      <c r="G212">
        <v>1081</v>
      </c>
      <c r="H212">
        <v>2</v>
      </c>
      <c r="I212" t="s">
        <v>462</v>
      </c>
      <c r="J212" t="s">
        <v>463</v>
      </c>
      <c r="K212" t="s">
        <v>464</v>
      </c>
      <c r="L212">
        <v>1368</v>
      </c>
      <c r="N212">
        <v>1011</v>
      </c>
      <c r="O212" t="s">
        <v>465</v>
      </c>
      <c r="P212" t="s">
        <v>465</v>
      </c>
      <c r="Q212">
        <v>1</v>
      </c>
      <c r="W212">
        <v>0</v>
      </c>
      <c r="X212">
        <v>874612079</v>
      </c>
      <c r="Y212">
        <f>(AT212*1.2)</f>
        <v>3.5999999999999997E-2</v>
      </c>
      <c r="AA212">
        <v>0</v>
      </c>
      <c r="AB212">
        <v>87.01</v>
      </c>
      <c r="AC212">
        <v>13.21</v>
      </c>
      <c r="AD212">
        <v>0</v>
      </c>
      <c r="AE212">
        <v>0</v>
      </c>
      <c r="AF212">
        <v>83.1</v>
      </c>
      <c r="AG212">
        <v>12.62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0.03</v>
      </c>
      <c r="AU212" t="s">
        <v>105</v>
      </c>
      <c r="AV212">
        <v>0</v>
      </c>
      <c r="AW212">
        <v>2</v>
      </c>
      <c r="AX212">
        <v>57035163</v>
      </c>
      <c r="AY212">
        <v>1</v>
      </c>
      <c r="AZ212">
        <v>0</v>
      </c>
      <c r="BA212">
        <v>224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f>ROUND(Y212*Source!I374*DO212,9)</f>
        <v>101.31336</v>
      </c>
      <c r="CX212">
        <f>ROUND(Y212*Source!I374,9)</f>
        <v>8.0280000000000005</v>
      </c>
      <c r="CY212">
        <f>AB212</f>
        <v>87.01</v>
      </c>
      <c r="CZ212">
        <f>AF212</f>
        <v>83.1</v>
      </c>
      <c r="DA212">
        <f>AJ212</f>
        <v>1</v>
      </c>
      <c r="DB212">
        <f>ROUND((ROUND(AT212*CZ212,2)*1.2),6)</f>
        <v>2.988</v>
      </c>
      <c r="DC212">
        <f>ROUND((ROUND(AT212*AG212,2)*1.2),6)</f>
        <v>0.45600000000000002</v>
      </c>
      <c r="DD212" t="s">
        <v>3</v>
      </c>
      <c r="DE212" t="s">
        <v>3</v>
      </c>
      <c r="DF212">
        <f>ROUND(ROUND(AE212,2)*CX212,2)</f>
        <v>0</v>
      </c>
      <c r="DG212">
        <f t="shared" si="53"/>
        <v>667.13</v>
      </c>
      <c r="DH212">
        <f t="shared" si="50"/>
        <v>101.31</v>
      </c>
      <c r="DI212">
        <f t="shared" si="52"/>
        <v>0</v>
      </c>
      <c r="DJ212">
        <f>DG212</f>
        <v>667.13</v>
      </c>
      <c r="DK212">
        <v>0</v>
      </c>
      <c r="DL212" t="s">
        <v>466</v>
      </c>
      <c r="DM212">
        <v>0</v>
      </c>
      <c r="DN212" t="s">
        <v>461</v>
      </c>
      <c r="DO212">
        <v>12.62</v>
      </c>
    </row>
    <row r="213" spans="1:119" x14ac:dyDescent="0.25">
      <c r="A213">
        <f>ROW(Source!A374)</f>
        <v>374</v>
      </c>
      <c r="B213">
        <v>57034452</v>
      </c>
      <c r="C213">
        <v>57035158</v>
      </c>
      <c r="D213">
        <v>0</v>
      </c>
      <c r="E213">
        <v>0</v>
      </c>
      <c r="F213">
        <v>1</v>
      </c>
      <c r="G213">
        <v>1081</v>
      </c>
      <c r="H213">
        <v>3</v>
      </c>
      <c r="I213" t="s">
        <v>302</v>
      </c>
      <c r="J213" t="s">
        <v>3</v>
      </c>
      <c r="K213" t="s">
        <v>303</v>
      </c>
      <c r="L213">
        <v>1354</v>
      </c>
      <c r="N213">
        <v>1010</v>
      </c>
      <c r="O213" t="s">
        <v>177</v>
      </c>
      <c r="P213" t="s">
        <v>177</v>
      </c>
      <c r="Q213">
        <v>1</v>
      </c>
      <c r="W213">
        <v>0</v>
      </c>
      <c r="X213">
        <v>-882079263</v>
      </c>
      <c r="Y213">
        <f>(AT213*1)</f>
        <v>1</v>
      </c>
      <c r="AA213">
        <v>468.39</v>
      </c>
      <c r="AB213">
        <v>0</v>
      </c>
      <c r="AC213">
        <v>0</v>
      </c>
      <c r="AD213">
        <v>0</v>
      </c>
      <c r="AE213">
        <v>468.39000000000004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 t="s">
        <v>3</v>
      </c>
      <c r="AT213">
        <v>1</v>
      </c>
      <c r="AU213" t="s">
        <v>104</v>
      </c>
      <c r="AV213">
        <v>0</v>
      </c>
      <c r="AW213">
        <v>1</v>
      </c>
      <c r="AX213">
        <v>-1</v>
      </c>
      <c r="AY213">
        <v>0</v>
      </c>
      <c r="AZ213">
        <v>0</v>
      </c>
      <c r="BA213" t="s">
        <v>3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ROUND(Y213*Source!I374,9)</f>
        <v>223</v>
      </c>
      <c r="CY213">
        <f>AA213</f>
        <v>468.39</v>
      </c>
      <c r="CZ213">
        <f>AE213</f>
        <v>468.39000000000004</v>
      </c>
      <c r="DA213">
        <f>AI213</f>
        <v>1</v>
      </c>
      <c r="DB213">
        <f>ROUND((ROUND(AT213*CZ213,2)*1),6)</f>
        <v>468.39</v>
      </c>
      <c r="DC213">
        <f>ROUND((ROUND(AT213*AG213,2)*1),6)</f>
        <v>0</v>
      </c>
      <c r="DD213" t="s">
        <v>3</v>
      </c>
      <c r="DE213" t="s">
        <v>3</v>
      </c>
      <c r="DF213">
        <f>ROUND(ROUND(AE213,2)*CX213,2)</f>
        <v>104450.97</v>
      </c>
      <c r="DG213">
        <f t="shared" si="53"/>
        <v>0</v>
      </c>
      <c r="DH213">
        <f t="shared" si="50"/>
        <v>0</v>
      </c>
      <c r="DI213">
        <f t="shared" si="52"/>
        <v>0</v>
      </c>
      <c r="DJ213">
        <f>DF213</f>
        <v>104450.97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ROW(Source!A375)</f>
        <v>375</v>
      </c>
      <c r="B214">
        <v>57034454</v>
      </c>
      <c r="C214">
        <v>57035158</v>
      </c>
      <c r="D214">
        <v>55424304</v>
      </c>
      <c r="E214">
        <v>1081</v>
      </c>
      <c r="F214">
        <v>1</v>
      </c>
      <c r="G214">
        <v>1081</v>
      </c>
      <c r="H214">
        <v>1</v>
      </c>
      <c r="I214" t="s">
        <v>459</v>
      </c>
      <c r="J214" t="s">
        <v>3</v>
      </c>
      <c r="K214" t="s">
        <v>460</v>
      </c>
      <c r="L214">
        <v>1191</v>
      </c>
      <c r="N214">
        <v>1013</v>
      </c>
      <c r="O214" t="s">
        <v>461</v>
      </c>
      <c r="P214" t="s">
        <v>461</v>
      </c>
      <c r="Q214">
        <v>1</v>
      </c>
      <c r="W214">
        <v>0</v>
      </c>
      <c r="X214">
        <v>476480486</v>
      </c>
      <c r="Y214">
        <f>(AT214*1.2)</f>
        <v>1.236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5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1.03</v>
      </c>
      <c r="AU214" t="s">
        <v>105</v>
      </c>
      <c r="AV214">
        <v>1</v>
      </c>
      <c r="AW214">
        <v>2</v>
      </c>
      <c r="AX214">
        <v>57035162</v>
      </c>
      <c r="AY214">
        <v>1</v>
      </c>
      <c r="AZ214">
        <v>0</v>
      </c>
      <c r="BA214">
        <v>227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U214">
        <f>ROUND(AT214*Source!I375*AH214*AL214,2)</f>
        <v>0</v>
      </c>
      <c r="CV214">
        <f>ROUND(Y214*Source!I375,9)</f>
        <v>275.62799999999999</v>
      </c>
      <c r="CW214">
        <v>0</v>
      </c>
      <c r="CX214">
        <f>ROUND(Y214*Source!I375,9)</f>
        <v>275.62799999999999</v>
      </c>
      <c r="CY214">
        <f>AD214</f>
        <v>0</v>
      </c>
      <c r="CZ214">
        <f>AH214</f>
        <v>0</v>
      </c>
      <c r="DA214">
        <f>AL214</f>
        <v>1</v>
      </c>
      <c r="DB214">
        <f>ROUND((ROUND(AT214*CZ214,2)*1.2),6)</f>
        <v>0</v>
      </c>
      <c r="DC214">
        <f>ROUND((ROUND(AT214*AG214,2)*1.2),6)</f>
        <v>0</v>
      </c>
      <c r="DD214" t="s">
        <v>3</v>
      </c>
      <c r="DE214" t="s">
        <v>3</v>
      </c>
      <c r="DF214">
        <f>ROUND(ROUND(AE214,2)*CX214,2)</f>
        <v>0</v>
      </c>
      <c r="DG214">
        <f t="shared" si="53"/>
        <v>0</v>
      </c>
      <c r="DH214">
        <f t="shared" si="50"/>
        <v>0</v>
      </c>
      <c r="DI214">
        <f t="shared" si="52"/>
        <v>0</v>
      </c>
      <c r="DJ214">
        <f>DI214</f>
        <v>0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ROW(Source!A375)</f>
        <v>375</v>
      </c>
      <c r="B215">
        <v>57034454</v>
      </c>
      <c r="C215">
        <v>57035158</v>
      </c>
      <c r="D215">
        <v>55490209</v>
      </c>
      <c r="E215">
        <v>1</v>
      </c>
      <c r="F215">
        <v>1</v>
      </c>
      <c r="G215">
        <v>1081</v>
      </c>
      <c r="H215">
        <v>2</v>
      </c>
      <c r="I215" t="s">
        <v>462</v>
      </c>
      <c r="J215" t="s">
        <v>463</v>
      </c>
      <c r="K215" t="s">
        <v>464</v>
      </c>
      <c r="L215">
        <v>1368</v>
      </c>
      <c r="N215">
        <v>1011</v>
      </c>
      <c r="O215" t="s">
        <v>465</v>
      </c>
      <c r="P215" t="s">
        <v>465</v>
      </c>
      <c r="Q215">
        <v>1</v>
      </c>
      <c r="W215">
        <v>0</v>
      </c>
      <c r="X215">
        <v>874612079</v>
      </c>
      <c r="Y215">
        <f>(AT215*1.2)</f>
        <v>3.5999999999999997E-2</v>
      </c>
      <c r="AA215">
        <v>0</v>
      </c>
      <c r="AB215">
        <v>1485.19</v>
      </c>
      <c r="AC215">
        <v>744.56</v>
      </c>
      <c r="AD215">
        <v>0</v>
      </c>
      <c r="AE215">
        <v>0</v>
      </c>
      <c r="AF215">
        <v>83.1</v>
      </c>
      <c r="AG215">
        <v>12.62</v>
      </c>
      <c r="AH215">
        <v>0</v>
      </c>
      <c r="AI215">
        <v>1</v>
      </c>
      <c r="AJ215">
        <v>17.07</v>
      </c>
      <c r="AK215">
        <v>56.35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0.03</v>
      </c>
      <c r="AU215" t="s">
        <v>105</v>
      </c>
      <c r="AV215">
        <v>0</v>
      </c>
      <c r="AW215">
        <v>2</v>
      </c>
      <c r="AX215">
        <v>57035163</v>
      </c>
      <c r="AY215">
        <v>1</v>
      </c>
      <c r="AZ215">
        <v>0</v>
      </c>
      <c r="BA215">
        <v>228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f>ROUND(Y215*Source!I375*DO215,9)</f>
        <v>101.31336</v>
      </c>
      <c r="CX215">
        <f>ROUND(Y215*Source!I375,9)</f>
        <v>8.0280000000000005</v>
      </c>
      <c r="CY215">
        <f>AB215</f>
        <v>1485.19</v>
      </c>
      <c r="CZ215">
        <f>AF215</f>
        <v>83.1</v>
      </c>
      <c r="DA215">
        <f>AJ215</f>
        <v>17.07</v>
      </c>
      <c r="DB215">
        <f>ROUND((ROUND(AT215*CZ215,2)*1.2),6)</f>
        <v>2.988</v>
      </c>
      <c r="DC215">
        <f>ROUND((ROUND(AT215*AG215,2)*1.2),6)</f>
        <v>0.45600000000000002</v>
      </c>
      <c r="DD215" t="s">
        <v>3</v>
      </c>
      <c r="DE215" t="s">
        <v>3</v>
      </c>
      <c r="DF215">
        <f>ROUND(ROUND(AE215,2)*CX215,2)</f>
        <v>0</v>
      </c>
      <c r="DG215">
        <f>ROUND(ROUND(AF215*AJ215,2)*CX215,2)</f>
        <v>11387.88</v>
      </c>
      <c r="DH215">
        <f>ROUND(ROUND(AG215*AK215,2)*CX215,2)</f>
        <v>5709.03</v>
      </c>
      <c r="DI215">
        <f t="shared" si="52"/>
        <v>0</v>
      </c>
      <c r="DJ215">
        <f>DG215</f>
        <v>11387.88</v>
      </c>
      <c r="DK215">
        <v>0</v>
      </c>
      <c r="DL215" t="s">
        <v>466</v>
      </c>
      <c r="DM215">
        <v>0</v>
      </c>
      <c r="DN215" t="s">
        <v>461</v>
      </c>
      <c r="DO215">
        <v>12.62</v>
      </c>
    </row>
    <row r="216" spans="1:119" x14ac:dyDescent="0.25">
      <c r="A216">
        <f>ROW(Source!A375)</f>
        <v>375</v>
      </c>
      <c r="B216">
        <v>57034454</v>
      </c>
      <c r="C216">
        <v>57035158</v>
      </c>
      <c r="D216">
        <v>0</v>
      </c>
      <c r="E216">
        <v>0</v>
      </c>
      <c r="F216">
        <v>1</v>
      </c>
      <c r="G216">
        <v>1081</v>
      </c>
      <c r="H216">
        <v>3</v>
      </c>
      <c r="I216" t="s">
        <v>302</v>
      </c>
      <c r="J216" t="s">
        <v>3</v>
      </c>
      <c r="K216" t="s">
        <v>303</v>
      </c>
      <c r="L216">
        <v>1354</v>
      </c>
      <c r="N216">
        <v>1010</v>
      </c>
      <c r="O216" t="s">
        <v>177</v>
      </c>
      <c r="P216" t="s">
        <v>177</v>
      </c>
      <c r="Q216">
        <v>1</v>
      </c>
      <c r="W216">
        <v>0</v>
      </c>
      <c r="X216">
        <v>-882079263</v>
      </c>
      <c r="Y216">
        <f>(AT216*1)</f>
        <v>1</v>
      </c>
      <c r="AA216">
        <v>3545.71</v>
      </c>
      <c r="AB216">
        <v>0</v>
      </c>
      <c r="AC216">
        <v>0</v>
      </c>
      <c r="AD216">
        <v>0</v>
      </c>
      <c r="AE216">
        <v>468.39000000000004</v>
      </c>
      <c r="AF216">
        <v>0</v>
      </c>
      <c r="AG216">
        <v>0</v>
      </c>
      <c r="AH216">
        <v>0</v>
      </c>
      <c r="AI216">
        <v>7.57</v>
      </c>
      <c r="AJ216">
        <v>1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 t="s">
        <v>3</v>
      </c>
      <c r="AT216">
        <v>1</v>
      </c>
      <c r="AU216" t="s">
        <v>104</v>
      </c>
      <c r="AV216">
        <v>0</v>
      </c>
      <c r="AW216">
        <v>1</v>
      </c>
      <c r="AX216">
        <v>-1</v>
      </c>
      <c r="AY216">
        <v>0</v>
      </c>
      <c r="AZ216">
        <v>0</v>
      </c>
      <c r="BA216" t="s">
        <v>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ROUND(Y216*Source!I375,9)</f>
        <v>223</v>
      </c>
      <c r="CY216">
        <f>AA216</f>
        <v>3545.71</v>
      </c>
      <c r="CZ216">
        <f>AE216</f>
        <v>468.39000000000004</v>
      </c>
      <c r="DA216">
        <f>AI216</f>
        <v>7.57</v>
      </c>
      <c r="DB216">
        <f>ROUND((ROUND(AT216*CZ216,2)*1),6)</f>
        <v>468.39</v>
      </c>
      <c r="DC216">
        <f>ROUND((ROUND(AT216*AG216,2)*1),6)</f>
        <v>0</v>
      </c>
      <c r="DD216" t="s">
        <v>3</v>
      </c>
      <c r="DE216" t="s">
        <v>3</v>
      </c>
      <c r="DF216">
        <f>ROUND(ROUND(AE216*AI216,2)*CX216,2)</f>
        <v>790693.33</v>
      </c>
      <c r="DG216">
        <f t="shared" ref="DG216:DG240" si="54">ROUND(ROUND(AF216,2)*CX216,2)</f>
        <v>0</v>
      </c>
      <c r="DH216">
        <f t="shared" ref="DH216:DH241" si="55">ROUND(ROUND(AG216,2)*CX216,2)</f>
        <v>0</v>
      </c>
      <c r="DI216">
        <f t="shared" si="52"/>
        <v>0</v>
      </c>
      <c r="DJ216">
        <f>DF216</f>
        <v>790693.33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5">
      <c r="A217">
        <f>ROW(Source!A378)</f>
        <v>378</v>
      </c>
      <c r="B217">
        <v>57034452</v>
      </c>
      <c r="C217">
        <v>57035174</v>
      </c>
      <c r="D217">
        <v>55424304</v>
      </c>
      <c r="E217">
        <v>1081</v>
      </c>
      <c r="F217">
        <v>1</v>
      </c>
      <c r="G217">
        <v>1081</v>
      </c>
      <c r="H217">
        <v>1</v>
      </c>
      <c r="I217" t="s">
        <v>459</v>
      </c>
      <c r="J217" t="s">
        <v>3</v>
      </c>
      <c r="K217" t="s">
        <v>460</v>
      </c>
      <c r="L217">
        <v>1191</v>
      </c>
      <c r="N217">
        <v>1013</v>
      </c>
      <c r="O217" t="s">
        <v>461</v>
      </c>
      <c r="P217" t="s">
        <v>461</v>
      </c>
      <c r="Q217">
        <v>1</v>
      </c>
      <c r="W217">
        <v>0</v>
      </c>
      <c r="X217">
        <v>476480486</v>
      </c>
      <c r="Y217">
        <f>(AT217*1.2)</f>
        <v>1.2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1</v>
      </c>
      <c r="AU217" t="s">
        <v>105</v>
      </c>
      <c r="AV217">
        <v>1</v>
      </c>
      <c r="AW217">
        <v>2</v>
      </c>
      <c r="AX217">
        <v>57035179</v>
      </c>
      <c r="AY217">
        <v>1</v>
      </c>
      <c r="AZ217">
        <v>0</v>
      </c>
      <c r="BA217">
        <v>231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U217">
        <f>ROUND(AT217*Source!I378*AH217*AL217,2)</f>
        <v>0</v>
      </c>
      <c r="CV217">
        <f>ROUND(Y217*Source!I378,9)</f>
        <v>24</v>
      </c>
      <c r="CW217">
        <v>0</v>
      </c>
      <c r="CX217">
        <f>ROUND(Y217*Source!I378,9)</f>
        <v>24</v>
      </c>
      <c r="CY217">
        <f>AD217</f>
        <v>0</v>
      </c>
      <c r="CZ217">
        <f>AH217</f>
        <v>0</v>
      </c>
      <c r="DA217">
        <f>AL217</f>
        <v>1</v>
      </c>
      <c r="DB217">
        <f>ROUND((ROUND(AT217*CZ217,2)*1.2),6)</f>
        <v>0</v>
      </c>
      <c r="DC217">
        <f>ROUND((ROUND(AT217*AG217,2)*1.2),6)</f>
        <v>0</v>
      </c>
      <c r="DD217" t="s">
        <v>3</v>
      </c>
      <c r="DE217" t="s">
        <v>3</v>
      </c>
      <c r="DF217">
        <f>ROUND(ROUND(AE217,2)*CX217,2)</f>
        <v>0</v>
      </c>
      <c r="DG217">
        <f t="shared" si="54"/>
        <v>0</v>
      </c>
      <c r="DH217">
        <f t="shared" si="55"/>
        <v>0</v>
      </c>
      <c r="DI217">
        <f t="shared" si="52"/>
        <v>0</v>
      </c>
      <c r="DJ217">
        <f>DI217</f>
        <v>0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ROW(Source!A378)</f>
        <v>378</v>
      </c>
      <c r="B218">
        <v>57034452</v>
      </c>
      <c r="C218">
        <v>57035174</v>
      </c>
      <c r="D218">
        <v>55459793</v>
      </c>
      <c r="E218">
        <v>1</v>
      </c>
      <c r="F218">
        <v>1</v>
      </c>
      <c r="G218">
        <v>1081</v>
      </c>
      <c r="H218">
        <v>3</v>
      </c>
      <c r="I218" t="s">
        <v>470</v>
      </c>
      <c r="J218" t="s">
        <v>471</v>
      </c>
      <c r="K218" t="s">
        <v>472</v>
      </c>
      <c r="L218">
        <v>1348</v>
      </c>
      <c r="N218">
        <v>1009</v>
      </c>
      <c r="O218" t="s">
        <v>299</v>
      </c>
      <c r="P218" t="s">
        <v>299</v>
      </c>
      <c r="Q218">
        <v>1000</v>
      </c>
      <c r="W218">
        <v>0</v>
      </c>
      <c r="X218">
        <v>-761454284</v>
      </c>
      <c r="Y218">
        <f>(AT218*1)</f>
        <v>1.0000000000000001E-5</v>
      </c>
      <c r="AA218">
        <v>64123.05</v>
      </c>
      <c r="AB218">
        <v>0</v>
      </c>
      <c r="AC218">
        <v>0</v>
      </c>
      <c r="AD218">
        <v>0</v>
      </c>
      <c r="AE218">
        <v>64123.05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-2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1.0000000000000001E-5</v>
      </c>
      <c r="AU218" t="s">
        <v>104</v>
      </c>
      <c r="AV218">
        <v>0</v>
      </c>
      <c r="AW218">
        <v>2</v>
      </c>
      <c r="AX218">
        <v>57035180</v>
      </c>
      <c r="AY218">
        <v>1</v>
      </c>
      <c r="AZ218">
        <v>0</v>
      </c>
      <c r="BA218">
        <v>232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ROUND(Y218*Source!I378,9)</f>
        <v>2.0000000000000001E-4</v>
      </c>
      <c r="CY218">
        <f>AA218</f>
        <v>64123.05</v>
      </c>
      <c r="CZ218">
        <f>AE218</f>
        <v>64123.05</v>
      </c>
      <c r="DA218">
        <f>AI218</f>
        <v>1</v>
      </c>
      <c r="DB218">
        <f>ROUND((ROUND(AT218*CZ218,2)*1),6)</f>
        <v>0.64</v>
      </c>
      <c r="DC218">
        <f>ROUND((ROUND(AT218*AG218,2)*1),6)</f>
        <v>0</v>
      </c>
      <c r="DD218" t="s">
        <v>3</v>
      </c>
      <c r="DE218" t="s">
        <v>3</v>
      </c>
      <c r="DF218">
        <f>ROUND(ROUND(AE218,2)*CX218,2)</f>
        <v>12.82</v>
      </c>
      <c r="DG218">
        <f t="shared" si="54"/>
        <v>0</v>
      </c>
      <c r="DH218">
        <f t="shared" si="55"/>
        <v>0</v>
      </c>
      <c r="DI218">
        <f t="shared" si="52"/>
        <v>0</v>
      </c>
      <c r="DJ218">
        <f>DF218</f>
        <v>12.82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ROW(Source!A378)</f>
        <v>378</v>
      </c>
      <c r="B219">
        <v>57034452</v>
      </c>
      <c r="C219">
        <v>57035174</v>
      </c>
      <c r="D219">
        <v>55487942</v>
      </c>
      <c r="E219">
        <v>1</v>
      </c>
      <c r="F219">
        <v>1</v>
      </c>
      <c r="G219">
        <v>1081</v>
      </c>
      <c r="H219">
        <v>3</v>
      </c>
      <c r="I219" t="s">
        <v>482</v>
      </c>
      <c r="J219" t="s">
        <v>483</v>
      </c>
      <c r="K219" t="s">
        <v>484</v>
      </c>
      <c r="L219">
        <v>1303</v>
      </c>
      <c r="N219">
        <v>1003</v>
      </c>
      <c r="O219" t="s">
        <v>485</v>
      </c>
      <c r="P219" t="s">
        <v>485</v>
      </c>
      <c r="Q219">
        <v>1000</v>
      </c>
      <c r="W219">
        <v>0</v>
      </c>
      <c r="X219">
        <v>-1692873835</v>
      </c>
      <c r="Y219">
        <f>(AT219*1)</f>
        <v>2E-3</v>
      </c>
      <c r="AA219">
        <v>516.63</v>
      </c>
      <c r="AB219">
        <v>0</v>
      </c>
      <c r="AC219">
        <v>0</v>
      </c>
      <c r="AD219">
        <v>0</v>
      </c>
      <c r="AE219">
        <v>516.63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2E-3</v>
      </c>
      <c r="AU219" t="s">
        <v>104</v>
      </c>
      <c r="AV219">
        <v>0</v>
      </c>
      <c r="AW219">
        <v>2</v>
      </c>
      <c r="AX219">
        <v>57035181</v>
      </c>
      <c r="AY219">
        <v>1</v>
      </c>
      <c r="AZ219">
        <v>0</v>
      </c>
      <c r="BA219">
        <v>233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ROUND(Y219*Source!I378,9)</f>
        <v>0.04</v>
      </c>
      <c r="CY219">
        <f>AA219</f>
        <v>516.63</v>
      </c>
      <c r="CZ219">
        <f>AE219</f>
        <v>516.63</v>
      </c>
      <c r="DA219">
        <f>AI219</f>
        <v>1</v>
      </c>
      <c r="DB219">
        <f>ROUND((ROUND(AT219*CZ219,2)*1),6)</f>
        <v>1.03</v>
      </c>
      <c r="DC219">
        <f>ROUND((ROUND(AT219*AG219,2)*1),6)</f>
        <v>0</v>
      </c>
      <c r="DD219" t="s">
        <v>3</v>
      </c>
      <c r="DE219" t="s">
        <v>3</v>
      </c>
      <c r="DF219">
        <f>ROUND(ROUND(AE219,2)*CX219,2)</f>
        <v>20.67</v>
      </c>
      <c r="DG219">
        <f t="shared" si="54"/>
        <v>0</v>
      </c>
      <c r="DH219">
        <f t="shared" si="55"/>
        <v>0</v>
      </c>
      <c r="DI219">
        <f t="shared" si="52"/>
        <v>0</v>
      </c>
      <c r="DJ219">
        <f>DF219</f>
        <v>20.67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ROW(Source!A378)</f>
        <v>378</v>
      </c>
      <c r="B220">
        <v>57034452</v>
      </c>
      <c r="C220">
        <v>57035174</v>
      </c>
      <c r="D220">
        <v>0</v>
      </c>
      <c r="E220">
        <v>0</v>
      </c>
      <c r="F220">
        <v>1</v>
      </c>
      <c r="G220">
        <v>1081</v>
      </c>
      <c r="H220">
        <v>3</v>
      </c>
      <c r="I220" t="s">
        <v>308</v>
      </c>
      <c r="J220" t="s">
        <v>3</v>
      </c>
      <c r="K220" t="s">
        <v>309</v>
      </c>
      <c r="L220">
        <v>1354</v>
      </c>
      <c r="N220">
        <v>1010</v>
      </c>
      <c r="O220" t="s">
        <v>177</v>
      </c>
      <c r="P220" t="s">
        <v>177</v>
      </c>
      <c r="Q220">
        <v>1</v>
      </c>
      <c r="W220">
        <v>0</v>
      </c>
      <c r="X220">
        <v>-1336735901</v>
      </c>
      <c r="Y220">
        <f>(AT220*1)</f>
        <v>1</v>
      </c>
      <c r="AA220">
        <v>172.66</v>
      </c>
      <c r="AB220">
        <v>0</v>
      </c>
      <c r="AC220">
        <v>0</v>
      </c>
      <c r="AD220">
        <v>0</v>
      </c>
      <c r="AE220">
        <v>172.66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 t="s">
        <v>3</v>
      </c>
      <c r="AT220">
        <v>1</v>
      </c>
      <c r="AU220" t="s">
        <v>104</v>
      </c>
      <c r="AV220">
        <v>0</v>
      </c>
      <c r="AW220">
        <v>1</v>
      </c>
      <c r="AX220">
        <v>-1</v>
      </c>
      <c r="AY220">
        <v>0</v>
      </c>
      <c r="AZ220">
        <v>0</v>
      </c>
      <c r="BA220" t="s">
        <v>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ROUND(Y220*Source!I378,9)</f>
        <v>20</v>
      </c>
      <c r="CY220">
        <f>AA220</f>
        <v>172.66</v>
      </c>
      <c r="CZ220">
        <f>AE220</f>
        <v>172.66</v>
      </c>
      <c r="DA220">
        <f>AI220</f>
        <v>1</v>
      </c>
      <c r="DB220">
        <f>ROUND((ROUND(AT220*CZ220,2)*1),6)</f>
        <v>172.66</v>
      </c>
      <c r="DC220">
        <f>ROUND((ROUND(AT220*AG220,2)*1),6)</f>
        <v>0</v>
      </c>
      <c r="DD220" t="s">
        <v>3</v>
      </c>
      <c r="DE220" t="s">
        <v>3</v>
      </c>
      <c r="DF220">
        <f>ROUND(ROUND(AE220,2)*CX220,2)</f>
        <v>3453.2</v>
      </c>
      <c r="DG220">
        <f t="shared" si="54"/>
        <v>0</v>
      </c>
      <c r="DH220">
        <f t="shared" si="55"/>
        <v>0</v>
      </c>
      <c r="DI220">
        <f t="shared" si="52"/>
        <v>0</v>
      </c>
      <c r="DJ220">
        <f>DF220</f>
        <v>3453.2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ROW(Source!A379)</f>
        <v>379</v>
      </c>
      <c r="B221">
        <v>57034454</v>
      </c>
      <c r="C221">
        <v>57035174</v>
      </c>
      <c r="D221">
        <v>55424304</v>
      </c>
      <c r="E221">
        <v>1081</v>
      </c>
      <c r="F221">
        <v>1</v>
      </c>
      <c r="G221">
        <v>1081</v>
      </c>
      <c r="H221">
        <v>1</v>
      </c>
      <c r="I221" t="s">
        <v>459</v>
      </c>
      <c r="J221" t="s">
        <v>3</v>
      </c>
      <c r="K221" t="s">
        <v>460</v>
      </c>
      <c r="L221">
        <v>1191</v>
      </c>
      <c r="N221">
        <v>1013</v>
      </c>
      <c r="O221" t="s">
        <v>461</v>
      </c>
      <c r="P221" t="s">
        <v>461</v>
      </c>
      <c r="Q221">
        <v>1</v>
      </c>
      <c r="W221">
        <v>0</v>
      </c>
      <c r="X221">
        <v>476480486</v>
      </c>
      <c r="Y221">
        <f>(AT221*1.2)</f>
        <v>1.2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5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</v>
      </c>
      <c r="AU221" t="s">
        <v>105</v>
      </c>
      <c r="AV221">
        <v>1</v>
      </c>
      <c r="AW221">
        <v>2</v>
      </c>
      <c r="AX221">
        <v>57035179</v>
      </c>
      <c r="AY221">
        <v>1</v>
      </c>
      <c r="AZ221">
        <v>0</v>
      </c>
      <c r="BA221">
        <v>235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U221">
        <f>ROUND(AT221*Source!I379*AH221*AL221,2)</f>
        <v>0</v>
      </c>
      <c r="CV221">
        <f>ROUND(Y221*Source!I379,9)</f>
        <v>24</v>
      </c>
      <c r="CW221">
        <v>0</v>
      </c>
      <c r="CX221">
        <f>ROUND(Y221*Source!I379,9)</f>
        <v>24</v>
      </c>
      <c r="CY221">
        <f>AD221</f>
        <v>0</v>
      </c>
      <c r="CZ221">
        <f>AH221</f>
        <v>0</v>
      </c>
      <c r="DA221">
        <f>AL221</f>
        <v>1</v>
      </c>
      <c r="DB221">
        <f>ROUND((ROUND(AT221*CZ221,2)*1.2),6)</f>
        <v>0</v>
      </c>
      <c r="DC221">
        <f>ROUND((ROUND(AT221*AG221,2)*1.2),6)</f>
        <v>0</v>
      </c>
      <c r="DD221" t="s">
        <v>3</v>
      </c>
      <c r="DE221" t="s">
        <v>3</v>
      </c>
      <c r="DF221">
        <f>ROUND(ROUND(AE221,2)*CX221,2)</f>
        <v>0</v>
      </c>
      <c r="DG221">
        <f t="shared" si="54"/>
        <v>0</v>
      </c>
      <c r="DH221">
        <f t="shared" si="55"/>
        <v>0</v>
      </c>
      <c r="DI221">
        <f t="shared" si="52"/>
        <v>0</v>
      </c>
      <c r="DJ221">
        <f>DI221</f>
        <v>0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ROW(Source!A379)</f>
        <v>379</v>
      </c>
      <c r="B222">
        <v>57034454</v>
      </c>
      <c r="C222">
        <v>57035174</v>
      </c>
      <c r="D222">
        <v>55459793</v>
      </c>
      <c r="E222">
        <v>1</v>
      </c>
      <c r="F222">
        <v>1</v>
      </c>
      <c r="G222">
        <v>1081</v>
      </c>
      <c r="H222">
        <v>3</v>
      </c>
      <c r="I222" t="s">
        <v>470</v>
      </c>
      <c r="J222" t="s">
        <v>471</v>
      </c>
      <c r="K222" t="s">
        <v>472</v>
      </c>
      <c r="L222">
        <v>1348</v>
      </c>
      <c r="N222">
        <v>1009</v>
      </c>
      <c r="O222" t="s">
        <v>299</v>
      </c>
      <c r="P222" t="s">
        <v>299</v>
      </c>
      <c r="Q222">
        <v>1000</v>
      </c>
      <c r="W222">
        <v>0</v>
      </c>
      <c r="X222">
        <v>-761454284</v>
      </c>
      <c r="Y222">
        <f>(AT222*1)</f>
        <v>1.0000000000000001E-5</v>
      </c>
      <c r="AA222">
        <v>1930745.04</v>
      </c>
      <c r="AB222">
        <v>0</v>
      </c>
      <c r="AC222">
        <v>0</v>
      </c>
      <c r="AD222">
        <v>0</v>
      </c>
      <c r="AE222">
        <v>64123.05</v>
      </c>
      <c r="AF222">
        <v>0</v>
      </c>
      <c r="AG222">
        <v>0</v>
      </c>
      <c r="AH222">
        <v>0</v>
      </c>
      <c r="AI222">
        <v>30.11</v>
      </c>
      <c r="AJ222">
        <v>1</v>
      </c>
      <c r="AK222">
        <v>1</v>
      </c>
      <c r="AL222">
        <v>1</v>
      </c>
      <c r="AM222">
        <v>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1.0000000000000001E-5</v>
      </c>
      <c r="AU222" t="s">
        <v>104</v>
      </c>
      <c r="AV222">
        <v>0</v>
      </c>
      <c r="AW222">
        <v>2</v>
      </c>
      <c r="AX222">
        <v>57035180</v>
      </c>
      <c r="AY222">
        <v>1</v>
      </c>
      <c r="AZ222">
        <v>0</v>
      </c>
      <c r="BA222">
        <v>236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ROUND(Y222*Source!I379,9)</f>
        <v>2.0000000000000001E-4</v>
      </c>
      <c r="CY222">
        <f>AA222</f>
        <v>1930745.04</v>
      </c>
      <c r="CZ222">
        <f>AE222</f>
        <v>64123.05</v>
      </c>
      <c r="DA222">
        <f>AI222</f>
        <v>30.11</v>
      </c>
      <c r="DB222">
        <f>ROUND((ROUND(AT222*CZ222,2)*1),6)</f>
        <v>0.64</v>
      </c>
      <c r="DC222">
        <f>ROUND((ROUND(AT222*AG222,2)*1),6)</f>
        <v>0</v>
      </c>
      <c r="DD222" t="s">
        <v>3</v>
      </c>
      <c r="DE222" t="s">
        <v>3</v>
      </c>
      <c r="DF222">
        <f>ROUND(ROUND(AE222*AI222,2)*CX222,2)</f>
        <v>386.15</v>
      </c>
      <c r="DG222">
        <f t="shared" si="54"/>
        <v>0</v>
      </c>
      <c r="DH222">
        <f t="shared" si="55"/>
        <v>0</v>
      </c>
      <c r="DI222">
        <f t="shared" si="52"/>
        <v>0</v>
      </c>
      <c r="DJ222">
        <f>DF222</f>
        <v>386.15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ROW(Source!A379)</f>
        <v>379</v>
      </c>
      <c r="B223">
        <v>57034454</v>
      </c>
      <c r="C223">
        <v>57035174</v>
      </c>
      <c r="D223">
        <v>55487942</v>
      </c>
      <c r="E223">
        <v>1</v>
      </c>
      <c r="F223">
        <v>1</v>
      </c>
      <c r="G223">
        <v>1081</v>
      </c>
      <c r="H223">
        <v>3</v>
      </c>
      <c r="I223" t="s">
        <v>482</v>
      </c>
      <c r="J223" t="s">
        <v>483</v>
      </c>
      <c r="K223" t="s">
        <v>484</v>
      </c>
      <c r="L223">
        <v>1303</v>
      </c>
      <c r="N223">
        <v>1003</v>
      </c>
      <c r="O223" t="s">
        <v>485</v>
      </c>
      <c r="P223" t="s">
        <v>485</v>
      </c>
      <c r="Q223">
        <v>1000</v>
      </c>
      <c r="W223">
        <v>0</v>
      </c>
      <c r="X223">
        <v>-1692873835</v>
      </c>
      <c r="Y223">
        <f>(AT223*1)</f>
        <v>2E-3</v>
      </c>
      <c r="AA223">
        <v>5269.63</v>
      </c>
      <c r="AB223">
        <v>0</v>
      </c>
      <c r="AC223">
        <v>0</v>
      </c>
      <c r="AD223">
        <v>0</v>
      </c>
      <c r="AE223">
        <v>516.63</v>
      </c>
      <c r="AF223">
        <v>0</v>
      </c>
      <c r="AG223">
        <v>0</v>
      </c>
      <c r="AH223">
        <v>0</v>
      </c>
      <c r="AI223">
        <v>10.199999999999999</v>
      </c>
      <c r="AJ223">
        <v>1</v>
      </c>
      <c r="AK223">
        <v>1</v>
      </c>
      <c r="AL223">
        <v>1</v>
      </c>
      <c r="AM223">
        <v>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2E-3</v>
      </c>
      <c r="AU223" t="s">
        <v>104</v>
      </c>
      <c r="AV223">
        <v>0</v>
      </c>
      <c r="AW223">
        <v>2</v>
      </c>
      <c r="AX223">
        <v>57035181</v>
      </c>
      <c r="AY223">
        <v>1</v>
      </c>
      <c r="AZ223">
        <v>0</v>
      </c>
      <c r="BA223">
        <v>237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ROUND(Y223*Source!I379,9)</f>
        <v>0.04</v>
      </c>
      <c r="CY223">
        <f>AA223</f>
        <v>5269.63</v>
      </c>
      <c r="CZ223">
        <f>AE223</f>
        <v>516.63</v>
      </c>
      <c r="DA223">
        <f>AI223</f>
        <v>10.199999999999999</v>
      </c>
      <c r="DB223">
        <f>ROUND((ROUND(AT223*CZ223,2)*1),6)</f>
        <v>1.03</v>
      </c>
      <c r="DC223">
        <f>ROUND((ROUND(AT223*AG223,2)*1),6)</f>
        <v>0</v>
      </c>
      <c r="DD223" t="s">
        <v>3</v>
      </c>
      <c r="DE223" t="s">
        <v>3</v>
      </c>
      <c r="DF223">
        <f>ROUND(ROUND(AE223*AI223,2)*CX223,2)</f>
        <v>210.79</v>
      </c>
      <c r="DG223">
        <f t="shared" si="54"/>
        <v>0</v>
      </c>
      <c r="DH223">
        <f t="shared" si="55"/>
        <v>0</v>
      </c>
      <c r="DI223">
        <f t="shared" si="52"/>
        <v>0</v>
      </c>
      <c r="DJ223">
        <f>DF223</f>
        <v>210.79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ROW(Source!A379)</f>
        <v>379</v>
      </c>
      <c r="B224">
        <v>57034454</v>
      </c>
      <c r="C224">
        <v>57035174</v>
      </c>
      <c r="D224">
        <v>0</v>
      </c>
      <c r="E224">
        <v>0</v>
      </c>
      <c r="F224">
        <v>1</v>
      </c>
      <c r="G224">
        <v>1081</v>
      </c>
      <c r="H224">
        <v>3</v>
      </c>
      <c r="I224" t="s">
        <v>308</v>
      </c>
      <c r="J224" t="s">
        <v>3</v>
      </c>
      <c r="K224" t="s">
        <v>309</v>
      </c>
      <c r="L224">
        <v>1354</v>
      </c>
      <c r="N224">
        <v>1010</v>
      </c>
      <c r="O224" t="s">
        <v>177</v>
      </c>
      <c r="P224" t="s">
        <v>177</v>
      </c>
      <c r="Q224">
        <v>1</v>
      </c>
      <c r="W224">
        <v>0</v>
      </c>
      <c r="X224">
        <v>-1336735901</v>
      </c>
      <c r="Y224">
        <f>(AT224*1)</f>
        <v>1</v>
      </c>
      <c r="AA224">
        <v>1307.04</v>
      </c>
      <c r="AB224">
        <v>0</v>
      </c>
      <c r="AC224">
        <v>0</v>
      </c>
      <c r="AD224">
        <v>0</v>
      </c>
      <c r="AE224">
        <v>172.66</v>
      </c>
      <c r="AF224">
        <v>0</v>
      </c>
      <c r="AG224">
        <v>0</v>
      </c>
      <c r="AH224">
        <v>0</v>
      </c>
      <c r="AI224">
        <v>7.57</v>
      </c>
      <c r="AJ224">
        <v>1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 t="s">
        <v>3</v>
      </c>
      <c r="AT224">
        <v>1</v>
      </c>
      <c r="AU224" t="s">
        <v>104</v>
      </c>
      <c r="AV224">
        <v>0</v>
      </c>
      <c r="AW224">
        <v>1</v>
      </c>
      <c r="AX224">
        <v>-1</v>
      </c>
      <c r="AY224">
        <v>0</v>
      </c>
      <c r="AZ224">
        <v>0</v>
      </c>
      <c r="BA224" t="s">
        <v>3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ROUND(Y224*Source!I379,9)</f>
        <v>20</v>
      </c>
      <c r="CY224">
        <f>AA224</f>
        <v>1307.04</v>
      </c>
      <c r="CZ224">
        <f>AE224</f>
        <v>172.66</v>
      </c>
      <c r="DA224">
        <f>AI224</f>
        <v>7.57</v>
      </c>
      <c r="DB224">
        <f>ROUND((ROUND(AT224*CZ224,2)*1),6)</f>
        <v>172.66</v>
      </c>
      <c r="DC224">
        <f>ROUND((ROUND(AT224*AG224,2)*1),6)</f>
        <v>0</v>
      </c>
      <c r="DD224" t="s">
        <v>3</v>
      </c>
      <c r="DE224" t="s">
        <v>3</v>
      </c>
      <c r="DF224">
        <f>ROUND(ROUND(AE224*AI224,2)*CX224,2)</f>
        <v>26140.799999999999</v>
      </c>
      <c r="DG224">
        <f t="shared" si="54"/>
        <v>0</v>
      </c>
      <c r="DH224">
        <f t="shared" si="55"/>
        <v>0</v>
      </c>
      <c r="DI224">
        <f t="shared" si="52"/>
        <v>0</v>
      </c>
      <c r="DJ224">
        <f>DF224</f>
        <v>26140.799999999999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ROW(Source!A382)</f>
        <v>382</v>
      </c>
      <c r="B225">
        <v>57034452</v>
      </c>
      <c r="C225">
        <v>57035185</v>
      </c>
      <c r="D225">
        <v>55424304</v>
      </c>
      <c r="E225">
        <v>1081</v>
      </c>
      <c r="F225">
        <v>1</v>
      </c>
      <c r="G225">
        <v>1081</v>
      </c>
      <c r="H225">
        <v>1</v>
      </c>
      <c r="I225" t="s">
        <v>459</v>
      </c>
      <c r="J225" t="s">
        <v>3</v>
      </c>
      <c r="K225" t="s">
        <v>460</v>
      </c>
      <c r="L225">
        <v>1191</v>
      </c>
      <c r="N225">
        <v>1013</v>
      </c>
      <c r="O225" t="s">
        <v>461</v>
      </c>
      <c r="P225" t="s">
        <v>461</v>
      </c>
      <c r="Q225">
        <v>1</v>
      </c>
      <c r="W225">
        <v>0</v>
      </c>
      <c r="X225">
        <v>476480486</v>
      </c>
      <c r="Y225">
        <f>(AT225*1.2)</f>
        <v>1.44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-2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1.2</v>
      </c>
      <c r="AU225" t="s">
        <v>105</v>
      </c>
      <c r="AV225">
        <v>1</v>
      </c>
      <c r="AW225">
        <v>2</v>
      </c>
      <c r="AX225">
        <v>57035188</v>
      </c>
      <c r="AY225">
        <v>1</v>
      </c>
      <c r="AZ225">
        <v>0</v>
      </c>
      <c r="BA225">
        <v>239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U225">
        <f>ROUND(AT225*Source!I382*AH225*AL225,2)</f>
        <v>0</v>
      </c>
      <c r="CV225">
        <f>ROUND(Y225*Source!I382,9)</f>
        <v>120.96</v>
      </c>
      <c r="CW225">
        <v>0</v>
      </c>
      <c r="CX225">
        <f>ROUND(Y225*Source!I382,9)</f>
        <v>120.96</v>
      </c>
      <c r="CY225">
        <f>AD225</f>
        <v>0</v>
      </c>
      <c r="CZ225">
        <f>AH225</f>
        <v>0</v>
      </c>
      <c r="DA225">
        <f>AL225</f>
        <v>1</v>
      </c>
      <c r="DB225">
        <f>ROUND((ROUND(AT225*CZ225,2)*1.2),6)</f>
        <v>0</v>
      </c>
      <c r="DC225">
        <f>ROUND((ROUND(AT225*AG225,2)*1.2),6)</f>
        <v>0</v>
      </c>
      <c r="DD225" t="s">
        <v>3</v>
      </c>
      <c r="DE225" t="s">
        <v>3</v>
      </c>
      <c r="DF225">
        <f>ROUND(ROUND(AE225,2)*CX225,2)</f>
        <v>0</v>
      </c>
      <c r="DG225">
        <f t="shared" si="54"/>
        <v>0</v>
      </c>
      <c r="DH225">
        <f t="shared" si="55"/>
        <v>0</v>
      </c>
      <c r="DI225">
        <f t="shared" si="52"/>
        <v>0</v>
      </c>
      <c r="DJ225">
        <f>DI225</f>
        <v>0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5">
      <c r="A226">
        <f>ROW(Source!A382)</f>
        <v>382</v>
      </c>
      <c r="B226">
        <v>57034452</v>
      </c>
      <c r="C226">
        <v>57035185</v>
      </c>
      <c r="D226">
        <v>0</v>
      </c>
      <c r="E226">
        <v>0</v>
      </c>
      <c r="F226">
        <v>1</v>
      </c>
      <c r="G226">
        <v>1081</v>
      </c>
      <c r="H226">
        <v>3</v>
      </c>
      <c r="I226" t="s">
        <v>313</v>
      </c>
      <c r="J226" t="s">
        <v>3</v>
      </c>
      <c r="K226" t="s">
        <v>314</v>
      </c>
      <c r="L226">
        <v>1354</v>
      </c>
      <c r="N226">
        <v>1010</v>
      </c>
      <c r="O226" t="s">
        <v>177</v>
      </c>
      <c r="P226" t="s">
        <v>177</v>
      </c>
      <c r="Q226">
        <v>1</v>
      </c>
      <c r="W226">
        <v>0</v>
      </c>
      <c r="X226">
        <v>201737739</v>
      </c>
      <c r="Y226">
        <f>(AT226*1)</f>
        <v>1</v>
      </c>
      <c r="AA226">
        <v>76.94</v>
      </c>
      <c r="AB226">
        <v>0</v>
      </c>
      <c r="AC226">
        <v>0</v>
      </c>
      <c r="AD226">
        <v>0</v>
      </c>
      <c r="AE226">
        <v>76.939999999999984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 t="s">
        <v>3</v>
      </c>
      <c r="AT226">
        <v>1</v>
      </c>
      <c r="AU226" t="s">
        <v>104</v>
      </c>
      <c r="AV226">
        <v>0</v>
      </c>
      <c r="AW226">
        <v>1</v>
      </c>
      <c r="AX226">
        <v>-1</v>
      </c>
      <c r="AY226">
        <v>0</v>
      </c>
      <c r="AZ226">
        <v>0</v>
      </c>
      <c r="BA226" t="s">
        <v>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ROUND(Y226*Source!I382,9)</f>
        <v>84</v>
      </c>
      <c r="CY226">
        <f>AA226</f>
        <v>76.94</v>
      </c>
      <c r="CZ226">
        <f>AE226</f>
        <v>76.939999999999984</v>
      </c>
      <c r="DA226">
        <f>AI226</f>
        <v>1</v>
      </c>
      <c r="DB226">
        <f>ROUND((ROUND(AT226*CZ226,2)*1),6)</f>
        <v>76.94</v>
      </c>
      <c r="DC226">
        <f>ROUND((ROUND(AT226*AG226,2)*1),6)</f>
        <v>0</v>
      </c>
      <c r="DD226" t="s">
        <v>3</v>
      </c>
      <c r="DE226" t="s">
        <v>3</v>
      </c>
      <c r="DF226">
        <f>ROUND(ROUND(AE226,2)*CX226,2)</f>
        <v>6462.96</v>
      </c>
      <c r="DG226">
        <f t="shared" si="54"/>
        <v>0</v>
      </c>
      <c r="DH226">
        <f t="shared" si="55"/>
        <v>0</v>
      </c>
      <c r="DI226">
        <f t="shared" si="52"/>
        <v>0</v>
      </c>
      <c r="DJ226">
        <f>DF226</f>
        <v>6462.96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ROW(Source!A383)</f>
        <v>383</v>
      </c>
      <c r="B227">
        <v>57034454</v>
      </c>
      <c r="C227">
        <v>57035185</v>
      </c>
      <c r="D227">
        <v>55424304</v>
      </c>
      <c r="E227">
        <v>1081</v>
      </c>
      <c r="F227">
        <v>1</v>
      </c>
      <c r="G227">
        <v>1081</v>
      </c>
      <c r="H227">
        <v>1</v>
      </c>
      <c r="I227" t="s">
        <v>459</v>
      </c>
      <c r="J227" t="s">
        <v>3</v>
      </c>
      <c r="K227" t="s">
        <v>460</v>
      </c>
      <c r="L227">
        <v>1191</v>
      </c>
      <c r="N227">
        <v>1013</v>
      </c>
      <c r="O227" t="s">
        <v>461</v>
      </c>
      <c r="P227" t="s">
        <v>461</v>
      </c>
      <c r="Q227">
        <v>1</v>
      </c>
      <c r="W227">
        <v>0</v>
      </c>
      <c r="X227">
        <v>476480486</v>
      </c>
      <c r="Y227">
        <f>(AT227*1.2)</f>
        <v>1.44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5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1.2</v>
      </c>
      <c r="AU227" t="s">
        <v>105</v>
      </c>
      <c r="AV227">
        <v>1</v>
      </c>
      <c r="AW227">
        <v>2</v>
      </c>
      <c r="AX227">
        <v>57035188</v>
      </c>
      <c r="AY227">
        <v>1</v>
      </c>
      <c r="AZ227">
        <v>0</v>
      </c>
      <c r="BA227">
        <v>240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U227">
        <f>ROUND(AT227*Source!I383*AH227*AL227,2)</f>
        <v>0</v>
      </c>
      <c r="CV227">
        <f>ROUND(Y227*Source!I383,9)</f>
        <v>120.96</v>
      </c>
      <c r="CW227">
        <v>0</v>
      </c>
      <c r="CX227">
        <f>ROUND(Y227*Source!I383,9)</f>
        <v>120.96</v>
      </c>
      <c r="CY227">
        <f>AD227</f>
        <v>0</v>
      </c>
      <c r="CZ227">
        <f>AH227</f>
        <v>0</v>
      </c>
      <c r="DA227">
        <f>AL227</f>
        <v>1</v>
      </c>
      <c r="DB227">
        <f>ROUND((ROUND(AT227*CZ227,2)*1.2),6)</f>
        <v>0</v>
      </c>
      <c r="DC227">
        <f>ROUND((ROUND(AT227*AG227,2)*1.2),6)</f>
        <v>0</v>
      </c>
      <c r="DD227" t="s">
        <v>3</v>
      </c>
      <c r="DE227" t="s">
        <v>3</v>
      </c>
      <c r="DF227">
        <f>ROUND(ROUND(AE227,2)*CX227,2)</f>
        <v>0</v>
      </c>
      <c r="DG227">
        <f t="shared" si="54"/>
        <v>0</v>
      </c>
      <c r="DH227">
        <f t="shared" si="55"/>
        <v>0</v>
      </c>
      <c r="DI227">
        <f t="shared" si="52"/>
        <v>0</v>
      </c>
      <c r="DJ227">
        <f>DI227</f>
        <v>0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ROW(Source!A383)</f>
        <v>383</v>
      </c>
      <c r="B228">
        <v>57034454</v>
      </c>
      <c r="C228">
        <v>57035185</v>
      </c>
      <c r="D228">
        <v>0</v>
      </c>
      <c r="E228">
        <v>0</v>
      </c>
      <c r="F228">
        <v>1</v>
      </c>
      <c r="G228">
        <v>1081</v>
      </c>
      <c r="H228">
        <v>3</v>
      </c>
      <c r="I228" t="s">
        <v>313</v>
      </c>
      <c r="J228" t="s">
        <v>3</v>
      </c>
      <c r="K228" t="s">
        <v>314</v>
      </c>
      <c r="L228">
        <v>1354</v>
      </c>
      <c r="N228">
        <v>1010</v>
      </c>
      <c r="O228" t="s">
        <v>177</v>
      </c>
      <c r="P228" t="s">
        <v>177</v>
      </c>
      <c r="Q228">
        <v>1</v>
      </c>
      <c r="W228">
        <v>0</v>
      </c>
      <c r="X228">
        <v>201737739</v>
      </c>
      <c r="Y228">
        <f>(AT228*1)</f>
        <v>1</v>
      </c>
      <c r="AA228">
        <v>582.44000000000005</v>
      </c>
      <c r="AB228">
        <v>0</v>
      </c>
      <c r="AC228">
        <v>0</v>
      </c>
      <c r="AD228">
        <v>0</v>
      </c>
      <c r="AE228">
        <v>76.939999999999984</v>
      </c>
      <c r="AF228">
        <v>0</v>
      </c>
      <c r="AG228">
        <v>0</v>
      </c>
      <c r="AH228">
        <v>0</v>
      </c>
      <c r="AI228">
        <v>7.57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 t="s">
        <v>3</v>
      </c>
      <c r="AT228">
        <v>1</v>
      </c>
      <c r="AU228" t="s">
        <v>104</v>
      </c>
      <c r="AV228">
        <v>0</v>
      </c>
      <c r="AW228">
        <v>1</v>
      </c>
      <c r="AX228">
        <v>-1</v>
      </c>
      <c r="AY228">
        <v>0</v>
      </c>
      <c r="AZ228">
        <v>0</v>
      </c>
      <c r="BA228" t="s">
        <v>3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ROUND(Y228*Source!I383,9)</f>
        <v>84</v>
      </c>
      <c r="CY228">
        <f>AA228</f>
        <v>582.44000000000005</v>
      </c>
      <c r="CZ228">
        <f>AE228</f>
        <v>76.939999999999984</v>
      </c>
      <c r="DA228">
        <f>AI228</f>
        <v>7.57</v>
      </c>
      <c r="DB228">
        <f>ROUND((ROUND(AT228*CZ228,2)*1),6)</f>
        <v>76.94</v>
      </c>
      <c r="DC228">
        <f>ROUND((ROUND(AT228*AG228,2)*1),6)</f>
        <v>0</v>
      </c>
      <c r="DD228" t="s">
        <v>3</v>
      </c>
      <c r="DE228" t="s">
        <v>3</v>
      </c>
      <c r="DF228">
        <f>ROUND(ROUND(AE228*AI228,2)*CX228,2)</f>
        <v>48924.959999999999</v>
      </c>
      <c r="DG228">
        <f t="shared" si="54"/>
        <v>0</v>
      </c>
      <c r="DH228">
        <f t="shared" si="55"/>
        <v>0</v>
      </c>
      <c r="DI228">
        <f t="shared" si="52"/>
        <v>0</v>
      </c>
      <c r="DJ228">
        <f>DF228</f>
        <v>48924.959999999999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ROW(Source!A386)</f>
        <v>386</v>
      </c>
      <c r="B229">
        <v>57034452</v>
      </c>
      <c r="C229">
        <v>57036091</v>
      </c>
      <c r="D229">
        <v>55424304</v>
      </c>
      <c r="E229">
        <v>1081</v>
      </c>
      <c r="F229">
        <v>1</v>
      </c>
      <c r="G229">
        <v>1081</v>
      </c>
      <c r="H229">
        <v>1</v>
      </c>
      <c r="I229" t="s">
        <v>459</v>
      </c>
      <c r="J229" t="s">
        <v>3</v>
      </c>
      <c r="K229" t="s">
        <v>460</v>
      </c>
      <c r="L229">
        <v>1191</v>
      </c>
      <c r="N229">
        <v>1013</v>
      </c>
      <c r="O229" t="s">
        <v>461</v>
      </c>
      <c r="P229" t="s">
        <v>461</v>
      </c>
      <c r="Q229">
        <v>1</v>
      </c>
      <c r="W229">
        <v>0</v>
      </c>
      <c r="X229">
        <v>476480486</v>
      </c>
      <c r="Y229">
        <f>(AT229*1.2)</f>
        <v>6.1800000000000006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5.15</v>
      </c>
      <c r="AU229" t="s">
        <v>105</v>
      </c>
      <c r="AV229">
        <v>1</v>
      </c>
      <c r="AW229">
        <v>2</v>
      </c>
      <c r="AX229">
        <v>57036092</v>
      </c>
      <c r="AY229">
        <v>1</v>
      </c>
      <c r="AZ229">
        <v>0</v>
      </c>
      <c r="BA229">
        <v>241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U229">
        <f>ROUND(AT229*Source!I386*AH229*AL229,2)</f>
        <v>0</v>
      </c>
      <c r="CV229">
        <f>ROUND(Y229*Source!I386,9)</f>
        <v>92.7</v>
      </c>
      <c r="CW229">
        <v>0</v>
      </c>
      <c r="CX229">
        <f>ROUND(Y229*Source!I386,9)</f>
        <v>92.7</v>
      </c>
      <c r="CY229">
        <f>AD229</f>
        <v>0</v>
      </c>
      <c r="CZ229">
        <f>AH229</f>
        <v>0</v>
      </c>
      <c r="DA229">
        <f>AL229</f>
        <v>1</v>
      </c>
      <c r="DB229">
        <f>ROUND((ROUND(AT229*CZ229,2)*1.2),6)</f>
        <v>0</v>
      </c>
      <c r="DC229">
        <f>ROUND((ROUND(AT229*AG229,2)*1.2),6)</f>
        <v>0</v>
      </c>
      <c r="DD229" t="s">
        <v>3</v>
      </c>
      <c r="DE229" t="s">
        <v>3</v>
      </c>
      <c r="DF229">
        <f t="shared" ref="DF229:DF243" si="56">ROUND(ROUND(AE229,2)*CX229,2)</f>
        <v>0</v>
      </c>
      <c r="DG229">
        <f t="shared" si="54"/>
        <v>0</v>
      </c>
      <c r="DH229">
        <f t="shared" si="55"/>
        <v>0</v>
      </c>
      <c r="DI229">
        <f t="shared" si="52"/>
        <v>0</v>
      </c>
      <c r="DJ229">
        <f>DI229</f>
        <v>0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ROW(Source!A386)</f>
        <v>386</v>
      </c>
      <c r="B230">
        <v>57034452</v>
      </c>
      <c r="C230">
        <v>57036091</v>
      </c>
      <c r="D230">
        <v>55489910</v>
      </c>
      <c r="E230">
        <v>1</v>
      </c>
      <c r="F230">
        <v>1</v>
      </c>
      <c r="G230">
        <v>1081</v>
      </c>
      <c r="H230">
        <v>2</v>
      </c>
      <c r="I230" t="s">
        <v>512</v>
      </c>
      <c r="J230" t="s">
        <v>513</v>
      </c>
      <c r="K230" t="s">
        <v>514</v>
      </c>
      <c r="L230">
        <v>1368</v>
      </c>
      <c r="N230">
        <v>1011</v>
      </c>
      <c r="O230" t="s">
        <v>465</v>
      </c>
      <c r="P230" t="s">
        <v>465</v>
      </c>
      <c r="Q230">
        <v>1</v>
      </c>
      <c r="W230">
        <v>0</v>
      </c>
      <c r="X230">
        <v>1498588441</v>
      </c>
      <c r="Y230">
        <f>(AT230*1.2)</f>
        <v>0.24</v>
      </c>
      <c r="AA230">
        <v>0</v>
      </c>
      <c r="AB230">
        <v>7.44</v>
      </c>
      <c r="AC230">
        <v>0</v>
      </c>
      <c r="AD230">
        <v>0</v>
      </c>
      <c r="AE230">
        <v>0</v>
      </c>
      <c r="AF230">
        <v>7.11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0.2</v>
      </c>
      <c r="AU230" t="s">
        <v>105</v>
      </c>
      <c r="AV230">
        <v>0</v>
      </c>
      <c r="AW230">
        <v>2</v>
      </c>
      <c r="AX230">
        <v>57036093</v>
      </c>
      <c r="AY230">
        <v>1</v>
      </c>
      <c r="AZ230">
        <v>0</v>
      </c>
      <c r="BA230">
        <v>242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f>ROUND(Y230*Source!I386*DO230,9)</f>
        <v>0</v>
      </c>
      <c r="CX230">
        <f>ROUND(Y230*Source!I386,9)</f>
        <v>3.6</v>
      </c>
      <c r="CY230">
        <f>AB230</f>
        <v>7.44</v>
      </c>
      <c r="CZ230">
        <f>AF230</f>
        <v>7.11</v>
      </c>
      <c r="DA230">
        <f>AJ230</f>
        <v>1</v>
      </c>
      <c r="DB230">
        <f>ROUND((ROUND(AT230*CZ230,2)*1.2),6)</f>
        <v>1.704</v>
      </c>
      <c r="DC230">
        <f>ROUND((ROUND(AT230*AG230,2)*1.2),6)</f>
        <v>0</v>
      </c>
      <c r="DD230" t="s">
        <v>3</v>
      </c>
      <c r="DE230" t="s">
        <v>3</v>
      </c>
      <c r="DF230">
        <f t="shared" si="56"/>
        <v>0</v>
      </c>
      <c r="DG230">
        <f t="shared" si="54"/>
        <v>25.6</v>
      </c>
      <c r="DH230">
        <f t="shared" si="55"/>
        <v>0</v>
      </c>
      <c r="DI230">
        <f t="shared" si="52"/>
        <v>0</v>
      </c>
      <c r="DJ230">
        <f>DG230</f>
        <v>25.6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ROW(Source!A386)</f>
        <v>386</v>
      </c>
      <c r="B231">
        <v>57034452</v>
      </c>
      <c r="C231">
        <v>57036091</v>
      </c>
      <c r="D231">
        <v>55490209</v>
      </c>
      <c r="E231">
        <v>1</v>
      </c>
      <c r="F231">
        <v>1</v>
      </c>
      <c r="G231">
        <v>1081</v>
      </c>
      <c r="H231">
        <v>2</v>
      </c>
      <c r="I231" t="s">
        <v>462</v>
      </c>
      <c r="J231" t="s">
        <v>463</v>
      </c>
      <c r="K231" t="s">
        <v>464</v>
      </c>
      <c r="L231">
        <v>1368</v>
      </c>
      <c r="N231">
        <v>1011</v>
      </c>
      <c r="O231" t="s">
        <v>465</v>
      </c>
      <c r="P231" t="s">
        <v>465</v>
      </c>
      <c r="Q231">
        <v>1</v>
      </c>
      <c r="W231">
        <v>0</v>
      </c>
      <c r="X231">
        <v>874612079</v>
      </c>
      <c r="Y231">
        <f>(AT231*1.2)</f>
        <v>3.5999999999999997E-2</v>
      </c>
      <c r="AA231">
        <v>0</v>
      </c>
      <c r="AB231">
        <v>87.01</v>
      </c>
      <c r="AC231">
        <v>13.21</v>
      </c>
      <c r="AD231">
        <v>0</v>
      </c>
      <c r="AE231">
        <v>0</v>
      </c>
      <c r="AF231">
        <v>83.1</v>
      </c>
      <c r="AG231">
        <v>12.62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0.03</v>
      </c>
      <c r="AU231" t="s">
        <v>105</v>
      </c>
      <c r="AV231">
        <v>0</v>
      </c>
      <c r="AW231">
        <v>2</v>
      </c>
      <c r="AX231">
        <v>57036094</v>
      </c>
      <c r="AY231">
        <v>1</v>
      </c>
      <c r="AZ231">
        <v>0</v>
      </c>
      <c r="BA231">
        <v>243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f>ROUND(Y231*Source!I386*DO231,9)</f>
        <v>6.8148</v>
      </c>
      <c r="CX231">
        <f>ROUND(Y231*Source!I386,9)</f>
        <v>0.54</v>
      </c>
      <c r="CY231">
        <f>AB231</f>
        <v>87.01</v>
      </c>
      <c r="CZ231">
        <f>AF231</f>
        <v>83.1</v>
      </c>
      <c r="DA231">
        <f>AJ231</f>
        <v>1</v>
      </c>
      <c r="DB231">
        <f>ROUND((ROUND(AT231*CZ231,2)*1.2),6)</f>
        <v>2.988</v>
      </c>
      <c r="DC231">
        <f>ROUND((ROUND(AT231*AG231,2)*1.2),6)</f>
        <v>0.45600000000000002</v>
      </c>
      <c r="DD231" t="s">
        <v>3</v>
      </c>
      <c r="DE231" t="s">
        <v>3</v>
      </c>
      <c r="DF231">
        <f t="shared" si="56"/>
        <v>0</v>
      </c>
      <c r="DG231">
        <f t="shared" si="54"/>
        <v>44.87</v>
      </c>
      <c r="DH231">
        <f t="shared" si="55"/>
        <v>6.81</v>
      </c>
      <c r="DI231">
        <f t="shared" si="52"/>
        <v>0</v>
      </c>
      <c r="DJ231">
        <f>DG231</f>
        <v>44.87</v>
      </c>
      <c r="DK231">
        <v>0</v>
      </c>
      <c r="DL231" t="s">
        <v>466</v>
      </c>
      <c r="DM231">
        <v>0</v>
      </c>
      <c r="DN231" t="s">
        <v>461</v>
      </c>
      <c r="DO231">
        <v>12.62</v>
      </c>
    </row>
    <row r="232" spans="1:119" x14ac:dyDescent="0.25">
      <c r="A232">
        <f>ROW(Source!A386)</f>
        <v>386</v>
      </c>
      <c r="B232">
        <v>57034452</v>
      </c>
      <c r="C232">
        <v>57036091</v>
      </c>
      <c r="D232">
        <v>55490285</v>
      </c>
      <c r="E232">
        <v>1</v>
      </c>
      <c r="F232">
        <v>1</v>
      </c>
      <c r="G232">
        <v>1081</v>
      </c>
      <c r="H232">
        <v>2</v>
      </c>
      <c r="I232" t="s">
        <v>515</v>
      </c>
      <c r="J232" t="s">
        <v>516</v>
      </c>
      <c r="K232" t="s">
        <v>517</v>
      </c>
      <c r="L232">
        <v>1368</v>
      </c>
      <c r="N232">
        <v>1011</v>
      </c>
      <c r="O232" t="s">
        <v>465</v>
      </c>
      <c r="P232" t="s">
        <v>465</v>
      </c>
      <c r="Q232">
        <v>1</v>
      </c>
      <c r="W232">
        <v>0</v>
      </c>
      <c r="X232">
        <v>722575015</v>
      </c>
      <c r="Y232">
        <f>(AT232*1.2)</f>
        <v>0.55200000000000005</v>
      </c>
      <c r="AA232">
        <v>0</v>
      </c>
      <c r="AB232">
        <v>0.82</v>
      </c>
      <c r="AC232">
        <v>0</v>
      </c>
      <c r="AD232">
        <v>0</v>
      </c>
      <c r="AE232">
        <v>0</v>
      </c>
      <c r="AF232">
        <v>0.78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0.46</v>
      </c>
      <c r="AU232" t="s">
        <v>105</v>
      </c>
      <c r="AV232">
        <v>0</v>
      </c>
      <c r="AW232">
        <v>2</v>
      </c>
      <c r="AX232">
        <v>57036095</v>
      </c>
      <c r="AY232">
        <v>1</v>
      </c>
      <c r="AZ232">
        <v>0</v>
      </c>
      <c r="BA232">
        <v>244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f>ROUND(Y232*Source!I386*DO232,9)</f>
        <v>0</v>
      </c>
      <c r="CX232">
        <f>ROUND(Y232*Source!I386,9)</f>
        <v>8.2799999999999994</v>
      </c>
      <c r="CY232">
        <f>AB232</f>
        <v>0.82</v>
      </c>
      <c r="CZ232">
        <f>AF232</f>
        <v>0.78</v>
      </c>
      <c r="DA232">
        <f>AJ232</f>
        <v>1</v>
      </c>
      <c r="DB232">
        <f>ROUND((ROUND(AT232*CZ232,2)*1.2),6)</f>
        <v>0.432</v>
      </c>
      <c r="DC232">
        <f>ROUND((ROUND(AT232*AG232,2)*1.2),6)</f>
        <v>0</v>
      </c>
      <c r="DD232" t="s">
        <v>3</v>
      </c>
      <c r="DE232" t="s">
        <v>3</v>
      </c>
      <c r="DF232">
        <f t="shared" si="56"/>
        <v>0</v>
      </c>
      <c r="DG232">
        <f t="shared" si="54"/>
        <v>6.46</v>
      </c>
      <c r="DH232">
        <f t="shared" si="55"/>
        <v>0</v>
      </c>
      <c r="DI232">
        <f t="shared" si="52"/>
        <v>0</v>
      </c>
      <c r="DJ232">
        <f>DG232</f>
        <v>6.46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ROW(Source!A386)</f>
        <v>386</v>
      </c>
      <c r="B233">
        <v>57034452</v>
      </c>
      <c r="C233">
        <v>57036091</v>
      </c>
      <c r="D233">
        <v>55460300</v>
      </c>
      <c r="E233">
        <v>1</v>
      </c>
      <c r="F233">
        <v>1</v>
      </c>
      <c r="G233">
        <v>1081</v>
      </c>
      <c r="H233">
        <v>3</v>
      </c>
      <c r="I233" t="s">
        <v>518</v>
      </c>
      <c r="J233" t="s">
        <v>519</v>
      </c>
      <c r="K233" t="s">
        <v>520</v>
      </c>
      <c r="L233">
        <v>1348</v>
      </c>
      <c r="N233">
        <v>1009</v>
      </c>
      <c r="O233" t="s">
        <v>299</v>
      </c>
      <c r="P233" t="s">
        <v>299</v>
      </c>
      <c r="Q233">
        <v>1000</v>
      </c>
      <c r="W233">
        <v>0</v>
      </c>
      <c r="X233">
        <v>63955816</v>
      </c>
      <c r="Y233">
        <f t="shared" ref="Y233:Y239" si="57">(AT233*1)</f>
        <v>1.21E-4</v>
      </c>
      <c r="AA233">
        <v>7185.82</v>
      </c>
      <c r="AB233">
        <v>0</v>
      </c>
      <c r="AC233">
        <v>0</v>
      </c>
      <c r="AD233">
        <v>0</v>
      </c>
      <c r="AE233">
        <v>7185.82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1.21E-4</v>
      </c>
      <c r="AU233" t="s">
        <v>104</v>
      </c>
      <c r="AV233">
        <v>0</v>
      </c>
      <c r="AW233">
        <v>2</v>
      </c>
      <c r="AX233">
        <v>57036096</v>
      </c>
      <c r="AY233">
        <v>1</v>
      </c>
      <c r="AZ233">
        <v>0</v>
      </c>
      <c r="BA233">
        <v>245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ROUND(Y233*Source!I386,9)</f>
        <v>1.815E-3</v>
      </c>
      <c r="CY233">
        <f t="shared" ref="CY233:CY239" si="58">AA233</f>
        <v>7185.82</v>
      </c>
      <c r="CZ233">
        <f t="shared" ref="CZ233:CZ239" si="59">AE233</f>
        <v>7185.82</v>
      </c>
      <c r="DA233">
        <f t="shared" ref="DA233:DA239" si="60">AI233</f>
        <v>1</v>
      </c>
      <c r="DB233">
        <f t="shared" ref="DB233:DB239" si="61">ROUND((ROUND(AT233*CZ233,2)*1),6)</f>
        <v>0.87</v>
      </c>
      <c r="DC233">
        <f t="shared" ref="DC233:DC239" si="62">ROUND((ROUND(AT233*AG233,2)*1),6)</f>
        <v>0</v>
      </c>
      <c r="DD233" t="s">
        <v>3</v>
      </c>
      <c r="DE233" t="s">
        <v>3</v>
      </c>
      <c r="DF233">
        <f t="shared" si="56"/>
        <v>13.04</v>
      </c>
      <c r="DG233">
        <f t="shared" si="54"/>
        <v>0</v>
      </c>
      <c r="DH233">
        <f t="shared" si="55"/>
        <v>0</v>
      </c>
      <c r="DI233">
        <f t="shared" si="52"/>
        <v>0</v>
      </c>
      <c r="DJ233">
        <f t="shared" ref="DJ233:DJ239" si="63">DF233</f>
        <v>13.04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5">
      <c r="A234">
        <f>ROW(Source!A386)</f>
        <v>386</v>
      </c>
      <c r="B234">
        <v>57034452</v>
      </c>
      <c r="C234">
        <v>57036091</v>
      </c>
      <c r="D234">
        <v>55460309</v>
      </c>
      <c r="E234">
        <v>1</v>
      </c>
      <c r="F234">
        <v>1</v>
      </c>
      <c r="G234">
        <v>1081</v>
      </c>
      <c r="H234">
        <v>3</v>
      </c>
      <c r="I234" t="s">
        <v>521</v>
      </c>
      <c r="J234" t="s">
        <v>522</v>
      </c>
      <c r="K234" t="s">
        <v>523</v>
      </c>
      <c r="L234">
        <v>1346</v>
      </c>
      <c r="N234">
        <v>1009</v>
      </c>
      <c r="O234" t="s">
        <v>433</v>
      </c>
      <c r="P234" t="s">
        <v>433</v>
      </c>
      <c r="Q234">
        <v>1</v>
      </c>
      <c r="W234">
        <v>0</v>
      </c>
      <c r="X234">
        <v>-734926838</v>
      </c>
      <c r="Y234">
        <f t="shared" si="57"/>
        <v>2.3E-2</v>
      </c>
      <c r="AA234">
        <v>29.82</v>
      </c>
      <c r="AB234">
        <v>0</v>
      </c>
      <c r="AC234">
        <v>0</v>
      </c>
      <c r="AD234">
        <v>0</v>
      </c>
      <c r="AE234">
        <v>29.82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2.3E-2</v>
      </c>
      <c r="AU234" t="s">
        <v>104</v>
      </c>
      <c r="AV234">
        <v>0</v>
      </c>
      <c r="AW234">
        <v>2</v>
      </c>
      <c r="AX234">
        <v>57036097</v>
      </c>
      <c r="AY234">
        <v>1</v>
      </c>
      <c r="AZ234">
        <v>0</v>
      </c>
      <c r="BA234">
        <v>246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ROUND(Y234*Source!I386,9)</f>
        <v>0.34499999999999997</v>
      </c>
      <c r="CY234">
        <f t="shared" si="58"/>
        <v>29.82</v>
      </c>
      <c r="CZ234">
        <f t="shared" si="59"/>
        <v>29.82</v>
      </c>
      <c r="DA234">
        <f t="shared" si="60"/>
        <v>1</v>
      </c>
      <c r="DB234">
        <f t="shared" si="61"/>
        <v>0.69</v>
      </c>
      <c r="DC234">
        <f t="shared" si="62"/>
        <v>0</v>
      </c>
      <c r="DD234" t="s">
        <v>3</v>
      </c>
      <c r="DE234" t="s">
        <v>3</v>
      </c>
      <c r="DF234">
        <f t="shared" si="56"/>
        <v>10.29</v>
      </c>
      <c r="DG234">
        <f t="shared" si="54"/>
        <v>0</v>
      </c>
      <c r="DH234">
        <f t="shared" si="55"/>
        <v>0</v>
      </c>
      <c r="DI234">
        <f t="shared" si="52"/>
        <v>0</v>
      </c>
      <c r="DJ234">
        <f t="shared" si="63"/>
        <v>10.29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5">
      <c r="A235">
        <f>ROW(Source!A386)</f>
        <v>386</v>
      </c>
      <c r="B235">
        <v>57034452</v>
      </c>
      <c r="C235">
        <v>57036091</v>
      </c>
      <c r="D235">
        <v>55459280</v>
      </c>
      <c r="E235">
        <v>1</v>
      </c>
      <c r="F235">
        <v>1</v>
      </c>
      <c r="G235">
        <v>1081</v>
      </c>
      <c r="H235">
        <v>3</v>
      </c>
      <c r="I235" t="s">
        <v>524</v>
      </c>
      <c r="J235" t="s">
        <v>525</v>
      </c>
      <c r="K235" t="s">
        <v>526</v>
      </c>
      <c r="L235">
        <v>1348</v>
      </c>
      <c r="N235">
        <v>1009</v>
      </c>
      <c r="O235" t="s">
        <v>299</v>
      </c>
      <c r="P235" t="s">
        <v>299</v>
      </c>
      <c r="Q235">
        <v>1000</v>
      </c>
      <c r="W235">
        <v>0</v>
      </c>
      <c r="X235">
        <v>650902129</v>
      </c>
      <c r="Y235">
        <f t="shared" si="57"/>
        <v>1.8E-5</v>
      </c>
      <c r="AA235">
        <v>18653.07</v>
      </c>
      <c r="AB235">
        <v>0</v>
      </c>
      <c r="AC235">
        <v>0</v>
      </c>
      <c r="AD235">
        <v>0</v>
      </c>
      <c r="AE235">
        <v>18653.07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1.8E-5</v>
      </c>
      <c r="AU235" t="s">
        <v>104</v>
      </c>
      <c r="AV235">
        <v>0</v>
      </c>
      <c r="AW235">
        <v>2</v>
      </c>
      <c r="AX235">
        <v>57036098</v>
      </c>
      <c r="AY235">
        <v>1</v>
      </c>
      <c r="AZ235">
        <v>0</v>
      </c>
      <c r="BA235">
        <v>247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ROUND(Y235*Source!I386,9)</f>
        <v>2.7E-4</v>
      </c>
      <c r="CY235">
        <f t="shared" si="58"/>
        <v>18653.07</v>
      </c>
      <c r="CZ235">
        <f t="shared" si="59"/>
        <v>18653.07</v>
      </c>
      <c r="DA235">
        <f t="shared" si="60"/>
        <v>1</v>
      </c>
      <c r="DB235">
        <f t="shared" si="61"/>
        <v>0.34</v>
      </c>
      <c r="DC235">
        <f t="shared" si="62"/>
        <v>0</v>
      </c>
      <c r="DD235" t="s">
        <v>3</v>
      </c>
      <c r="DE235" t="s">
        <v>3</v>
      </c>
      <c r="DF235">
        <f t="shared" si="56"/>
        <v>5.04</v>
      </c>
      <c r="DG235">
        <f t="shared" si="54"/>
        <v>0</v>
      </c>
      <c r="DH235">
        <f t="shared" si="55"/>
        <v>0</v>
      </c>
      <c r="DI235">
        <f t="shared" si="52"/>
        <v>0</v>
      </c>
      <c r="DJ235">
        <f t="shared" si="63"/>
        <v>5.04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ROW(Source!A386)</f>
        <v>386</v>
      </c>
      <c r="B236">
        <v>57034452</v>
      </c>
      <c r="C236">
        <v>57036091</v>
      </c>
      <c r="D236">
        <v>55461069</v>
      </c>
      <c r="E236">
        <v>1</v>
      </c>
      <c r="F236">
        <v>1</v>
      </c>
      <c r="G236">
        <v>1081</v>
      </c>
      <c r="H236">
        <v>3</v>
      </c>
      <c r="I236" t="s">
        <v>527</v>
      </c>
      <c r="J236" t="s">
        <v>528</v>
      </c>
      <c r="K236" t="s">
        <v>529</v>
      </c>
      <c r="L236">
        <v>1348</v>
      </c>
      <c r="N236">
        <v>1009</v>
      </c>
      <c r="O236" t="s">
        <v>299</v>
      </c>
      <c r="P236" t="s">
        <v>299</v>
      </c>
      <c r="Q236">
        <v>1000</v>
      </c>
      <c r="W236">
        <v>0</v>
      </c>
      <c r="X236">
        <v>-1438474524</v>
      </c>
      <c r="Y236">
        <f t="shared" si="57"/>
        <v>2.3780000000000001E-4</v>
      </c>
      <c r="AA236">
        <v>11487.92</v>
      </c>
      <c r="AB236">
        <v>0</v>
      </c>
      <c r="AC236">
        <v>0</v>
      </c>
      <c r="AD236">
        <v>0</v>
      </c>
      <c r="AE236">
        <v>11487.92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2.3780000000000001E-4</v>
      </c>
      <c r="AU236" t="s">
        <v>104</v>
      </c>
      <c r="AV236">
        <v>0</v>
      </c>
      <c r="AW236">
        <v>2</v>
      </c>
      <c r="AX236">
        <v>57036099</v>
      </c>
      <c r="AY236">
        <v>1</v>
      </c>
      <c r="AZ236">
        <v>0</v>
      </c>
      <c r="BA236">
        <v>248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ROUND(Y236*Source!I386,9)</f>
        <v>3.5669999999999999E-3</v>
      </c>
      <c r="CY236">
        <f t="shared" si="58"/>
        <v>11487.92</v>
      </c>
      <c r="CZ236">
        <f t="shared" si="59"/>
        <v>11487.92</v>
      </c>
      <c r="DA236">
        <f t="shared" si="60"/>
        <v>1</v>
      </c>
      <c r="DB236">
        <f t="shared" si="61"/>
        <v>2.73</v>
      </c>
      <c r="DC236">
        <f t="shared" si="62"/>
        <v>0</v>
      </c>
      <c r="DD236" t="s">
        <v>3</v>
      </c>
      <c r="DE236" t="s">
        <v>3</v>
      </c>
      <c r="DF236">
        <f t="shared" si="56"/>
        <v>40.98</v>
      </c>
      <c r="DG236">
        <f t="shared" si="54"/>
        <v>0</v>
      </c>
      <c r="DH236">
        <f t="shared" si="55"/>
        <v>0</v>
      </c>
      <c r="DI236">
        <f t="shared" si="52"/>
        <v>0</v>
      </c>
      <c r="DJ236">
        <f t="shared" si="63"/>
        <v>40.98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ROW(Source!A386)</f>
        <v>386</v>
      </c>
      <c r="B237">
        <v>57034452</v>
      </c>
      <c r="C237">
        <v>57036091</v>
      </c>
      <c r="D237">
        <v>55461632</v>
      </c>
      <c r="E237">
        <v>1</v>
      </c>
      <c r="F237">
        <v>1</v>
      </c>
      <c r="G237">
        <v>1081</v>
      </c>
      <c r="H237">
        <v>3</v>
      </c>
      <c r="I237" t="s">
        <v>530</v>
      </c>
      <c r="J237" t="s">
        <v>531</v>
      </c>
      <c r="K237" t="s">
        <v>532</v>
      </c>
      <c r="L237">
        <v>1348</v>
      </c>
      <c r="N237">
        <v>1009</v>
      </c>
      <c r="O237" t="s">
        <v>299</v>
      </c>
      <c r="P237" t="s">
        <v>299</v>
      </c>
      <c r="Q237">
        <v>1000</v>
      </c>
      <c r="W237">
        <v>0</v>
      </c>
      <c r="X237">
        <v>567151722</v>
      </c>
      <c r="Y237">
        <f t="shared" si="57"/>
        <v>7.0000000000000001E-3</v>
      </c>
      <c r="AA237">
        <v>12089.95</v>
      </c>
      <c r="AB237">
        <v>0</v>
      </c>
      <c r="AC237">
        <v>0</v>
      </c>
      <c r="AD237">
        <v>0</v>
      </c>
      <c r="AE237">
        <v>12089.95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-2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7.0000000000000001E-3</v>
      </c>
      <c r="AU237" t="s">
        <v>104</v>
      </c>
      <c r="AV237">
        <v>0</v>
      </c>
      <c r="AW237">
        <v>2</v>
      </c>
      <c r="AX237">
        <v>57036100</v>
      </c>
      <c r="AY237">
        <v>1</v>
      </c>
      <c r="AZ237">
        <v>0</v>
      </c>
      <c r="BA237">
        <v>249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ROUND(Y237*Source!I386,9)</f>
        <v>0.105</v>
      </c>
      <c r="CY237">
        <f t="shared" si="58"/>
        <v>12089.95</v>
      </c>
      <c r="CZ237">
        <f t="shared" si="59"/>
        <v>12089.95</v>
      </c>
      <c r="DA237">
        <f t="shared" si="60"/>
        <v>1</v>
      </c>
      <c r="DB237">
        <f t="shared" si="61"/>
        <v>84.63</v>
      </c>
      <c r="DC237">
        <f t="shared" si="62"/>
        <v>0</v>
      </c>
      <c r="DD237" t="s">
        <v>3</v>
      </c>
      <c r="DE237" t="s">
        <v>3</v>
      </c>
      <c r="DF237">
        <f t="shared" si="56"/>
        <v>1269.44</v>
      </c>
      <c r="DG237">
        <f t="shared" si="54"/>
        <v>0</v>
      </c>
      <c r="DH237">
        <f t="shared" si="55"/>
        <v>0</v>
      </c>
      <c r="DI237">
        <f t="shared" si="52"/>
        <v>0</v>
      </c>
      <c r="DJ237">
        <f t="shared" si="63"/>
        <v>1269.44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ROW(Source!A386)</f>
        <v>386</v>
      </c>
      <c r="B238">
        <v>57034452</v>
      </c>
      <c r="C238">
        <v>57036091</v>
      </c>
      <c r="D238">
        <v>55459831</v>
      </c>
      <c r="E238">
        <v>1</v>
      </c>
      <c r="F238">
        <v>1</v>
      </c>
      <c r="G238">
        <v>1081</v>
      </c>
      <c r="H238">
        <v>3</v>
      </c>
      <c r="I238" t="s">
        <v>533</v>
      </c>
      <c r="J238" t="s">
        <v>534</v>
      </c>
      <c r="K238" t="s">
        <v>535</v>
      </c>
      <c r="L238">
        <v>1348</v>
      </c>
      <c r="N238">
        <v>1009</v>
      </c>
      <c r="O238" t="s">
        <v>299</v>
      </c>
      <c r="P238" t="s">
        <v>299</v>
      </c>
      <c r="Q238">
        <v>1000</v>
      </c>
      <c r="W238">
        <v>0</v>
      </c>
      <c r="X238">
        <v>-425904385</v>
      </c>
      <c r="Y238">
        <f t="shared" si="57"/>
        <v>1.0000000000000001E-5</v>
      </c>
      <c r="AA238">
        <v>8582.42</v>
      </c>
      <c r="AB238">
        <v>0</v>
      </c>
      <c r="AC238">
        <v>0</v>
      </c>
      <c r="AD238">
        <v>0</v>
      </c>
      <c r="AE238">
        <v>8582.42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-2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1.0000000000000001E-5</v>
      </c>
      <c r="AU238" t="s">
        <v>104</v>
      </c>
      <c r="AV238">
        <v>0</v>
      </c>
      <c r="AW238">
        <v>2</v>
      </c>
      <c r="AX238">
        <v>57036101</v>
      </c>
      <c r="AY238">
        <v>1</v>
      </c>
      <c r="AZ238">
        <v>0</v>
      </c>
      <c r="BA238">
        <v>250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ROUND(Y238*Source!I386,9)</f>
        <v>1.4999999999999999E-4</v>
      </c>
      <c r="CY238">
        <f t="shared" si="58"/>
        <v>8582.42</v>
      </c>
      <c r="CZ238">
        <f t="shared" si="59"/>
        <v>8582.42</v>
      </c>
      <c r="DA238">
        <f t="shared" si="60"/>
        <v>1</v>
      </c>
      <c r="DB238">
        <f t="shared" si="61"/>
        <v>0.09</v>
      </c>
      <c r="DC238">
        <f t="shared" si="62"/>
        <v>0</v>
      </c>
      <c r="DD238" t="s">
        <v>3</v>
      </c>
      <c r="DE238" t="s">
        <v>3</v>
      </c>
      <c r="DF238">
        <f t="shared" si="56"/>
        <v>1.29</v>
      </c>
      <c r="DG238">
        <f t="shared" si="54"/>
        <v>0</v>
      </c>
      <c r="DH238">
        <f t="shared" si="55"/>
        <v>0</v>
      </c>
      <c r="DI238">
        <f t="shared" si="52"/>
        <v>0</v>
      </c>
      <c r="DJ238">
        <f t="shared" si="63"/>
        <v>1.29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5">
      <c r="A239">
        <f>ROW(Source!A386)</f>
        <v>386</v>
      </c>
      <c r="B239">
        <v>57034452</v>
      </c>
      <c r="C239">
        <v>57036091</v>
      </c>
      <c r="D239">
        <v>55459835</v>
      </c>
      <c r="E239">
        <v>1</v>
      </c>
      <c r="F239">
        <v>1</v>
      </c>
      <c r="G239">
        <v>1081</v>
      </c>
      <c r="H239">
        <v>3</v>
      </c>
      <c r="I239" t="s">
        <v>536</v>
      </c>
      <c r="J239" t="s">
        <v>537</v>
      </c>
      <c r="K239" t="s">
        <v>538</v>
      </c>
      <c r="L239">
        <v>1348</v>
      </c>
      <c r="N239">
        <v>1009</v>
      </c>
      <c r="O239" t="s">
        <v>299</v>
      </c>
      <c r="P239" t="s">
        <v>299</v>
      </c>
      <c r="Q239">
        <v>1000</v>
      </c>
      <c r="W239">
        <v>0</v>
      </c>
      <c r="X239">
        <v>-1860917919</v>
      </c>
      <c r="Y239">
        <f t="shared" si="57"/>
        <v>1.9999999999999999E-6</v>
      </c>
      <c r="AA239">
        <v>12521.99</v>
      </c>
      <c r="AB239">
        <v>0</v>
      </c>
      <c r="AC239">
        <v>0</v>
      </c>
      <c r="AD239">
        <v>0</v>
      </c>
      <c r="AE239">
        <v>12521.99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-2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1.9999999999999999E-6</v>
      </c>
      <c r="AU239" t="s">
        <v>104</v>
      </c>
      <c r="AV239">
        <v>0</v>
      </c>
      <c r="AW239">
        <v>2</v>
      </c>
      <c r="AX239">
        <v>57036102</v>
      </c>
      <c r="AY239">
        <v>1</v>
      </c>
      <c r="AZ239">
        <v>0</v>
      </c>
      <c r="BA239">
        <v>251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ROUND(Y239*Source!I386,9)</f>
        <v>3.0000000000000001E-5</v>
      </c>
      <c r="CY239">
        <f t="shared" si="58"/>
        <v>12521.99</v>
      </c>
      <c r="CZ239">
        <f t="shared" si="59"/>
        <v>12521.99</v>
      </c>
      <c r="DA239">
        <f t="shared" si="60"/>
        <v>1</v>
      </c>
      <c r="DB239">
        <f t="shared" si="61"/>
        <v>0.03</v>
      </c>
      <c r="DC239">
        <f t="shared" si="62"/>
        <v>0</v>
      </c>
      <c r="DD239" t="s">
        <v>3</v>
      </c>
      <c r="DE239" t="s">
        <v>3</v>
      </c>
      <c r="DF239">
        <f t="shared" si="56"/>
        <v>0.38</v>
      </c>
      <c r="DG239">
        <f t="shared" si="54"/>
        <v>0</v>
      </c>
      <c r="DH239">
        <f t="shared" si="55"/>
        <v>0</v>
      </c>
      <c r="DI239">
        <f t="shared" si="52"/>
        <v>0</v>
      </c>
      <c r="DJ239">
        <f t="shared" si="63"/>
        <v>0.38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ROW(Source!A387)</f>
        <v>387</v>
      </c>
      <c r="B240">
        <v>57034454</v>
      </c>
      <c r="C240">
        <v>57036091</v>
      </c>
      <c r="D240">
        <v>55424304</v>
      </c>
      <c r="E240">
        <v>1081</v>
      </c>
      <c r="F240">
        <v>1</v>
      </c>
      <c r="G240">
        <v>1081</v>
      </c>
      <c r="H240">
        <v>1</v>
      </c>
      <c r="I240" t="s">
        <v>459</v>
      </c>
      <c r="J240" t="s">
        <v>3</v>
      </c>
      <c r="K240" t="s">
        <v>460</v>
      </c>
      <c r="L240">
        <v>1191</v>
      </c>
      <c r="N240">
        <v>1013</v>
      </c>
      <c r="O240" t="s">
        <v>461</v>
      </c>
      <c r="P240" t="s">
        <v>461</v>
      </c>
      <c r="Q240">
        <v>1</v>
      </c>
      <c r="W240">
        <v>0</v>
      </c>
      <c r="X240">
        <v>476480486</v>
      </c>
      <c r="Y240">
        <f>(AT240*1.2)</f>
        <v>6.1800000000000006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5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5.15</v>
      </c>
      <c r="AU240" t="s">
        <v>105</v>
      </c>
      <c r="AV240">
        <v>1</v>
      </c>
      <c r="AW240">
        <v>2</v>
      </c>
      <c r="AX240">
        <v>57036092</v>
      </c>
      <c r="AY240">
        <v>1</v>
      </c>
      <c r="AZ240">
        <v>0</v>
      </c>
      <c r="BA240">
        <v>253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U240">
        <f>ROUND(AT240*Source!I387*AH240*AL240,2)</f>
        <v>0</v>
      </c>
      <c r="CV240">
        <f>ROUND(Y240*Source!I387,9)</f>
        <v>92.7</v>
      </c>
      <c r="CW240">
        <v>0</v>
      </c>
      <c r="CX240">
        <f>ROUND(Y240*Source!I387,9)</f>
        <v>92.7</v>
      </c>
      <c r="CY240">
        <f>AD240</f>
        <v>0</v>
      </c>
      <c r="CZ240">
        <f>AH240</f>
        <v>0</v>
      </c>
      <c r="DA240">
        <f>AL240</f>
        <v>1</v>
      </c>
      <c r="DB240">
        <f>ROUND((ROUND(AT240*CZ240,2)*1.2),6)</f>
        <v>0</v>
      </c>
      <c r="DC240">
        <f>ROUND((ROUND(AT240*AG240,2)*1.2),6)</f>
        <v>0</v>
      </c>
      <c r="DD240" t="s">
        <v>3</v>
      </c>
      <c r="DE240" t="s">
        <v>3</v>
      </c>
      <c r="DF240">
        <f t="shared" si="56"/>
        <v>0</v>
      </c>
      <c r="DG240">
        <f t="shared" si="54"/>
        <v>0</v>
      </c>
      <c r="DH240">
        <f t="shared" si="55"/>
        <v>0</v>
      </c>
      <c r="DI240">
        <f t="shared" si="52"/>
        <v>0</v>
      </c>
      <c r="DJ240">
        <f>DI240</f>
        <v>0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5">
      <c r="A241">
        <f>ROW(Source!A387)</f>
        <v>387</v>
      </c>
      <c r="B241">
        <v>57034454</v>
      </c>
      <c r="C241">
        <v>57036091</v>
      </c>
      <c r="D241">
        <v>55489910</v>
      </c>
      <c r="E241">
        <v>1</v>
      </c>
      <c r="F241">
        <v>1</v>
      </c>
      <c r="G241">
        <v>1081</v>
      </c>
      <c r="H241">
        <v>2</v>
      </c>
      <c r="I241" t="s">
        <v>512</v>
      </c>
      <c r="J241" t="s">
        <v>513</v>
      </c>
      <c r="K241" t="s">
        <v>514</v>
      </c>
      <c r="L241">
        <v>1368</v>
      </c>
      <c r="N241">
        <v>1011</v>
      </c>
      <c r="O241" t="s">
        <v>465</v>
      </c>
      <c r="P241" t="s">
        <v>465</v>
      </c>
      <c r="Q241">
        <v>1</v>
      </c>
      <c r="W241">
        <v>0</v>
      </c>
      <c r="X241">
        <v>1498588441</v>
      </c>
      <c r="Y241">
        <f>(AT241*1.2)</f>
        <v>0.24</v>
      </c>
      <c r="AA241">
        <v>0</v>
      </c>
      <c r="AB241">
        <v>100.2</v>
      </c>
      <c r="AC241">
        <v>0</v>
      </c>
      <c r="AD241">
        <v>0</v>
      </c>
      <c r="AE241">
        <v>0</v>
      </c>
      <c r="AF241">
        <v>7.11</v>
      </c>
      <c r="AG241">
        <v>0</v>
      </c>
      <c r="AH241">
        <v>0</v>
      </c>
      <c r="AI241">
        <v>1</v>
      </c>
      <c r="AJ241">
        <v>13.46</v>
      </c>
      <c r="AK241">
        <v>1</v>
      </c>
      <c r="AL241">
        <v>1</v>
      </c>
      <c r="AM241">
        <v>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0.2</v>
      </c>
      <c r="AU241" t="s">
        <v>105</v>
      </c>
      <c r="AV241">
        <v>0</v>
      </c>
      <c r="AW241">
        <v>2</v>
      </c>
      <c r="AX241">
        <v>57036093</v>
      </c>
      <c r="AY241">
        <v>1</v>
      </c>
      <c r="AZ241">
        <v>0</v>
      </c>
      <c r="BA241">
        <v>254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f>ROUND(Y241*Source!I387*DO241,9)</f>
        <v>0</v>
      </c>
      <c r="CX241">
        <f>ROUND(Y241*Source!I387,9)</f>
        <v>3.6</v>
      </c>
      <c r="CY241">
        <f>AB241</f>
        <v>100.2</v>
      </c>
      <c r="CZ241">
        <f>AF241</f>
        <v>7.11</v>
      </c>
      <c r="DA241">
        <f>AJ241</f>
        <v>13.46</v>
      </c>
      <c r="DB241">
        <f>ROUND((ROUND(AT241*CZ241,2)*1.2),6)</f>
        <v>1.704</v>
      </c>
      <c r="DC241">
        <f>ROUND((ROUND(AT241*AG241,2)*1.2),6)</f>
        <v>0</v>
      </c>
      <c r="DD241" t="s">
        <v>3</v>
      </c>
      <c r="DE241" t="s">
        <v>3</v>
      </c>
      <c r="DF241">
        <f t="shared" si="56"/>
        <v>0</v>
      </c>
      <c r="DG241">
        <f>ROUND(ROUND(AF241*AJ241,2)*CX241,2)</f>
        <v>344.52</v>
      </c>
      <c r="DH241">
        <f t="shared" si="55"/>
        <v>0</v>
      </c>
      <c r="DI241">
        <f t="shared" si="52"/>
        <v>0</v>
      </c>
      <c r="DJ241">
        <f>DG241</f>
        <v>344.52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ROW(Source!A387)</f>
        <v>387</v>
      </c>
      <c r="B242">
        <v>57034454</v>
      </c>
      <c r="C242">
        <v>57036091</v>
      </c>
      <c r="D242">
        <v>55490209</v>
      </c>
      <c r="E242">
        <v>1</v>
      </c>
      <c r="F242">
        <v>1</v>
      </c>
      <c r="G242">
        <v>1081</v>
      </c>
      <c r="H242">
        <v>2</v>
      </c>
      <c r="I242" t="s">
        <v>462</v>
      </c>
      <c r="J242" t="s">
        <v>463</v>
      </c>
      <c r="K242" t="s">
        <v>464</v>
      </c>
      <c r="L242">
        <v>1368</v>
      </c>
      <c r="N242">
        <v>1011</v>
      </c>
      <c r="O242" t="s">
        <v>465</v>
      </c>
      <c r="P242" t="s">
        <v>465</v>
      </c>
      <c r="Q242">
        <v>1</v>
      </c>
      <c r="W242">
        <v>0</v>
      </c>
      <c r="X242">
        <v>874612079</v>
      </c>
      <c r="Y242">
        <f>(AT242*1.2)</f>
        <v>3.5999999999999997E-2</v>
      </c>
      <c r="AA242">
        <v>0</v>
      </c>
      <c r="AB242">
        <v>1485.19</v>
      </c>
      <c r="AC242">
        <v>744.56</v>
      </c>
      <c r="AD242">
        <v>0</v>
      </c>
      <c r="AE242">
        <v>0</v>
      </c>
      <c r="AF242">
        <v>83.1</v>
      </c>
      <c r="AG242">
        <v>12.62</v>
      </c>
      <c r="AH242">
        <v>0</v>
      </c>
      <c r="AI242">
        <v>1</v>
      </c>
      <c r="AJ242">
        <v>17.07</v>
      </c>
      <c r="AK242">
        <v>56.35</v>
      </c>
      <c r="AL242">
        <v>1</v>
      </c>
      <c r="AM242">
        <v>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0.03</v>
      </c>
      <c r="AU242" t="s">
        <v>105</v>
      </c>
      <c r="AV242">
        <v>0</v>
      </c>
      <c r="AW242">
        <v>2</v>
      </c>
      <c r="AX242">
        <v>57036094</v>
      </c>
      <c r="AY242">
        <v>1</v>
      </c>
      <c r="AZ242">
        <v>0</v>
      </c>
      <c r="BA242">
        <v>255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f>ROUND(Y242*Source!I387*DO242,9)</f>
        <v>6.8148</v>
      </c>
      <c r="CX242">
        <f>ROUND(Y242*Source!I387,9)</f>
        <v>0.54</v>
      </c>
      <c r="CY242">
        <f>AB242</f>
        <v>1485.19</v>
      </c>
      <c r="CZ242">
        <f>AF242</f>
        <v>83.1</v>
      </c>
      <c r="DA242">
        <f>AJ242</f>
        <v>17.07</v>
      </c>
      <c r="DB242">
        <f>ROUND((ROUND(AT242*CZ242,2)*1.2),6)</f>
        <v>2.988</v>
      </c>
      <c r="DC242">
        <f>ROUND((ROUND(AT242*AG242,2)*1.2),6)</f>
        <v>0.45600000000000002</v>
      </c>
      <c r="DD242" t="s">
        <v>3</v>
      </c>
      <c r="DE242" t="s">
        <v>3</v>
      </c>
      <c r="DF242">
        <f t="shared" si="56"/>
        <v>0</v>
      </c>
      <c r="DG242">
        <f>ROUND(ROUND(AF242*AJ242,2)*CX242,2)</f>
        <v>766</v>
      </c>
      <c r="DH242">
        <f>ROUND(ROUND(AG242*AK242,2)*CX242,2)</f>
        <v>384.02</v>
      </c>
      <c r="DI242">
        <f t="shared" si="52"/>
        <v>0</v>
      </c>
      <c r="DJ242">
        <f>DG242</f>
        <v>766</v>
      </c>
      <c r="DK242">
        <v>0</v>
      </c>
      <c r="DL242" t="s">
        <v>466</v>
      </c>
      <c r="DM242">
        <v>0</v>
      </c>
      <c r="DN242" t="s">
        <v>461</v>
      </c>
      <c r="DO242">
        <v>12.62</v>
      </c>
    </row>
    <row r="243" spans="1:119" x14ac:dyDescent="0.25">
      <c r="A243">
        <f>ROW(Source!A387)</f>
        <v>387</v>
      </c>
      <c r="B243">
        <v>57034454</v>
      </c>
      <c r="C243">
        <v>57036091</v>
      </c>
      <c r="D243">
        <v>55490285</v>
      </c>
      <c r="E243">
        <v>1</v>
      </c>
      <c r="F243">
        <v>1</v>
      </c>
      <c r="G243">
        <v>1081</v>
      </c>
      <c r="H243">
        <v>2</v>
      </c>
      <c r="I243" t="s">
        <v>515</v>
      </c>
      <c r="J243" t="s">
        <v>516</v>
      </c>
      <c r="K243" t="s">
        <v>517</v>
      </c>
      <c r="L243">
        <v>1368</v>
      </c>
      <c r="N243">
        <v>1011</v>
      </c>
      <c r="O243" t="s">
        <v>465</v>
      </c>
      <c r="P243" t="s">
        <v>465</v>
      </c>
      <c r="Q243">
        <v>1</v>
      </c>
      <c r="W243">
        <v>0</v>
      </c>
      <c r="X243">
        <v>722575015</v>
      </c>
      <c r="Y243">
        <f>(AT243*1.2)</f>
        <v>0.55200000000000005</v>
      </c>
      <c r="AA243">
        <v>0</v>
      </c>
      <c r="AB243">
        <v>7.83</v>
      </c>
      <c r="AC243">
        <v>0</v>
      </c>
      <c r="AD243">
        <v>0</v>
      </c>
      <c r="AE243">
        <v>0</v>
      </c>
      <c r="AF243">
        <v>0.78</v>
      </c>
      <c r="AG243">
        <v>0</v>
      </c>
      <c r="AH243">
        <v>0</v>
      </c>
      <c r="AI243">
        <v>1</v>
      </c>
      <c r="AJ243">
        <v>9.59</v>
      </c>
      <c r="AK243">
        <v>1</v>
      </c>
      <c r="AL243">
        <v>1</v>
      </c>
      <c r="AM243">
        <v>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0.46</v>
      </c>
      <c r="AU243" t="s">
        <v>105</v>
      </c>
      <c r="AV243">
        <v>0</v>
      </c>
      <c r="AW243">
        <v>2</v>
      </c>
      <c r="AX243">
        <v>57036095</v>
      </c>
      <c r="AY243">
        <v>1</v>
      </c>
      <c r="AZ243">
        <v>0</v>
      </c>
      <c r="BA243">
        <v>256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f>ROUND(Y243*Source!I387*DO243,9)</f>
        <v>0</v>
      </c>
      <c r="CX243">
        <f>ROUND(Y243*Source!I387,9)</f>
        <v>8.2799999999999994</v>
      </c>
      <c r="CY243">
        <f>AB243</f>
        <v>7.83</v>
      </c>
      <c r="CZ243">
        <f>AF243</f>
        <v>0.78</v>
      </c>
      <c r="DA243">
        <f>AJ243</f>
        <v>9.59</v>
      </c>
      <c r="DB243">
        <f>ROUND((ROUND(AT243*CZ243,2)*1.2),6)</f>
        <v>0.432</v>
      </c>
      <c r="DC243">
        <f>ROUND((ROUND(AT243*AG243,2)*1.2),6)</f>
        <v>0</v>
      </c>
      <c r="DD243" t="s">
        <v>3</v>
      </c>
      <c r="DE243" t="s">
        <v>3</v>
      </c>
      <c r="DF243">
        <f t="shared" si="56"/>
        <v>0</v>
      </c>
      <c r="DG243">
        <f>ROUND(ROUND(AF243*AJ243,2)*CX243,2)</f>
        <v>61.93</v>
      </c>
      <c r="DH243">
        <f t="shared" ref="DH243:DH263" si="64">ROUND(ROUND(AG243,2)*CX243,2)</f>
        <v>0</v>
      </c>
      <c r="DI243">
        <f t="shared" si="52"/>
        <v>0</v>
      </c>
      <c r="DJ243">
        <f>DG243</f>
        <v>61.93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ROW(Source!A387)</f>
        <v>387</v>
      </c>
      <c r="B244">
        <v>57034454</v>
      </c>
      <c r="C244">
        <v>57036091</v>
      </c>
      <c r="D244">
        <v>55460300</v>
      </c>
      <c r="E244">
        <v>1</v>
      </c>
      <c r="F244">
        <v>1</v>
      </c>
      <c r="G244">
        <v>1081</v>
      </c>
      <c r="H244">
        <v>3</v>
      </c>
      <c r="I244" t="s">
        <v>518</v>
      </c>
      <c r="J244" t="s">
        <v>519</v>
      </c>
      <c r="K244" t="s">
        <v>520</v>
      </c>
      <c r="L244">
        <v>1348</v>
      </c>
      <c r="N244">
        <v>1009</v>
      </c>
      <c r="O244" t="s">
        <v>299</v>
      </c>
      <c r="P244" t="s">
        <v>299</v>
      </c>
      <c r="Q244">
        <v>1000</v>
      </c>
      <c r="W244">
        <v>0</v>
      </c>
      <c r="X244">
        <v>63955816</v>
      </c>
      <c r="Y244">
        <f t="shared" ref="Y244:Y250" si="65">(AT244*1)</f>
        <v>1.21E-4</v>
      </c>
      <c r="AA244">
        <v>96793</v>
      </c>
      <c r="AB244">
        <v>0</v>
      </c>
      <c r="AC244">
        <v>0</v>
      </c>
      <c r="AD244">
        <v>0</v>
      </c>
      <c r="AE244">
        <v>7185.82</v>
      </c>
      <c r="AF244">
        <v>0</v>
      </c>
      <c r="AG244">
        <v>0</v>
      </c>
      <c r="AH244">
        <v>0</v>
      </c>
      <c r="AI244">
        <v>13.47</v>
      </c>
      <c r="AJ244">
        <v>1</v>
      </c>
      <c r="AK244">
        <v>1</v>
      </c>
      <c r="AL244">
        <v>1</v>
      </c>
      <c r="AM244">
        <v>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1.21E-4</v>
      </c>
      <c r="AU244" t="s">
        <v>104</v>
      </c>
      <c r="AV244">
        <v>0</v>
      </c>
      <c r="AW244">
        <v>2</v>
      </c>
      <c r="AX244">
        <v>57036096</v>
      </c>
      <c r="AY244">
        <v>1</v>
      </c>
      <c r="AZ244">
        <v>0</v>
      </c>
      <c r="BA244">
        <v>257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ROUND(Y244*Source!I387,9)</f>
        <v>1.815E-3</v>
      </c>
      <c r="CY244">
        <f t="shared" ref="CY244:CY250" si="66">AA244</f>
        <v>96793</v>
      </c>
      <c r="CZ244">
        <f t="shared" ref="CZ244:CZ250" si="67">AE244</f>
        <v>7185.82</v>
      </c>
      <c r="DA244">
        <f t="shared" ref="DA244:DA250" si="68">AI244</f>
        <v>13.47</v>
      </c>
      <c r="DB244">
        <f t="shared" ref="DB244:DB250" si="69">ROUND((ROUND(AT244*CZ244,2)*1),6)</f>
        <v>0.87</v>
      </c>
      <c r="DC244">
        <f t="shared" ref="DC244:DC250" si="70">ROUND((ROUND(AT244*AG244,2)*1),6)</f>
        <v>0</v>
      </c>
      <c r="DD244" t="s">
        <v>3</v>
      </c>
      <c r="DE244" t="s">
        <v>3</v>
      </c>
      <c r="DF244">
        <f t="shared" ref="DF244:DF250" si="71">ROUND(ROUND(AE244*AI244,2)*CX244,2)</f>
        <v>175.68</v>
      </c>
      <c r="DG244">
        <f t="shared" ref="DG244:DG263" si="72">ROUND(ROUND(AF244,2)*CX244,2)</f>
        <v>0</v>
      </c>
      <c r="DH244">
        <f t="shared" si="64"/>
        <v>0</v>
      </c>
      <c r="DI244">
        <f t="shared" si="52"/>
        <v>0</v>
      </c>
      <c r="DJ244">
        <f t="shared" ref="DJ244:DJ250" si="73">DF244</f>
        <v>175.68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5">
      <c r="A245">
        <f>ROW(Source!A387)</f>
        <v>387</v>
      </c>
      <c r="B245">
        <v>57034454</v>
      </c>
      <c r="C245">
        <v>57036091</v>
      </c>
      <c r="D245">
        <v>55460309</v>
      </c>
      <c r="E245">
        <v>1</v>
      </c>
      <c r="F245">
        <v>1</v>
      </c>
      <c r="G245">
        <v>1081</v>
      </c>
      <c r="H245">
        <v>3</v>
      </c>
      <c r="I245" t="s">
        <v>521</v>
      </c>
      <c r="J245" t="s">
        <v>522</v>
      </c>
      <c r="K245" t="s">
        <v>523</v>
      </c>
      <c r="L245">
        <v>1346</v>
      </c>
      <c r="N245">
        <v>1009</v>
      </c>
      <c r="O245" t="s">
        <v>433</v>
      </c>
      <c r="P245" t="s">
        <v>433</v>
      </c>
      <c r="Q245">
        <v>1</v>
      </c>
      <c r="W245">
        <v>0</v>
      </c>
      <c r="X245">
        <v>-734926838</v>
      </c>
      <c r="Y245">
        <f t="shared" si="65"/>
        <v>2.3E-2</v>
      </c>
      <c r="AA245">
        <v>78.430000000000007</v>
      </c>
      <c r="AB245">
        <v>0</v>
      </c>
      <c r="AC245">
        <v>0</v>
      </c>
      <c r="AD245">
        <v>0</v>
      </c>
      <c r="AE245">
        <v>29.82</v>
      </c>
      <c r="AF245">
        <v>0</v>
      </c>
      <c r="AG245">
        <v>0</v>
      </c>
      <c r="AH245">
        <v>0</v>
      </c>
      <c r="AI245">
        <v>2.63</v>
      </c>
      <c r="AJ245">
        <v>1</v>
      </c>
      <c r="AK245">
        <v>1</v>
      </c>
      <c r="AL245">
        <v>1</v>
      </c>
      <c r="AM245">
        <v>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2.3E-2</v>
      </c>
      <c r="AU245" t="s">
        <v>104</v>
      </c>
      <c r="AV245">
        <v>0</v>
      </c>
      <c r="AW245">
        <v>2</v>
      </c>
      <c r="AX245">
        <v>57036097</v>
      </c>
      <c r="AY245">
        <v>1</v>
      </c>
      <c r="AZ245">
        <v>0</v>
      </c>
      <c r="BA245">
        <v>258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ROUND(Y245*Source!I387,9)</f>
        <v>0.34499999999999997</v>
      </c>
      <c r="CY245">
        <f t="shared" si="66"/>
        <v>78.430000000000007</v>
      </c>
      <c r="CZ245">
        <f t="shared" si="67"/>
        <v>29.82</v>
      </c>
      <c r="DA245">
        <f t="shared" si="68"/>
        <v>2.63</v>
      </c>
      <c r="DB245">
        <f t="shared" si="69"/>
        <v>0.69</v>
      </c>
      <c r="DC245">
        <f t="shared" si="70"/>
        <v>0</v>
      </c>
      <c r="DD245" t="s">
        <v>3</v>
      </c>
      <c r="DE245" t="s">
        <v>3</v>
      </c>
      <c r="DF245">
        <f t="shared" si="71"/>
        <v>27.06</v>
      </c>
      <c r="DG245">
        <f t="shared" si="72"/>
        <v>0</v>
      </c>
      <c r="DH245">
        <f t="shared" si="64"/>
        <v>0</v>
      </c>
      <c r="DI245">
        <f t="shared" si="52"/>
        <v>0</v>
      </c>
      <c r="DJ245">
        <f t="shared" si="73"/>
        <v>27.06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5">
      <c r="A246">
        <f>ROW(Source!A387)</f>
        <v>387</v>
      </c>
      <c r="B246">
        <v>57034454</v>
      </c>
      <c r="C246">
        <v>57036091</v>
      </c>
      <c r="D246">
        <v>55459280</v>
      </c>
      <c r="E246">
        <v>1</v>
      </c>
      <c r="F246">
        <v>1</v>
      </c>
      <c r="G246">
        <v>1081</v>
      </c>
      <c r="H246">
        <v>3</v>
      </c>
      <c r="I246" t="s">
        <v>524</v>
      </c>
      <c r="J246" t="s">
        <v>525</v>
      </c>
      <c r="K246" t="s">
        <v>526</v>
      </c>
      <c r="L246">
        <v>1348</v>
      </c>
      <c r="N246">
        <v>1009</v>
      </c>
      <c r="O246" t="s">
        <v>299</v>
      </c>
      <c r="P246" t="s">
        <v>299</v>
      </c>
      <c r="Q246">
        <v>1000</v>
      </c>
      <c r="W246">
        <v>0</v>
      </c>
      <c r="X246">
        <v>650902129</v>
      </c>
      <c r="Y246">
        <f t="shared" si="65"/>
        <v>1.8E-5</v>
      </c>
      <c r="AA246">
        <v>66964.52</v>
      </c>
      <c r="AB246">
        <v>0</v>
      </c>
      <c r="AC246">
        <v>0</v>
      </c>
      <c r="AD246">
        <v>0</v>
      </c>
      <c r="AE246">
        <v>18653.07</v>
      </c>
      <c r="AF246">
        <v>0</v>
      </c>
      <c r="AG246">
        <v>0</v>
      </c>
      <c r="AH246">
        <v>0</v>
      </c>
      <c r="AI246">
        <v>3.59</v>
      </c>
      <c r="AJ246">
        <v>1</v>
      </c>
      <c r="AK246">
        <v>1</v>
      </c>
      <c r="AL246">
        <v>1</v>
      </c>
      <c r="AM246">
        <v>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1.8E-5</v>
      </c>
      <c r="AU246" t="s">
        <v>104</v>
      </c>
      <c r="AV246">
        <v>0</v>
      </c>
      <c r="AW246">
        <v>2</v>
      </c>
      <c r="AX246">
        <v>57036098</v>
      </c>
      <c r="AY246">
        <v>1</v>
      </c>
      <c r="AZ246">
        <v>0</v>
      </c>
      <c r="BA246">
        <v>259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ROUND(Y246*Source!I387,9)</f>
        <v>2.7E-4</v>
      </c>
      <c r="CY246">
        <f t="shared" si="66"/>
        <v>66964.52</v>
      </c>
      <c r="CZ246">
        <f t="shared" si="67"/>
        <v>18653.07</v>
      </c>
      <c r="DA246">
        <f t="shared" si="68"/>
        <v>3.59</v>
      </c>
      <c r="DB246">
        <f t="shared" si="69"/>
        <v>0.34</v>
      </c>
      <c r="DC246">
        <f t="shared" si="70"/>
        <v>0</v>
      </c>
      <c r="DD246" t="s">
        <v>3</v>
      </c>
      <c r="DE246" t="s">
        <v>3</v>
      </c>
      <c r="DF246">
        <f t="shared" si="71"/>
        <v>18.079999999999998</v>
      </c>
      <c r="DG246">
        <f t="shared" si="72"/>
        <v>0</v>
      </c>
      <c r="DH246">
        <f t="shared" si="64"/>
        <v>0</v>
      </c>
      <c r="DI246">
        <f t="shared" si="52"/>
        <v>0</v>
      </c>
      <c r="DJ246">
        <f t="shared" si="73"/>
        <v>18.079999999999998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ROW(Source!A387)</f>
        <v>387</v>
      </c>
      <c r="B247">
        <v>57034454</v>
      </c>
      <c r="C247">
        <v>57036091</v>
      </c>
      <c r="D247">
        <v>55461069</v>
      </c>
      <c r="E247">
        <v>1</v>
      </c>
      <c r="F247">
        <v>1</v>
      </c>
      <c r="G247">
        <v>1081</v>
      </c>
      <c r="H247">
        <v>3</v>
      </c>
      <c r="I247" t="s">
        <v>527</v>
      </c>
      <c r="J247" t="s">
        <v>528</v>
      </c>
      <c r="K247" t="s">
        <v>529</v>
      </c>
      <c r="L247">
        <v>1348</v>
      </c>
      <c r="N247">
        <v>1009</v>
      </c>
      <c r="O247" t="s">
        <v>299</v>
      </c>
      <c r="P247" t="s">
        <v>299</v>
      </c>
      <c r="Q247">
        <v>1000</v>
      </c>
      <c r="W247">
        <v>0</v>
      </c>
      <c r="X247">
        <v>-1438474524</v>
      </c>
      <c r="Y247">
        <f t="shared" si="65"/>
        <v>2.3780000000000001E-4</v>
      </c>
      <c r="AA247">
        <v>118670.21</v>
      </c>
      <c r="AB247">
        <v>0</v>
      </c>
      <c r="AC247">
        <v>0</v>
      </c>
      <c r="AD247">
        <v>0</v>
      </c>
      <c r="AE247">
        <v>11487.92</v>
      </c>
      <c r="AF247">
        <v>0</v>
      </c>
      <c r="AG247">
        <v>0</v>
      </c>
      <c r="AH247">
        <v>0</v>
      </c>
      <c r="AI247">
        <v>10.33</v>
      </c>
      <c r="AJ247">
        <v>1</v>
      </c>
      <c r="AK247">
        <v>1</v>
      </c>
      <c r="AL247">
        <v>1</v>
      </c>
      <c r="AM247">
        <v>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2.3780000000000001E-4</v>
      </c>
      <c r="AU247" t="s">
        <v>104</v>
      </c>
      <c r="AV247">
        <v>0</v>
      </c>
      <c r="AW247">
        <v>2</v>
      </c>
      <c r="AX247">
        <v>57036099</v>
      </c>
      <c r="AY247">
        <v>1</v>
      </c>
      <c r="AZ247">
        <v>0</v>
      </c>
      <c r="BA247">
        <v>260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v>0</v>
      </c>
      <c r="CX247">
        <f>ROUND(Y247*Source!I387,9)</f>
        <v>3.5669999999999999E-3</v>
      </c>
      <c r="CY247">
        <f t="shared" si="66"/>
        <v>118670.21</v>
      </c>
      <c r="CZ247">
        <f t="shared" si="67"/>
        <v>11487.92</v>
      </c>
      <c r="DA247">
        <f t="shared" si="68"/>
        <v>10.33</v>
      </c>
      <c r="DB247">
        <f t="shared" si="69"/>
        <v>2.73</v>
      </c>
      <c r="DC247">
        <f t="shared" si="70"/>
        <v>0</v>
      </c>
      <c r="DD247" t="s">
        <v>3</v>
      </c>
      <c r="DE247" t="s">
        <v>3</v>
      </c>
      <c r="DF247">
        <f t="shared" si="71"/>
        <v>423.3</v>
      </c>
      <c r="DG247">
        <f t="shared" si="72"/>
        <v>0</v>
      </c>
      <c r="DH247">
        <f t="shared" si="64"/>
        <v>0</v>
      </c>
      <c r="DI247">
        <f t="shared" si="52"/>
        <v>0</v>
      </c>
      <c r="DJ247">
        <f t="shared" si="73"/>
        <v>423.3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5">
      <c r="A248">
        <f>ROW(Source!A387)</f>
        <v>387</v>
      </c>
      <c r="B248">
        <v>57034454</v>
      </c>
      <c r="C248">
        <v>57036091</v>
      </c>
      <c r="D248">
        <v>55461632</v>
      </c>
      <c r="E248">
        <v>1</v>
      </c>
      <c r="F248">
        <v>1</v>
      </c>
      <c r="G248">
        <v>1081</v>
      </c>
      <c r="H248">
        <v>3</v>
      </c>
      <c r="I248" t="s">
        <v>530</v>
      </c>
      <c r="J248" t="s">
        <v>531</v>
      </c>
      <c r="K248" t="s">
        <v>532</v>
      </c>
      <c r="L248">
        <v>1348</v>
      </c>
      <c r="N248">
        <v>1009</v>
      </c>
      <c r="O248" t="s">
        <v>299</v>
      </c>
      <c r="P248" t="s">
        <v>299</v>
      </c>
      <c r="Q248">
        <v>1000</v>
      </c>
      <c r="W248">
        <v>0</v>
      </c>
      <c r="X248">
        <v>567151722</v>
      </c>
      <c r="Y248">
        <f t="shared" si="65"/>
        <v>7.0000000000000001E-3</v>
      </c>
      <c r="AA248">
        <v>51140.49</v>
      </c>
      <c r="AB248">
        <v>0</v>
      </c>
      <c r="AC248">
        <v>0</v>
      </c>
      <c r="AD248">
        <v>0</v>
      </c>
      <c r="AE248">
        <v>12089.95</v>
      </c>
      <c r="AF248">
        <v>0</v>
      </c>
      <c r="AG248">
        <v>0</v>
      </c>
      <c r="AH248">
        <v>0</v>
      </c>
      <c r="AI248">
        <v>4.2300000000000004</v>
      </c>
      <c r="AJ248">
        <v>1</v>
      </c>
      <c r="AK248">
        <v>1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7.0000000000000001E-3</v>
      </c>
      <c r="AU248" t="s">
        <v>104</v>
      </c>
      <c r="AV248">
        <v>0</v>
      </c>
      <c r="AW248">
        <v>2</v>
      </c>
      <c r="AX248">
        <v>57036100</v>
      </c>
      <c r="AY248">
        <v>1</v>
      </c>
      <c r="AZ248">
        <v>0</v>
      </c>
      <c r="BA248">
        <v>261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ROUND(Y248*Source!I387,9)</f>
        <v>0.105</v>
      </c>
      <c r="CY248">
        <f t="shared" si="66"/>
        <v>51140.49</v>
      </c>
      <c r="CZ248">
        <f t="shared" si="67"/>
        <v>12089.95</v>
      </c>
      <c r="DA248">
        <f t="shared" si="68"/>
        <v>4.2300000000000004</v>
      </c>
      <c r="DB248">
        <f t="shared" si="69"/>
        <v>84.63</v>
      </c>
      <c r="DC248">
        <f t="shared" si="70"/>
        <v>0</v>
      </c>
      <c r="DD248" t="s">
        <v>3</v>
      </c>
      <c r="DE248" t="s">
        <v>3</v>
      </c>
      <c r="DF248">
        <f t="shared" si="71"/>
        <v>5369.75</v>
      </c>
      <c r="DG248">
        <f t="shared" si="72"/>
        <v>0</v>
      </c>
      <c r="DH248">
        <f t="shared" si="64"/>
        <v>0</v>
      </c>
      <c r="DI248">
        <f t="shared" si="52"/>
        <v>0</v>
      </c>
      <c r="DJ248">
        <f t="shared" si="73"/>
        <v>5369.75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5">
      <c r="A249">
        <f>ROW(Source!A387)</f>
        <v>387</v>
      </c>
      <c r="B249">
        <v>57034454</v>
      </c>
      <c r="C249">
        <v>57036091</v>
      </c>
      <c r="D249">
        <v>55459831</v>
      </c>
      <c r="E249">
        <v>1</v>
      </c>
      <c r="F249">
        <v>1</v>
      </c>
      <c r="G249">
        <v>1081</v>
      </c>
      <c r="H249">
        <v>3</v>
      </c>
      <c r="I249" t="s">
        <v>533</v>
      </c>
      <c r="J249" t="s">
        <v>534</v>
      </c>
      <c r="K249" t="s">
        <v>535</v>
      </c>
      <c r="L249">
        <v>1348</v>
      </c>
      <c r="N249">
        <v>1009</v>
      </c>
      <c r="O249" t="s">
        <v>299</v>
      </c>
      <c r="P249" t="s">
        <v>299</v>
      </c>
      <c r="Q249">
        <v>1000</v>
      </c>
      <c r="W249">
        <v>0</v>
      </c>
      <c r="X249">
        <v>-425904385</v>
      </c>
      <c r="Y249">
        <f t="shared" si="65"/>
        <v>1.0000000000000001E-5</v>
      </c>
      <c r="AA249">
        <v>134057.4</v>
      </c>
      <c r="AB249">
        <v>0</v>
      </c>
      <c r="AC249">
        <v>0</v>
      </c>
      <c r="AD249">
        <v>0</v>
      </c>
      <c r="AE249">
        <v>8582.42</v>
      </c>
      <c r="AF249">
        <v>0</v>
      </c>
      <c r="AG249">
        <v>0</v>
      </c>
      <c r="AH249">
        <v>0</v>
      </c>
      <c r="AI249">
        <v>15.62</v>
      </c>
      <c r="AJ249">
        <v>1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1.0000000000000001E-5</v>
      </c>
      <c r="AU249" t="s">
        <v>104</v>
      </c>
      <c r="AV249">
        <v>0</v>
      </c>
      <c r="AW249">
        <v>2</v>
      </c>
      <c r="AX249">
        <v>57036101</v>
      </c>
      <c r="AY249">
        <v>1</v>
      </c>
      <c r="AZ249">
        <v>0</v>
      </c>
      <c r="BA249">
        <v>262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ROUND(Y249*Source!I387,9)</f>
        <v>1.4999999999999999E-4</v>
      </c>
      <c r="CY249">
        <f t="shared" si="66"/>
        <v>134057.4</v>
      </c>
      <c r="CZ249">
        <f t="shared" si="67"/>
        <v>8582.42</v>
      </c>
      <c r="DA249">
        <f t="shared" si="68"/>
        <v>15.62</v>
      </c>
      <c r="DB249">
        <f t="shared" si="69"/>
        <v>0.09</v>
      </c>
      <c r="DC249">
        <f t="shared" si="70"/>
        <v>0</v>
      </c>
      <c r="DD249" t="s">
        <v>3</v>
      </c>
      <c r="DE249" t="s">
        <v>3</v>
      </c>
      <c r="DF249">
        <f t="shared" si="71"/>
        <v>20.11</v>
      </c>
      <c r="DG249">
        <f t="shared" si="72"/>
        <v>0</v>
      </c>
      <c r="DH249">
        <f t="shared" si="64"/>
        <v>0</v>
      </c>
      <c r="DI249">
        <f t="shared" si="52"/>
        <v>0</v>
      </c>
      <c r="DJ249">
        <f t="shared" si="73"/>
        <v>20.11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ROW(Source!A387)</f>
        <v>387</v>
      </c>
      <c r="B250">
        <v>57034454</v>
      </c>
      <c r="C250">
        <v>57036091</v>
      </c>
      <c r="D250">
        <v>55459835</v>
      </c>
      <c r="E250">
        <v>1</v>
      </c>
      <c r="F250">
        <v>1</v>
      </c>
      <c r="G250">
        <v>1081</v>
      </c>
      <c r="H250">
        <v>3</v>
      </c>
      <c r="I250" t="s">
        <v>536</v>
      </c>
      <c r="J250" t="s">
        <v>537</v>
      </c>
      <c r="K250" t="s">
        <v>538</v>
      </c>
      <c r="L250">
        <v>1348</v>
      </c>
      <c r="N250">
        <v>1009</v>
      </c>
      <c r="O250" t="s">
        <v>299</v>
      </c>
      <c r="P250" t="s">
        <v>299</v>
      </c>
      <c r="Q250">
        <v>1000</v>
      </c>
      <c r="W250">
        <v>0</v>
      </c>
      <c r="X250">
        <v>-1860917919</v>
      </c>
      <c r="Y250">
        <f t="shared" si="65"/>
        <v>1.9999999999999999E-6</v>
      </c>
      <c r="AA250">
        <v>56975.05</v>
      </c>
      <c r="AB250">
        <v>0</v>
      </c>
      <c r="AC250">
        <v>0</v>
      </c>
      <c r="AD250">
        <v>0</v>
      </c>
      <c r="AE250">
        <v>12521.99</v>
      </c>
      <c r="AF250">
        <v>0</v>
      </c>
      <c r="AG250">
        <v>0</v>
      </c>
      <c r="AH250">
        <v>0</v>
      </c>
      <c r="AI250">
        <v>4.55</v>
      </c>
      <c r="AJ250">
        <v>1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1.9999999999999999E-6</v>
      </c>
      <c r="AU250" t="s">
        <v>104</v>
      </c>
      <c r="AV250">
        <v>0</v>
      </c>
      <c r="AW250">
        <v>2</v>
      </c>
      <c r="AX250">
        <v>57036102</v>
      </c>
      <c r="AY250">
        <v>1</v>
      </c>
      <c r="AZ250">
        <v>0</v>
      </c>
      <c r="BA250">
        <v>263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ROUND(Y250*Source!I387,9)</f>
        <v>3.0000000000000001E-5</v>
      </c>
      <c r="CY250">
        <f t="shared" si="66"/>
        <v>56975.05</v>
      </c>
      <c r="CZ250">
        <f t="shared" si="67"/>
        <v>12521.99</v>
      </c>
      <c r="DA250">
        <f t="shared" si="68"/>
        <v>4.55</v>
      </c>
      <c r="DB250">
        <f t="shared" si="69"/>
        <v>0.03</v>
      </c>
      <c r="DC250">
        <f t="shared" si="70"/>
        <v>0</v>
      </c>
      <c r="DD250" t="s">
        <v>3</v>
      </c>
      <c r="DE250" t="s">
        <v>3</v>
      </c>
      <c r="DF250">
        <f t="shared" si="71"/>
        <v>1.71</v>
      </c>
      <c r="DG250">
        <f t="shared" si="72"/>
        <v>0</v>
      </c>
      <c r="DH250">
        <f t="shared" si="64"/>
        <v>0</v>
      </c>
      <c r="DI250">
        <f t="shared" si="52"/>
        <v>0</v>
      </c>
      <c r="DJ250">
        <f t="shared" si="73"/>
        <v>1.71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ROW(Source!A398)</f>
        <v>398</v>
      </c>
      <c r="B251">
        <v>57034452</v>
      </c>
      <c r="C251">
        <v>57035190</v>
      </c>
      <c r="D251">
        <v>55424304</v>
      </c>
      <c r="E251">
        <v>1081</v>
      </c>
      <c r="F251">
        <v>1</v>
      </c>
      <c r="G251">
        <v>1081</v>
      </c>
      <c r="H251">
        <v>1</v>
      </c>
      <c r="I251" t="s">
        <v>459</v>
      </c>
      <c r="J251" t="s">
        <v>3</v>
      </c>
      <c r="K251" t="s">
        <v>460</v>
      </c>
      <c r="L251">
        <v>1191</v>
      </c>
      <c r="N251">
        <v>1013</v>
      </c>
      <c r="O251" t="s">
        <v>461</v>
      </c>
      <c r="P251" t="s">
        <v>461</v>
      </c>
      <c r="Q251">
        <v>1</v>
      </c>
      <c r="W251">
        <v>0</v>
      </c>
      <c r="X251">
        <v>476480486</v>
      </c>
      <c r="Y251">
        <f>(AT251*1.2)</f>
        <v>16.079999999999998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13.4</v>
      </c>
      <c r="AU251" t="s">
        <v>105</v>
      </c>
      <c r="AV251">
        <v>1</v>
      </c>
      <c r="AW251">
        <v>2</v>
      </c>
      <c r="AX251">
        <v>57035203</v>
      </c>
      <c r="AY251">
        <v>1</v>
      </c>
      <c r="AZ251">
        <v>0</v>
      </c>
      <c r="BA251">
        <v>265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U251">
        <f>ROUND(AT251*Source!I398*AH251*AL251,2)</f>
        <v>0</v>
      </c>
      <c r="CV251">
        <f>ROUND(Y251*Source!I398,9)</f>
        <v>241.2</v>
      </c>
      <c r="CW251">
        <v>0</v>
      </c>
      <c r="CX251">
        <f>ROUND(Y251*Source!I398,9)</f>
        <v>241.2</v>
      </c>
      <c r="CY251">
        <f>AD251</f>
        <v>0</v>
      </c>
      <c r="CZ251">
        <f>AH251</f>
        <v>0</v>
      </c>
      <c r="DA251">
        <f>AL251</f>
        <v>1</v>
      </c>
      <c r="DB251">
        <f>ROUND((ROUND(AT251*CZ251,2)*1.2),6)</f>
        <v>0</v>
      </c>
      <c r="DC251">
        <f>ROUND((ROUND(AT251*AG251,2)*1.2),6)</f>
        <v>0</v>
      </c>
      <c r="DD251" t="s">
        <v>3</v>
      </c>
      <c r="DE251" t="s">
        <v>3</v>
      </c>
      <c r="DF251">
        <f t="shared" ref="DF251:DF264" si="74">ROUND(ROUND(AE251,2)*CX251,2)</f>
        <v>0</v>
      </c>
      <c r="DG251">
        <f t="shared" si="72"/>
        <v>0</v>
      </c>
      <c r="DH251">
        <f t="shared" si="64"/>
        <v>0</v>
      </c>
      <c r="DI251">
        <f t="shared" si="52"/>
        <v>0</v>
      </c>
      <c r="DJ251">
        <f>DI251</f>
        <v>0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5">
      <c r="A252">
        <f>ROW(Source!A398)</f>
        <v>398</v>
      </c>
      <c r="B252">
        <v>57034452</v>
      </c>
      <c r="C252">
        <v>57035190</v>
      </c>
      <c r="D252">
        <v>55490209</v>
      </c>
      <c r="E252">
        <v>1</v>
      </c>
      <c r="F252">
        <v>1</v>
      </c>
      <c r="G252">
        <v>1081</v>
      </c>
      <c r="H252">
        <v>2</v>
      </c>
      <c r="I252" t="s">
        <v>462</v>
      </c>
      <c r="J252" t="s">
        <v>463</v>
      </c>
      <c r="K252" t="s">
        <v>464</v>
      </c>
      <c r="L252">
        <v>1368</v>
      </c>
      <c r="N252">
        <v>1011</v>
      </c>
      <c r="O252" t="s">
        <v>465</v>
      </c>
      <c r="P252" t="s">
        <v>465</v>
      </c>
      <c r="Q252">
        <v>1</v>
      </c>
      <c r="W252">
        <v>0</v>
      </c>
      <c r="X252">
        <v>874612079</v>
      </c>
      <c r="Y252">
        <f>(AT252*1.2)</f>
        <v>0.876</v>
      </c>
      <c r="AA252">
        <v>0</v>
      </c>
      <c r="AB252">
        <v>87.01</v>
      </c>
      <c r="AC252">
        <v>13.21</v>
      </c>
      <c r="AD252">
        <v>0</v>
      </c>
      <c r="AE252">
        <v>0</v>
      </c>
      <c r="AF252">
        <v>83.1</v>
      </c>
      <c r="AG252">
        <v>12.62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-2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0.73</v>
      </c>
      <c r="AU252" t="s">
        <v>105</v>
      </c>
      <c r="AV252">
        <v>0</v>
      </c>
      <c r="AW252">
        <v>2</v>
      </c>
      <c r="AX252">
        <v>57035204</v>
      </c>
      <c r="AY252">
        <v>1</v>
      </c>
      <c r="AZ252">
        <v>0</v>
      </c>
      <c r="BA252">
        <v>266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f>ROUND(Y252*Source!I398*DO252,9)</f>
        <v>165.82679999999999</v>
      </c>
      <c r="CX252">
        <f>ROUND(Y252*Source!I398,9)</f>
        <v>13.14</v>
      </c>
      <c r="CY252">
        <f>AB252</f>
        <v>87.01</v>
      </c>
      <c r="CZ252">
        <f>AF252</f>
        <v>83.1</v>
      </c>
      <c r="DA252">
        <f>AJ252</f>
        <v>1</v>
      </c>
      <c r="DB252">
        <f>ROUND((ROUND(AT252*CZ252,2)*1.2),6)</f>
        <v>72.792000000000002</v>
      </c>
      <c r="DC252">
        <f>ROUND((ROUND(AT252*AG252,2)*1.2),6)</f>
        <v>11.052</v>
      </c>
      <c r="DD252" t="s">
        <v>3</v>
      </c>
      <c r="DE252" t="s">
        <v>3</v>
      </c>
      <c r="DF252">
        <f t="shared" si="74"/>
        <v>0</v>
      </c>
      <c r="DG252">
        <f t="shared" si="72"/>
        <v>1091.93</v>
      </c>
      <c r="DH252">
        <f t="shared" si="64"/>
        <v>165.83</v>
      </c>
      <c r="DI252">
        <f t="shared" si="52"/>
        <v>0</v>
      </c>
      <c r="DJ252">
        <f>DG252</f>
        <v>1091.93</v>
      </c>
      <c r="DK252">
        <v>0</v>
      </c>
      <c r="DL252" t="s">
        <v>466</v>
      </c>
      <c r="DM252">
        <v>0</v>
      </c>
      <c r="DN252" t="s">
        <v>461</v>
      </c>
      <c r="DO252">
        <v>12.62</v>
      </c>
    </row>
    <row r="253" spans="1:119" x14ac:dyDescent="0.25">
      <c r="A253">
        <f>ROW(Source!A398)</f>
        <v>398</v>
      </c>
      <c r="B253">
        <v>57034452</v>
      </c>
      <c r="C253">
        <v>57035190</v>
      </c>
      <c r="D253">
        <v>55482166</v>
      </c>
      <c r="E253">
        <v>1</v>
      </c>
      <c r="F253">
        <v>1</v>
      </c>
      <c r="G253">
        <v>1081</v>
      </c>
      <c r="H253">
        <v>3</v>
      </c>
      <c r="I253" t="s">
        <v>486</v>
      </c>
      <c r="J253" t="s">
        <v>487</v>
      </c>
      <c r="K253" t="s">
        <v>488</v>
      </c>
      <c r="L253">
        <v>1301</v>
      </c>
      <c r="N253">
        <v>1003</v>
      </c>
      <c r="O253" t="s">
        <v>371</v>
      </c>
      <c r="P253" t="s">
        <v>371</v>
      </c>
      <c r="Q253">
        <v>1</v>
      </c>
      <c r="W253">
        <v>0</v>
      </c>
      <c r="X253">
        <v>876831867</v>
      </c>
      <c r="Y253">
        <f t="shared" ref="Y253:Y262" si="75">(AT253*1)</f>
        <v>1.18</v>
      </c>
      <c r="AA253">
        <v>0.69</v>
      </c>
      <c r="AB253">
        <v>0</v>
      </c>
      <c r="AC253">
        <v>0</v>
      </c>
      <c r="AD253">
        <v>0</v>
      </c>
      <c r="AE253">
        <v>0.69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1.18</v>
      </c>
      <c r="AU253" t="s">
        <v>104</v>
      </c>
      <c r="AV253">
        <v>0</v>
      </c>
      <c r="AW253">
        <v>2</v>
      </c>
      <c r="AX253">
        <v>57035205</v>
      </c>
      <c r="AY253">
        <v>1</v>
      </c>
      <c r="AZ253">
        <v>0</v>
      </c>
      <c r="BA253">
        <v>267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ROUND(Y253*Source!I398,9)</f>
        <v>17.7</v>
      </c>
      <c r="CY253">
        <f t="shared" ref="CY253:CY262" si="76">AA253</f>
        <v>0.69</v>
      </c>
      <c r="CZ253">
        <f t="shared" ref="CZ253:CZ262" si="77">AE253</f>
        <v>0.69</v>
      </c>
      <c r="DA253">
        <f t="shared" ref="DA253:DA262" si="78">AI253</f>
        <v>1</v>
      </c>
      <c r="DB253">
        <f t="shared" ref="DB253:DB262" si="79">ROUND((ROUND(AT253*CZ253,2)*1),6)</f>
        <v>0.81</v>
      </c>
      <c r="DC253">
        <f t="shared" ref="DC253:DC262" si="80">ROUND((ROUND(AT253*AG253,2)*1),6)</f>
        <v>0</v>
      </c>
      <c r="DD253" t="s">
        <v>3</v>
      </c>
      <c r="DE253" t="s">
        <v>3</v>
      </c>
      <c r="DF253">
        <f t="shared" si="74"/>
        <v>12.21</v>
      </c>
      <c r="DG253">
        <f t="shared" si="72"/>
        <v>0</v>
      </c>
      <c r="DH253">
        <f t="shared" si="64"/>
        <v>0</v>
      </c>
      <c r="DI253">
        <f t="shared" si="52"/>
        <v>0</v>
      </c>
      <c r="DJ253">
        <f t="shared" ref="DJ253:DJ262" si="81">DF253</f>
        <v>12.21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ROW(Source!A398)</f>
        <v>398</v>
      </c>
      <c r="B254">
        <v>57034452</v>
      </c>
      <c r="C254">
        <v>57035190</v>
      </c>
      <c r="D254">
        <v>55482203</v>
      </c>
      <c r="E254">
        <v>1</v>
      </c>
      <c r="F254">
        <v>1</v>
      </c>
      <c r="G254">
        <v>1081</v>
      </c>
      <c r="H254">
        <v>3</v>
      </c>
      <c r="I254" t="s">
        <v>489</v>
      </c>
      <c r="J254" t="s">
        <v>490</v>
      </c>
      <c r="K254" t="s">
        <v>491</v>
      </c>
      <c r="L254">
        <v>1356</v>
      </c>
      <c r="N254">
        <v>1010</v>
      </c>
      <c r="O254" t="s">
        <v>382</v>
      </c>
      <c r="P254" t="s">
        <v>382</v>
      </c>
      <c r="Q254">
        <v>1000</v>
      </c>
      <c r="W254">
        <v>0</v>
      </c>
      <c r="X254">
        <v>474149623</v>
      </c>
      <c r="Y254">
        <f t="shared" si="75"/>
        <v>2E-3</v>
      </c>
      <c r="AA254">
        <v>226.66</v>
      </c>
      <c r="AB254">
        <v>0</v>
      </c>
      <c r="AC254">
        <v>0</v>
      </c>
      <c r="AD254">
        <v>0</v>
      </c>
      <c r="AE254">
        <v>226.66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2E-3</v>
      </c>
      <c r="AU254" t="s">
        <v>104</v>
      </c>
      <c r="AV254">
        <v>0</v>
      </c>
      <c r="AW254">
        <v>2</v>
      </c>
      <c r="AX254">
        <v>57035206</v>
      </c>
      <c r="AY254">
        <v>1</v>
      </c>
      <c r="AZ254">
        <v>0</v>
      </c>
      <c r="BA254">
        <v>268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ROUND(Y254*Source!I398,9)</f>
        <v>0.03</v>
      </c>
      <c r="CY254">
        <f t="shared" si="76"/>
        <v>226.66</v>
      </c>
      <c r="CZ254">
        <f t="shared" si="77"/>
        <v>226.66</v>
      </c>
      <c r="DA254">
        <f t="shared" si="78"/>
        <v>1</v>
      </c>
      <c r="DB254">
        <f t="shared" si="79"/>
        <v>0.45</v>
      </c>
      <c r="DC254">
        <f t="shared" si="80"/>
        <v>0</v>
      </c>
      <c r="DD254" t="s">
        <v>3</v>
      </c>
      <c r="DE254" t="s">
        <v>3</v>
      </c>
      <c r="DF254">
        <f t="shared" si="74"/>
        <v>6.8</v>
      </c>
      <c r="DG254">
        <f t="shared" si="72"/>
        <v>0</v>
      </c>
      <c r="DH254">
        <f t="shared" si="64"/>
        <v>0</v>
      </c>
      <c r="DI254">
        <f t="shared" si="52"/>
        <v>0</v>
      </c>
      <c r="DJ254">
        <f t="shared" si="81"/>
        <v>6.8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5">
      <c r="A255">
        <f>ROW(Source!A398)</f>
        <v>398</v>
      </c>
      <c r="B255">
        <v>57034452</v>
      </c>
      <c r="C255">
        <v>57035190</v>
      </c>
      <c r="D255">
        <v>55482617</v>
      </c>
      <c r="E255">
        <v>1</v>
      </c>
      <c r="F255">
        <v>1</v>
      </c>
      <c r="G255">
        <v>1081</v>
      </c>
      <c r="H255">
        <v>3</v>
      </c>
      <c r="I255" t="s">
        <v>492</v>
      </c>
      <c r="J255" t="s">
        <v>493</v>
      </c>
      <c r="K255" t="s">
        <v>494</v>
      </c>
      <c r="L255">
        <v>1354</v>
      </c>
      <c r="N255">
        <v>1010</v>
      </c>
      <c r="O255" t="s">
        <v>177</v>
      </c>
      <c r="P255" t="s">
        <v>177</v>
      </c>
      <c r="Q255">
        <v>1</v>
      </c>
      <c r="W255">
        <v>0</v>
      </c>
      <c r="X255">
        <v>-1189947653</v>
      </c>
      <c r="Y255">
        <f t="shared" si="75"/>
        <v>1</v>
      </c>
      <c r="AA255">
        <v>14.99</v>
      </c>
      <c r="AB255">
        <v>0</v>
      </c>
      <c r="AC255">
        <v>0</v>
      </c>
      <c r="AD255">
        <v>0</v>
      </c>
      <c r="AE255">
        <v>14.99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1</v>
      </c>
      <c r="AU255" t="s">
        <v>104</v>
      </c>
      <c r="AV255">
        <v>0</v>
      </c>
      <c r="AW255">
        <v>2</v>
      </c>
      <c r="AX255">
        <v>57035207</v>
      </c>
      <c r="AY255">
        <v>1</v>
      </c>
      <c r="AZ255">
        <v>0</v>
      </c>
      <c r="BA255">
        <v>269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ROUND(Y255*Source!I398,9)</f>
        <v>15</v>
      </c>
      <c r="CY255">
        <f t="shared" si="76"/>
        <v>14.99</v>
      </c>
      <c r="CZ255">
        <f t="shared" si="77"/>
        <v>14.99</v>
      </c>
      <c r="DA255">
        <f t="shared" si="78"/>
        <v>1</v>
      </c>
      <c r="DB255">
        <f t="shared" si="79"/>
        <v>14.99</v>
      </c>
      <c r="DC255">
        <f t="shared" si="80"/>
        <v>0</v>
      </c>
      <c r="DD255" t="s">
        <v>3</v>
      </c>
      <c r="DE255" t="s">
        <v>3</v>
      </c>
      <c r="DF255">
        <f t="shared" si="74"/>
        <v>224.85</v>
      </c>
      <c r="DG255">
        <f t="shared" si="72"/>
        <v>0</v>
      </c>
      <c r="DH255">
        <f t="shared" si="64"/>
        <v>0</v>
      </c>
      <c r="DI255">
        <f t="shared" si="52"/>
        <v>0</v>
      </c>
      <c r="DJ255">
        <f t="shared" si="81"/>
        <v>224.85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ROW(Source!A398)</f>
        <v>398</v>
      </c>
      <c r="B256">
        <v>57034452</v>
      </c>
      <c r="C256">
        <v>57035190</v>
      </c>
      <c r="D256">
        <v>55481864</v>
      </c>
      <c r="E256">
        <v>1</v>
      </c>
      <c r="F256">
        <v>1</v>
      </c>
      <c r="G256">
        <v>1081</v>
      </c>
      <c r="H256">
        <v>3</v>
      </c>
      <c r="I256" t="s">
        <v>495</v>
      </c>
      <c r="J256" t="s">
        <v>496</v>
      </c>
      <c r="K256" t="s">
        <v>497</v>
      </c>
      <c r="L256">
        <v>1301</v>
      </c>
      <c r="N256">
        <v>1003</v>
      </c>
      <c r="O256" t="s">
        <v>371</v>
      </c>
      <c r="P256" t="s">
        <v>371</v>
      </c>
      <c r="Q256">
        <v>1</v>
      </c>
      <c r="W256">
        <v>0</v>
      </c>
      <c r="X256">
        <v>-877267416</v>
      </c>
      <c r="Y256">
        <f t="shared" si="75"/>
        <v>0.48</v>
      </c>
      <c r="AA256">
        <v>0.7</v>
      </c>
      <c r="AB256">
        <v>0</v>
      </c>
      <c r="AC256">
        <v>0</v>
      </c>
      <c r="AD256">
        <v>0</v>
      </c>
      <c r="AE256">
        <v>0.7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0.48</v>
      </c>
      <c r="AU256" t="s">
        <v>104</v>
      </c>
      <c r="AV256">
        <v>0</v>
      </c>
      <c r="AW256">
        <v>2</v>
      </c>
      <c r="AX256">
        <v>57035208</v>
      </c>
      <c r="AY256">
        <v>1</v>
      </c>
      <c r="AZ256">
        <v>0</v>
      </c>
      <c r="BA256">
        <v>270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ROUND(Y256*Source!I398,9)</f>
        <v>7.2</v>
      </c>
      <c r="CY256">
        <f t="shared" si="76"/>
        <v>0.7</v>
      </c>
      <c r="CZ256">
        <f t="shared" si="77"/>
        <v>0.7</v>
      </c>
      <c r="DA256">
        <f t="shared" si="78"/>
        <v>1</v>
      </c>
      <c r="DB256">
        <f t="shared" si="79"/>
        <v>0.34</v>
      </c>
      <c r="DC256">
        <f t="shared" si="80"/>
        <v>0</v>
      </c>
      <c r="DD256" t="s">
        <v>3</v>
      </c>
      <c r="DE256" t="s">
        <v>3</v>
      </c>
      <c r="DF256">
        <f t="shared" si="74"/>
        <v>5.04</v>
      </c>
      <c r="DG256">
        <f t="shared" si="72"/>
        <v>0</v>
      </c>
      <c r="DH256">
        <f t="shared" si="64"/>
        <v>0</v>
      </c>
      <c r="DI256">
        <f t="shared" si="52"/>
        <v>0</v>
      </c>
      <c r="DJ256">
        <f t="shared" si="81"/>
        <v>5.04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5">
      <c r="A257">
        <f>ROW(Source!A398)</f>
        <v>398</v>
      </c>
      <c r="B257">
        <v>57034452</v>
      </c>
      <c r="C257">
        <v>57035190</v>
      </c>
      <c r="D257">
        <v>55481866</v>
      </c>
      <c r="E257">
        <v>1</v>
      </c>
      <c r="F257">
        <v>1</v>
      </c>
      <c r="G257">
        <v>1081</v>
      </c>
      <c r="H257">
        <v>3</v>
      </c>
      <c r="I257" t="s">
        <v>498</v>
      </c>
      <c r="J257" t="s">
        <v>499</v>
      </c>
      <c r="K257" t="s">
        <v>500</v>
      </c>
      <c r="L257">
        <v>1356</v>
      </c>
      <c r="N257">
        <v>1010</v>
      </c>
      <c r="O257" t="s">
        <v>382</v>
      </c>
      <c r="P257" t="s">
        <v>382</v>
      </c>
      <c r="Q257">
        <v>1000</v>
      </c>
      <c r="W257">
        <v>0</v>
      </c>
      <c r="X257">
        <v>-314125572</v>
      </c>
      <c r="Y257">
        <f t="shared" si="75"/>
        <v>4.1000000000000003E-3</v>
      </c>
      <c r="AA257">
        <v>6.44</v>
      </c>
      <c r="AB257">
        <v>0</v>
      </c>
      <c r="AC257">
        <v>0</v>
      </c>
      <c r="AD257">
        <v>0</v>
      </c>
      <c r="AE257">
        <v>6.44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4.1000000000000003E-3</v>
      </c>
      <c r="AU257" t="s">
        <v>104</v>
      </c>
      <c r="AV257">
        <v>0</v>
      </c>
      <c r="AW257">
        <v>2</v>
      </c>
      <c r="AX257">
        <v>57035209</v>
      </c>
      <c r="AY257">
        <v>1</v>
      </c>
      <c r="AZ257">
        <v>0</v>
      </c>
      <c r="BA257">
        <v>271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ROUND(Y257*Source!I398,9)</f>
        <v>6.1499999999999999E-2</v>
      </c>
      <c r="CY257">
        <f t="shared" si="76"/>
        <v>6.44</v>
      </c>
      <c r="CZ257">
        <f t="shared" si="77"/>
        <v>6.44</v>
      </c>
      <c r="DA257">
        <f t="shared" si="78"/>
        <v>1</v>
      </c>
      <c r="DB257">
        <f t="shared" si="79"/>
        <v>0.03</v>
      </c>
      <c r="DC257">
        <f t="shared" si="80"/>
        <v>0</v>
      </c>
      <c r="DD257" t="s">
        <v>3</v>
      </c>
      <c r="DE257" t="s">
        <v>3</v>
      </c>
      <c r="DF257">
        <f t="shared" si="74"/>
        <v>0.4</v>
      </c>
      <c r="DG257">
        <f t="shared" si="72"/>
        <v>0</v>
      </c>
      <c r="DH257">
        <f t="shared" si="64"/>
        <v>0</v>
      </c>
      <c r="DI257">
        <f t="shared" ref="DI257:DI320" si="82">ROUND(ROUND(AH257,2)*CX257,2)</f>
        <v>0</v>
      </c>
      <c r="DJ257">
        <f t="shared" si="81"/>
        <v>0.4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ROW(Source!A398)</f>
        <v>398</v>
      </c>
      <c r="B258">
        <v>57034452</v>
      </c>
      <c r="C258">
        <v>57035190</v>
      </c>
      <c r="D258">
        <v>0</v>
      </c>
      <c r="E258">
        <v>0</v>
      </c>
      <c r="F258">
        <v>1</v>
      </c>
      <c r="G258">
        <v>1081</v>
      </c>
      <c r="H258">
        <v>3</v>
      </c>
      <c r="I258" t="s">
        <v>321</v>
      </c>
      <c r="J258" t="s">
        <v>3</v>
      </c>
      <c r="K258" t="s">
        <v>322</v>
      </c>
      <c r="L258">
        <v>1354</v>
      </c>
      <c r="N258">
        <v>1010</v>
      </c>
      <c r="O258" t="s">
        <v>177</v>
      </c>
      <c r="P258" t="s">
        <v>177</v>
      </c>
      <c r="Q258">
        <v>1</v>
      </c>
      <c r="W258">
        <v>0</v>
      </c>
      <c r="X258">
        <v>-649171004</v>
      </c>
      <c r="Y258">
        <f t="shared" si="75"/>
        <v>6.6666669999999997E-2</v>
      </c>
      <c r="AA258">
        <v>5689.57</v>
      </c>
      <c r="AB258">
        <v>0</v>
      </c>
      <c r="AC258">
        <v>0</v>
      </c>
      <c r="AD258">
        <v>0</v>
      </c>
      <c r="AE258">
        <v>5689.5700000000006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 t="s">
        <v>3</v>
      </c>
      <c r="AT258">
        <v>6.6666669999999997E-2</v>
      </c>
      <c r="AU258" t="s">
        <v>104</v>
      </c>
      <c r="AV258">
        <v>0</v>
      </c>
      <c r="AW258">
        <v>1</v>
      </c>
      <c r="AX258">
        <v>-1</v>
      </c>
      <c r="AY258">
        <v>0</v>
      </c>
      <c r="AZ258">
        <v>0</v>
      </c>
      <c r="BA258" t="s">
        <v>3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ROUND(Y258*Source!I398,9)</f>
        <v>1.0000000499999999</v>
      </c>
      <c r="CY258">
        <f t="shared" si="76"/>
        <v>5689.57</v>
      </c>
      <c r="CZ258">
        <f t="shared" si="77"/>
        <v>5689.5700000000006</v>
      </c>
      <c r="DA258">
        <f t="shared" si="78"/>
        <v>1</v>
      </c>
      <c r="DB258">
        <f t="shared" si="79"/>
        <v>379.3</v>
      </c>
      <c r="DC258">
        <f t="shared" si="80"/>
        <v>0</v>
      </c>
      <c r="DD258" t="s">
        <v>3</v>
      </c>
      <c r="DE258" t="s">
        <v>3</v>
      </c>
      <c r="DF258">
        <f t="shared" si="74"/>
        <v>5689.57</v>
      </c>
      <c r="DG258">
        <f t="shared" si="72"/>
        <v>0</v>
      </c>
      <c r="DH258">
        <f t="shared" si="64"/>
        <v>0</v>
      </c>
      <c r="DI258">
        <f t="shared" si="82"/>
        <v>0</v>
      </c>
      <c r="DJ258">
        <f t="shared" si="81"/>
        <v>5689.57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5">
      <c r="A259">
        <f>ROW(Source!A398)</f>
        <v>398</v>
      </c>
      <c r="B259">
        <v>57034452</v>
      </c>
      <c r="C259">
        <v>57035190</v>
      </c>
      <c r="D259">
        <v>0</v>
      </c>
      <c r="E259">
        <v>0</v>
      </c>
      <c r="F259">
        <v>1</v>
      </c>
      <c r="G259">
        <v>1081</v>
      </c>
      <c r="H259">
        <v>3</v>
      </c>
      <c r="I259" t="s">
        <v>325</v>
      </c>
      <c r="J259" t="s">
        <v>3</v>
      </c>
      <c r="K259" t="s">
        <v>326</v>
      </c>
      <c r="L259">
        <v>1354</v>
      </c>
      <c r="N259">
        <v>1010</v>
      </c>
      <c r="O259" t="s">
        <v>177</v>
      </c>
      <c r="P259" t="s">
        <v>177</v>
      </c>
      <c r="Q259">
        <v>1</v>
      </c>
      <c r="W259">
        <v>0</v>
      </c>
      <c r="X259">
        <v>1681701267</v>
      </c>
      <c r="Y259">
        <f t="shared" si="75"/>
        <v>0.53333330000000001</v>
      </c>
      <c r="AA259">
        <v>6283.23</v>
      </c>
      <c r="AB259">
        <v>0</v>
      </c>
      <c r="AC259">
        <v>0</v>
      </c>
      <c r="AD259">
        <v>0</v>
      </c>
      <c r="AE259">
        <v>6283.2300000000005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 t="s">
        <v>3</v>
      </c>
      <c r="AT259">
        <v>0.53333330000000001</v>
      </c>
      <c r="AU259" t="s">
        <v>104</v>
      </c>
      <c r="AV259">
        <v>0</v>
      </c>
      <c r="AW259">
        <v>1</v>
      </c>
      <c r="AX259">
        <v>-1</v>
      </c>
      <c r="AY259">
        <v>0</v>
      </c>
      <c r="AZ259">
        <v>0</v>
      </c>
      <c r="BA259" t="s">
        <v>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ROUND(Y259*Source!I398,9)</f>
        <v>7.9999995000000004</v>
      </c>
      <c r="CY259">
        <f t="shared" si="76"/>
        <v>6283.23</v>
      </c>
      <c r="CZ259">
        <f t="shared" si="77"/>
        <v>6283.2300000000005</v>
      </c>
      <c r="DA259">
        <f t="shared" si="78"/>
        <v>1</v>
      </c>
      <c r="DB259">
        <f t="shared" si="79"/>
        <v>3351.06</v>
      </c>
      <c r="DC259">
        <f t="shared" si="80"/>
        <v>0</v>
      </c>
      <c r="DD259" t="s">
        <v>3</v>
      </c>
      <c r="DE259" t="s">
        <v>3</v>
      </c>
      <c r="DF259">
        <f t="shared" si="74"/>
        <v>50265.84</v>
      </c>
      <c r="DG259">
        <f t="shared" si="72"/>
        <v>0</v>
      </c>
      <c r="DH259">
        <f t="shared" si="64"/>
        <v>0</v>
      </c>
      <c r="DI259">
        <f t="shared" si="82"/>
        <v>0</v>
      </c>
      <c r="DJ259">
        <f t="shared" si="81"/>
        <v>50265.84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5">
      <c r="A260">
        <f>ROW(Source!A398)</f>
        <v>398</v>
      </c>
      <c r="B260">
        <v>57034452</v>
      </c>
      <c r="C260">
        <v>57035190</v>
      </c>
      <c r="D260">
        <v>0</v>
      </c>
      <c r="E260">
        <v>0</v>
      </c>
      <c r="F260">
        <v>1</v>
      </c>
      <c r="G260">
        <v>1081</v>
      </c>
      <c r="H260">
        <v>3</v>
      </c>
      <c r="I260" t="s">
        <v>329</v>
      </c>
      <c r="J260" t="s">
        <v>3</v>
      </c>
      <c r="K260" t="s">
        <v>330</v>
      </c>
      <c r="L260">
        <v>1354</v>
      </c>
      <c r="N260">
        <v>1010</v>
      </c>
      <c r="O260" t="s">
        <v>177</v>
      </c>
      <c r="P260" t="s">
        <v>177</v>
      </c>
      <c r="Q260">
        <v>1</v>
      </c>
      <c r="W260">
        <v>0</v>
      </c>
      <c r="X260">
        <v>-452520673</v>
      </c>
      <c r="Y260">
        <f t="shared" si="75"/>
        <v>0.2</v>
      </c>
      <c r="AA260">
        <v>16017.92</v>
      </c>
      <c r="AB260">
        <v>0</v>
      </c>
      <c r="AC260">
        <v>0</v>
      </c>
      <c r="AD260">
        <v>0</v>
      </c>
      <c r="AE260">
        <v>16017.92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 t="s">
        <v>3</v>
      </c>
      <c r="AT260">
        <v>0.2</v>
      </c>
      <c r="AU260" t="s">
        <v>104</v>
      </c>
      <c r="AV260">
        <v>0</v>
      </c>
      <c r="AW260">
        <v>1</v>
      </c>
      <c r="AX260">
        <v>-1</v>
      </c>
      <c r="AY260">
        <v>0</v>
      </c>
      <c r="AZ260">
        <v>0</v>
      </c>
      <c r="BA260" t="s">
        <v>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ROUND(Y260*Source!I398,9)</f>
        <v>3</v>
      </c>
      <c r="CY260">
        <f t="shared" si="76"/>
        <v>16017.92</v>
      </c>
      <c r="CZ260">
        <f t="shared" si="77"/>
        <v>16017.92</v>
      </c>
      <c r="DA260">
        <f t="shared" si="78"/>
        <v>1</v>
      </c>
      <c r="DB260">
        <f t="shared" si="79"/>
        <v>3203.58</v>
      </c>
      <c r="DC260">
        <f t="shared" si="80"/>
        <v>0</v>
      </c>
      <c r="DD260" t="s">
        <v>3</v>
      </c>
      <c r="DE260" t="s">
        <v>3</v>
      </c>
      <c r="DF260">
        <f t="shared" si="74"/>
        <v>48053.760000000002</v>
      </c>
      <c r="DG260">
        <f t="shared" si="72"/>
        <v>0</v>
      </c>
      <c r="DH260">
        <f t="shared" si="64"/>
        <v>0</v>
      </c>
      <c r="DI260">
        <f t="shared" si="82"/>
        <v>0</v>
      </c>
      <c r="DJ260">
        <f t="shared" si="81"/>
        <v>48053.760000000002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ROW(Source!A398)</f>
        <v>398</v>
      </c>
      <c r="B261">
        <v>57034452</v>
      </c>
      <c r="C261">
        <v>57035190</v>
      </c>
      <c r="D261">
        <v>0</v>
      </c>
      <c r="E261">
        <v>0</v>
      </c>
      <c r="F261">
        <v>1</v>
      </c>
      <c r="G261">
        <v>1081</v>
      </c>
      <c r="H261">
        <v>3</v>
      </c>
      <c r="I261" t="s">
        <v>333</v>
      </c>
      <c r="J261" t="s">
        <v>3</v>
      </c>
      <c r="K261" t="s">
        <v>334</v>
      </c>
      <c r="L261">
        <v>1354</v>
      </c>
      <c r="N261">
        <v>1010</v>
      </c>
      <c r="O261" t="s">
        <v>177</v>
      </c>
      <c r="P261" t="s">
        <v>177</v>
      </c>
      <c r="Q261">
        <v>1</v>
      </c>
      <c r="W261">
        <v>0</v>
      </c>
      <c r="X261">
        <v>1711963306</v>
      </c>
      <c r="Y261">
        <f t="shared" si="75"/>
        <v>0.13333329999999999</v>
      </c>
      <c r="AA261">
        <v>29859.18</v>
      </c>
      <c r="AB261">
        <v>0</v>
      </c>
      <c r="AC261">
        <v>0</v>
      </c>
      <c r="AD261">
        <v>0</v>
      </c>
      <c r="AE261">
        <v>29859.18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 t="s">
        <v>3</v>
      </c>
      <c r="AT261">
        <v>0.13333329999999999</v>
      </c>
      <c r="AU261" t="s">
        <v>104</v>
      </c>
      <c r="AV261">
        <v>0</v>
      </c>
      <c r="AW261">
        <v>1</v>
      </c>
      <c r="AX261">
        <v>-1</v>
      </c>
      <c r="AY261">
        <v>0</v>
      </c>
      <c r="AZ261">
        <v>0</v>
      </c>
      <c r="BA261" t="s">
        <v>3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ROUND(Y261*Source!I398,9)</f>
        <v>1.9999994999999999</v>
      </c>
      <c r="CY261">
        <f t="shared" si="76"/>
        <v>29859.18</v>
      </c>
      <c r="CZ261">
        <f t="shared" si="77"/>
        <v>29859.18</v>
      </c>
      <c r="DA261">
        <f t="shared" si="78"/>
        <v>1</v>
      </c>
      <c r="DB261">
        <f t="shared" si="79"/>
        <v>3981.22</v>
      </c>
      <c r="DC261">
        <f t="shared" si="80"/>
        <v>0</v>
      </c>
      <c r="DD261" t="s">
        <v>3</v>
      </c>
      <c r="DE261" t="s">
        <v>3</v>
      </c>
      <c r="DF261">
        <f t="shared" si="74"/>
        <v>59718.35</v>
      </c>
      <c r="DG261">
        <f t="shared" si="72"/>
        <v>0</v>
      </c>
      <c r="DH261">
        <f t="shared" si="64"/>
        <v>0</v>
      </c>
      <c r="DI261">
        <f t="shared" si="82"/>
        <v>0</v>
      </c>
      <c r="DJ261">
        <f t="shared" si="81"/>
        <v>59718.35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5">
      <c r="A262">
        <f>ROW(Source!A398)</f>
        <v>398</v>
      </c>
      <c r="B262">
        <v>57034452</v>
      </c>
      <c r="C262">
        <v>57035190</v>
      </c>
      <c r="D262">
        <v>0</v>
      </c>
      <c r="E262">
        <v>0</v>
      </c>
      <c r="F262">
        <v>1</v>
      </c>
      <c r="G262">
        <v>1081</v>
      </c>
      <c r="H262">
        <v>3</v>
      </c>
      <c r="I262" t="s">
        <v>337</v>
      </c>
      <c r="J262" t="s">
        <v>3</v>
      </c>
      <c r="K262" t="s">
        <v>338</v>
      </c>
      <c r="L262">
        <v>1354</v>
      </c>
      <c r="N262">
        <v>1010</v>
      </c>
      <c r="O262" t="s">
        <v>177</v>
      </c>
      <c r="P262" t="s">
        <v>177</v>
      </c>
      <c r="Q262">
        <v>1</v>
      </c>
      <c r="W262">
        <v>0</v>
      </c>
      <c r="X262">
        <v>1380316879</v>
      </c>
      <c r="Y262">
        <f t="shared" si="75"/>
        <v>6.6666669999999997E-2</v>
      </c>
      <c r="AA262">
        <v>4175.93</v>
      </c>
      <c r="AB262">
        <v>0</v>
      </c>
      <c r="AC262">
        <v>0</v>
      </c>
      <c r="AD262">
        <v>0</v>
      </c>
      <c r="AE262">
        <v>4175.93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 t="s">
        <v>3</v>
      </c>
      <c r="AT262">
        <v>6.6666669999999997E-2</v>
      </c>
      <c r="AU262" t="s">
        <v>104</v>
      </c>
      <c r="AV262">
        <v>0</v>
      </c>
      <c r="AW262">
        <v>1</v>
      </c>
      <c r="AX262">
        <v>-1</v>
      </c>
      <c r="AY262">
        <v>0</v>
      </c>
      <c r="AZ262">
        <v>0</v>
      </c>
      <c r="BA262" t="s">
        <v>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ROUND(Y262*Source!I398,9)</f>
        <v>1.0000000499999999</v>
      </c>
      <c r="CY262">
        <f t="shared" si="76"/>
        <v>4175.93</v>
      </c>
      <c r="CZ262">
        <f t="shared" si="77"/>
        <v>4175.93</v>
      </c>
      <c r="DA262">
        <f t="shared" si="78"/>
        <v>1</v>
      </c>
      <c r="DB262">
        <f t="shared" si="79"/>
        <v>278.39999999999998</v>
      </c>
      <c r="DC262">
        <f t="shared" si="80"/>
        <v>0</v>
      </c>
      <c r="DD262" t="s">
        <v>3</v>
      </c>
      <c r="DE262" t="s">
        <v>3</v>
      </c>
      <c r="DF262">
        <f t="shared" si="74"/>
        <v>4175.93</v>
      </c>
      <c r="DG262">
        <f t="shared" si="72"/>
        <v>0</v>
      </c>
      <c r="DH262">
        <f t="shared" si="64"/>
        <v>0</v>
      </c>
      <c r="DI262">
        <f t="shared" si="82"/>
        <v>0</v>
      </c>
      <c r="DJ262">
        <f t="shared" si="81"/>
        <v>4175.93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ROW(Source!A399)</f>
        <v>399</v>
      </c>
      <c r="B263">
        <v>57034454</v>
      </c>
      <c r="C263">
        <v>57035190</v>
      </c>
      <c r="D263">
        <v>55424304</v>
      </c>
      <c r="E263">
        <v>1081</v>
      </c>
      <c r="F263">
        <v>1</v>
      </c>
      <c r="G263">
        <v>1081</v>
      </c>
      <c r="H263">
        <v>1</v>
      </c>
      <c r="I263" t="s">
        <v>459</v>
      </c>
      <c r="J263" t="s">
        <v>3</v>
      </c>
      <c r="K263" t="s">
        <v>460</v>
      </c>
      <c r="L263">
        <v>1191</v>
      </c>
      <c r="N263">
        <v>1013</v>
      </c>
      <c r="O263" t="s">
        <v>461</v>
      </c>
      <c r="P263" t="s">
        <v>461</v>
      </c>
      <c r="Q263">
        <v>1</v>
      </c>
      <c r="W263">
        <v>0</v>
      </c>
      <c r="X263">
        <v>476480486</v>
      </c>
      <c r="Y263">
        <f>(AT263*1.2)</f>
        <v>16.079999999999998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5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13.4</v>
      </c>
      <c r="AU263" t="s">
        <v>105</v>
      </c>
      <c r="AV263">
        <v>1</v>
      </c>
      <c r="AW263">
        <v>2</v>
      </c>
      <c r="AX263">
        <v>57035203</v>
      </c>
      <c r="AY263">
        <v>1</v>
      </c>
      <c r="AZ263">
        <v>0</v>
      </c>
      <c r="BA263">
        <v>276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U263">
        <f>ROUND(AT263*Source!I399*AH263*AL263,2)</f>
        <v>0</v>
      </c>
      <c r="CV263">
        <f>ROUND(Y263*Source!I399,9)</f>
        <v>241.2</v>
      </c>
      <c r="CW263">
        <v>0</v>
      </c>
      <c r="CX263">
        <f>ROUND(Y263*Source!I399,9)</f>
        <v>241.2</v>
      </c>
      <c r="CY263">
        <f>AD263</f>
        <v>0</v>
      </c>
      <c r="CZ263">
        <f>AH263</f>
        <v>0</v>
      </c>
      <c r="DA263">
        <f>AL263</f>
        <v>1</v>
      </c>
      <c r="DB263">
        <f>ROUND((ROUND(AT263*CZ263,2)*1.2),6)</f>
        <v>0</v>
      </c>
      <c r="DC263">
        <f>ROUND((ROUND(AT263*AG263,2)*1.2),6)</f>
        <v>0</v>
      </c>
      <c r="DD263" t="s">
        <v>3</v>
      </c>
      <c r="DE263" t="s">
        <v>3</v>
      </c>
      <c r="DF263">
        <f t="shared" si="74"/>
        <v>0</v>
      </c>
      <c r="DG263">
        <f t="shared" si="72"/>
        <v>0</v>
      </c>
      <c r="DH263">
        <f t="shared" si="64"/>
        <v>0</v>
      </c>
      <c r="DI263">
        <f t="shared" si="82"/>
        <v>0</v>
      </c>
      <c r="DJ263">
        <f>DI263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ROW(Source!A399)</f>
        <v>399</v>
      </c>
      <c r="B264">
        <v>57034454</v>
      </c>
      <c r="C264">
        <v>57035190</v>
      </c>
      <c r="D264">
        <v>55490209</v>
      </c>
      <c r="E264">
        <v>1</v>
      </c>
      <c r="F264">
        <v>1</v>
      </c>
      <c r="G264">
        <v>1081</v>
      </c>
      <c r="H264">
        <v>2</v>
      </c>
      <c r="I264" t="s">
        <v>462</v>
      </c>
      <c r="J264" t="s">
        <v>463</v>
      </c>
      <c r="K264" t="s">
        <v>464</v>
      </c>
      <c r="L264">
        <v>1368</v>
      </c>
      <c r="N264">
        <v>1011</v>
      </c>
      <c r="O264" t="s">
        <v>465</v>
      </c>
      <c r="P264" t="s">
        <v>465</v>
      </c>
      <c r="Q264">
        <v>1</v>
      </c>
      <c r="W264">
        <v>0</v>
      </c>
      <c r="X264">
        <v>874612079</v>
      </c>
      <c r="Y264">
        <f>(AT264*1.2)</f>
        <v>0.876</v>
      </c>
      <c r="AA264">
        <v>0</v>
      </c>
      <c r="AB264">
        <v>1485.19</v>
      </c>
      <c r="AC264">
        <v>744.56</v>
      </c>
      <c r="AD264">
        <v>0</v>
      </c>
      <c r="AE264">
        <v>0</v>
      </c>
      <c r="AF264">
        <v>83.1</v>
      </c>
      <c r="AG264">
        <v>12.62</v>
      </c>
      <c r="AH264">
        <v>0</v>
      </c>
      <c r="AI264">
        <v>1</v>
      </c>
      <c r="AJ264">
        <v>17.07</v>
      </c>
      <c r="AK264">
        <v>56.35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0.73</v>
      </c>
      <c r="AU264" t="s">
        <v>105</v>
      </c>
      <c r="AV264">
        <v>0</v>
      </c>
      <c r="AW264">
        <v>2</v>
      </c>
      <c r="AX264">
        <v>57035204</v>
      </c>
      <c r="AY264">
        <v>1</v>
      </c>
      <c r="AZ264">
        <v>0</v>
      </c>
      <c r="BA264">
        <v>277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f>ROUND(Y264*Source!I399*DO264,9)</f>
        <v>165.82679999999999</v>
      </c>
      <c r="CX264">
        <f>ROUND(Y264*Source!I399,9)</f>
        <v>13.14</v>
      </c>
      <c r="CY264">
        <f>AB264</f>
        <v>1485.19</v>
      </c>
      <c r="CZ264">
        <f>AF264</f>
        <v>83.1</v>
      </c>
      <c r="DA264">
        <f>AJ264</f>
        <v>17.07</v>
      </c>
      <c r="DB264">
        <f>ROUND((ROUND(AT264*CZ264,2)*1.2),6)</f>
        <v>72.792000000000002</v>
      </c>
      <c r="DC264">
        <f>ROUND((ROUND(AT264*AG264,2)*1.2),6)</f>
        <v>11.052</v>
      </c>
      <c r="DD264" t="s">
        <v>3</v>
      </c>
      <c r="DE264" t="s">
        <v>3</v>
      </c>
      <c r="DF264">
        <f t="shared" si="74"/>
        <v>0</v>
      </c>
      <c r="DG264">
        <f>ROUND(ROUND(AF264*AJ264,2)*CX264,2)</f>
        <v>18639.349999999999</v>
      </c>
      <c r="DH264">
        <f>ROUND(ROUND(AG264*AK264,2)*CX264,2)</f>
        <v>9344.3799999999992</v>
      </c>
      <c r="DI264">
        <f t="shared" si="82"/>
        <v>0</v>
      </c>
      <c r="DJ264">
        <f>DG264</f>
        <v>18639.349999999999</v>
      </c>
      <c r="DK264">
        <v>0</v>
      </c>
      <c r="DL264" t="s">
        <v>466</v>
      </c>
      <c r="DM264">
        <v>0</v>
      </c>
      <c r="DN264" t="s">
        <v>461</v>
      </c>
      <c r="DO264">
        <v>12.62</v>
      </c>
    </row>
    <row r="265" spans="1:119" x14ac:dyDescent="0.25">
      <c r="A265">
        <f>ROW(Source!A399)</f>
        <v>399</v>
      </c>
      <c r="B265">
        <v>57034454</v>
      </c>
      <c r="C265">
        <v>57035190</v>
      </c>
      <c r="D265">
        <v>55482166</v>
      </c>
      <c r="E265">
        <v>1</v>
      </c>
      <c r="F265">
        <v>1</v>
      </c>
      <c r="G265">
        <v>1081</v>
      </c>
      <c r="H265">
        <v>3</v>
      </c>
      <c r="I265" t="s">
        <v>486</v>
      </c>
      <c r="J265" t="s">
        <v>487</v>
      </c>
      <c r="K265" t="s">
        <v>488</v>
      </c>
      <c r="L265">
        <v>1301</v>
      </c>
      <c r="N265">
        <v>1003</v>
      </c>
      <c r="O265" t="s">
        <v>371</v>
      </c>
      <c r="P265" t="s">
        <v>371</v>
      </c>
      <c r="Q265">
        <v>1</v>
      </c>
      <c r="W265">
        <v>0</v>
      </c>
      <c r="X265">
        <v>876831867</v>
      </c>
      <c r="Y265">
        <f t="shared" ref="Y265:Y274" si="83">(AT265*1)</f>
        <v>1.18</v>
      </c>
      <c r="AA265">
        <v>4.76</v>
      </c>
      <c r="AB265">
        <v>0</v>
      </c>
      <c r="AC265">
        <v>0</v>
      </c>
      <c r="AD265">
        <v>0</v>
      </c>
      <c r="AE265">
        <v>0.69</v>
      </c>
      <c r="AF265">
        <v>0</v>
      </c>
      <c r="AG265">
        <v>0</v>
      </c>
      <c r="AH265">
        <v>0</v>
      </c>
      <c r="AI265">
        <v>6.9</v>
      </c>
      <c r="AJ265">
        <v>1</v>
      </c>
      <c r="AK265">
        <v>1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1.18</v>
      </c>
      <c r="AU265" t="s">
        <v>104</v>
      </c>
      <c r="AV265">
        <v>0</v>
      </c>
      <c r="AW265">
        <v>2</v>
      </c>
      <c r="AX265">
        <v>57035205</v>
      </c>
      <c r="AY265">
        <v>1</v>
      </c>
      <c r="AZ265">
        <v>0</v>
      </c>
      <c r="BA265">
        <v>278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ROUND(Y265*Source!I399,9)</f>
        <v>17.7</v>
      </c>
      <c r="CY265">
        <f t="shared" ref="CY265:CY274" si="84">AA265</f>
        <v>4.76</v>
      </c>
      <c r="CZ265">
        <f t="shared" ref="CZ265:CZ274" si="85">AE265</f>
        <v>0.69</v>
      </c>
      <c r="DA265">
        <f t="shared" ref="DA265:DA274" si="86">AI265</f>
        <v>6.9</v>
      </c>
      <c r="DB265">
        <f t="shared" ref="DB265:DB274" si="87">ROUND((ROUND(AT265*CZ265,2)*1),6)</f>
        <v>0.81</v>
      </c>
      <c r="DC265">
        <f t="shared" ref="DC265:DC274" si="88">ROUND((ROUND(AT265*AG265,2)*1),6)</f>
        <v>0</v>
      </c>
      <c r="DD265" t="s">
        <v>3</v>
      </c>
      <c r="DE265" t="s">
        <v>3</v>
      </c>
      <c r="DF265">
        <f t="shared" ref="DF265:DF274" si="89">ROUND(ROUND(AE265*AI265,2)*CX265,2)</f>
        <v>84.25</v>
      </c>
      <c r="DG265">
        <f t="shared" ref="DG265:DG294" si="90">ROUND(ROUND(AF265,2)*CX265,2)</f>
        <v>0</v>
      </c>
      <c r="DH265">
        <f t="shared" ref="DH265:DH296" si="91">ROUND(ROUND(AG265,2)*CX265,2)</f>
        <v>0</v>
      </c>
      <c r="DI265">
        <f t="shared" si="82"/>
        <v>0</v>
      </c>
      <c r="DJ265">
        <f t="shared" ref="DJ265:DJ274" si="92">DF265</f>
        <v>84.25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ROW(Source!A399)</f>
        <v>399</v>
      </c>
      <c r="B266">
        <v>57034454</v>
      </c>
      <c r="C266">
        <v>57035190</v>
      </c>
      <c r="D266">
        <v>55482203</v>
      </c>
      <c r="E266">
        <v>1</v>
      </c>
      <c r="F266">
        <v>1</v>
      </c>
      <c r="G266">
        <v>1081</v>
      </c>
      <c r="H266">
        <v>3</v>
      </c>
      <c r="I266" t="s">
        <v>489</v>
      </c>
      <c r="J266" t="s">
        <v>490</v>
      </c>
      <c r="K266" t="s">
        <v>491</v>
      </c>
      <c r="L266">
        <v>1356</v>
      </c>
      <c r="N266">
        <v>1010</v>
      </c>
      <c r="O266" t="s">
        <v>382</v>
      </c>
      <c r="P266" t="s">
        <v>382</v>
      </c>
      <c r="Q266">
        <v>1000</v>
      </c>
      <c r="W266">
        <v>0</v>
      </c>
      <c r="X266">
        <v>474149623</v>
      </c>
      <c r="Y266">
        <f t="shared" si="83"/>
        <v>2E-3</v>
      </c>
      <c r="AA266">
        <v>1527.69</v>
      </c>
      <c r="AB266">
        <v>0</v>
      </c>
      <c r="AC266">
        <v>0</v>
      </c>
      <c r="AD266">
        <v>0</v>
      </c>
      <c r="AE266">
        <v>226.66</v>
      </c>
      <c r="AF266">
        <v>0</v>
      </c>
      <c r="AG266">
        <v>0</v>
      </c>
      <c r="AH266">
        <v>0</v>
      </c>
      <c r="AI266">
        <v>6.74</v>
      </c>
      <c r="AJ266">
        <v>1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2E-3</v>
      </c>
      <c r="AU266" t="s">
        <v>104</v>
      </c>
      <c r="AV266">
        <v>0</v>
      </c>
      <c r="AW266">
        <v>2</v>
      </c>
      <c r="AX266">
        <v>57035206</v>
      </c>
      <c r="AY266">
        <v>1</v>
      </c>
      <c r="AZ266">
        <v>0</v>
      </c>
      <c r="BA266">
        <v>279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ROUND(Y266*Source!I399,9)</f>
        <v>0.03</v>
      </c>
      <c r="CY266">
        <f t="shared" si="84"/>
        <v>1527.69</v>
      </c>
      <c r="CZ266">
        <f t="shared" si="85"/>
        <v>226.66</v>
      </c>
      <c r="DA266">
        <f t="shared" si="86"/>
        <v>6.74</v>
      </c>
      <c r="DB266">
        <f t="shared" si="87"/>
        <v>0.45</v>
      </c>
      <c r="DC266">
        <f t="shared" si="88"/>
        <v>0</v>
      </c>
      <c r="DD266" t="s">
        <v>3</v>
      </c>
      <c r="DE266" t="s">
        <v>3</v>
      </c>
      <c r="DF266">
        <f t="shared" si="89"/>
        <v>45.83</v>
      </c>
      <c r="DG266">
        <f t="shared" si="90"/>
        <v>0</v>
      </c>
      <c r="DH266">
        <f t="shared" si="91"/>
        <v>0</v>
      </c>
      <c r="DI266">
        <f t="shared" si="82"/>
        <v>0</v>
      </c>
      <c r="DJ266">
        <f t="shared" si="92"/>
        <v>45.83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ROW(Source!A399)</f>
        <v>399</v>
      </c>
      <c r="B267">
        <v>57034454</v>
      </c>
      <c r="C267">
        <v>57035190</v>
      </c>
      <c r="D267">
        <v>55482617</v>
      </c>
      <c r="E267">
        <v>1</v>
      </c>
      <c r="F267">
        <v>1</v>
      </c>
      <c r="G267">
        <v>1081</v>
      </c>
      <c r="H267">
        <v>3</v>
      </c>
      <c r="I267" t="s">
        <v>492</v>
      </c>
      <c r="J267" t="s">
        <v>493</v>
      </c>
      <c r="K267" t="s">
        <v>494</v>
      </c>
      <c r="L267">
        <v>1354</v>
      </c>
      <c r="N267">
        <v>1010</v>
      </c>
      <c r="O267" t="s">
        <v>177</v>
      </c>
      <c r="P267" t="s">
        <v>177</v>
      </c>
      <c r="Q267">
        <v>1</v>
      </c>
      <c r="W267">
        <v>0</v>
      </c>
      <c r="X267">
        <v>-1189947653</v>
      </c>
      <c r="Y267">
        <f t="shared" si="83"/>
        <v>1</v>
      </c>
      <c r="AA267">
        <v>123.97</v>
      </c>
      <c r="AB267">
        <v>0</v>
      </c>
      <c r="AC267">
        <v>0</v>
      </c>
      <c r="AD267">
        <v>0</v>
      </c>
      <c r="AE267">
        <v>14.99</v>
      </c>
      <c r="AF267">
        <v>0</v>
      </c>
      <c r="AG267">
        <v>0</v>
      </c>
      <c r="AH267">
        <v>0</v>
      </c>
      <c r="AI267">
        <v>8.27</v>
      </c>
      <c r="AJ267">
        <v>1</v>
      </c>
      <c r="AK267">
        <v>1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1</v>
      </c>
      <c r="AU267" t="s">
        <v>104</v>
      </c>
      <c r="AV267">
        <v>0</v>
      </c>
      <c r="AW267">
        <v>2</v>
      </c>
      <c r="AX267">
        <v>57035207</v>
      </c>
      <c r="AY267">
        <v>1</v>
      </c>
      <c r="AZ267">
        <v>0</v>
      </c>
      <c r="BA267">
        <v>280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v>0</v>
      </c>
      <c r="CX267">
        <f>ROUND(Y267*Source!I399,9)</f>
        <v>15</v>
      </c>
      <c r="CY267">
        <f t="shared" si="84"/>
        <v>123.97</v>
      </c>
      <c r="CZ267">
        <f t="shared" si="85"/>
        <v>14.99</v>
      </c>
      <c r="DA267">
        <f t="shared" si="86"/>
        <v>8.27</v>
      </c>
      <c r="DB267">
        <f t="shared" si="87"/>
        <v>14.99</v>
      </c>
      <c r="DC267">
        <f t="shared" si="88"/>
        <v>0</v>
      </c>
      <c r="DD267" t="s">
        <v>3</v>
      </c>
      <c r="DE267" t="s">
        <v>3</v>
      </c>
      <c r="DF267">
        <f t="shared" si="89"/>
        <v>1859.55</v>
      </c>
      <c r="DG267">
        <f t="shared" si="90"/>
        <v>0</v>
      </c>
      <c r="DH267">
        <f t="shared" si="91"/>
        <v>0</v>
      </c>
      <c r="DI267">
        <f t="shared" si="82"/>
        <v>0</v>
      </c>
      <c r="DJ267">
        <f t="shared" si="92"/>
        <v>1859.55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5">
      <c r="A268">
        <f>ROW(Source!A399)</f>
        <v>399</v>
      </c>
      <c r="B268">
        <v>57034454</v>
      </c>
      <c r="C268">
        <v>57035190</v>
      </c>
      <c r="D268">
        <v>55481864</v>
      </c>
      <c r="E268">
        <v>1</v>
      </c>
      <c r="F268">
        <v>1</v>
      </c>
      <c r="G268">
        <v>1081</v>
      </c>
      <c r="H268">
        <v>3</v>
      </c>
      <c r="I268" t="s">
        <v>495</v>
      </c>
      <c r="J268" t="s">
        <v>496</v>
      </c>
      <c r="K268" t="s">
        <v>497</v>
      </c>
      <c r="L268">
        <v>1301</v>
      </c>
      <c r="N268">
        <v>1003</v>
      </c>
      <c r="O268" t="s">
        <v>371</v>
      </c>
      <c r="P268" t="s">
        <v>371</v>
      </c>
      <c r="Q268">
        <v>1</v>
      </c>
      <c r="W268">
        <v>0</v>
      </c>
      <c r="X268">
        <v>-877267416</v>
      </c>
      <c r="Y268">
        <f t="shared" si="83"/>
        <v>0.48</v>
      </c>
      <c r="AA268">
        <v>4.95</v>
      </c>
      <c r="AB268">
        <v>0</v>
      </c>
      <c r="AC268">
        <v>0</v>
      </c>
      <c r="AD268">
        <v>0</v>
      </c>
      <c r="AE268">
        <v>0.7</v>
      </c>
      <c r="AF268">
        <v>0</v>
      </c>
      <c r="AG268">
        <v>0</v>
      </c>
      <c r="AH268">
        <v>0</v>
      </c>
      <c r="AI268">
        <v>7.07</v>
      </c>
      <c r="AJ268">
        <v>1</v>
      </c>
      <c r="AK268">
        <v>1</v>
      </c>
      <c r="AL268">
        <v>1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0.48</v>
      </c>
      <c r="AU268" t="s">
        <v>104</v>
      </c>
      <c r="AV268">
        <v>0</v>
      </c>
      <c r="AW268">
        <v>2</v>
      </c>
      <c r="AX268">
        <v>57035208</v>
      </c>
      <c r="AY268">
        <v>1</v>
      </c>
      <c r="AZ268">
        <v>0</v>
      </c>
      <c r="BA268">
        <v>281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ROUND(Y268*Source!I399,9)</f>
        <v>7.2</v>
      </c>
      <c r="CY268">
        <f t="shared" si="84"/>
        <v>4.95</v>
      </c>
      <c r="CZ268">
        <f t="shared" si="85"/>
        <v>0.7</v>
      </c>
      <c r="DA268">
        <f t="shared" si="86"/>
        <v>7.07</v>
      </c>
      <c r="DB268">
        <f t="shared" si="87"/>
        <v>0.34</v>
      </c>
      <c r="DC268">
        <f t="shared" si="88"/>
        <v>0</v>
      </c>
      <c r="DD268" t="s">
        <v>3</v>
      </c>
      <c r="DE268" t="s">
        <v>3</v>
      </c>
      <c r="DF268">
        <f t="shared" si="89"/>
        <v>35.64</v>
      </c>
      <c r="DG268">
        <f t="shared" si="90"/>
        <v>0</v>
      </c>
      <c r="DH268">
        <f t="shared" si="91"/>
        <v>0</v>
      </c>
      <c r="DI268">
        <f t="shared" si="82"/>
        <v>0</v>
      </c>
      <c r="DJ268">
        <f t="shared" si="92"/>
        <v>35.64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ROW(Source!A399)</f>
        <v>399</v>
      </c>
      <c r="B269">
        <v>57034454</v>
      </c>
      <c r="C269">
        <v>57035190</v>
      </c>
      <c r="D269">
        <v>55481866</v>
      </c>
      <c r="E269">
        <v>1</v>
      </c>
      <c r="F269">
        <v>1</v>
      </c>
      <c r="G269">
        <v>1081</v>
      </c>
      <c r="H269">
        <v>3</v>
      </c>
      <c r="I269" t="s">
        <v>498</v>
      </c>
      <c r="J269" t="s">
        <v>499</v>
      </c>
      <c r="K269" t="s">
        <v>500</v>
      </c>
      <c r="L269">
        <v>1356</v>
      </c>
      <c r="N269">
        <v>1010</v>
      </c>
      <c r="O269" t="s">
        <v>382</v>
      </c>
      <c r="P269" t="s">
        <v>382</v>
      </c>
      <c r="Q269">
        <v>1000</v>
      </c>
      <c r="W269">
        <v>0</v>
      </c>
      <c r="X269">
        <v>-314125572</v>
      </c>
      <c r="Y269">
        <f t="shared" si="83"/>
        <v>4.1000000000000003E-3</v>
      </c>
      <c r="AA269">
        <v>215.29</v>
      </c>
      <c r="AB269">
        <v>0</v>
      </c>
      <c r="AC269">
        <v>0</v>
      </c>
      <c r="AD269">
        <v>0</v>
      </c>
      <c r="AE269">
        <v>6.44</v>
      </c>
      <c r="AF269">
        <v>0</v>
      </c>
      <c r="AG269">
        <v>0</v>
      </c>
      <c r="AH269">
        <v>0</v>
      </c>
      <c r="AI269">
        <v>33.43</v>
      </c>
      <c r="AJ269">
        <v>1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4.1000000000000003E-3</v>
      </c>
      <c r="AU269" t="s">
        <v>104</v>
      </c>
      <c r="AV269">
        <v>0</v>
      </c>
      <c r="AW269">
        <v>2</v>
      </c>
      <c r="AX269">
        <v>57035209</v>
      </c>
      <c r="AY269">
        <v>1</v>
      </c>
      <c r="AZ269">
        <v>0</v>
      </c>
      <c r="BA269">
        <v>282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ROUND(Y269*Source!I399,9)</f>
        <v>6.1499999999999999E-2</v>
      </c>
      <c r="CY269">
        <f t="shared" si="84"/>
        <v>215.29</v>
      </c>
      <c r="CZ269">
        <f t="shared" si="85"/>
        <v>6.44</v>
      </c>
      <c r="DA269">
        <f t="shared" si="86"/>
        <v>33.43</v>
      </c>
      <c r="DB269">
        <f t="shared" si="87"/>
        <v>0.03</v>
      </c>
      <c r="DC269">
        <f t="shared" si="88"/>
        <v>0</v>
      </c>
      <c r="DD269" t="s">
        <v>3</v>
      </c>
      <c r="DE269" t="s">
        <v>3</v>
      </c>
      <c r="DF269">
        <f t="shared" si="89"/>
        <v>13.24</v>
      </c>
      <c r="DG269">
        <f t="shared" si="90"/>
        <v>0</v>
      </c>
      <c r="DH269">
        <f t="shared" si="91"/>
        <v>0</v>
      </c>
      <c r="DI269">
        <f t="shared" si="82"/>
        <v>0</v>
      </c>
      <c r="DJ269">
        <f t="shared" si="92"/>
        <v>13.24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ROW(Source!A399)</f>
        <v>399</v>
      </c>
      <c r="B270">
        <v>57034454</v>
      </c>
      <c r="C270">
        <v>57035190</v>
      </c>
      <c r="D270">
        <v>0</v>
      </c>
      <c r="E270">
        <v>0</v>
      </c>
      <c r="F270">
        <v>1</v>
      </c>
      <c r="G270">
        <v>1081</v>
      </c>
      <c r="H270">
        <v>3</v>
      </c>
      <c r="I270" t="s">
        <v>321</v>
      </c>
      <c r="J270" t="s">
        <v>3</v>
      </c>
      <c r="K270" t="s">
        <v>322</v>
      </c>
      <c r="L270">
        <v>1354</v>
      </c>
      <c r="N270">
        <v>1010</v>
      </c>
      <c r="O270" t="s">
        <v>177</v>
      </c>
      <c r="P270" t="s">
        <v>177</v>
      </c>
      <c r="Q270">
        <v>1</v>
      </c>
      <c r="W270">
        <v>0</v>
      </c>
      <c r="X270">
        <v>-649171004</v>
      </c>
      <c r="Y270">
        <f t="shared" si="83"/>
        <v>6.6666669999999997E-2</v>
      </c>
      <c r="AA270">
        <v>43070.04</v>
      </c>
      <c r="AB270">
        <v>0</v>
      </c>
      <c r="AC270">
        <v>0</v>
      </c>
      <c r="AD270">
        <v>0</v>
      </c>
      <c r="AE270">
        <v>5689.5700000000006</v>
      </c>
      <c r="AF270">
        <v>0</v>
      </c>
      <c r="AG270">
        <v>0</v>
      </c>
      <c r="AH270">
        <v>0</v>
      </c>
      <c r="AI270">
        <v>7.57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6.6666669999999997E-2</v>
      </c>
      <c r="AU270" t="s">
        <v>104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ROUND(Y270*Source!I399,9)</f>
        <v>1.0000000499999999</v>
      </c>
      <c r="CY270">
        <f t="shared" si="84"/>
        <v>43070.04</v>
      </c>
      <c r="CZ270">
        <f t="shared" si="85"/>
        <v>5689.5700000000006</v>
      </c>
      <c r="DA270">
        <f t="shared" si="86"/>
        <v>7.57</v>
      </c>
      <c r="DB270">
        <f t="shared" si="87"/>
        <v>379.3</v>
      </c>
      <c r="DC270">
        <f t="shared" si="88"/>
        <v>0</v>
      </c>
      <c r="DD270" t="s">
        <v>3</v>
      </c>
      <c r="DE270" t="s">
        <v>3</v>
      </c>
      <c r="DF270">
        <f t="shared" si="89"/>
        <v>43070.04</v>
      </c>
      <c r="DG270">
        <f t="shared" si="90"/>
        <v>0</v>
      </c>
      <c r="DH270">
        <f t="shared" si="91"/>
        <v>0</v>
      </c>
      <c r="DI270">
        <f t="shared" si="82"/>
        <v>0</v>
      </c>
      <c r="DJ270">
        <f t="shared" si="92"/>
        <v>43070.04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ROW(Source!A399)</f>
        <v>399</v>
      </c>
      <c r="B271">
        <v>57034454</v>
      </c>
      <c r="C271">
        <v>57035190</v>
      </c>
      <c r="D271">
        <v>0</v>
      </c>
      <c r="E271">
        <v>0</v>
      </c>
      <c r="F271">
        <v>1</v>
      </c>
      <c r="G271">
        <v>1081</v>
      </c>
      <c r="H271">
        <v>3</v>
      </c>
      <c r="I271" t="s">
        <v>325</v>
      </c>
      <c r="J271" t="s">
        <v>3</v>
      </c>
      <c r="K271" t="s">
        <v>326</v>
      </c>
      <c r="L271">
        <v>1354</v>
      </c>
      <c r="N271">
        <v>1010</v>
      </c>
      <c r="O271" t="s">
        <v>177</v>
      </c>
      <c r="P271" t="s">
        <v>177</v>
      </c>
      <c r="Q271">
        <v>1</v>
      </c>
      <c r="W271">
        <v>0</v>
      </c>
      <c r="X271">
        <v>1681701267</v>
      </c>
      <c r="Y271">
        <f t="shared" si="83"/>
        <v>0.53333330000000001</v>
      </c>
      <c r="AA271">
        <v>47564.05</v>
      </c>
      <c r="AB271">
        <v>0</v>
      </c>
      <c r="AC271">
        <v>0</v>
      </c>
      <c r="AD271">
        <v>0</v>
      </c>
      <c r="AE271">
        <v>6283.2300000000005</v>
      </c>
      <c r="AF271">
        <v>0</v>
      </c>
      <c r="AG271">
        <v>0</v>
      </c>
      <c r="AH271">
        <v>0</v>
      </c>
      <c r="AI271">
        <v>7.57</v>
      </c>
      <c r="AJ271">
        <v>1</v>
      </c>
      <c r="AK271">
        <v>1</v>
      </c>
      <c r="AL271">
        <v>1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 t="s">
        <v>3</v>
      </c>
      <c r="AT271">
        <v>0.53333330000000001</v>
      </c>
      <c r="AU271" t="s">
        <v>104</v>
      </c>
      <c r="AV271">
        <v>0</v>
      </c>
      <c r="AW271">
        <v>1</v>
      </c>
      <c r="AX271">
        <v>-1</v>
      </c>
      <c r="AY271">
        <v>0</v>
      </c>
      <c r="AZ271">
        <v>0</v>
      </c>
      <c r="BA271" t="s">
        <v>3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ROUND(Y271*Source!I399,9)</f>
        <v>7.9999995000000004</v>
      </c>
      <c r="CY271">
        <f t="shared" si="84"/>
        <v>47564.05</v>
      </c>
      <c r="CZ271">
        <f t="shared" si="85"/>
        <v>6283.2300000000005</v>
      </c>
      <c r="DA271">
        <f t="shared" si="86"/>
        <v>7.57</v>
      </c>
      <c r="DB271">
        <f t="shared" si="87"/>
        <v>3351.06</v>
      </c>
      <c r="DC271">
        <f t="shared" si="88"/>
        <v>0</v>
      </c>
      <c r="DD271" t="s">
        <v>3</v>
      </c>
      <c r="DE271" t="s">
        <v>3</v>
      </c>
      <c r="DF271">
        <f t="shared" si="89"/>
        <v>380512.38</v>
      </c>
      <c r="DG271">
        <f t="shared" si="90"/>
        <v>0</v>
      </c>
      <c r="DH271">
        <f t="shared" si="91"/>
        <v>0</v>
      </c>
      <c r="DI271">
        <f t="shared" si="82"/>
        <v>0</v>
      </c>
      <c r="DJ271">
        <f t="shared" si="92"/>
        <v>380512.38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ROW(Source!A399)</f>
        <v>399</v>
      </c>
      <c r="B272">
        <v>57034454</v>
      </c>
      <c r="C272">
        <v>57035190</v>
      </c>
      <c r="D272">
        <v>0</v>
      </c>
      <c r="E272">
        <v>0</v>
      </c>
      <c r="F272">
        <v>1</v>
      </c>
      <c r="G272">
        <v>1081</v>
      </c>
      <c r="H272">
        <v>3</v>
      </c>
      <c r="I272" t="s">
        <v>329</v>
      </c>
      <c r="J272" t="s">
        <v>3</v>
      </c>
      <c r="K272" t="s">
        <v>330</v>
      </c>
      <c r="L272">
        <v>1354</v>
      </c>
      <c r="N272">
        <v>1010</v>
      </c>
      <c r="O272" t="s">
        <v>177</v>
      </c>
      <c r="P272" t="s">
        <v>177</v>
      </c>
      <c r="Q272">
        <v>1</v>
      </c>
      <c r="W272">
        <v>0</v>
      </c>
      <c r="X272">
        <v>-452520673</v>
      </c>
      <c r="Y272">
        <f t="shared" si="83"/>
        <v>0.2</v>
      </c>
      <c r="AA272">
        <v>121255.65</v>
      </c>
      <c r="AB272">
        <v>0</v>
      </c>
      <c r="AC272">
        <v>0</v>
      </c>
      <c r="AD272">
        <v>0</v>
      </c>
      <c r="AE272">
        <v>16017.92</v>
      </c>
      <c r="AF272">
        <v>0</v>
      </c>
      <c r="AG272">
        <v>0</v>
      </c>
      <c r="AH272">
        <v>0</v>
      </c>
      <c r="AI272">
        <v>7.57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0.2</v>
      </c>
      <c r="AU272" t="s">
        <v>104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ROUND(Y272*Source!I399,9)</f>
        <v>3</v>
      </c>
      <c r="CY272">
        <f t="shared" si="84"/>
        <v>121255.65</v>
      </c>
      <c r="CZ272">
        <f t="shared" si="85"/>
        <v>16017.92</v>
      </c>
      <c r="DA272">
        <f t="shared" si="86"/>
        <v>7.57</v>
      </c>
      <c r="DB272">
        <f t="shared" si="87"/>
        <v>3203.58</v>
      </c>
      <c r="DC272">
        <f t="shared" si="88"/>
        <v>0</v>
      </c>
      <c r="DD272" t="s">
        <v>3</v>
      </c>
      <c r="DE272" t="s">
        <v>3</v>
      </c>
      <c r="DF272">
        <f t="shared" si="89"/>
        <v>363766.95</v>
      </c>
      <c r="DG272">
        <f t="shared" si="90"/>
        <v>0</v>
      </c>
      <c r="DH272">
        <f t="shared" si="91"/>
        <v>0</v>
      </c>
      <c r="DI272">
        <f t="shared" si="82"/>
        <v>0</v>
      </c>
      <c r="DJ272">
        <f t="shared" si="92"/>
        <v>363766.95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5">
      <c r="A273">
        <f>ROW(Source!A399)</f>
        <v>399</v>
      </c>
      <c r="B273">
        <v>57034454</v>
      </c>
      <c r="C273">
        <v>57035190</v>
      </c>
      <c r="D273">
        <v>0</v>
      </c>
      <c r="E273">
        <v>0</v>
      </c>
      <c r="F273">
        <v>1</v>
      </c>
      <c r="G273">
        <v>1081</v>
      </c>
      <c r="H273">
        <v>3</v>
      </c>
      <c r="I273" t="s">
        <v>333</v>
      </c>
      <c r="J273" t="s">
        <v>3</v>
      </c>
      <c r="K273" t="s">
        <v>334</v>
      </c>
      <c r="L273">
        <v>1354</v>
      </c>
      <c r="N273">
        <v>1010</v>
      </c>
      <c r="O273" t="s">
        <v>177</v>
      </c>
      <c r="P273" t="s">
        <v>177</v>
      </c>
      <c r="Q273">
        <v>1</v>
      </c>
      <c r="W273">
        <v>0</v>
      </c>
      <c r="X273">
        <v>1711963306</v>
      </c>
      <c r="Y273">
        <f t="shared" si="83"/>
        <v>0.13333329999999999</v>
      </c>
      <c r="AA273">
        <v>226033.99</v>
      </c>
      <c r="AB273">
        <v>0</v>
      </c>
      <c r="AC273">
        <v>0</v>
      </c>
      <c r="AD273">
        <v>0</v>
      </c>
      <c r="AE273">
        <v>29859.18</v>
      </c>
      <c r="AF273">
        <v>0</v>
      </c>
      <c r="AG273">
        <v>0</v>
      </c>
      <c r="AH273">
        <v>0</v>
      </c>
      <c r="AI273">
        <v>7.57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 t="s">
        <v>3</v>
      </c>
      <c r="AT273">
        <v>0.13333329999999999</v>
      </c>
      <c r="AU273" t="s">
        <v>104</v>
      </c>
      <c r="AV273">
        <v>0</v>
      </c>
      <c r="AW273">
        <v>1</v>
      </c>
      <c r="AX273">
        <v>-1</v>
      </c>
      <c r="AY273">
        <v>0</v>
      </c>
      <c r="AZ273">
        <v>0</v>
      </c>
      <c r="BA273" t="s">
        <v>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ROUND(Y273*Source!I399,9)</f>
        <v>1.9999994999999999</v>
      </c>
      <c r="CY273">
        <f t="shared" si="84"/>
        <v>226033.99</v>
      </c>
      <c r="CZ273">
        <f t="shared" si="85"/>
        <v>29859.18</v>
      </c>
      <c r="DA273">
        <f t="shared" si="86"/>
        <v>7.57</v>
      </c>
      <c r="DB273">
        <f t="shared" si="87"/>
        <v>3981.22</v>
      </c>
      <c r="DC273">
        <f t="shared" si="88"/>
        <v>0</v>
      </c>
      <c r="DD273" t="s">
        <v>3</v>
      </c>
      <c r="DE273" t="s">
        <v>3</v>
      </c>
      <c r="DF273">
        <f t="shared" si="89"/>
        <v>452067.87</v>
      </c>
      <c r="DG273">
        <f t="shared" si="90"/>
        <v>0</v>
      </c>
      <c r="DH273">
        <f t="shared" si="91"/>
        <v>0</v>
      </c>
      <c r="DI273">
        <f t="shared" si="82"/>
        <v>0</v>
      </c>
      <c r="DJ273">
        <f t="shared" si="92"/>
        <v>452067.87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ROW(Source!A399)</f>
        <v>399</v>
      </c>
      <c r="B274">
        <v>57034454</v>
      </c>
      <c r="C274">
        <v>57035190</v>
      </c>
      <c r="D274">
        <v>0</v>
      </c>
      <c r="E274">
        <v>0</v>
      </c>
      <c r="F274">
        <v>1</v>
      </c>
      <c r="G274">
        <v>1081</v>
      </c>
      <c r="H274">
        <v>3</v>
      </c>
      <c r="I274" t="s">
        <v>337</v>
      </c>
      <c r="J274" t="s">
        <v>3</v>
      </c>
      <c r="K274" t="s">
        <v>338</v>
      </c>
      <c r="L274">
        <v>1354</v>
      </c>
      <c r="N274">
        <v>1010</v>
      </c>
      <c r="O274" t="s">
        <v>177</v>
      </c>
      <c r="P274" t="s">
        <v>177</v>
      </c>
      <c r="Q274">
        <v>1</v>
      </c>
      <c r="W274">
        <v>0</v>
      </c>
      <c r="X274">
        <v>1380316879</v>
      </c>
      <c r="Y274">
        <f t="shared" si="83"/>
        <v>6.6666669999999997E-2</v>
      </c>
      <c r="AA274">
        <v>31611.79</v>
      </c>
      <c r="AB274">
        <v>0</v>
      </c>
      <c r="AC274">
        <v>0</v>
      </c>
      <c r="AD274">
        <v>0</v>
      </c>
      <c r="AE274">
        <v>4175.93</v>
      </c>
      <c r="AF274">
        <v>0</v>
      </c>
      <c r="AG274">
        <v>0</v>
      </c>
      <c r="AH274">
        <v>0</v>
      </c>
      <c r="AI274">
        <v>7.57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6.6666669999999997E-2</v>
      </c>
      <c r="AU274" t="s">
        <v>104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ROUND(Y274*Source!I399,9)</f>
        <v>1.0000000499999999</v>
      </c>
      <c r="CY274">
        <f t="shared" si="84"/>
        <v>31611.79</v>
      </c>
      <c r="CZ274">
        <f t="shared" si="85"/>
        <v>4175.93</v>
      </c>
      <c r="DA274">
        <f t="shared" si="86"/>
        <v>7.57</v>
      </c>
      <c r="DB274">
        <f t="shared" si="87"/>
        <v>278.39999999999998</v>
      </c>
      <c r="DC274">
        <f t="shared" si="88"/>
        <v>0</v>
      </c>
      <c r="DD274" t="s">
        <v>3</v>
      </c>
      <c r="DE274" t="s">
        <v>3</v>
      </c>
      <c r="DF274">
        <f t="shared" si="89"/>
        <v>31611.79</v>
      </c>
      <c r="DG274">
        <f t="shared" si="90"/>
        <v>0</v>
      </c>
      <c r="DH274">
        <f t="shared" si="91"/>
        <v>0</v>
      </c>
      <c r="DI274">
        <f t="shared" si="82"/>
        <v>0</v>
      </c>
      <c r="DJ274">
        <f t="shared" si="92"/>
        <v>31611.79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5">
      <c r="A275">
        <f>ROW(Source!A410)</f>
        <v>410</v>
      </c>
      <c r="B275">
        <v>57034452</v>
      </c>
      <c r="C275">
        <v>57035219</v>
      </c>
      <c r="D275">
        <v>55424304</v>
      </c>
      <c r="E275">
        <v>1081</v>
      </c>
      <c r="F275">
        <v>1</v>
      </c>
      <c r="G275">
        <v>1081</v>
      </c>
      <c r="H275">
        <v>1</v>
      </c>
      <c r="I275" t="s">
        <v>459</v>
      </c>
      <c r="J275" t="s">
        <v>3</v>
      </c>
      <c r="K275" t="s">
        <v>460</v>
      </c>
      <c r="L275">
        <v>1191</v>
      </c>
      <c r="N275">
        <v>1013</v>
      </c>
      <c r="O275" t="s">
        <v>461</v>
      </c>
      <c r="P275" t="s">
        <v>461</v>
      </c>
      <c r="Q275">
        <v>1</v>
      </c>
      <c r="W275">
        <v>0</v>
      </c>
      <c r="X275">
        <v>476480486</v>
      </c>
      <c r="Y275">
        <f>(AT275*1.2)</f>
        <v>2.88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2.4</v>
      </c>
      <c r="AU275" t="s">
        <v>105</v>
      </c>
      <c r="AV275">
        <v>1</v>
      </c>
      <c r="AW275">
        <v>2</v>
      </c>
      <c r="AX275">
        <v>57035223</v>
      </c>
      <c r="AY275">
        <v>1</v>
      </c>
      <c r="AZ275">
        <v>0</v>
      </c>
      <c r="BA275">
        <v>287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U275">
        <f>ROUND(AT275*Source!I410*AH275*AL275,2)</f>
        <v>0</v>
      </c>
      <c r="CV275">
        <f>ROUND(Y275*Source!I410,9)</f>
        <v>72</v>
      </c>
      <c r="CW275">
        <v>0</v>
      </c>
      <c r="CX275">
        <f>ROUND(Y275*Source!I410,9)</f>
        <v>72</v>
      </c>
      <c r="CY275">
        <f>AD275</f>
        <v>0</v>
      </c>
      <c r="CZ275">
        <f>AH275</f>
        <v>0</v>
      </c>
      <c r="DA275">
        <f>AL275</f>
        <v>1</v>
      </c>
      <c r="DB275">
        <f>ROUND((ROUND(AT275*CZ275,2)*1.2),6)</f>
        <v>0</v>
      </c>
      <c r="DC275">
        <f>ROUND((ROUND(AT275*AG275,2)*1.2),6)</f>
        <v>0</v>
      </c>
      <c r="DD275" t="s">
        <v>3</v>
      </c>
      <c r="DE275" t="s">
        <v>3</v>
      </c>
      <c r="DF275">
        <f>ROUND(ROUND(AE275,2)*CX275,2)</f>
        <v>0</v>
      </c>
      <c r="DG275">
        <f t="shared" si="90"/>
        <v>0</v>
      </c>
      <c r="DH275">
        <f t="shared" si="91"/>
        <v>0</v>
      </c>
      <c r="DI275">
        <f t="shared" si="82"/>
        <v>0</v>
      </c>
      <c r="DJ275">
        <f>DI275</f>
        <v>0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5">
      <c r="A276">
        <f>ROW(Source!A410)</f>
        <v>410</v>
      </c>
      <c r="B276">
        <v>57034452</v>
      </c>
      <c r="C276">
        <v>57035219</v>
      </c>
      <c r="D276">
        <v>0</v>
      </c>
      <c r="E276">
        <v>0</v>
      </c>
      <c r="F276">
        <v>1</v>
      </c>
      <c r="G276">
        <v>1081</v>
      </c>
      <c r="H276">
        <v>3</v>
      </c>
      <c r="I276" t="s">
        <v>344</v>
      </c>
      <c r="J276" t="s">
        <v>3</v>
      </c>
      <c r="K276" t="s">
        <v>345</v>
      </c>
      <c r="L276">
        <v>1354</v>
      </c>
      <c r="N276">
        <v>1010</v>
      </c>
      <c r="O276" t="s">
        <v>177</v>
      </c>
      <c r="P276" t="s">
        <v>177</v>
      </c>
      <c r="Q276">
        <v>1</v>
      </c>
      <c r="W276">
        <v>0</v>
      </c>
      <c r="X276">
        <v>1099107314</v>
      </c>
      <c r="Y276">
        <f>(AT276*1)</f>
        <v>0.96</v>
      </c>
      <c r="AA276">
        <v>142.99</v>
      </c>
      <c r="AB276">
        <v>0</v>
      </c>
      <c r="AC276">
        <v>0</v>
      </c>
      <c r="AD276">
        <v>0</v>
      </c>
      <c r="AE276">
        <v>142.99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0.96</v>
      </c>
      <c r="AU276" t="s">
        <v>104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ROUND(Y276*Source!I410,9)</f>
        <v>24</v>
      </c>
      <c r="CY276">
        <f>AA276</f>
        <v>142.99</v>
      </c>
      <c r="CZ276">
        <f>AE276</f>
        <v>142.99</v>
      </c>
      <c r="DA276">
        <f>AI276</f>
        <v>1</v>
      </c>
      <c r="DB276">
        <f>ROUND((ROUND(AT276*CZ276,2)*1),6)</f>
        <v>137.27000000000001</v>
      </c>
      <c r="DC276">
        <f>ROUND((ROUND(AT276*AG276,2)*1),6)</f>
        <v>0</v>
      </c>
      <c r="DD276" t="s">
        <v>3</v>
      </c>
      <c r="DE276" t="s">
        <v>3</v>
      </c>
      <c r="DF276">
        <f>ROUND(ROUND(AE276,2)*CX276,2)</f>
        <v>3431.76</v>
      </c>
      <c r="DG276">
        <f t="shared" si="90"/>
        <v>0</v>
      </c>
      <c r="DH276">
        <f t="shared" si="91"/>
        <v>0</v>
      </c>
      <c r="DI276">
        <f t="shared" si="82"/>
        <v>0</v>
      </c>
      <c r="DJ276">
        <f>DF276</f>
        <v>3431.76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5">
      <c r="A277">
        <f>ROW(Source!A410)</f>
        <v>410</v>
      </c>
      <c r="B277">
        <v>57034452</v>
      </c>
      <c r="C277">
        <v>57035219</v>
      </c>
      <c r="D277">
        <v>0</v>
      </c>
      <c r="E277">
        <v>0</v>
      </c>
      <c r="F277">
        <v>1</v>
      </c>
      <c r="G277">
        <v>1081</v>
      </c>
      <c r="H277">
        <v>3</v>
      </c>
      <c r="I277" t="s">
        <v>349</v>
      </c>
      <c r="J277" t="s">
        <v>3</v>
      </c>
      <c r="K277" t="s">
        <v>350</v>
      </c>
      <c r="L277">
        <v>1354</v>
      </c>
      <c r="N277">
        <v>1010</v>
      </c>
      <c r="O277" t="s">
        <v>177</v>
      </c>
      <c r="P277" t="s">
        <v>177</v>
      </c>
      <c r="Q277">
        <v>1</v>
      </c>
      <c r="W277">
        <v>0</v>
      </c>
      <c r="X277">
        <v>-352152709</v>
      </c>
      <c r="Y277">
        <f>(AT277*1)</f>
        <v>0.04</v>
      </c>
      <c r="AA277">
        <v>80.040000000000006</v>
      </c>
      <c r="AB277">
        <v>0</v>
      </c>
      <c r="AC277">
        <v>0</v>
      </c>
      <c r="AD277">
        <v>0</v>
      </c>
      <c r="AE277">
        <v>80.039999999999992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 t="s">
        <v>3</v>
      </c>
      <c r="AT277">
        <v>0.04</v>
      </c>
      <c r="AU277" t="s">
        <v>104</v>
      </c>
      <c r="AV277">
        <v>0</v>
      </c>
      <c r="AW277">
        <v>1</v>
      </c>
      <c r="AX277">
        <v>-1</v>
      </c>
      <c r="AY277">
        <v>0</v>
      </c>
      <c r="AZ277">
        <v>0</v>
      </c>
      <c r="BA277" t="s">
        <v>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ROUND(Y277*Source!I410,9)</f>
        <v>1</v>
      </c>
      <c r="CY277">
        <f>AA277</f>
        <v>80.040000000000006</v>
      </c>
      <c r="CZ277">
        <f>AE277</f>
        <v>80.039999999999992</v>
      </c>
      <c r="DA277">
        <f>AI277</f>
        <v>1</v>
      </c>
      <c r="DB277">
        <f>ROUND((ROUND(AT277*CZ277,2)*1),6)</f>
        <v>3.2</v>
      </c>
      <c r="DC277">
        <f>ROUND((ROUND(AT277*AG277,2)*1),6)</f>
        <v>0</v>
      </c>
      <c r="DD277" t="s">
        <v>3</v>
      </c>
      <c r="DE277" t="s">
        <v>3</v>
      </c>
      <c r="DF277">
        <f>ROUND(ROUND(AE277,2)*CX277,2)</f>
        <v>80.040000000000006</v>
      </c>
      <c r="DG277">
        <f t="shared" si="90"/>
        <v>0</v>
      </c>
      <c r="DH277">
        <f t="shared" si="91"/>
        <v>0</v>
      </c>
      <c r="DI277">
        <f t="shared" si="82"/>
        <v>0</v>
      </c>
      <c r="DJ277">
        <f>DF277</f>
        <v>80.040000000000006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ROW(Source!A411)</f>
        <v>411</v>
      </c>
      <c r="B278">
        <v>57034454</v>
      </c>
      <c r="C278">
        <v>57035219</v>
      </c>
      <c r="D278">
        <v>55424304</v>
      </c>
      <c r="E278">
        <v>1081</v>
      </c>
      <c r="F278">
        <v>1</v>
      </c>
      <c r="G278">
        <v>1081</v>
      </c>
      <c r="H278">
        <v>1</v>
      </c>
      <c r="I278" t="s">
        <v>459</v>
      </c>
      <c r="J278" t="s">
        <v>3</v>
      </c>
      <c r="K278" t="s">
        <v>460</v>
      </c>
      <c r="L278">
        <v>1191</v>
      </c>
      <c r="N278">
        <v>1013</v>
      </c>
      <c r="O278" t="s">
        <v>461</v>
      </c>
      <c r="P278" t="s">
        <v>461</v>
      </c>
      <c r="Q278">
        <v>1</v>
      </c>
      <c r="W278">
        <v>0</v>
      </c>
      <c r="X278">
        <v>476480486</v>
      </c>
      <c r="Y278">
        <f>(AT278*1.2)</f>
        <v>2.88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5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2.4</v>
      </c>
      <c r="AU278" t="s">
        <v>105</v>
      </c>
      <c r="AV278">
        <v>1</v>
      </c>
      <c r="AW278">
        <v>2</v>
      </c>
      <c r="AX278">
        <v>57035223</v>
      </c>
      <c r="AY278">
        <v>1</v>
      </c>
      <c r="AZ278">
        <v>0</v>
      </c>
      <c r="BA278">
        <v>288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U278">
        <f>ROUND(AT278*Source!I411*AH278*AL278,2)</f>
        <v>0</v>
      </c>
      <c r="CV278">
        <f>ROUND(Y278*Source!I411,9)</f>
        <v>72</v>
      </c>
      <c r="CW278">
        <v>0</v>
      </c>
      <c r="CX278">
        <f>ROUND(Y278*Source!I411,9)</f>
        <v>72</v>
      </c>
      <c r="CY278">
        <f>AD278</f>
        <v>0</v>
      </c>
      <c r="CZ278">
        <f>AH278</f>
        <v>0</v>
      </c>
      <c r="DA278">
        <f>AL278</f>
        <v>1</v>
      </c>
      <c r="DB278">
        <f>ROUND((ROUND(AT278*CZ278,2)*1.2),6)</f>
        <v>0</v>
      </c>
      <c r="DC278">
        <f>ROUND((ROUND(AT278*AG278,2)*1.2),6)</f>
        <v>0</v>
      </c>
      <c r="DD278" t="s">
        <v>3</v>
      </c>
      <c r="DE278" t="s">
        <v>3</v>
      </c>
      <c r="DF278">
        <f>ROUND(ROUND(AE278,2)*CX278,2)</f>
        <v>0</v>
      </c>
      <c r="DG278">
        <f t="shared" si="90"/>
        <v>0</v>
      </c>
      <c r="DH278">
        <f t="shared" si="91"/>
        <v>0</v>
      </c>
      <c r="DI278">
        <f t="shared" si="82"/>
        <v>0</v>
      </c>
      <c r="DJ278">
        <f>DI278</f>
        <v>0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5">
      <c r="A279">
        <f>ROW(Source!A411)</f>
        <v>411</v>
      </c>
      <c r="B279">
        <v>57034454</v>
      </c>
      <c r="C279">
        <v>57035219</v>
      </c>
      <c r="D279">
        <v>0</v>
      </c>
      <c r="E279">
        <v>0</v>
      </c>
      <c r="F279">
        <v>1</v>
      </c>
      <c r="G279">
        <v>1081</v>
      </c>
      <c r="H279">
        <v>3</v>
      </c>
      <c r="I279" t="s">
        <v>344</v>
      </c>
      <c r="J279" t="s">
        <v>3</v>
      </c>
      <c r="K279" t="s">
        <v>345</v>
      </c>
      <c r="L279">
        <v>1354</v>
      </c>
      <c r="N279">
        <v>1010</v>
      </c>
      <c r="O279" t="s">
        <v>177</v>
      </c>
      <c r="P279" t="s">
        <v>177</v>
      </c>
      <c r="Q279">
        <v>1</v>
      </c>
      <c r="W279">
        <v>0</v>
      </c>
      <c r="X279">
        <v>1099107314</v>
      </c>
      <c r="Y279">
        <f>(AT279*1)</f>
        <v>0.96</v>
      </c>
      <c r="AA279">
        <v>1407.02</v>
      </c>
      <c r="AB279">
        <v>0</v>
      </c>
      <c r="AC279">
        <v>0</v>
      </c>
      <c r="AD279">
        <v>0</v>
      </c>
      <c r="AE279">
        <v>142.99</v>
      </c>
      <c r="AF279">
        <v>0</v>
      </c>
      <c r="AG279">
        <v>0</v>
      </c>
      <c r="AH279">
        <v>0</v>
      </c>
      <c r="AI279">
        <v>9.84</v>
      </c>
      <c r="AJ279">
        <v>1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 t="s">
        <v>3</v>
      </c>
      <c r="AT279">
        <v>0.96</v>
      </c>
      <c r="AU279" t="s">
        <v>104</v>
      </c>
      <c r="AV279">
        <v>0</v>
      </c>
      <c r="AW279">
        <v>1</v>
      </c>
      <c r="AX279">
        <v>-1</v>
      </c>
      <c r="AY279">
        <v>0</v>
      </c>
      <c r="AZ279">
        <v>0</v>
      </c>
      <c r="BA279" t="s">
        <v>3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ROUND(Y279*Source!I411,9)</f>
        <v>24</v>
      </c>
      <c r="CY279">
        <f>AA279</f>
        <v>1407.02</v>
      </c>
      <c r="CZ279">
        <f>AE279</f>
        <v>142.99</v>
      </c>
      <c r="DA279">
        <f>AI279</f>
        <v>9.84</v>
      </c>
      <c r="DB279">
        <f>ROUND((ROUND(AT279*CZ279,2)*1),6)</f>
        <v>137.27000000000001</v>
      </c>
      <c r="DC279">
        <f>ROUND((ROUND(AT279*AG279,2)*1),6)</f>
        <v>0</v>
      </c>
      <c r="DD279" t="s">
        <v>3</v>
      </c>
      <c r="DE279" t="s">
        <v>3</v>
      </c>
      <c r="DF279">
        <f>ROUND(ROUND(AE279*AI279,2)*CX279,2)</f>
        <v>33768.480000000003</v>
      </c>
      <c r="DG279">
        <f t="shared" si="90"/>
        <v>0</v>
      </c>
      <c r="DH279">
        <f t="shared" si="91"/>
        <v>0</v>
      </c>
      <c r="DI279">
        <f t="shared" si="82"/>
        <v>0</v>
      </c>
      <c r="DJ279">
        <f>DF279</f>
        <v>33768.480000000003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5">
      <c r="A280">
        <f>ROW(Source!A411)</f>
        <v>411</v>
      </c>
      <c r="B280">
        <v>57034454</v>
      </c>
      <c r="C280">
        <v>57035219</v>
      </c>
      <c r="D280">
        <v>0</v>
      </c>
      <c r="E280">
        <v>0</v>
      </c>
      <c r="F280">
        <v>1</v>
      </c>
      <c r="G280">
        <v>1081</v>
      </c>
      <c r="H280">
        <v>3</v>
      </c>
      <c r="I280" t="s">
        <v>349</v>
      </c>
      <c r="J280" t="s">
        <v>3</v>
      </c>
      <c r="K280" t="s">
        <v>350</v>
      </c>
      <c r="L280">
        <v>1354</v>
      </c>
      <c r="N280">
        <v>1010</v>
      </c>
      <c r="O280" t="s">
        <v>177</v>
      </c>
      <c r="P280" t="s">
        <v>177</v>
      </c>
      <c r="Q280">
        <v>1</v>
      </c>
      <c r="W280">
        <v>0</v>
      </c>
      <c r="X280">
        <v>-352152709</v>
      </c>
      <c r="Y280">
        <f>(AT280*1)</f>
        <v>0.04</v>
      </c>
      <c r="AA280">
        <v>787.59</v>
      </c>
      <c r="AB280">
        <v>0</v>
      </c>
      <c r="AC280">
        <v>0</v>
      </c>
      <c r="AD280">
        <v>0</v>
      </c>
      <c r="AE280">
        <v>80.039999999999992</v>
      </c>
      <c r="AF280">
        <v>0</v>
      </c>
      <c r="AG280">
        <v>0</v>
      </c>
      <c r="AH280">
        <v>0</v>
      </c>
      <c r="AI280">
        <v>9.84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0.04</v>
      </c>
      <c r="AU280" t="s">
        <v>104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ROUND(Y280*Source!I411,9)</f>
        <v>1</v>
      </c>
      <c r="CY280">
        <f>AA280</f>
        <v>787.59</v>
      </c>
      <c r="CZ280">
        <f>AE280</f>
        <v>80.039999999999992</v>
      </c>
      <c r="DA280">
        <f>AI280</f>
        <v>9.84</v>
      </c>
      <c r="DB280">
        <f>ROUND((ROUND(AT280*CZ280,2)*1),6)</f>
        <v>3.2</v>
      </c>
      <c r="DC280">
        <f>ROUND((ROUND(AT280*AG280,2)*1),6)</f>
        <v>0</v>
      </c>
      <c r="DD280" t="s">
        <v>3</v>
      </c>
      <c r="DE280" t="s">
        <v>3</v>
      </c>
      <c r="DF280">
        <f>ROUND(ROUND(AE280*AI280,2)*CX280,2)</f>
        <v>787.59</v>
      </c>
      <c r="DG280">
        <f t="shared" si="90"/>
        <v>0</v>
      </c>
      <c r="DH280">
        <f t="shared" si="91"/>
        <v>0</v>
      </c>
      <c r="DI280">
        <f t="shared" si="82"/>
        <v>0</v>
      </c>
      <c r="DJ280">
        <f>DF280</f>
        <v>787.59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5">
      <c r="A281">
        <f>ROW(Source!A416)</f>
        <v>416</v>
      </c>
      <c r="B281">
        <v>57034452</v>
      </c>
      <c r="C281">
        <v>57035226</v>
      </c>
      <c r="D281">
        <v>55424304</v>
      </c>
      <c r="E281">
        <v>1081</v>
      </c>
      <c r="F281">
        <v>1</v>
      </c>
      <c r="G281">
        <v>1081</v>
      </c>
      <c r="H281">
        <v>1</v>
      </c>
      <c r="I281" t="s">
        <v>459</v>
      </c>
      <c r="J281" t="s">
        <v>3</v>
      </c>
      <c r="K281" t="s">
        <v>460</v>
      </c>
      <c r="L281">
        <v>1191</v>
      </c>
      <c r="N281">
        <v>1013</v>
      </c>
      <c r="O281" t="s">
        <v>461</v>
      </c>
      <c r="P281" t="s">
        <v>461</v>
      </c>
      <c r="Q281">
        <v>1</v>
      </c>
      <c r="W281">
        <v>0</v>
      </c>
      <c r="X281">
        <v>476480486</v>
      </c>
      <c r="Y281">
        <f>(AT281*1.2)</f>
        <v>1.44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1.2</v>
      </c>
      <c r="AU281" t="s">
        <v>105</v>
      </c>
      <c r="AV281">
        <v>1</v>
      </c>
      <c r="AW281">
        <v>2</v>
      </c>
      <c r="AX281">
        <v>57035230</v>
      </c>
      <c r="AY281">
        <v>1</v>
      </c>
      <c r="AZ281">
        <v>0</v>
      </c>
      <c r="BA281">
        <v>289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U281">
        <f>ROUND(AT281*Source!I416*AH281*AL281,2)</f>
        <v>0</v>
      </c>
      <c r="CV281">
        <f>ROUND(Y281*Source!I416,9)</f>
        <v>38.880000000000003</v>
      </c>
      <c r="CW281">
        <v>0</v>
      </c>
      <c r="CX281">
        <f>ROUND(Y281*Source!I416,9)</f>
        <v>38.880000000000003</v>
      </c>
      <c r="CY281">
        <f>AD281</f>
        <v>0</v>
      </c>
      <c r="CZ281">
        <f>AH281</f>
        <v>0</v>
      </c>
      <c r="DA281">
        <f>AL281</f>
        <v>1</v>
      </c>
      <c r="DB281">
        <f>ROUND((ROUND(AT281*CZ281,2)*1.2),6)</f>
        <v>0</v>
      </c>
      <c r="DC281">
        <f>ROUND((ROUND(AT281*AG281,2)*1.2),6)</f>
        <v>0</v>
      </c>
      <c r="DD281" t="s">
        <v>3</v>
      </c>
      <c r="DE281" t="s">
        <v>3</v>
      </c>
      <c r="DF281">
        <f>ROUND(ROUND(AE281,2)*CX281,2)</f>
        <v>0</v>
      </c>
      <c r="DG281">
        <f t="shared" si="90"/>
        <v>0</v>
      </c>
      <c r="DH281">
        <f t="shared" si="91"/>
        <v>0</v>
      </c>
      <c r="DI281">
        <f t="shared" si="82"/>
        <v>0</v>
      </c>
      <c r="DJ281">
        <f>DI281</f>
        <v>0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ROW(Source!A416)</f>
        <v>416</v>
      </c>
      <c r="B282">
        <v>57034452</v>
      </c>
      <c r="C282">
        <v>57035226</v>
      </c>
      <c r="D282">
        <v>0</v>
      </c>
      <c r="E282">
        <v>0</v>
      </c>
      <c r="F282">
        <v>1</v>
      </c>
      <c r="G282">
        <v>1081</v>
      </c>
      <c r="H282">
        <v>3</v>
      </c>
      <c r="I282" t="s">
        <v>354</v>
      </c>
      <c r="J282" t="s">
        <v>3</v>
      </c>
      <c r="K282" t="s">
        <v>355</v>
      </c>
      <c r="L282">
        <v>1354</v>
      </c>
      <c r="N282">
        <v>1010</v>
      </c>
      <c r="O282" t="s">
        <v>177</v>
      </c>
      <c r="P282" t="s">
        <v>177</v>
      </c>
      <c r="Q282">
        <v>1</v>
      </c>
      <c r="W282">
        <v>0</v>
      </c>
      <c r="X282">
        <v>-1457084036</v>
      </c>
      <c r="Y282">
        <f>(AT282*1)</f>
        <v>0.25925925999999999</v>
      </c>
      <c r="AA282">
        <v>414.79</v>
      </c>
      <c r="AB282">
        <v>0</v>
      </c>
      <c r="AC282">
        <v>0</v>
      </c>
      <c r="AD282">
        <v>0</v>
      </c>
      <c r="AE282">
        <v>414.79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 t="s">
        <v>3</v>
      </c>
      <c r="AT282">
        <v>0.25925925999999999</v>
      </c>
      <c r="AU282" t="s">
        <v>104</v>
      </c>
      <c r="AV282">
        <v>0</v>
      </c>
      <c r="AW282">
        <v>1</v>
      </c>
      <c r="AX282">
        <v>-1</v>
      </c>
      <c r="AY282">
        <v>0</v>
      </c>
      <c r="AZ282">
        <v>0</v>
      </c>
      <c r="BA282" t="s">
        <v>3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ROUND(Y282*Source!I416,9)</f>
        <v>7.0000000199999999</v>
      </c>
      <c r="CY282">
        <f>AA282</f>
        <v>414.79</v>
      </c>
      <c r="CZ282">
        <f>AE282</f>
        <v>414.79</v>
      </c>
      <c r="DA282">
        <f>AI282</f>
        <v>1</v>
      </c>
      <c r="DB282">
        <f>ROUND((ROUND(AT282*CZ282,2)*1),6)</f>
        <v>107.54</v>
      </c>
      <c r="DC282">
        <f>ROUND((ROUND(AT282*AG282,2)*1),6)</f>
        <v>0</v>
      </c>
      <c r="DD282" t="s">
        <v>3</v>
      </c>
      <c r="DE282" t="s">
        <v>3</v>
      </c>
      <c r="DF282">
        <f>ROUND(ROUND(AE282,2)*CX282,2)</f>
        <v>2903.53</v>
      </c>
      <c r="DG282">
        <f t="shared" si="90"/>
        <v>0</v>
      </c>
      <c r="DH282">
        <f t="shared" si="91"/>
        <v>0</v>
      </c>
      <c r="DI282">
        <f t="shared" si="82"/>
        <v>0</v>
      </c>
      <c r="DJ282">
        <f>DF282</f>
        <v>2903.53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5">
      <c r="A283">
        <f>ROW(Source!A416)</f>
        <v>416</v>
      </c>
      <c r="B283">
        <v>57034452</v>
      </c>
      <c r="C283">
        <v>57035226</v>
      </c>
      <c r="D283">
        <v>0</v>
      </c>
      <c r="E283">
        <v>0</v>
      </c>
      <c r="F283">
        <v>1</v>
      </c>
      <c r="G283">
        <v>1081</v>
      </c>
      <c r="H283">
        <v>3</v>
      </c>
      <c r="I283" t="s">
        <v>358</v>
      </c>
      <c r="J283" t="s">
        <v>3</v>
      </c>
      <c r="K283" t="s">
        <v>359</v>
      </c>
      <c r="L283">
        <v>1354</v>
      </c>
      <c r="N283">
        <v>1010</v>
      </c>
      <c r="O283" t="s">
        <v>177</v>
      </c>
      <c r="P283" t="s">
        <v>177</v>
      </c>
      <c r="Q283">
        <v>1</v>
      </c>
      <c r="W283">
        <v>0</v>
      </c>
      <c r="X283">
        <v>-2067662512</v>
      </c>
      <c r="Y283">
        <f>(AT283*1)</f>
        <v>0.74074074000000001</v>
      </c>
      <c r="AA283">
        <v>169.63</v>
      </c>
      <c r="AB283">
        <v>0</v>
      </c>
      <c r="AC283">
        <v>0</v>
      </c>
      <c r="AD283">
        <v>0</v>
      </c>
      <c r="AE283">
        <v>169.63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 t="s">
        <v>3</v>
      </c>
      <c r="AT283">
        <v>0.74074074000000001</v>
      </c>
      <c r="AU283" t="s">
        <v>104</v>
      </c>
      <c r="AV283">
        <v>0</v>
      </c>
      <c r="AW283">
        <v>1</v>
      </c>
      <c r="AX283">
        <v>-1</v>
      </c>
      <c r="AY283">
        <v>0</v>
      </c>
      <c r="AZ283">
        <v>0</v>
      </c>
      <c r="BA283" t="s">
        <v>3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v>0</v>
      </c>
      <c r="CX283">
        <f>ROUND(Y283*Source!I416,9)</f>
        <v>19.999999979999998</v>
      </c>
      <c r="CY283">
        <f>AA283</f>
        <v>169.63</v>
      </c>
      <c r="CZ283">
        <f>AE283</f>
        <v>169.63</v>
      </c>
      <c r="DA283">
        <f>AI283</f>
        <v>1</v>
      </c>
      <c r="DB283">
        <f>ROUND((ROUND(AT283*CZ283,2)*1),6)</f>
        <v>125.65</v>
      </c>
      <c r="DC283">
        <f>ROUND((ROUND(AT283*AG283,2)*1),6)</f>
        <v>0</v>
      </c>
      <c r="DD283" t="s">
        <v>3</v>
      </c>
      <c r="DE283" t="s">
        <v>3</v>
      </c>
      <c r="DF283">
        <f>ROUND(ROUND(AE283,2)*CX283,2)</f>
        <v>3392.6</v>
      </c>
      <c r="DG283">
        <f t="shared" si="90"/>
        <v>0</v>
      </c>
      <c r="DH283">
        <f t="shared" si="91"/>
        <v>0</v>
      </c>
      <c r="DI283">
        <f t="shared" si="82"/>
        <v>0</v>
      </c>
      <c r="DJ283">
        <f>DF283</f>
        <v>3392.6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5">
      <c r="A284">
        <f>ROW(Source!A417)</f>
        <v>417</v>
      </c>
      <c r="B284">
        <v>57034454</v>
      </c>
      <c r="C284">
        <v>57035226</v>
      </c>
      <c r="D284">
        <v>55424304</v>
      </c>
      <c r="E284">
        <v>1081</v>
      </c>
      <c r="F284">
        <v>1</v>
      </c>
      <c r="G284">
        <v>1081</v>
      </c>
      <c r="H284">
        <v>1</v>
      </c>
      <c r="I284" t="s">
        <v>459</v>
      </c>
      <c r="J284" t="s">
        <v>3</v>
      </c>
      <c r="K284" t="s">
        <v>460</v>
      </c>
      <c r="L284">
        <v>1191</v>
      </c>
      <c r="N284">
        <v>1013</v>
      </c>
      <c r="O284" t="s">
        <v>461</v>
      </c>
      <c r="P284" t="s">
        <v>461</v>
      </c>
      <c r="Q284">
        <v>1</v>
      </c>
      <c r="W284">
        <v>0</v>
      </c>
      <c r="X284">
        <v>476480486</v>
      </c>
      <c r="Y284">
        <f>(AT284*1.2)</f>
        <v>1.44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5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1.2</v>
      </c>
      <c r="AU284" t="s">
        <v>105</v>
      </c>
      <c r="AV284">
        <v>1</v>
      </c>
      <c r="AW284">
        <v>2</v>
      </c>
      <c r="AX284">
        <v>57035230</v>
      </c>
      <c r="AY284">
        <v>1</v>
      </c>
      <c r="AZ284">
        <v>0</v>
      </c>
      <c r="BA284">
        <v>290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U284">
        <f>ROUND(AT284*Source!I417*AH284*AL284,2)</f>
        <v>0</v>
      </c>
      <c r="CV284">
        <f>ROUND(Y284*Source!I417,9)</f>
        <v>38.880000000000003</v>
      </c>
      <c r="CW284">
        <v>0</v>
      </c>
      <c r="CX284">
        <f>ROUND(Y284*Source!I417,9)</f>
        <v>38.880000000000003</v>
      </c>
      <c r="CY284">
        <f>AD284</f>
        <v>0</v>
      </c>
      <c r="CZ284">
        <f>AH284</f>
        <v>0</v>
      </c>
      <c r="DA284">
        <f>AL284</f>
        <v>1</v>
      </c>
      <c r="DB284">
        <f>ROUND((ROUND(AT284*CZ284,2)*1.2),6)</f>
        <v>0</v>
      </c>
      <c r="DC284">
        <f>ROUND((ROUND(AT284*AG284,2)*1.2),6)</f>
        <v>0</v>
      </c>
      <c r="DD284" t="s">
        <v>3</v>
      </c>
      <c r="DE284" t="s">
        <v>3</v>
      </c>
      <c r="DF284">
        <f>ROUND(ROUND(AE284,2)*CX284,2)</f>
        <v>0</v>
      </c>
      <c r="DG284">
        <f t="shared" si="90"/>
        <v>0</v>
      </c>
      <c r="DH284">
        <f t="shared" si="91"/>
        <v>0</v>
      </c>
      <c r="DI284">
        <f t="shared" si="82"/>
        <v>0</v>
      </c>
      <c r="DJ284">
        <f>DI284</f>
        <v>0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5">
      <c r="A285">
        <f>ROW(Source!A417)</f>
        <v>417</v>
      </c>
      <c r="B285">
        <v>57034454</v>
      </c>
      <c r="C285">
        <v>57035226</v>
      </c>
      <c r="D285">
        <v>0</v>
      </c>
      <c r="E285">
        <v>0</v>
      </c>
      <c r="F285">
        <v>1</v>
      </c>
      <c r="G285">
        <v>1081</v>
      </c>
      <c r="H285">
        <v>3</v>
      </c>
      <c r="I285" t="s">
        <v>354</v>
      </c>
      <c r="J285" t="s">
        <v>3</v>
      </c>
      <c r="K285" t="s">
        <v>355</v>
      </c>
      <c r="L285">
        <v>1354</v>
      </c>
      <c r="N285">
        <v>1010</v>
      </c>
      <c r="O285" t="s">
        <v>177</v>
      </c>
      <c r="P285" t="s">
        <v>177</v>
      </c>
      <c r="Q285">
        <v>1</v>
      </c>
      <c r="W285">
        <v>0</v>
      </c>
      <c r="X285">
        <v>-1457084036</v>
      </c>
      <c r="Y285">
        <f>(AT285*1)</f>
        <v>0.25925925999999999</v>
      </c>
      <c r="AA285">
        <v>3139.96</v>
      </c>
      <c r="AB285">
        <v>0</v>
      </c>
      <c r="AC285">
        <v>0</v>
      </c>
      <c r="AD285">
        <v>0</v>
      </c>
      <c r="AE285">
        <v>414.79</v>
      </c>
      <c r="AF285">
        <v>0</v>
      </c>
      <c r="AG285">
        <v>0</v>
      </c>
      <c r="AH285">
        <v>0</v>
      </c>
      <c r="AI285">
        <v>7.57</v>
      </c>
      <c r="AJ285">
        <v>1</v>
      </c>
      <c r="AK285">
        <v>1</v>
      </c>
      <c r="AL285">
        <v>1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 t="s">
        <v>3</v>
      </c>
      <c r="AT285">
        <v>0.25925925999999999</v>
      </c>
      <c r="AU285" t="s">
        <v>104</v>
      </c>
      <c r="AV285">
        <v>0</v>
      </c>
      <c r="AW285">
        <v>1</v>
      </c>
      <c r="AX285">
        <v>-1</v>
      </c>
      <c r="AY285">
        <v>0</v>
      </c>
      <c r="AZ285">
        <v>0</v>
      </c>
      <c r="BA285" t="s">
        <v>3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ROUND(Y285*Source!I417,9)</f>
        <v>7.0000000199999999</v>
      </c>
      <c r="CY285">
        <f>AA285</f>
        <v>3139.96</v>
      </c>
      <c r="CZ285">
        <f>AE285</f>
        <v>414.79</v>
      </c>
      <c r="DA285">
        <f>AI285</f>
        <v>7.57</v>
      </c>
      <c r="DB285">
        <f>ROUND((ROUND(AT285*CZ285,2)*1),6)</f>
        <v>107.54</v>
      </c>
      <c r="DC285">
        <f>ROUND((ROUND(AT285*AG285,2)*1),6)</f>
        <v>0</v>
      </c>
      <c r="DD285" t="s">
        <v>3</v>
      </c>
      <c r="DE285" t="s">
        <v>3</v>
      </c>
      <c r="DF285">
        <f>ROUND(ROUND(AE285*AI285,2)*CX285,2)</f>
        <v>21979.72</v>
      </c>
      <c r="DG285">
        <f t="shared" si="90"/>
        <v>0</v>
      </c>
      <c r="DH285">
        <f t="shared" si="91"/>
        <v>0</v>
      </c>
      <c r="DI285">
        <f t="shared" si="82"/>
        <v>0</v>
      </c>
      <c r="DJ285">
        <f>DF285</f>
        <v>21979.72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5">
      <c r="A286">
        <f>ROW(Source!A417)</f>
        <v>417</v>
      </c>
      <c r="B286">
        <v>57034454</v>
      </c>
      <c r="C286">
        <v>57035226</v>
      </c>
      <c r="D286">
        <v>0</v>
      </c>
      <c r="E286">
        <v>0</v>
      </c>
      <c r="F286">
        <v>1</v>
      </c>
      <c r="G286">
        <v>1081</v>
      </c>
      <c r="H286">
        <v>3</v>
      </c>
      <c r="I286" t="s">
        <v>358</v>
      </c>
      <c r="J286" t="s">
        <v>3</v>
      </c>
      <c r="K286" t="s">
        <v>359</v>
      </c>
      <c r="L286">
        <v>1354</v>
      </c>
      <c r="N286">
        <v>1010</v>
      </c>
      <c r="O286" t="s">
        <v>177</v>
      </c>
      <c r="P286" t="s">
        <v>177</v>
      </c>
      <c r="Q286">
        <v>1</v>
      </c>
      <c r="W286">
        <v>0</v>
      </c>
      <c r="X286">
        <v>-2067662512</v>
      </c>
      <c r="Y286">
        <f>(AT286*1)</f>
        <v>0.74074074000000001</v>
      </c>
      <c r="AA286">
        <v>1284.0999999999999</v>
      </c>
      <c r="AB286">
        <v>0</v>
      </c>
      <c r="AC286">
        <v>0</v>
      </c>
      <c r="AD286">
        <v>0</v>
      </c>
      <c r="AE286">
        <v>169.63</v>
      </c>
      <c r="AF286">
        <v>0</v>
      </c>
      <c r="AG286">
        <v>0</v>
      </c>
      <c r="AH286">
        <v>0</v>
      </c>
      <c r="AI286">
        <v>7.57</v>
      </c>
      <c r="AJ286">
        <v>1</v>
      </c>
      <c r="AK286">
        <v>1</v>
      </c>
      <c r="AL286">
        <v>1</v>
      </c>
      <c r="AM286">
        <v>0</v>
      </c>
      <c r="AN286">
        <v>0</v>
      </c>
      <c r="AO286">
        <v>0</v>
      </c>
      <c r="AP286">
        <v>1</v>
      </c>
      <c r="AQ286">
        <v>0</v>
      </c>
      <c r="AR286">
        <v>0</v>
      </c>
      <c r="AS286" t="s">
        <v>3</v>
      </c>
      <c r="AT286">
        <v>0.74074074000000001</v>
      </c>
      <c r="AU286" t="s">
        <v>104</v>
      </c>
      <c r="AV286">
        <v>0</v>
      </c>
      <c r="AW286">
        <v>1</v>
      </c>
      <c r="AX286">
        <v>-1</v>
      </c>
      <c r="AY286">
        <v>0</v>
      </c>
      <c r="AZ286">
        <v>0</v>
      </c>
      <c r="BA286" t="s">
        <v>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ROUND(Y286*Source!I417,9)</f>
        <v>19.999999979999998</v>
      </c>
      <c r="CY286">
        <f>AA286</f>
        <v>1284.0999999999999</v>
      </c>
      <c r="CZ286">
        <f>AE286</f>
        <v>169.63</v>
      </c>
      <c r="DA286">
        <f>AI286</f>
        <v>7.57</v>
      </c>
      <c r="DB286">
        <f>ROUND((ROUND(AT286*CZ286,2)*1),6)</f>
        <v>125.65</v>
      </c>
      <c r="DC286">
        <f>ROUND((ROUND(AT286*AG286,2)*1),6)</f>
        <v>0</v>
      </c>
      <c r="DD286" t="s">
        <v>3</v>
      </c>
      <c r="DE286" t="s">
        <v>3</v>
      </c>
      <c r="DF286">
        <f>ROUND(ROUND(AE286*AI286,2)*CX286,2)</f>
        <v>25682</v>
      </c>
      <c r="DG286">
        <f t="shared" si="90"/>
        <v>0</v>
      </c>
      <c r="DH286">
        <f t="shared" si="91"/>
        <v>0</v>
      </c>
      <c r="DI286">
        <f t="shared" si="82"/>
        <v>0</v>
      </c>
      <c r="DJ286">
        <f>DF286</f>
        <v>25682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ROW(Source!A496)</f>
        <v>496</v>
      </c>
      <c r="B287">
        <v>57034452</v>
      </c>
      <c r="C287">
        <v>57036110</v>
      </c>
      <c r="D287">
        <v>55424304</v>
      </c>
      <c r="E287">
        <v>1081</v>
      </c>
      <c r="F287">
        <v>1</v>
      </c>
      <c r="G287">
        <v>1081</v>
      </c>
      <c r="H287">
        <v>1</v>
      </c>
      <c r="I287" t="s">
        <v>459</v>
      </c>
      <c r="J287" t="s">
        <v>3</v>
      </c>
      <c r="K287" t="s">
        <v>460</v>
      </c>
      <c r="L287">
        <v>1191</v>
      </c>
      <c r="N287">
        <v>1013</v>
      </c>
      <c r="O287" t="s">
        <v>461</v>
      </c>
      <c r="P287" t="s">
        <v>461</v>
      </c>
      <c r="Q287">
        <v>1</v>
      </c>
      <c r="W287">
        <v>0</v>
      </c>
      <c r="X287">
        <v>476480486</v>
      </c>
      <c r="Y287">
        <f>(AT287*1.2)</f>
        <v>41.531999999999996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34.61</v>
      </c>
      <c r="AU287" t="s">
        <v>105</v>
      </c>
      <c r="AV287">
        <v>1</v>
      </c>
      <c r="AW287">
        <v>2</v>
      </c>
      <c r="AX287">
        <v>57036111</v>
      </c>
      <c r="AY287">
        <v>1</v>
      </c>
      <c r="AZ287">
        <v>0</v>
      </c>
      <c r="BA287">
        <v>291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U287">
        <f>ROUND(AT287*Source!I496*AH287*AL287,2)</f>
        <v>0</v>
      </c>
      <c r="CV287">
        <f>ROUND(Y287*Source!I496,9)</f>
        <v>2138.8980000000001</v>
      </c>
      <c r="CW287">
        <v>0</v>
      </c>
      <c r="CX287">
        <f>ROUND(Y287*Source!I496,9)</f>
        <v>2138.8980000000001</v>
      </c>
      <c r="CY287">
        <f>AD287</f>
        <v>0</v>
      </c>
      <c r="CZ287">
        <f>AH287</f>
        <v>0</v>
      </c>
      <c r="DA287">
        <f>AL287</f>
        <v>1</v>
      </c>
      <c r="DB287">
        <f>ROUND((ROUND(AT287*CZ287,2)*1.2),6)</f>
        <v>0</v>
      </c>
      <c r="DC287">
        <f>ROUND((ROUND(AT287*AG287,2)*1.2),6)</f>
        <v>0</v>
      </c>
      <c r="DD287" t="s">
        <v>3</v>
      </c>
      <c r="DE287" t="s">
        <v>3</v>
      </c>
      <c r="DF287">
        <f t="shared" ref="DF287:DF296" si="93">ROUND(ROUND(AE287,2)*CX287,2)</f>
        <v>0</v>
      </c>
      <c r="DG287">
        <f t="shared" si="90"/>
        <v>0</v>
      </c>
      <c r="DH287">
        <f t="shared" si="91"/>
        <v>0</v>
      </c>
      <c r="DI287">
        <f t="shared" si="82"/>
        <v>0</v>
      </c>
      <c r="DJ287">
        <f>DI287</f>
        <v>0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5">
      <c r="A288">
        <f>ROW(Source!A496)</f>
        <v>496</v>
      </c>
      <c r="B288">
        <v>57034452</v>
      </c>
      <c r="C288">
        <v>57036110</v>
      </c>
      <c r="D288">
        <v>55490263</v>
      </c>
      <c r="E288">
        <v>1</v>
      </c>
      <c r="F288">
        <v>1</v>
      </c>
      <c r="G288">
        <v>1081</v>
      </c>
      <c r="H288">
        <v>2</v>
      </c>
      <c r="I288" t="s">
        <v>501</v>
      </c>
      <c r="J288" t="s">
        <v>502</v>
      </c>
      <c r="K288" t="s">
        <v>503</v>
      </c>
      <c r="L288">
        <v>1368</v>
      </c>
      <c r="N288">
        <v>1011</v>
      </c>
      <c r="O288" t="s">
        <v>465</v>
      </c>
      <c r="P288" t="s">
        <v>465</v>
      </c>
      <c r="Q288">
        <v>1</v>
      </c>
      <c r="W288">
        <v>0</v>
      </c>
      <c r="X288">
        <v>-1895752648</v>
      </c>
      <c r="Y288">
        <f>(AT288*1.2)</f>
        <v>5.8440000000000003</v>
      </c>
      <c r="AA288">
        <v>0</v>
      </c>
      <c r="AB288">
        <v>0.81</v>
      </c>
      <c r="AC288">
        <v>0</v>
      </c>
      <c r="AD288">
        <v>0</v>
      </c>
      <c r="AE288">
        <v>0</v>
      </c>
      <c r="AF288">
        <v>0.77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-2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4.87</v>
      </c>
      <c r="AU288" t="s">
        <v>105</v>
      </c>
      <c r="AV288">
        <v>0</v>
      </c>
      <c r="AW288">
        <v>2</v>
      </c>
      <c r="AX288">
        <v>57036112</v>
      </c>
      <c r="AY288">
        <v>1</v>
      </c>
      <c r="AZ288">
        <v>0</v>
      </c>
      <c r="BA288">
        <v>292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f>ROUND(Y288*Source!I496*DO288,9)</f>
        <v>0</v>
      </c>
      <c r="CX288">
        <f>ROUND(Y288*Source!I496,9)</f>
        <v>300.96600000000001</v>
      </c>
      <c r="CY288">
        <f>AB288</f>
        <v>0.81</v>
      </c>
      <c r="CZ288">
        <f>AF288</f>
        <v>0.77</v>
      </c>
      <c r="DA288">
        <f>AJ288</f>
        <v>1</v>
      </c>
      <c r="DB288">
        <f>ROUND((ROUND(AT288*CZ288,2)*1.2),6)</f>
        <v>4.5</v>
      </c>
      <c r="DC288">
        <f>ROUND((ROUND(AT288*AG288,2)*1.2),6)</f>
        <v>0</v>
      </c>
      <c r="DD288" t="s">
        <v>3</v>
      </c>
      <c r="DE288" t="s">
        <v>3</v>
      </c>
      <c r="DF288">
        <f t="shared" si="93"/>
        <v>0</v>
      </c>
      <c r="DG288">
        <f t="shared" si="90"/>
        <v>231.74</v>
      </c>
      <c r="DH288">
        <f t="shared" si="91"/>
        <v>0</v>
      </c>
      <c r="DI288">
        <f t="shared" si="82"/>
        <v>0</v>
      </c>
      <c r="DJ288">
        <f>DG288</f>
        <v>231.74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ROW(Source!A496)</f>
        <v>496</v>
      </c>
      <c r="B289">
        <v>57034452</v>
      </c>
      <c r="C289">
        <v>57036110</v>
      </c>
      <c r="D289">
        <v>55490296</v>
      </c>
      <c r="E289">
        <v>1</v>
      </c>
      <c r="F289">
        <v>1</v>
      </c>
      <c r="G289">
        <v>1081</v>
      </c>
      <c r="H289">
        <v>2</v>
      </c>
      <c r="I289" t="s">
        <v>479</v>
      </c>
      <c r="J289" t="s">
        <v>480</v>
      </c>
      <c r="K289" t="s">
        <v>481</v>
      </c>
      <c r="L289">
        <v>1368</v>
      </c>
      <c r="N289">
        <v>1011</v>
      </c>
      <c r="O289" t="s">
        <v>465</v>
      </c>
      <c r="P289" t="s">
        <v>465</v>
      </c>
      <c r="Q289">
        <v>1</v>
      </c>
      <c r="W289">
        <v>0</v>
      </c>
      <c r="X289">
        <v>-643591644</v>
      </c>
      <c r="Y289">
        <f>(AT289*1.2)</f>
        <v>8.2679999999999989</v>
      </c>
      <c r="AA289">
        <v>0</v>
      </c>
      <c r="AB289">
        <v>0.49</v>
      </c>
      <c r="AC289">
        <v>0</v>
      </c>
      <c r="AD289">
        <v>0</v>
      </c>
      <c r="AE289">
        <v>0</v>
      </c>
      <c r="AF289">
        <v>0.47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6.89</v>
      </c>
      <c r="AU289" t="s">
        <v>105</v>
      </c>
      <c r="AV289">
        <v>0</v>
      </c>
      <c r="AW289">
        <v>2</v>
      </c>
      <c r="AX289">
        <v>57036113</v>
      </c>
      <c r="AY289">
        <v>1</v>
      </c>
      <c r="AZ289">
        <v>0</v>
      </c>
      <c r="BA289">
        <v>293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f>ROUND(Y289*Source!I496*DO289,9)</f>
        <v>0</v>
      </c>
      <c r="CX289">
        <f>ROUND(Y289*Source!I496,9)</f>
        <v>425.80200000000002</v>
      </c>
      <c r="CY289">
        <f>AB289</f>
        <v>0.49</v>
      </c>
      <c r="CZ289">
        <f>AF289</f>
        <v>0.47</v>
      </c>
      <c r="DA289">
        <f>AJ289</f>
        <v>1</v>
      </c>
      <c r="DB289">
        <f>ROUND((ROUND(AT289*CZ289,2)*1.2),6)</f>
        <v>3.8879999999999999</v>
      </c>
      <c r="DC289">
        <f>ROUND((ROUND(AT289*AG289,2)*1.2),6)</f>
        <v>0</v>
      </c>
      <c r="DD289" t="s">
        <v>3</v>
      </c>
      <c r="DE289" t="s">
        <v>3</v>
      </c>
      <c r="DF289">
        <f t="shared" si="93"/>
        <v>0</v>
      </c>
      <c r="DG289">
        <f t="shared" si="90"/>
        <v>200.13</v>
      </c>
      <c r="DH289">
        <f t="shared" si="91"/>
        <v>0</v>
      </c>
      <c r="DI289">
        <f t="shared" si="82"/>
        <v>0</v>
      </c>
      <c r="DJ289">
        <f>DG289</f>
        <v>200.13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5">
      <c r="A290">
        <f>ROW(Source!A496)</f>
        <v>496</v>
      </c>
      <c r="B290">
        <v>57034452</v>
      </c>
      <c r="C290">
        <v>57036110</v>
      </c>
      <c r="D290">
        <v>55472837</v>
      </c>
      <c r="E290">
        <v>1</v>
      </c>
      <c r="F290">
        <v>1</v>
      </c>
      <c r="G290">
        <v>1081</v>
      </c>
      <c r="H290">
        <v>3</v>
      </c>
      <c r="I290" t="s">
        <v>369</v>
      </c>
      <c r="J290" t="s">
        <v>372</v>
      </c>
      <c r="K290" t="s">
        <v>370</v>
      </c>
      <c r="L290">
        <v>1301</v>
      </c>
      <c r="N290">
        <v>1003</v>
      </c>
      <c r="O290" t="s">
        <v>371</v>
      </c>
      <c r="P290" t="s">
        <v>371</v>
      </c>
      <c r="Q290">
        <v>1</v>
      </c>
      <c r="W290">
        <v>0</v>
      </c>
      <c r="X290">
        <v>1194371439</v>
      </c>
      <c r="Y290">
        <f>(AT290*1)</f>
        <v>102</v>
      </c>
      <c r="AA290">
        <v>3.45</v>
      </c>
      <c r="AB290">
        <v>0</v>
      </c>
      <c r="AC290">
        <v>0</v>
      </c>
      <c r="AD290">
        <v>0</v>
      </c>
      <c r="AE290">
        <v>3.45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 t="s">
        <v>3</v>
      </c>
      <c r="AT290">
        <v>102</v>
      </c>
      <c r="AU290" t="s">
        <v>104</v>
      </c>
      <c r="AV290">
        <v>0</v>
      </c>
      <c r="AW290">
        <v>1</v>
      </c>
      <c r="AX290">
        <v>-1</v>
      </c>
      <c r="AY290">
        <v>0</v>
      </c>
      <c r="AZ290">
        <v>0</v>
      </c>
      <c r="BA290" t="s">
        <v>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ROUND(Y290*Source!I496,9)</f>
        <v>5253</v>
      </c>
      <c r="CY290">
        <f>AA290</f>
        <v>3.45</v>
      </c>
      <c r="CZ290">
        <f>AE290</f>
        <v>3.45</v>
      </c>
      <c r="DA290">
        <f>AI290</f>
        <v>1</v>
      </c>
      <c r="DB290">
        <f>ROUND((ROUND(AT290*CZ290,2)*1),6)</f>
        <v>351.9</v>
      </c>
      <c r="DC290">
        <f>ROUND((ROUND(AT290*AG290,2)*1),6)</f>
        <v>0</v>
      </c>
      <c r="DD290" t="s">
        <v>3</v>
      </c>
      <c r="DE290" t="s">
        <v>3</v>
      </c>
      <c r="DF290">
        <f t="shared" si="93"/>
        <v>18122.849999999999</v>
      </c>
      <c r="DG290">
        <f t="shared" si="90"/>
        <v>0</v>
      </c>
      <c r="DH290">
        <f t="shared" si="91"/>
        <v>0</v>
      </c>
      <c r="DI290">
        <f t="shared" si="82"/>
        <v>0</v>
      </c>
      <c r="DJ290">
        <f>DF290</f>
        <v>18122.849999999999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5">
      <c r="A291">
        <f>ROW(Source!A496)</f>
        <v>496</v>
      </c>
      <c r="B291">
        <v>57034452</v>
      </c>
      <c r="C291">
        <v>57036110</v>
      </c>
      <c r="D291">
        <v>55482203</v>
      </c>
      <c r="E291">
        <v>1</v>
      </c>
      <c r="F291">
        <v>1</v>
      </c>
      <c r="G291">
        <v>1081</v>
      </c>
      <c r="H291">
        <v>3</v>
      </c>
      <c r="I291" t="s">
        <v>489</v>
      </c>
      <c r="J291" t="s">
        <v>490</v>
      </c>
      <c r="K291" t="s">
        <v>491</v>
      </c>
      <c r="L291">
        <v>1356</v>
      </c>
      <c r="N291">
        <v>1010</v>
      </c>
      <c r="O291" t="s">
        <v>382</v>
      </c>
      <c r="P291" t="s">
        <v>382</v>
      </c>
      <c r="Q291">
        <v>1000</v>
      </c>
      <c r="W291">
        <v>0</v>
      </c>
      <c r="X291">
        <v>474149623</v>
      </c>
      <c r="Y291">
        <f>(AT291*1)</f>
        <v>3.1E-2</v>
      </c>
      <c r="AA291">
        <v>226.66</v>
      </c>
      <c r="AB291">
        <v>0</v>
      </c>
      <c r="AC291">
        <v>0</v>
      </c>
      <c r="AD291">
        <v>0</v>
      </c>
      <c r="AE291">
        <v>226.66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3.1E-2</v>
      </c>
      <c r="AU291" t="s">
        <v>104</v>
      </c>
      <c r="AV291">
        <v>0</v>
      </c>
      <c r="AW291">
        <v>2</v>
      </c>
      <c r="AX291">
        <v>57036114</v>
      </c>
      <c r="AY291">
        <v>1</v>
      </c>
      <c r="AZ291">
        <v>0</v>
      </c>
      <c r="BA291">
        <v>294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ROUND(Y291*Source!I496,9)</f>
        <v>1.5965</v>
      </c>
      <c r="CY291">
        <f>AA291</f>
        <v>226.66</v>
      </c>
      <c r="CZ291">
        <f>AE291</f>
        <v>226.66</v>
      </c>
      <c r="DA291">
        <f>AI291</f>
        <v>1</v>
      </c>
      <c r="DB291">
        <f>ROUND((ROUND(AT291*CZ291,2)*1),6)</f>
        <v>7.03</v>
      </c>
      <c r="DC291">
        <f>ROUND((ROUND(AT291*AG291,2)*1),6)</f>
        <v>0</v>
      </c>
      <c r="DD291" t="s">
        <v>3</v>
      </c>
      <c r="DE291" t="s">
        <v>3</v>
      </c>
      <c r="DF291">
        <f t="shared" si="93"/>
        <v>361.86</v>
      </c>
      <c r="DG291">
        <f t="shared" si="90"/>
        <v>0</v>
      </c>
      <c r="DH291">
        <f t="shared" si="91"/>
        <v>0</v>
      </c>
      <c r="DI291">
        <f t="shared" si="82"/>
        <v>0</v>
      </c>
      <c r="DJ291">
        <f>DF291</f>
        <v>361.86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ROW(Source!A496)</f>
        <v>496</v>
      </c>
      <c r="B292">
        <v>57034452</v>
      </c>
      <c r="C292">
        <v>57036110</v>
      </c>
      <c r="D292">
        <v>55481977</v>
      </c>
      <c r="E292">
        <v>1</v>
      </c>
      <c r="F292">
        <v>1</v>
      </c>
      <c r="G292">
        <v>1081</v>
      </c>
      <c r="H292">
        <v>3</v>
      </c>
      <c r="I292" t="s">
        <v>504</v>
      </c>
      <c r="J292" t="s">
        <v>505</v>
      </c>
      <c r="K292" t="s">
        <v>506</v>
      </c>
      <c r="L292">
        <v>1355</v>
      </c>
      <c r="N292">
        <v>1010</v>
      </c>
      <c r="O292" t="s">
        <v>414</v>
      </c>
      <c r="P292" t="s">
        <v>414</v>
      </c>
      <c r="Q292">
        <v>100</v>
      </c>
      <c r="W292">
        <v>0</v>
      </c>
      <c r="X292">
        <v>1356827684</v>
      </c>
      <c r="Y292">
        <f>(AT292*1)</f>
        <v>0.315</v>
      </c>
      <c r="AA292">
        <v>26.71</v>
      </c>
      <c r="AB292">
        <v>0</v>
      </c>
      <c r="AC292">
        <v>0</v>
      </c>
      <c r="AD292">
        <v>0</v>
      </c>
      <c r="AE292">
        <v>26.71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0.315</v>
      </c>
      <c r="AU292" t="s">
        <v>104</v>
      </c>
      <c r="AV292">
        <v>0</v>
      </c>
      <c r="AW292">
        <v>2</v>
      </c>
      <c r="AX292">
        <v>57036115</v>
      </c>
      <c r="AY292">
        <v>1</v>
      </c>
      <c r="AZ292">
        <v>0</v>
      </c>
      <c r="BA292">
        <v>295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ROUND(Y292*Source!I496,9)</f>
        <v>16.2225</v>
      </c>
      <c r="CY292">
        <f>AA292</f>
        <v>26.71</v>
      </c>
      <c r="CZ292">
        <f>AE292</f>
        <v>26.71</v>
      </c>
      <c r="DA292">
        <f>AI292</f>
        <v>1</v>
      </c>
      <c r="DB292">
        <f>ROUND((ROUND(AT292*CZ292,2)*1),6)</f>
        <v>8.41</v>
      </c>
      <c r="DC292">
        <f>ROUND((ROUND(AT292*AG292,2)*1),6)</f>
        <v>0</v>
      </c>
      <c r="DD292" t="s">
        <v>3</v>
      </c>
      <c r="DE292" t="s">
        <v>3</v>
      </c>
      <c r="DF292">
        <f t="shared" si="93"/>
        <v>433.3</v>
      </c>
      <c r="DG292">
        <f t="shared" si="90"/>
        <v>0</v>
      </c>
      <c r="DH292">
        <f t="shared" si="91"/>
        <v>0</v>
      </c>
      <c r="DI292">
        <f t="shared" si="82"/>
        <v>0</v>
      </c>
      <c r="DJ292">
        <f>DF292</f>
        <v>433.3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5">
      <c r="A293">
        <f>ROW(Source!A496)</f>
        <v>496</v>
      </c>
      <c r="B293">
        <v>57034452</v>
      </c>
      <c r="C293">
        <v>57036110</v>
      </c>
      <c r="D293">
        <v>55469263</v>
      </c>
      <c r="E293">
        <v>1</v>
      </c>
      <c r="F293">
        <v>1</v>
      </c>
      <c r="G293">
        <v>1081</v>
      </c>
      <c r="H293">
        <v>3</v>
      </c>
      <c r="I293" t="s">
        <v>507</v>
      </c>
      <c r="J293" t="s">
        <v>508</v>
      </c>
      <c r="K293" t="s">
        <v>509</v>
      </c>
      <c r="L293">
        <v>1354</v>
      </c>
      <c r="N293">
        <v>1010</v>
      </c>
      <c r="O293" t="s">
        <v>177</v>
      </c>
      <c r="P293" t="s">
        <v>177</v>
      </c>
      <c r="Q293">
        <v>1</v>
      </c>
      <c r="W293">
        <v>0</v>
      </c>
      <c r="X293">
        <v>955560065</v>
      </c>
      <c r="Y293">
        <f>(AT293*1)</f>
        <v>0.55900000000000005</v>
      </c>
      <c r="AA293">
        <v>14.22</v>
      </c>
      <c r="AB293">
        <v>0</v>
      </c>
      <c r="AC293">
        <v>0</v>
      </c>
      <c r="AD293">
        <v>0</v>
      </c>
      <c r="AE293">
        <v>14.22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0.55900000000000005</v>
      </c>
      <c r="AU293" t="s">
        <v>104</v>
      </c>
      <c r="AV293">
        <v>0</v>
      </c>
      <c r="AW293">
        <v>2</v>
      </c>
      <c r="AX293">
        <v>57036116</v>
      </c>
      <c r="AY293">
        <v>1</v>
      </c>
      <c r="AZ293">
        <v>0</v>
      </c>
      <c r="BA293">
        <v>296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ROUND(Y293*Source!I496,9)</f>
        <v>28.788499999999999</v>
      </c>
      <c r="CY293">
        <f>AA293</f>
        <v>14.22</v>
      </c>
      <c r="CZ293">
        <f>AE293</f>
        <v>14.22</v>
      </c>
      <c r="DA293">
        <f>AI293</f>
        <v>1</v>
      </c>
      <c r="DB293">
        <f>ROUND((ROUND(AT293*CZ293,2)*1),6)</f>
        <v>7.95</v>
      </c>
      <c r="DC293">
        <f>ROUND((ROUND(AT293*AG293,2)*1),6)</f>
        <v>0</v>
      </c>
      <c r="DD293" t="s">
        <v>3</v>
      </c>
      <c r="DE293" t="s">
        <v>3</v>
      </c>
      <c r="DF293">
        <f t="shared" si="93"/>
        <v>409.37</v>
      </c>
      <c r="DG293">
        <f t="shared" si="90"/>
        <v>0</v>
      </c>
      <c r="DH293">
        <f t="shared" si="91"/>
        <v>0</v>
      </c>
      <c r="DI293">
        <f t="shared" si="82"/>
        <v>0</v>
      </c>
      <c r="DJ293">
        <f>DF293</f>
        <v>409.37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5">
      <c r="A294">
        <f>ROW(Source!A497)</f>
        <v>497</v>
      </c>
      <c r="B294">
        <v>57034454</v>
      </c>
      <c r="C294">
        <v>57036110</v>
      </c>
      <c r="D294">
        <v>55424304</v>
      </c>
      <c r="E294">
        <v>1081</v>
      </c>
      <c r="F294">
        <v>1</v>
      </c>
      <c r="G294">
        <v>1081</v>
      </c>
      <c r="H294">
        <v>1</v>
      </c>
      <c r="I294" t="s">
        <v>459</v>
      </c>
      <c r="J294" t="s">
        <v>3</v>
      </c>
      <c r="K294" t="s">
        <v>460</v>
      </c>
      <c r="L294">
        <v>1191</v>
      </c>
      <c r="N294">
        <v>1013</v>
      </c>
      <c r="O294" t="s">
        <v>461</v>
      </c>
      <c r="P294" t="s">
        <v>461</v>
      </c>
      <c r="Q294">
        <v>1</v>
      </c>
      <c r="W294">
        <v>0</v>
      </c>
      <c r="X294">
        <v>476480486</v>
      </c>
      <c r="Y294">
        <f>(AT294*1.2)</f>
        <v>41.531999999999996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5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34.61</v>
      </c>
      <c r="AU294" t="s">
        <v>105</v>
      </c>
      <c r="AV294">
        <v>1</v>
      </c>
      <c r="AW294">
        <v>2</v>
      </c>
      <c r="AX294">
        <v>57036111</v>
      </c>
      <c r="AY294">
        <v>1</v>
      </c>
      <c r="AZ294">
        <v>0</v>
      </c>
      <c r="BA294">
        <v>301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U294">
        <f>ROUND(AT294*Source!I497*AH294*AL294,2)</f>
        <v>0</v>
      </c>
      <c r="CV294">
        <f>ROUND(Y294*Source!I497,9)</f>
        <v>2138.8980000000001</v>
      </c>
      <c r="CW294">
        <v>0</v>
      </c>
      <c r="CX294">
        <f>ROUND(Y294*Source!I497,9)</f>
        <v>2138.8980000000001</v>
      </c>
      <c r="CY294">
        <f>AD294</f>
        <v>0</v>
      </c>
      <c r="CZ294">
        <f>AH294</f>
        <v>0</v>
      </c>
      <c r="DA294">
        <f>AL294</f>
        <v>1</v>
      </c>
      <c r="DB294">
        <f>ROUND((ROUND(AT294*CZ294,2)*1.2),6)</f>
        <v>0</v>
      </c>
      <c r="DC294">
        <f>ROUND((ROUND(AT294*AG294,2)*1.2),6)</f>
        <v>0</v>
      </c>
      <c r="DD294" t="s">
        <v>3</v>
      </c>
      <c r="DE294" t="s">
        <v>3</v>
      </c>
      <c r="DF294">
        <f t="shared" si="93"/>
        <v>0</v>
      </c>
      <c r="DG294">
        <f t="shared" si="90"/>
        <v>0</v>
      </c>
      <c r="DH294">
        <f t="shared" si="91"/>
        <v>0</v>
      </c>
      <c r="DI294">
        <f t="shared" si="82"/>
        <v>0</v>
      </c>
      <c r="DJ294">
        <f>DI294</f>
        <v>0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ROW(Source!A497)</f>
        <v>497</v>
      </c>
      <c r="B295">
        <v>57034454</v>
      </c>
      <c r="C295">
        <v>57036110</v>
      </c>
      <c r="D295">
        <v>55490263</v>
      </c>
      <c r="E295">
        <v>1</v>
      </c>
      <c r="F295">
        <v>1</v>
      </c>
      <c r="G295">
        <v>1081</v>
      </c>
      <c r="H295">
        <v>2</v>
      </c>
      <c r="I295" t="s">
        <v>501</v>
      </c>
      <c r="J295" t="s">
        <v>502</v>
      </c>
      <c r="K295" t="s">
        <v>503</v>
      </c>
      <c r="L295">
        <v>1368</v>
      </c>
      <c r="N295">
        <v>1011</v>
      </c>
      <c r="O295" t="s">
        <v>465</v>
      </c>
      <c r="P295" t="s">
        <v>465</v>
      </c>
      <c r="Q295">
        <v>1</v>
      </c>
      <c r="W295">
        <v>0</v>
      </c>
      <c r="X295">
        <v>-1895752648</v>
      </c>
      <c r="Y295">
        <f>(AT295*1.2)</f>
        <v>5.8440000000000003</v>
      </c>
      <c r="AA295">
        <v>0</v>
      </c>
      <c r="AB295">
        <v>7.71</v>
      </c>
      <c r="AC295">
        <v>0</v>
      </c>
      <c r="AD295">
        <v>0</v>
      </c>
      <c r="AE295">
        <v>0</v>
      </c>
      <c r="AF295">
        <v>0.77</v>
      </c>
      <c r="AG295">
        <v>0</v>
      </c>
      <c r="AH295">
        <v>0</v>
      </c>
      <c r="AI295">
        <v>1</v>
      </c>
      <c r="AJ295">
        <v>9.56</v>
      </c>
      <c r="AK295">
        <v>1</v>
      </c>
      <c r="AL295">
        <v>1</v>
      </c>
      <c r="AM295">
        <v>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4.87</v>
      </c>
      <c r="AU295" t="s">
        <v>105</v>
      </c>
      <c r="AV295">
        <v>0</v>
      </c>
      <c r="AW295">
        <v>2</v>
      </c>
      <c r="AX295">
        <v>57036112</v>
      </c>
      <c r="AY295">
        <v>1</v>
      </c>
      <c r="AZ295">
        <v>0</v>
      </c>
      <c r="BA295">
        <v>302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f>ROUND(Y295*Source!I497*DO295,9)</f>
        <v>0</v>
      </c>
      <c r="CX295">
        <f>ROUND(Y295*Source!I497,9)</f>
        <v>300.96600000000001</v>
      </c>
      <c r="CY295">
        <f>AB295</f>
        <v>7.71</v>
      </c>
      <c r="CZ295">
        <f>AF295</f>
        <v>0.77</v>
      </c>
      <c r="DA295">
        <f>AJ295</f>
        <v>9.56</v>
      </c>
      <c r="DB295">
        <f>ROUND((ROUND(AT295*CZ295,2)*1.2),6)</f>
        <v>4.5</v>
      </c>
      <c r="DC295">
        <f>ROUND((ROUND(AT295*AG295,2)*1.2),6)</f>
        <v>0</v>
      </c>
      <c r="DD295" t="s">
        <v>3</v>
      </c>
      <c r="DE295" t="s">
        <v>3</v>
      </c>
      <c r="DF295">
        <f t="shared" si="93"/>
        <v>0</v>
      </c>
      <c r="DG295">
        <f>ROUND(ROUND(AF295*AJ295,2)*CX295,2)</f>
        <v>2215.11</v>
      </c>
      <c r="DH295">
        <f t="shared" si="91"/>
        <v>0</v>
      </c>
      <c r="DI295">
        <f t="shared" si="82"/>
        <v>0</v>
      </c>
      <c r="DJ295">
        <f>DG295</f>
        <v>2215.11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5">
      <c r="A296">
        <f>ROW(Source!A497)</f>
        <v>497</v>
      </c>
      <c r="B296">
        <v>57034454</v>
      </c>
      <c r="C296">
        <v>57036110</v>
      </c>
      <c r="D296">
        <v>55490296</v>
      </c>
      <c r="E296">
        <v>1</v>
      </c>
      <c r="F296">
        <v>1</v>
      </c>
      <c r="G296">
        <v>1081</v>
      </c>
      <c r="H296">
        <v>2</v>
      </c>
      <c r="I296" t="s">
        <v>479</v>
      </c>
      <c r="J296" t="s">
        <v>480</v>
      </c>
      <c r="K296" t="s">
        <v>481</v>
      </c>
      <c r="L296">
        <v>1368</v>
      </c>
      <c r="N296">
        <v>1011</v>
      </c>
      <c r="O296" t="s">
        <v>465</v>
      </c>
      <c r="P296" t="s">
        <v>465</v>
      </c>
      <c r="Q296">
        <v>1</v>
      </c>
      <c r="W296">
        <v>0</v>
      </c>
      <c r="X296">
        <v>-643591644</v>
      </c>
      <c r="Y296">
        <f>(AT296*1.2)</f>
        <v>8.2679999999999989</v>
      </c>
      <c r="AA296">
        <v>0</v>
      </c>
      <c r="AB296">
        <v>4.75</v>
      </c>
      <c r="AC296">
        <v>0</v>
      </c>
      <c r="AD296">
        <v>0</v>
      </c>
      <c r="AE296">
        <v>0</v>
      </c>
      <c r="AF296">
        <v>0.47</v>
      </c>
      <c r="AG296">
        <v>0</v>
      </c>
      <c r="AH296">
        <v>0</v>
      </c>
      <c r="AI296">
        <v>1</v>
      </c>
      <c r="AJ296">
        <v>9.66</v>
      </c>
      <c r="AK296">
        <v>1</v>
      </c>
      <c r="AL296">
        <v>1</v>
      </c>
      <c r="AM296">
        <v>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6.89</v>
      </c>
      <c r="AU296" t="s">
        <v>105</v>
      </c>
      <c r="AV296">
        <v>0</v>
      </c>
      <c r="AW296">
        <v>2</v>
      </c>
      <c r="AX296">
        <v>57036113</v>
      </c>
      <c r="AY296">
        <v>1</v>
      </c>
      <c r="AZ296">
        <v>0</v>
      </c>
      <c r="BA296">
        <v>303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f>ROUND(Y296*Source!I497*DO296,9)</f>
        <v>0</v>
      </c>
      <c r="CX296">
        <f>ROUND(Y296*Source!I497,9)</f>
        <v>425.80200000000002</v>
      </c>
      <c r="CY296">
        <f>AB296</f>
        <v>4.75</v>
      </c>
      <c r="CZ296">
        <f>AF296</f>
        <v>0.47</v>
      </c>
      <c r="DA296">
        <f>AJ296</f>
        <v>9.66</v>
      </c>
      <c r="DB296">
        <f>ROUND((ROUND(AT296*CZ296,2)*1.2),6)</f>
        <v>3.8879999999999999</v>
      </c>
      <c r="DC296">
        <f>ROUND((ROUND(AT296*AG296,2)*1.2),6)</f>
        <v>0</v>
      </c>
      <c r="DD296" t="s">
        <v>3</v>
      </c>
      <c r="DE296" t="s">
        <v>3</v>
      </c>
      <c r="DF296">
        <f t="shared" si="93"/>
        <v>0</v>
      </c>
      <c r="DG296">
        <f>ROUND(ROUND(AF296*AJ296,2)*CX296,2)</f>
        <v>1933.14</v>
      </c>
      <c r="DH296">
        <f t="shared" si="91"/>
        <v>0</v>
      </c>
      <c r="DI296">
        <f t="shared" si="82"/>
        <v>0</v>
      </c>
      <c r="DJ296">
        <f>DG296</f>
        <v>1933.14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5">
      <c r="A297">
        <f>ROW(Source!A497)</f>
        <v>497</v>
      </c>
      <c r="B297">
        <v>57034454</v>
      </c>
      <c r="C297">
        <v>57036110</v>
      </c>
      <c r="D297">
        <v>55472837</v>
      </c>
      <c r="E297">
        <v>1</v>
      </c>
      <c r="F297">
        <v>1</v>
      </c>
      <c r="G297">
        <v>1081</v>
      </c>
      <c r="H297">
        <v>3</v>
      </c>
      <c r="I297" t="s">
        <v>369</v>
      </c>
      <c r="J297" t="s">
        <v>372</v>
      </c>
      <c r="K297" t="s">
        <v>370</v>
      </c>
      <c r="L297">
        <v>1301</v>
      </c>
      <c r="N297">
        <v>1003</v>
      </c>
      <c r="O297" t="s">
        <v>371</v>
      </c>
      <c r="P297" t="s">
        <v>371</v>
      </c>
      <c r="Q297">
        <v>1</v>
      </c>
      <c r="W297">
        <v>0</v>
      </c>
      <c r="X297">
        <v>1194371439</v>
      </c>
      <c r="Y297">
        <f>(AT297*1)</f>
        <v>102</v>
      </c>
      <c r="AA297">
        <v>13.08</v>
      </c>
      <c r="AB297">
        <v>0</v>
      </c>
      <c r="AC297">
        <v>0</v>
      </c>
      <c r="AD297">
        <v>0</v>
      </c>
      <c r="AE297">
        <v>3.45</v>
      </c>
      <c r="AF297">
        <v>0</v>
      </c>
      <c r="AG297">
        <v>0</v>
      </c>
      <c r="AH297">
        <v>0</v>
      </c>
      <c r="AI297">
        <v>3.79</v>
      </c>
      <c r="AJ297">
        <v>1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 t="s">
        <v>3</v>
      </c>
      <c r="AT297">
        <v>102</v>
      </c>
      <c r="AU297" t="s">
        <v>104</v>
      </c>
      <c r="AV297">
        <v>0</v>
      </c>
      <c r="AW297">
        <v>1</v>
      </c>
      <c r="AX297">
        <v>-1</v>
      </c>
      <c r="AY297">
        <v>0</v>
      </c>
      <c r="AZ297">
        <v>0</v>
      </c>
      <c r="BA297" t="s">
        <v>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ROUND(Y297*Source!I497,9)</f>
        <v>5253</v>
      </c>
      <c r="CY297">
        <f>AA297</f>
        <v>13.08</v>
      </c>
      <c r="CZ297">
        <f>AE297</f>
        <v>3.45</v>
      </c>
      <c r="DA297">
        <f>AI297</f>
        <v>3.79</v>
      </c>
      <c r="DB297">
        <f>ROUND((ROUND(AT297*CZ297,2)*1),6)</f>
        <v>351.9</v>
      </c>
      <c r="DC297">
        <f>ROUND((ROUND(AT297*AG297,2)*1),6)</f>
        <v>0</v>
      </c>
      <c r="DD297" t="s">
        <v>3</v>
      </c>
      <c r="DE297" t="s">
        <v>3</v>
      </c>
      <c r="DF297">
        <f>ROUND(ROUND(AE297*AI297,2)*CX297,2)</f>
        <v>68709.240000000005</v>
      </c>
      <c r="DG297">
        <f t="shared" ref="DG297:DG318" si="94">ROUND(ROUND(AF297,2)*CX297,2)</f>
        <v>0</v>
      </c>
      <c r="DH297">
        <f t="shared" ref="DH297:DH318" si="95">ROUND(ROUND(AG297,2)*CX297,2)</f>
        <v>0</v>
      </c>
      <c r="DI297">
        <f t="shared" si="82"/>
        <v>0</v>
      </c>
      <c r="DJ297">
        <f>DF297</f>
        <v>68709.240000000005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5">
      <c r="A298">
        <f>ROW(Source!A497)</f>
        <v>497</v>
      </c>
      <c r="B298">
        <v>57034454</v>
      </c>
      <c r="C298">
        <v>57036110</v>
      </c>
      <c r="D298">
        <v>55482203</v>
      </c>
      <c r="E298">
        <v>1</v>
      </c>
      <c r="F298">
        <v>1</v>
      </c>
      <c r="G298">
        <v>1081</v>
      </c>
      <c r="H298">
        <v>3</v>
      </c>
      <c r="I298" t="s">
        <v>489</v>
      </c>
      <c r="J298" t="s">
        <v>490</v>
      </c>
      <c r="K298" t="s">
        <v>491</v>
      </c>
      <c r="L298">
        <v>1356</v>
      </c>
      <c r="N298">
        <v>1010</v>
      </c>
      <c r="O298" t="s">
        <v>382</v>
      </c>
      <c r="P298" t="s">
        <v>382</v>
      </c>
      <c r="Q298">
        <v>1000</v>
      </c>
      <c r="W298">
        <v>0</v>
      </c>
      <c r="X298">
        <v>474149623</v>
      </c>
      <c r="Y298">
        <f>(AT298*1)</f>
        <v>3.1E-2</v>
      </c>
      <c r="AA298">
        <v>1527.69</v>
      </c>
      <c r="AB298">
        <v>0</v>
      </c>
      <c r="AC298">
        <v>0</v>
      </c>
      <c r="AD298">
        <v>0</v>
      </c>
      <c r="AE298">
        <v>226.66</v>
      </c>
      <c r="AF298">
        <v>0</v>
      </c>
      <c r="AG298">
        <v>0</v>
      </c>
      <c r="AH298">
        <v>0</v>
      </c>
      <c r="AI298">
        <v>6.74</v>
      </c>
      <c r="AJ298">
        <v>1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3.1E-2</v>
      </c>
      <c r="AU298" t="s">
        <v>104</v>
      </c>
      <c r="AV298">
        <v>0</v>
      </c>
      <c r="AW298">
        <v>2</v>
      </c>
      <c r="AX298">
        <v>57036114</v>
      </c>
      <c r="AY298">
        <v>1</v>
      </c>
      <c r="AZ298">
        <v>0</v>
      </c>
      <c r="BA298">
        <v>304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ROUND(Y298*Source!I497,9)</f>
        <v>1.5965</v>
      </c>
      <c r="CY298">
        <f>AA298</f>
        <v>1527.69</v>
      </c>
      <c r="CZ298">
        <f>AE298</f>
        <v>226.66</v>
      </c>
      <c r="DA298">
        <f>AI298</f>
        <v>6.74</v>
      </c>
      <c r="DB298">
        <f>ROUND((ROUND(AT298*CZ298,2)*1),6)</f>
        <v>7.03</v>
      </c>
      <c r="DC298">
        <f>ROUND((ROUND(AT298*AG298,2)*1),6)</f>
        <v>0</v>
      </c>
      <c r="DD298" t="s">
        <v>3</v>
      </c>
      <c r="DE298" t="s">
        <v>3</v>
      </c>
      <c r="DF298">
        <f>ROUND(ROUND(AE298*AI298,2)*CX298,2)</f>
        <v>2438.96</v>
      </c>
      <c r="DG298">
        <f t="shared" si="94"/>
        <v>0</v>
      </c>
      <c r="DH298">
        <f t="shared" si="95"/>
        <v>0</v>
      </c>
      <c r="DI298">
        <f t="shared" si="82"/>
        <v>0</v>
      </c>
      <c r="DJ298">
        <f>DF298</f>
        <v>2438.96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5">
      <c r="A299">
        <f>ROW(Source!A497)</f>
        <v>497</v>
      </c>
      <c r="B299">
        <v>57034454</v>
      </c>
      <c r="C299">
        <v>57036110</v>
      </c>
      <c r="D299">
        <v>55481977</v>
      </c>
      <c r="E299">
        <v>1</v>
      </c>
      <c r="F299">
        <v>1</v>
      </c>
      <c r="G299">
        <v>1081</v>
      </c>
      <c r="H299">
        <v>3</v>
      </c>
      <c r="I299" t="s">
        <v>504</v>
      </c>
      <c r="J299" t="s">
        <v>505</v>
      </c>
      <c r="K299" t="s">
        <v>506</v>
      </c>
      <c r="L299">
        <v>1355</v>
      </c>
      <c r="N299">
        <v>1010</v>
      </c>
      <c r="O299" t="s">
        <v>414</v>
      </c>
      <c r="P299" t="s">
        <v>414</v>
      </c>
      <c r="Q299">
        <v>100</v>
      </c>
      <c r="W299">
        <v>0</v>
      </c>
      <c r="X299">
        <v>1356827684</v>
      </c>
      <c r="Y299">
        <f>(AT299*1)</f>
        <v>0.315</v>
      </c>
      <c r="AA299">
        <v>105.5</v>
      </c>
      <c r="AB299">
        <v>0</v>
      </c>
      <c r="AC299">
        <v>0</v>
      </c>
      <c r="AD299">
        <v>0</v>
      </c>
      <c r="AE299">
        <v>26.71</v>
      </c>
      <c r="AF299">
        <v>0</v>
      </c>
      <c r="AG299">
        <v>0</v>
      </c>
      <c r="AH299">
        <v>0</v>
      </c>
      <c r="AI299">
        <v>3.95</v>
      </c>
      <c r="AJ299">
        <v>1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0.315</v>
      </c>
      <c r="AU299" t="s">
        <v>104</v>
      </c>
      <c r="AV299">
        <v>0</v>
      </c>
      <c r="AW299">
        <v>2</v>
      </c>
      <c r="AX299">
        <v>57036115</v>
      </c>
      <c r="AY299">
        <v>1</v>
      </c>
      <c r="AZ299">
        <v>0</v>
      </c>
      <c r="BA299">
        <v>305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ROUND(Y299*Source!I497,9)</f>
        <v>16.2225</v>
      </c>
      <c r="CY299">
        <f>AA299</f>
        <v>105.5</v>
      </c>
      <c r="CZ299">
        <f>AE299</f>
        <v>26.71</v>
      </c>
      <c r="DA299">
        <f>AI299</f>
        <v>3.95</v>
      </c>
      <c r="DB299">
        <f>ROUND((ROUND(AT299*CZ299,2)*1),6)</f>
        <v>8.41</v>
      </c>
      <c r="DC299">
        <f>ROUND((ROUND(AT299*AG299,2)*1),6)</f>
        <v>0</v>
      </c>
      <c r="DD299" t="s">
        <v>3</v>
      </c>
      <c r="DE299" t="s">
        <v>3</v>
      </c>
      <c r="DF299">
        <f>ROUND(ROUND(AE299*AI299,2)*CX299,2)</f>
        <v>1711.47</v>
      </c>
      <c r="DG299">
        <f t="shared" si="94"/>
        <v>0</v>
      </c>
      <c r="DH299">
        <f t="shared" si="95"/>
        <v>0</v>
      </c>
      <c r="DI299">
        <f t="shared" si="82"/>
        <v>0</v>
      </c>
      <c r="DJ299">
        <f>DF299</f>
        <v>1711.47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5">
      <c r="A300">
        <f>ROW(Source!A497)</f>
        <v>497</v>
      </c>
      <c r="B300">
        <v>57034454</v>
      </c>
      <c r="C300">
        <v>57036110</v>
      </c>
      <c r="D300">
        <v>55469263</v>
      </c>
      <c r="E300">
        <v>1</v>
      </c>
      <c r="F300">
        <v>1</v>
      </c>
      <c r="G300">
        <v>1081</v>
      </c>
      <c r="H300">
        <v>3</v>
      </c>
      <c r="I300" t="s">
        <v>507</v>
      </c>
      <c r="J300" t="s">
        <v>508</v>
      </c>
      <c r="K300" t="s">
        <v>509</v>
      </c>
      <c r="L300">
        <v>1354</v>
      </c>
      <c r="N300">
        <v>1010</v>
      </c>
      <c r="O300" t="s">
        <v>177</v>
      </c>
      <c r="P300" t="s">
        <v>177</v>
      </c>
      <c r="Q300">
        <v>1</v>
      </c>
      <c r="W300">
        <v>0</v>
      </c>
      <c r="X300">
        <v>955560065</v>
      </c>
      <c r="Y300">
        <f>(AT300*1)</f>
        <v>0.55900000000000005</v>
      </c>
      <c r="AA300">
        <v>165.81</v>
      </c>
      <c r="AB300">
        <v>0</v>
      </c>
      <c r="AC300">
        <v>0</v>
      </c>
      <c r="AD300">
        <v>0</v>
      </c>
      <c r="AE300">
        <v>14.22</v>
      </c>
      <c r="AF300">
        <v>0</v>
      </c>
      <c r="AG300">
        <v>0</v>
      </c>
      <c r="AH300">
        <v>0</v>
      </c>
      <c r="AI300">
        <v>11.66</v>
      </c>
      <c r="AJ300">
        <v>1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0.55900000000000005</v>
      </c>
      <c r="AU300" t="s">
        <v>104</v>
      </c>
      <c r="AV300">
        <v>0</v>
      </c>
      <c r="AW300">
        <v>2</v>
      </c>
      <c r="AX300">
        <v>57036116</v>
      </c>
      <c r="AY300">
        <v>1</v>
      </c>
      <c r="AZ300">
        <v>0</v>
      </c>
      <c r="BA300">
        <v>306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ROUND(Y300*Source!I497,9)</f>
        <v>28.788499999999999</v>
      </c>
      <c r="CY300">
        <f>AA300</f>
        <v>165.81</v>
      </c>
      <c r="CZ300">
        <f>AE300</f>
        <v>14.22</v>
      </c>
      <c r="DA300">
        <f>AI300</f>
        <v>11.66</v>
      </c>
      <c r="DB300">
        <f>ROUND((ROUND(AT300*CZ300,2)*1),6)</f>
        <v>7.95</v>
      </c>
      <c r="DC300">
        <f>ROUND((ROUND(AT300*AG300,2)*1),6)</f>
        <v>0</v>
      </c>
      <c r="DD300" t="s">
        <v>3</v>
      </c>
      <c r="DE300" t="s">
        <v>3</v>
      </c>
      <c r="DF300">
        <f>ROUND(ROUND(AE300*AI300,2)*CX300,2)</f>
        <v>4773.42</v>
      </c>
      <c r="DG300">
        <f t="shared" si="94"/>
        <v>0</v>
      </c>
      <c r="DH300">
        <f t="shared" si="95"/>
        <v>0</v>
      </c>
      <c r="DI300">
        <f t="shared" si="82"/>
        <v>0</v>
      </c>
      <c r="DJ300">
        <f>DF300</f>
        <v>4773.42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ROW(Source!A516)</f>
        <v>516</v>
      </c>
      <c r="B301">
        <v>57034452</v>
      </c>
      <c r="C301">
        <v>57035235</v>
      </c>
      <c r="D301">
        <v>55424304</v>
      </c>
      <c r="E301">
        <v>1081</v>
      </c>
      <c r="F301">
        <v>1</v>
      </c>
      <c r="G301">
        <v>1081</v>
      </c>
      <c r="H301">
        <v>1</v>
      </c>
      <c r="I301" t="s">
        <v>459</v>
      </c>
      <c r="J301" t="s">
        <v>3</v>
      </c>
      <c r="K301" t="s">
        <v>460</v>
      </c>
      <c r="L301">
        <v>1191</v>
      </c>
      <c r="N301">
        <v>1013</v>
      </c>
      <c r="O301" t="s">
        <v>461</v>
      </c>
      <c r="P301" t="s">
        <v>461</v>
      </c>
      <c r="Q301">
        <v>1</v>
      </c>
      <c r="W301">
        <v>0</v>
      </c>
      <c r="X301">
        <v>476480486</v>
      </c>
      <c r="Y301">
        <f>(AT301*1.2)</f>
        <v>18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-2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15</v>
      </c>
      <c r="AU301" t="s">
        <v>105</v>
      </c>
      <c r="AV301">
        <v>1</v>
      </c>
      <c r="AW301">
        <v>2</v>
      </c>
      <c r="AX301">
        <v>57035239</v>
      </c>
      <c r="AY301">
        <v>1</v>
      </c>
      <c r="AZ301">
        <v>0</v>
      </c>
      <c r="BA301">
        <v>311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U301">
        <f>ROUND(AT301*Source!I516*AH301*AL301,2)</f>
        <v>0</v>
      </c>
      <c r="CV301">
        <f>ROUND(Y301*Source!I516,9)</f>
        <v>927</v>
      </c>
      <c r="CW301">
        <v>0</v>
      </c>
      <c r="CX301">
        <f>ROUND(Y301*Source!I516,9)</f>
        <v>927</v>
      </c>
      <c r="CY301">
        <f>AD301</f>
        <v>0</v>
      </c>
      <c r="CZ301">
        <f>AH301</f>
        <v>0</v>
      </c>
      <c r="DA301">
        <f>AL301</f>
        <v>1</v>
      </c>
      <c r="DB301">
        <f>ROUND((ROUND(AT301*CZ301,2)*1.2),6)</f>
        <v>0</v>
      </c>
      <c r="DC301">
        <f>ROUND((ROUND(AT301*AG301,2)*1.2),6)</f>
        <v>0</v>
      </c>
      <c r="DD301" t="s">
        <v>3</v>
      </c>
      <c r="DE301" t="s">
        <v>3</v>
      </c>
      <c r="DF301">
        <f>ROUND(ROUND(AE301,2)*CX301,2)</f>
        <v>0</v>
      </c>
      <c r="DG301">
        <f t="shared" si="94"/>
        <v>0</v>
      </c>
      <c r="DH301">
        <f t="shared" si="95"/>
        <v>0</v>
      </c>
      <c r="DI301">
        <f t="shared" si="82"/>
        <v>0</v>
      </c>
      <c r="DJ301">
        <f>DI301</f>
        <v>0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5">
      <c r="A302">
        <f>ROW(Source!A516)</f>
        <v>516</v>
      </c>
      <c r="B302">
        <v>57034452</v>
      </c>
      <c r="C302">
        <v>57035235</v>
      </c>
      <c r="D302">
        <v>55472837</v>
      </c>
      <c r="E302">
        <v>1</v>
      </c>
      <c r="F302">
        <v>1</v>
      </c>
      <c r="G302">
        <v>1081</v>
      </c>
      <c r="H302">
        <v>3</v>
      </c>
      <c r="I302" t="s">
        <v>369</v>
      </c>
      <c r="J302" t="s">
        <v>372</v>
      </c>
      <c r="K302" t="s">
        <v>370</v>
      </c>
      <c r="L302">
        <v>1301</v>
      </c>
      <c r="N302">
        <v>1003</v>
      </c>
      <c r="O302" t="s">
        <v>371</v>
      </c>
      <c r="P302" t="s">
        <v>371</v>
      </c>
      <c r="Q302">
        <v>1</v>
      </c>
      <c r="W302">
        <v>0</v>
      </c>
      <c r="X302">
        <v>1194371439</v>
      </c>
      <c r="Y302">
        <f>(AT302*1)</f>
        <v>102</v>
      </c>
      <c r="AA302">
        <v>3.45</v>
      </c>
      <c r="AB302">
        <v>0</v>
      </c>
      <c r="AC302">
        <v>0</v>
      </c>
      <c r="AD302">
        <v>0</v>
      </c>
      <c r="AE302">
        <v>3.45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 t="s">
        <v>3</v>
      </c>
      <c r="AT302">
        <v>102</v>
      </c>
      <c r="AU302" t="s">
        <v>104</v>
      </c>
      <c r="AV302">
        <v>0</v>
      </c>
      <c r="AW302">
        <v>1</v>
      </c>
      <c r="AX302">
        <v>-1</v>
      </c>
      <c r="AY302">
        <v>0</v>
      </c>
      <c r="AZ302">
        <v>0</v>
      </c>
      <c r="BA302" t="s">
        <v>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ROUND(Y302*Source!I516,9)</f>
        <v>5253</v>
      </c>
      <c r="CY302">
        <f>AA302</f>
        <v>3.45</v>
      </c>
      <c r="CZ302">
        <f>AE302</f>
        <v>3.45</v>
      </c>
      <c r="DA302">
        <f>AI302</f>
        <v>1</v>
      </c>
      <c r="DB302">
        <f>ROUND((ROUND(AT302*CZ302,2)*1),6)</f>
        <v>351.9</v>
      </c>
      <c r="DC302">
        <f>ROUND((ROUND(AT302*AG302,2)*1),6)</f>
        <v>0</v>
      </c>
      <c r="DD302" t="s">
        <v>3</v>
      </c>
      <c r="DE302" t="s">
        <v>3</v>
      </c>
      <c r="DF302">
        <f>ROUND(ROUND(AE302,2)*CX302,2)</f>
        <v>18122.849999999999</v>
      </c>
      <c r="DG302">
        <f t="shared" si="94"/>
        <v>0</v>
      </c>
      <c r="DH302">
        <f t="shared" si="95"/>
        <v>0</v>
      </c>
      <c r="DI302">
        <f t="shared" si="82"/>
        <v>0</v>
      </c>
      <c r="DJ302">
        <f>DF302</f>
        <v>18122.849999999999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5">
      <c r="A303">
        <f>ROW(Source!A516)</f>
        <v>516</v>
      </c>
      <c r="B303">
        <v>57034452</v>
      </c>
      <c r="C303">
        <v>57035235</v>
      </c>
      <c r="D303">
        <v>55482161</v>
      </c>
      <c r="E303">
        <v>1</v>
      </c>
      <c r="F303">
        <v>1</v>
      </c>
      <c r="G303">
        <v>1081</v>
      </c>
      <c r="H303">
        <v>3</v>
      </c>
      <c r="I303" t="s">
        <v>412</v>
      </c>
      <c r="J303" t="s">
        <v>415</v>
      </c>
      <c r="K303" t="s">
        <v>413</v>
      </c>
      <c r="L303">
        <v>1355</v>
      </c>
      <c r="N303">
        <v>1010</v>
      </c>
      <c r="O303" t="s">
        <v>414</v>
      </c>
      <c r="P303" t="s">
        <v>414</v>
      </c>
      <c r="Q303">
        <v>100</v>
      </c>
      <c r="W303">
        <v>0</v>
      </c>
      <c r="X303">
        <v>289520784</v>
      </c>
      <c r="Y303">
        <f>(AT303*1)</f>
        <v>200</v>
      </c>
      <c r="AA303">
        <v>146.88999999999999</v>
      </c>
      <c r="AB303">
        <v>0</v>
      </c>
      <c r="AC303">
        <v>0</v>
      </c>
      <c r="AD303">
        <v>0</v>
      </c>
      <c r="AE303">
        <v>146.88999999999999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 t="s">
        <v>3</v>
      </c>
      <c r="AT303">
        <v>200</v>
      </c>
      <c r="AU303" t="s">
        <v>104</v>
      </c>
      <c r="AV303">
        <v>0</v>
      </c>
      <c r="AW303">
        <v>1</v>
      </c>
      <c r="AX303">
        <v>-1</v>
      </c>
      <c r="AY303">
        <v>0</v>
      </c>
      <c r="AZ303">
        <v>0</v>
      </c>
      <c r="BA303" t="s">
        <v>3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ROUND(Y303*Source!I516,9)</f>
        <v>10300</v>
      </c>
      <c r="CY303">
        <f>AA303</f>
        <v>146.88999999999999</v>
      </c>
      <c r="CZ303">
        <f>AE303</f>
        <v>146.88999999999999</v>
      </c>
      <c r="DA303">
        <f>AI303</f>
        <v>1</v>
      </c>
      <c r="DB303">
        <f>ROUND((ROUND(AT303*CZ303,2)*1),6)</f>
        <v>29378</v>
      </c>
      <c r="DC303">
        <f>ROUND((ROUND(AT303*AG303,2)*1),6)</f>
        <v>0</v>
      </c>
      <c r="DD303" t="s">
        <v>3</v>
      </c>
      <c r="DE303" t="s">
        <v>3</v>
      </c>
      <c r="DF303">
        <f>ROUND(ROUND(AE303,2)*CX303,2)</f>
        <v>1512967</v>
      </c>
      <c r="DG303">
        <f t="shared" si="94"/>
        <v>0</v>
      </c>
      <c r="DH303">
        <f t="shared" si="95"/>
        <v>0</v>
      </c>
      <c r="DI303">
        <f t="shared" si="82"/>
        <v>0</v>
      </c>
      <c r="DJ303">
        <f>DF303</f>
        <v>1512967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5">
      <c r="A304">
        <f>ROW(Source!A517)</f>
        <v>517</v>
      </c>
      <c r="B304">
        <v>57034454</v>
      </c>
      <c r="C304">
        <v>57035235</v>
      </c>
      <c r="D304">
        <v>55424304</v>
      </c>
      <c r="E304">
        <v>1081</v>
      </c>
      <c r="F304">
        <v>1</v>
      </c>
      <c r="G304">
        <v>1081</v>
      </c>
      <c r="H304">
        <v>1</v>
      </c>
      <c r="I304" t="s">
        <v>459</v>
      </c>
      <c r="J304" t="s">
        <v>3</v>
      </c>
      <c r="K304" t="s">
        <v>460</v>
      </c>
      <c r="L304">
        <v>1191</v>
      </c>
      <c r="N304">
        <v>1013</v>
      </c>
      <c r="O304" t="s">
        <v>461</v>
      </c>
      <c r="P304" t="s">
        <v>461</v>
      </c>
      <c r="Q304">
        <v>1</v>
      </c>
      <c r="W304">
        <v>0</v>
      </c>
      <c r="X304">
        <v>476480486</v>
      </c>
      <c r="Y304">
        <f>(AT304*1.2)</f>
        <v>18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5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15</v>
      </c>
      <c r="AU304" t="s">
        <v>105</v>
      </c>
      <c r="AV304">
        <v>1</v>
      </c>
      <c r="AW304">
        <v>2</v>
      </c>
      <c r="AX304">
        <v>57035239</v>
      </c>
      <c r="AY304">
        <v>1</v>
      </c>
      <c r="AZ304">
        <v>0</v>
      </c>
      <c r="BA304">
        <v>315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U304">
        <f>ROUND(AT304*Source!I517*AH304*AL304,2)</f>
        <v>0</v>
      </c>
      <c r="CV304">
        <f>ROUND(Y304*Source!I517,9)</f>
        <v>927</v>
      </c>
      <c r="CW304">
        <v>0</v>
      </c>
      <c r="CX304">
        <f>ROUND(Y304*Source!I517,9)</f>
        <v>927</v>
      </c>
      <c r="CY304">
        <f>AD304</f>
        <v>0</v>
      </c>
      <c r="CZ304">
        <f>AH304</f>
        <v>0</v>
      </c>
      <c r="DA304">
        <f>AL304</f>
        <v>1</v>
      </c>
      <c r="DB304">
        <f>ROUND((ROUND(AT304*CZ304,2)*1.2),6)</f>
        <v>0</v>
      </c>
      <c r="DC304">
        <f>ROUND((ROUND(AT304*AG304,2)*1.2),6)</f>
        <v>0</v>
      </c>
      <c r="DD304" t="s">
        <v>3</v>
      </c>
      <c r="DE304" t="s">
        <v>3</v>
      </c>
      <c r="DF304">
        <f>ROUND(ROUND(AE304,2)*CX304,2)</f>
        <v>0</v>
      </c>
      <c r="DG304">
        <f t="shared" si="94"/>
        <v>0</v>
      </c>
      <c r="DH304">
        <f t="shared" si="95"/>
        <v>0</v>
      </c>
      <c r="DI304">
        <f t="shared" si="82"/>
        <v>0</v>
      </c>
      <c r="DJ304">
        <f>DI304</f>
        <v>0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ROW(Source!A517)</f>
        <v>517</v>
      </c>
      <c r="B305">
        <v>57034454</v>
      </c>
      <c r="C305">
        <v>57035235</v>
      </c>
      <c r="D305">
        <v>55472837</v>
      </c>
      <c r="E305">
        <v>1</v>
      </c>
      <c r="F305">
        <v>1</v>
      </c>
      <c r="G305">
        <v>1081</v>
      </c>
      <c r="H305">
        <v>3</v>
      </c>
      <c r="I305" t="s">
        <v>369</v>
      </c>
      <c r="J305" t="s">
        <v>372</v>
      </c>
      <c r="K305" t="s">
        <v>370</v>
      </c>
      <c r="L305">
        <v>1301</v>
      </c>
      <c r="N305">
        <v>1003</v>
      </c>
      <c r="O305" t="s">
        <v>371</v>
      </c>
      <c r="P305" t="s">
        <v>371</v>
      </c>
      <c r="Q305">
        <v>1</v>
      </c>
      <c r="W305">
        <v>0</v>
      </c>
      <c r="X305">
        <v>1194371439</v>
      </c>
      <c r="Y305">
        <f>(AT305*1)</f>
        <v>102</v>
      </c>
      <c r="AA305">
        <v>13.08</v>
      </c>
      <c r="AB305">
        <v>0</v>
      </c>
      <c r="AC305">
        <v>0</v>
      </c>
      <c r="AD305">
        <v>0</v>
      </c>
      <c r="AE305">
        <v>3.45</v>
      </c>
      <c r="AF305">
        <v>0</v>
      </c>
      <c r="AG305">
        <v>0</v>
      </c>
      <c r="AH305">
        <v>0</v>
      </c>
      <c r="AI305">
        <v>3.79</v>
      </c>
      <c r="AJ305">
        <v>1</v>
      </c>
      <c r="AK305">
        <v>1</v>
      </c>
      <c r="AL305">
        <v>1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  <c r="AS305" t="s">
        <v>3</v>
      </c>
      <c r="AT305">
        <v>102</v>
      </c>
      <c r="AU305" t="s">
        <v>104</v>
      </c>
      <c r="AV305">
        <v>0</v>
      </c>
      <c r="AW305">
        <v>1</v>
      </c>
      <c r="AX305">
        <v>-1</v>
      </c>
      <c r="AY305">
        <v>0</v>
      </c>
      <c r="AZ305">
        <v>0</v>
      </c>
      <c r="BA305" t="s">
        <v>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ROUND(Y305*Source!I517,9)</f>
        <v>5253</v>
      </c>
      <c r="CY305">
        <f>AA305</f>
        <v>13.08</v>
      </c>
      <c r="CZ305">
        <f>AE305</f>
        <v>3.45</v>
      </c>
      <c r="DA305">
        <f>AI305</f>
        <v>3.79</v>
      </c>
      <c r="DB305">
        <f>ROUND((ROUND(AT305*CZ305,2)*1),6)</f>
        <v>351.9</v>
      </c>
      <c r="DC305">
        <f>ROUND((ROUND(AT305*AG305,2)*1),6)</f>
        <v>0</v>
      </c>
      <c r="DD305" t="s">
        <v>3</v>
      </c>
      <c r="DE305" t="s">
        <v>3</v>
      </c>
      <c r="DF305">
        <f>ROUND(ROUND(AE305*AI305,2)*CX305,2)</f>
        <v>68709.240000000005</v>
      </c>
      <c r="DG305">
        <f t="shared" si="94"/>
        <v>0</v>
      </c>
      <c r="DH305">
        <f t="shared" si="95"/>
        <v>0</v>
      </c>
      <c r="DI305">
        <f t="shared" si="82"/>
        <v>0</v>
      </c>
      <c r="DJ305">
        <f>DF305</f>
        <v>68709.240000000005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ROW(Source!A517)</f>
        <v>517</v>
      </c>
      <c r="B306">
        <v>57034454</v>
      </c>
      <c r="C306">
        <v>57035235</v>
      </c>
      <c r="D306">
        <v>55482161</v>
      </c>
      <c r="E306">
        <v>1</v>
      </c>
      <c r="F306">
        <v>1</v>
      </c>
      <c r="G306">
        <v>1081</v>
      </c>
      <c r="H306">
        <v>3</v>
      </c>
      <c r="I306" t="s">
        <v>412</v>
      </c>
      <c r="J306" t="s">
        <v>415</v>
      </c>
      <c r="K306" t="s">
        <v>413</v>
      </c>
      <c r="L306">
        <v>1355</v>
      </c>
      <c r="N306">
        <v>1010</v>
      </c>
      <c r="O306" t="s">
        <v>414</v>
      </c>
      <c r="P306" t="s">
        <v>414</v>
      </c>
      <c r="Q306">
        <v>100</v>
      </c>
      <c r="W306">
        <v>0</v>
      </c>
      <c r="X306">
        <v>289520784</v>
      </c>
      <c r="Y306">
        <f>(AT306*1)</f>
        <v>200</v>
      </c>
      <c r="AA306">
        <v>255.59</v>
      </c>
      <c r="AB306">
        <v>0</v>
      </c>
      <c r="AC306">
        <v>0</v>
      </c>
      <c r="AD306">
        <v>0</v>
      </c>
      <c r="AE306">
        <v>146.88999999999999</v>
      </c>
      <c r="AF306">
        <v>0</v>
      </c>
      <c r="AG306">
        <v>0</v>
      </c>
      <c r="AH306">
        <v>0</v>
      </c>
      <c r="AI306">
        <v>1.74</v>
      </c>
      <c r="AJ306">
        <v>1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 t="s">
        <v>3</v>
      </c>
      <c r="AT306">
        <v>200</v>
      </c>
      <c r="AU306" t="s">
        <v>104</v>
      </c>
      <c r="AV306">
        <v>0</v>
      </c>
      <c r="AW306">
        <v>1</v>
      </c>
      <c r="AX306">
        <v>-1</v>
      </c>
      <c r="AY306">
        <v>0</v>
      </c>
      <c r="AZ306">
        <v>0</v>
      </c>
      <c r="BA306" t="s">
        <v>3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ROUND(Y306*Source!I517,9)</f>
        <v>10300</v>
      </c>
      <c r="CY306">
        <f>AA306</f>
        <v>255.59</v>
      </c>
      <c r="CZ306">
        <f>AE306</f>
        <v>146.88999999999999</v>
      </c>
      <c r="DA306">
        <f>AI306</f>
        <v>1.74</v>
      </c>
      <c r="DB306">
        <f>ROUND((ROUND(AT306*CZ306,2)*1),6)</f>
        <v>29378</v>
      </c>
      <c r="DC306">
        <f>ROUND((ROUND(AT306*AG306,2)*1),6)</f>
        <v>0</v>
      </c>
      <c r="DD306" t="s">
        <v>3</v>
      </c>
      <c r="DE306" t="s">
        <v>3</v>
      </c>
      <c r="DF306">
        <f>ROUND(ROUND(AE306*AI306,2)*CX306,2)</f>
        <v>2632577</v>
      </c>
      <c r="DG306">
        <f t="shared" si="94"/>
        <v>0</v>
      </c>
      <c r="DH306">
        <f t="shared" si="95"/>
        <v>0</v>
      </c>
      <c r="DI306">
        <f t="shared" si="82"/>
        <v>0</v>
      </c>
      <c r="DJ306">
        <f>DF306</f>
        <v>2632577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5">
      <c r="A307">
        <f>ROW(Source!A522)</f>
        <v>522</v>
      </c>
      <c r="B307">
        <v>57034452</v>
      </c>
      <c r="C307">
        <v>57035245</v>
      </c>
      <c r="D307">
        <v>55424304</v>
      </c>
      <c r="E307">
        <v>1081</v>
      </c>
      <c r="F307">
        <v>1</v>
      </c>
      <c r="G307">
        <v>1081</v>
      </c>
      <c r="H307">
        <v>1</v>
      </c>
      <c r="I307" t="s">
        <v>459</v>
      </c>
      <c r="J307" t="s">
        <v>3</v>
      </c>
      <c r="K307" t="s">
        <v>460</v>
      </c>
      <c r="L307">
        <v>1191</v>
      </c>
      <c r="N307">
        <v>1013</v>
      </c>
      <c r="O307" t="s">
        <v>461</v>
      </c>
      <c r="P307" t="s">
        <v>461</v>
      </c>
      <c r="Q307">
        <v>1</v>
      </c>
      <c r="W307">
        <v>0</v>
      </c>
      <c r="X307">
        <v>476480486</v>
      </c>
      <c r="Y307">
        <f>(AT307*1.2)</f>
        <v>5.3879999999999999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-2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4.49</v>
      </c>
      <c r="AU307" t="s">
        <v>105</v>
      </c>
      <c r="AV307">
        <v>1</v>
      </c>
      <c r="AW307">
        <v>2</v>
      </c>
      <c r="AX307">
        <v>57035257</v>
      </c>
      <c r="AY307">
        <v>1</v>
      </c>
      <c r="AZ307">
        <v>0</v>
      </c>
      <c r="BA307">
        <v>319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U307">
        <f>ROUND(AT307*Source!I522*AH307*AL307,2)</f>
        <v>0</v>
      </c>
      <c r="CV307">
        <f>ROUND(Y307*Source!I522,9)</f>
        <v>261.31799999999998</v>
      </c>
      <c r="CW307">
        <v>0</v>
      </c>
      <c r="CX307">
        <f>ROUND(Y307*Source!I522,9)</f>
        <v>261.31799999999998</v>
      </c>
      <c r="CY307">
        <f>AD307</f>
        <v>0</v>
      </c>
      <c r="CZ307">
        <f>AH307</f>
        <v>0</v>
      </c>
      <c r="DA307">
        <f>AL307</f>
        <v>1</v>
      </c>
      <c r="DB307">
        <f>ROUND((ROUND(AT307*CZ307,2)*1.2),6)</f>
        <v>0</v>
      </c>
      <c r="DC307">
        <f>ROUND((ROUND(AT307*AG307,2)*1.2),6)</f>
        <v>0</v>
      </c>
      <c r="DD307" t="s">
        <v>3</v>
      </c>
      <c r="DE307" t="s">
        <v>3</v>
      </c>
      <c r="DF307">
        <f t="shared" ref="DF307:DF320" si="96">ROUND(ROUND(AE307,2)*CX307,2)</f>
        <v>0</v>
      </c>
      <c r="DG307">
        <f t="shared" si="94"/>
        <v>0</v>
      </c>
      <c r="DH307">
        <f t="shared" si="95"/>
        <v>0</v>
      </c>
      <c r="DI307">
        <f t="shared" si="82"/>
        <v>0</v>
      </c>
      <c r="DJ307">
        <f>DI307</f>
        <v>0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5">
      <c r="A308">
        <f>ROW(Source!A522)</f>
        <v>522</v>
      </c>
      <c r="B308">
        <v>57034452</v>
      </c>
      <c r="C308">
        <v>57035245</v>
      </c>
      <c r="D308">
        <v>55490209</v>
      </c>
      <c r="E308">
        <v>1</v>
      </c>
      <c r="F308">
        <v>1</v>
      </c>
      <c r="G308">
        <v>1081</v>
      </c>
      <c r="H308">
        <v>2</v>
      </c>
      <c r="I308" t="s">
        <v>462</v>
      </c>
      <c r="J308" t="s">
        <v>463</v>
      </c>
      <c r="K308" t="s">
        <v>464</v>
      </c>
      <c r="L308">
        <v>1368</v>
      </c>
      <c r="N308">
        <v>1011</v>
      </c>
      <c r="O308" t="s">
        <v>465</v>
      </c>
      <c r="P308" t="s">
        <v>465</v>
      </c>
      <c r="Q308">
        <v>1</v>
      </c>
      <c r="W308">
        <v>0</v>
      </c>
      <c r="X308">
        <v>874612079</v>
      </c>
      <c r="Y308">
        <f>(AT308*1.2)</f>
        <v>1.2E-2</v>
      </c>
      <c r="AA308">
        <v>0</v>
      </c>
      <c r="AB308">
        <v>87.01</v>
      </c>
      <c r="AC308">
        <v>13.21</v>
      </c>
      <c r="AD308">
        <v>0</v>
      </c>
      <c r="AE308">
        <v>0</v>
      </c>
      <c r="AF308">
        <v>83.1</v>
      </c>
      <c r="AG308">
        <v>12.62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-2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0.01</v>
      </c>
      <c r="AU308" t="s">
        <v>105</v>
      </c>
      <c r="AV308">
        <v>0</v>
      </c>
      <c r="AW308">
        <v>2</v>
      </c>
      <c r="AX308">
        <v>57035258</v>
      </c>
      <c r="AY308">
        <v>1</v>
      </c>
      <c r="AZ308">
        <v>0</v>
      </c>
      <c r="BA308">
        <v>320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f>ROUND(Y308*Source!I522*DO308,9)</f>
        <v>7.3448399999999996</v>
      </c>
      <c r="CX308">
        <f>ROUND(Y308*Source!I522,9)</f>
        <v>0.58199999999999996</v>
      </c>
      <c r="CY308">
        <f>AB308</f>
        <v>87.01</v>
      </c>
      <c r="CZ308">
        <f>AF308</f>
        <v>83.1</v>
      </c>
      <c r="DA308">
        <f>AJ308</f>
        <v>1</v>
      </c>
      <c r="DB308">
        <f>ROUND((ROUND(AT308*CZ308,2)*1.2),6)</f>
        <v>0.996</v>
      </c>
      <c r="DC308">
        <f>ROUND((ROUND(AT308*AG308,2)*1.2),6)</f>
        <v>0.156</v>
      </c>
      <c r="DD308" t="s">
        <v>3</v>
      </c>
      <c r="DE308" t="s">
        <v>3</v>
      </c>
      <c r="DF308">
        <f t="shared" si="96"/>
        <v>0</v>
      </c>
      <c r="DG308">
        <f t="shared" si="94"/>
        <v>48.36</v>
      </c>
      <c r="DH308">
        <f t="shared" si="95"/>
        <v>7.34</v>
      </c>
      <c r="DI308">
        <f t="shared" si="82"/>
        <v>0</v>
      </c>
      <c r="DJ308">
        <f>DG308</f>
        <v>48.36</v>
      </c>
      <c r="DK308">
        <v>0</v>
      </c>
      <c r="DL308" t="s">
        <v>466</v>
      </c>
      <c r="DM308">
        <v>0</v>
      </c>
      <c r="DN308" t="s">
        <v>461</v>
      </c>
      <c r="DO308">
        <v>12.62</v>
      </c>
    </row>
    <row r="309" spans="1:119" x14ac:dyDescent="0.25">
      <c r="A309">
        <f>ROW(Source!A522)</f>
        <v>522</v>
      </c>
      <c r="B309">
        <v>57034452</v>
      </c>
      <c r="C309">
        <v>57035245</v>
      </c>
      <c r="D309">
        <v>55489443</v>
      </c>
      <c r="E309">
        <v>1</v>
      </c>
      <c r="F309">
        <v>1</v>
      </c>
      <c r="G309">
        <v>1081</v>
      </c>
      <c r="H309">
        <v>2</v>
      </c>
      <c r="I309" t="s">
        <v>539</v>
      </c>
      <c r="J309" t="s">
        <v>540</v>
      </c>
      <c r="K309" t="s">
        <v>541</v>
      </c>
      <c r="L309">
        <v>1368</v>
      </c>
      <c r="N309">
        <v>1011</v>
      </c>
      <c r="O309" t="s">
        <v>465</v>
      </c>
      <c r="P309" t="s">
        <v>465</v>
      </c>
      <c r="Q309">
        <v>1</v>
      </c>
      <c r="W309">
        <v>0</v>
      </c>
      <c r="X309">
        <v>-44940208</v>
      </c>
      <c r="Y309">
        <f>(AT309*1.2)</f>
        <v>1.2E-2</v>
      </c>
      <c r="AA309">
        <v>0</v>
      </c>
      <c r="AB309">
        <v>187.59</v>
      </c>
      <c r="AC309">
        <v>17.73</v>
      </c>
      <c r="AD309">
        <v>0</v>
      </c>
      <c r="AE309">
        <v>0</v>
      </c>
      <c r="AF309">
        <v>179.17</v>
      </c>
      <c r="AG309">
        <v>16.93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0.01</v>
      </c>
      <c r="AU309" t="s">
        <v>105</v>
      </c>
      <c r="AV309">
        <v>0</v>
      </c>
      <c r="AW309">
        <v>2</v>
      </c>
      <c r="AX309">
        <v>57035259</v>
      </c>
      <c r="AY309">
        <v>1</v>
      </c>
      <c r="AZ309">
        <v>0</v>
      </c>
      <c r="BA309">
        <v>321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f>ROUND(Y309*Source!I522*DO309,9)</f>
        <v>9.8532600000000006</v>
      </c>
      <c r="CX309">
        <f>ROUND(Y309*Source!I522,9)</f>
        <v>0.58199999999999996</v>
      </c>
      <c r="CY309">
        <f>AB309</f>
        <v>187.59</v>
      </c>
      <c r="CZ309">
        <f>AF309</f>
        <v>179.17</v>
      </c>
      <c r="DA309">
        <f>AJ309</f>
        <v>1</v>
      </c>
      <c r="DB309">
        <f>ROUND((ROUND(AT309*CZ309,2)*1.2),6)</f>
        <v>2.1480000000000001</v>
      </c>
      <c r="DC309">
        <f>ROUND((ROUND(AT309*AG309,2)*1.2),6)</f>
        <v>0.20399999999999999</v>
      </c>
      <c r="DD309" t="s">
        <v>3</v>
      </c>
      <c r="DE309" t="s">
        <v>3</v>
      </c>
      <c r="DF309">
        <f t="shared" si="96"/>
        <v>0</v>
      </c>
      <c r="DG309">
        <f t="shared" si="94"/>
        <v>104.28</v>
      </c>
      <c r="DH309">
        <f t="shared" si="95"/>
        <v>9.85</v>
      </c>
      <c r="DI309">
        <f t="shared" si="82"/>
        <v>0</v>
      </c>
      <c r="DJ309">
        <f>DG309</f>
        <v>104.28</v>
      </c>
      <c r="DK309">
        <v>0</v>
      </c>
      <c r="DL309" t="s">
        <v>466</v>
      </c>
      <c r="DM309">
        <v>0</v>
      </c>
      <c r="DN309" t="s">
        <v>461</v>
      </c>
      <c r="DO309">
        <v>16.93</v>
      </c>
    </row>
    <row r="310" spans="1:119" x14ac:dyDescent="0.25">
      <c r="A310">
        <f>ROW(Source!A522)</f>
        <v>522</v>
      </c>
      <c r="B310">
        <v>57034452</v>
      </c>
      <c r="C310">
        <v>57035245</v>
      </c>
      <c r="D310">
        <v>55460033</v>
      </c>
      <c r="E310">
        <v>1</v>
      </c>
      <c r="F310">
        <v>1</v>
      </c>
      <c r="G310">
        <v>1081</v>
      </c>
      <c r="H310">
        <v>3</v>
      </c>
      <c r="I310" t="s">
        <v>542</v>
      </c>
      <c r="J310" t="s">
        <v>543</v>
      </c>
      <c r="K310" t="s">
        <v>544</v>
      </c>
      <c r="L310">
        <v>1346</v>
      </c>
      <c r="N310">
        <v>1009</v>
      </c>
      <c r="O310" t="s">
        <v>433</v>
      </c>
      <c r="P310" t="s">
        <v>433</v>
      </c>
      <c r="Q310">
        <v>1</v>
      </c>
      <c r="W310">
        <v>0</v>
      </c>
      <c r="X310">
        <v>-1364668115</v>
      </c>
      <c r="Y310">
        <f t="shared" ref="Y310:Y317" si="97">(AT310*1)</f>
        <v>0.43</v>
      </c>
      <c r="AA310">
        <v>1.38</v>
      </c>
      <c r="AB310">
        <v>0</v>
      </c>
      <c r="AC310">
        <v>0</v>
      </c>
      <c r="AD310">
        <v>0</v>
      </c>
      <c r="AE310">
        <v>1.38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-2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0.43</v>
      </c>
      <c r="AU310" t="s">
        <v>104</v>
      </c>
      <c r="AV310">
        <v>0</v>
      </c>
      <c r="AW310">
        <v>2</v>
      </c>
      <c r="AX310">
        <v>57035260</v>
      </c>
      <c r="AY310">
        <v>1</v>
      </c>
      <c r="AZ310">
        <v>0</v>
      </c>
      <c r="BA310">
        <v>322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ROUND(Y310*Source!I522,9)</f>
        <v>20.855</v>
      </c>
      <c r="CY310">
        <f t="shared" ref="CY310:CY317" si="98">AA310</f>
        <v>1.38</v>
      </c>
      <c r="CZ310">
        <f t="shared" ref="CZ310:CZ317" si="99">AE310</f>
        <v>1.38</v>
      </c>
      <c r="DA310">
        <f t="shared" ref="DA310:DA317" si="100">AI310</f>
        <v>1</v>
      </c>
      <c r="DB310">
        <f t="shared" ref="DB310:DB317" si="101">ROUND((ROUND(AT310*CZ310,2)*1),6)</f>
        <v>0.59</v>
      </c>
      <c r="DC310">
        <f t="shared" ref="DC310:DC317" si="102">ROUND((ROUND(AT310*AG310,2)*1),6)</f>
        <v>0</v>
      </c>
      <c r="DD310" t="s">
        <v>3</v>
      </c>
      <c r="DE310" t="s">
        <v>3</v>
      </c>
      <c r="DF310">
        <f t="shared" si="96"/>
        <v>28.78</v>
      </c>
      <c r="DG310">
        <f t="shared" si="94"/>
        <v>0</v>
      </c>
      <c r="DH310">
        <f t="shared" si="95"/>
        <v>0</v>
      </c>
      <c r="DI310">
        <f t="shared" si="82"/>
        <v>0</v>
      </c>
      <c r="DJ310">
        <f t="shared" ref="DJ310:DJ317" si="103">DF310</f>
        <v>28.78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5">
      <c r="A311">
        <f>ROW(Source!A522)</f>
        <v>522</v>
      </c>
      <c r="B311">
        <v>57034452</v>
      </c>
      <c r="C311">
        <v>57035245</v>
      </c>
      <c r="D311">
        <v>55460424</v>
      </c>
      <c r="E311">
        <v>1</v>
      </c>
      <c r="F311">
        <v>1</v>
      </c>
      <c r="G311">
        <v>1081</v>
      </c>
      <c r="H311">
        <v>3</v>
      </c>
      <c r="I311" t="s">
        <v>545</v>
      </c>
      <c r="J311" t="s">
        <v>546</v>
      </c>
      <c r="K311" t="s">
        <v>547</v>
      </c>
      <c r="L311">
        <v>1346</v>
      </c>
      <c r="N311">
        <v>1009</v>
      </c>
      <c r="O311" t="s">
        <v>433</v>
      </c>
      <c r="P311" t="s">
        <v>433</v>
      </c>
      <c r="Q311">
        <v>1</v>
      </c>
      <c r="W311">
        <v>0</v>
      </c>
      <c r="X311">
        <v>1309298634</v>
      </c>
      <c r="Y311">
        <f t="shared" si="97"/>
        <v>0.16</v>
      </c>
      <c r="AA311">
        <v>159.06</v>
      </c>
      <c r="AB311">
        <v>0</v>
      </c>
      <c r="AC311">
        <v>0</v>
      </c>
      <c r="AD311">
        <v>0</v>
      </c>
      <c r="AE311">
        <v>159.06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-2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0.16</v>
      </c>
      <c r="AU311" t="s">
        <v>104</v>
      </c>
      <c r="AV311">
        <v>0</v>
      </c>
      <c r="AW311">
        <v>2</v>
      </c>
      <c r="AX311">
        <v>57035261</v>
      </c>
      <c r="AY311">
        <v>1</v>
      </c>
      <c r="AZ311">
        <v>0</v>
      </c>
      <c r="BA311">
        <v>323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ROUND(Y311*Source!I522,9)</f>
        <v>7.76</v>
      </c>
      <c r="CY311">
        <f t="shared" si="98"/>
        <v>159.06</v>
      </c>
      <c r="CZ311">
        <f t="shared" si="99"/>
        <v>159.06</v>
      </c>
      <c r="DA311">
        <f t="shared" si="100"/>
        <v>1</v>
      </c>
      <c r="DB311">
        <f t="shared" si="101"/>
        <v>25.45</v>
      </c>
      <c r="DC311">
        <f t="shared" si="102"/>
        <v>0</v>
      </c>
      <c r="DD311" t="s">
        <v>3</v>
      </c>
      <c r="DE311" t="s">
        <v>3</v>
      </c>
      <c r="DF311">
        <f t="shared" si="96"/>
        <v>1234.31</v>
      </c>
      <c r="DG311">
        <f t="shared" si="94"/>
        <v>0</v>
      </c>
      <c r="DH311">
        <f t="shared" si="95"/>
        <v>0</v>
      </c>
      <c r="DI311">
        <f t="shared" si="82"/>
        <v>0</v>
      </c>
      <c r="DJ311">
        <f t="shared" si="103"/>
        <v>1234.31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5">
      <c r="A312">
        <f>ROW(Source!A522)</f>
        <v>522</v>
      </c>
      <c r="B312">
        <v>57034452</v>
      </c>
      <c r="C312">
        <v>57035245</v>
      </c>
      <c r="D312">
        <v>55482505</v>
      </c>
      <c r="E312">
        <v>1</v>
      </c>
      <c r="F312">
        <v>1</v>
      </c>
      <c r="G312">
        <v>1081</v>
      </c>
      <c r="H312">
        <v>3</v>
      </c>
      <c r="I312" t="s">
        <v>548</v>
      </c>
      <c r="J312" t="s">
        <v>549</v>
      </c>
      <c r="K312" t="s">
        <v>550</v>
      </c>
      <c r="L312">
        <v>1355</v>
      </c>
      <c r="N312">
        <v>1010</v>
      </c>
      <c r="O312" t="s">
        <v>414</v>
      </c>
      <c r="P312" t="s">
        <v>414</v>
      </c>
      <c r="Q312">
        <v>100</v>
      </c>
      <c r="W312">
        <v>0</v>
      </c>
      <c r="X312">
        <v>1198965026</v>
      </c>
      <c r="Y312">
        <f t="shared" si="97"/>
        <v>0.05</v>
      </c>
      <c r="AA312">
        <v>68.819999999999993</v>
      </c>
      <c r="AB312">
        <v>0</v>
      </c>
      <c r="AC312">
        <v>0</v>
      </c>
      <c r="AD312">
        <v>0</v>
      </c>
      <c r="AE312">
        <v>68.819999999999993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-2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0.05</v>
      </c>
      <c r="AU312" t="s">
        <v>104</v>
      </c>
      <c r="AV312">
        <v>0</v>
      </c>
      <c r="AW312">
        <v>2</v>
      </c>
      <c r="AX312">
        <v>57035262</v>
      </c>
      <c r="AY312">
        <v>1</v>
      </c>
      <c r="AZ312">
        <v>0</v>
      </c>
      <c r="BA312">
        <v>324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ROUND(Y312*Source!I522,9)</f>
        <v>2.4249999999999998</v>
      </c>
      <c r="CY312">
        <f t="shared" si="98"/>
        <v>68.819999999999993</v>
      </c>
      <c r="CZ312">
        <f t="shared" si="99"/>
        <v>68.819999999999993</v>
      </c>
      <c r="DA312">
        <f t="shared" si="100"/>
        <v>1</v>
      </c>
      <c r="DB312">
        <f t="shared" si="101"/>
        <v>3.44</v>
      </c>
      <c r="DC312">
        <f t="shared" si="102"/>
        <v>0</v>
      </c>
      <c r="DD312" t="s">
        <v>3</v>
      </c>
      <c r="DE312" t="s">
        <v>3</v>
      </c>
      <c r="DF312">
        <f t="shared" si="96"/>
        <v>166.89</v>
      </c>
      <c r="DG312">
        <f t="shared" si="94"/>
        <v>0</v>
      </c>
      <c r="DH312">
        <f t="shared" si="95"/>
        <v>0</v>
      </c>
      <c r="DI312">
        <f t="shared" si="82"/>
        <v>0</v>
      </c>
      <c r="DJ312">
        <f t="shared" si="103"/>
        <v>166.89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5">
      <c r="A313">
        <f>ROW(Source!A522)</f>
        <v>522</v>
      </c>
      <c r="B313">
        <v>57034452</v>
      </c>
      <c r="C313">
        <v>57035245</v>
      </c>
      <c r="D313">
        <v>55482516</v>
      </c>
      <c r="E313">
        <v>1</v>
      </c>
      <c r="F313">
        <v>1</v>
      </c>
      <c r="G313">
        <v>1081</v>
      </c>
      <c r="H313">
        <v>3</v>
      </c>
      <c r="I313" t="s">
        <v>551</v>
      </c>
      <c r="J313" t="s">
        <v>552</v>
      </c>
      <c r="K313" t="s">
        <v>553</v>
      </c>
      <c r="L313">
        <v>1356</v>
      </c>
      <c r="N313">
        <v>1010</v>
      </c>
      <c r="O313" t="s">
        <v>382</v>
      </c>
      <c r="P313" t="s">
        <v>382</v>
      </c>
      <c r="Q313">
        <v>1000</v>
      </c>
      <c r="W313">
        <v>0</v>
      </c>
      <c r="X313">
        <v>472025271</v>
      </c>
      <c r="Y313">
        <f t="shared" si="97"/>
        <v>1.2200000000000001E-2</v>
      </c>
      <c r="AA313">
        <v>183.4</v>
      </c>
      <c r="AB313">
        <v>0</v>
      </c>
      <c r="AC313">
        <v>0</v>
      </c>
      <c r="AD313">
        <v>0</v>
      </c>
      <c r="AE313">
        <v>183.4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-2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1.2200000000000001E-2</v>
      </c>
      <c r="AU313" t="s">
        <v>104</v>
      </c>
      <c r="AV313">
        <v>0</v>
      </c>
      <c r="AW313">
        <v>2</v>
      </c>
      <c r="AX313">
        <v>57035263</v>
      </c>
      <c r="AY313">
        <v>1</v>
      </c>
      <c r="AZ313">
        <v>0</v>
      </c>
      <c r="BA313">
        <v>325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ROUND(Y313*Source!I522,9)</f>
        <v>0.5917</v>
      </c>
      <c r="CY313">
        <f t="shared" si="98"/>
        <v>183.4</v>
      </c>
      <c r="CZ313">
        <f t="shared" si="99"/>
        <v>183.4</v>
      </c>
      <c r="DA313">
        <f t="shared" si="100"/>
        <v>1</v>
      </c>
      <c r="DB313">
        <f t="shared" si="101"/>
        <v>2.2400000000000002</v>
      </c>
      <c r="DC313">
        <f t="shared" si="102"/>
        <v>0</v>
      </c>
      <c r="DD313" t="s">
        <v>3</v>
      </c>
      <c r="DE313" t="s">
        <v>3</v>
      </c>
      <c r="DF313">
        <f t="shared" si="96"/>
        <v>108.52</v>
      </c>
      <c r="DG313">
        <f t="shared" si="94"/>
        <v>0</v>
      </c>
      <c r="DH313">
        <f t="shared" si="95"/>
        <v>0</v>
      </c>
      <c r="DI313">
        <f t="shared" si="82"/>
        <v>0</v>
      </c>
      <c r="DJ313">
        <f t="shared" si="103"/>
        <v>108.52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5">
      <c r="A314">
        <f>ROW(Source!A522)</f>
        <v>522</v>
      </c>
      <c r="B314">
        <v>57034452</v>
      </c>
      <c r="C314">
        <v>57035245</v>
      </c>
      <c r="D314">
        <v>55481842</v>
      </c>
      <c r="E314">
        <v>1</v>
      </c>
      <c r="F314">
        <v>1</v>
      </c>
      <c r="G314">
        <v>1081</v>
      </c>
      <c r="H314">
        <v>3</v>
      </c>
      <c r="I314" t="s">
        <v>554</v>
      </c>
      <c r="J314" t="s">
        <v>555</v>
      </c>
      <c r="K314" t="s">
        <v>556</v>
      </c>
      <c r="L314">
        <v>1354</v>
      </c>
      <c r="N314">
        <v>1010</v>
      </c>
      <c r="O314" t="s">
        <v>177</v>
      </c>
      <c r="P314" t="s">
        <v>177</v>
      </c>
      <c r="Q314">
        <v>1</v>
      </c>
      <c r="W314">
        <v>0</v>
      </c>
      <c r="X314">
        <v>-1424681180</v>
      </c>
      <c r="Y314">
        <f t="shared" si="97"/>
        <v>3.1</v>
      </c>
      <c r="AA314">
        <v>6.94</v>
      </c>
      <c r="AB314">
        <v>0</v>
      </c>
      <c r="AC314">
        <v>0</v>
      </c>
      <c r="AD314">
        <v>0</v>
      </c>
      <c r="AE314">
        <v>6.94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-2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3.1</v>
      </c>
      <c r="AU314" t="s">
        <v>104</v>
      </c>
      <c r="AV314">
        <v>0</v>
      </c>
      <c r="AW314">
        <v>2</v>
      </c>
      <c r="AX314">
        <v>57035264</v>
      </c>
      <c r="AY314">
        <v>1</v>
      </c>
      <c r="AZ314">
        <v>0</v>
      </c>
      <c r="BA314">
        <v>326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ROUND(Y314*Source!I522,9)</f>
        <v>150.35</v>
      </c>
      <c r="CY314">
        <f t="shared" si="98"/>
        <v>6.94</v>
      </c>
      <c r="CZ314">
        <f t="shared" si="99"/>
        <v>6.94</v>
      </c>
      <c r="DA314">
        <f t="shared" si="100"/>
        <v>1</v>
      </c>
      <c r="DB314">
        <f t="shared" si="101"/>
        <v>21.51</v>
      </c>
      <c r="DC314">
        <f t="shared" si="102"/>
        <v>0</v>
      </c>
      <c r="DD314" t="s">
        <v>3</v>
      </c>
      <c r="DE314" t="s">
        <v>3</v>
      </c>
      <c r="DF314">
        <f t="shared" si="96"/>
        <v>1043.43</v>
      </c>
      <c r="DG314">
        <f t="shared" si="94"/>
        <v>0</v>
      </c>
      <c r="DH314">
        <f t="shared" si="95"/>
        <v>0</v>
      </c>
      <c r="DI314">
        <f t="shared" si="82"/>
        <v>0</v>
      </c>
      <c r="DJ314">
        <f t="shared" si="103"/>
        <v>1043.43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5">
      <c r="A315">
        <f>ROW(Source!A522)</f>
        <v>522</v>
      </c>
      <c r="B315">
        <v>57034452</v>
      </c>
      <c r="C315">
        <v>57035245</v>
      </c>
      <c r="D315">
        <v>55481849</v>
      </c>
      <c r="E315">
        <v>1</v>
      </c>
      <c r="F315">
        <v>1</v>
      </c>
      <c r="G315">
        <v>1081</v>
      </c>
      <c r="H315">
        <v>3</v>
      </c>
      <c r="I315" t="s">
        <v>557</v>
      </c>
      <c r="J315" t="s">
        <v>558</v>
      </c>
      <c r="K315" t="s">
        <v>559</v>
      </c>
      <c r="L315">
        <v>1356</v>
      </c>
      <c r="N315">
        <v>1010</v>
      </c>
      <c r="O315" t="s">
        <v>382</v>
      </c>
      <c r="P315" t="s">
        <v>382</v>
      </c>
      <c r="Q315">
        <v>1000</v>
      </c>
      <c r="W315">
        <v>0</v>
      </c>
      <c r="X315">
        <v>-41723139</v>
      </c>
      <c r="Y315">
        <f t="shared" si="97"/>
        <v>8.0000000000000002E-3</v>
      </c>
      <c r="AA315">
        <v>614.09</v>
      </c>
      <c r="AB315">
        <v>0</v>
      </c>
      <c r="AC315">
        <v>0</v>
      </c>
      <c r="AD315">
        <v>0</v>
      </c>
      <c r="AE315">
        <v>614.09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-2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8.0000000000000002E-3</v>
      </c>
      <c r="AU315" t="s">
        <v>104</v>
      </c>
      <c r="AV315">
        <v>0</v>
      </c>
      <c r="AW315">
        <v>2</v>
      </c>
      <c r="AX315">
        <v>57035265</v>
      </c>
      <c r="AY315">
        <v>1</v>
      </c>
      <c r="AZ315">
        <v>0</v>
      </c>
      <c r="BA315">
        <v>327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ROUND(Y315*Source!I522,9)</f>
        <v>0.38800000000000001</v>
      </c>
      <c r="CY315">
        <f t="shared" si="98"/>
        <v>614.09</v>
      </c>
      <c r="CZ315">
        <f t="shared" si="99"/>
        <v>614.09</v>
      </c>
      <c r="DA315">
        <f t="shared" si="100"/>
        <v>1</v>
      </c>
      <c r="DB315">
        <f t="shared" si="101"/>
        <v>4.91</v>
      </c>
      <c r="DC315">
        <f t="shared" si="102"/>
        <v>0</v>
      </c>
      <c r="DD315" t="s">
        <v>3</v>
      </c>
      <c r="DE315" t="s">
        <v>3</v>
      </c>
      <c r="DF315">
        <f t="shared" si="96"/>
        <v>238.27</v>
      </c>
      <c r="DG315">
        <f t="shared" si="94"/>
        <v>0</v>
      </c>
      <c r="DH315">
        <f t="shared" si="95"/>
        <v>0</v>
      </c>
      <c r="DI315">
        <f t="shared" si="82"/>
        <v>0</v>
      </c>
      <c r="DJ315">
        <f t="shared" si="103"/>
        <v>238.27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5">
      <c r="A316">
        <f>ROW(Source!A522)</f>
        <v>522</v>
      </c>
      <c r="B316">
        <v>57034452</v>
      </c>
      <c r="C316">
        <v>57035245</v>
      </c>
      <c r="D316">
        <v>0</v>
      </c>
      <c r="E316">
        <v>0</v>
      </c>
      <c r="F316">
        <v>1</v>
      </c>
      <c r="G316">
        <v>1081</v>
      </c>
      <c r="H316">
        <v>3</v>
      </c>
      <c r="I316" t="s">
        <v>388</v>
      </c>
      <c r="J316" t="s">
        <v>3</v>
      </c>
      <c r="K316" t="s">
        <v>389</v>
      </c>
      <c r="L316">
        <v>2040</v>
      </c>
      <c r="N316">
        <v>1013</v>
      </c>
      <c r="O316" t="s">
        <v>390</v>
      </c>
      <c r="P316" t="s">
        <v>390</v>
      </c>
      <c r="Q316">
        <v>1</v>
      </c>
      <c r="W316">
        <v>0</v>
      </c>
      <c r="X316">
        <v>-820338689</v>
      </c>
      <c r="Y316">
        <f t="shared" si="97"/>
        <v>100.87628866</v>
      </c>
      <c r="AA316">
        <v>9.59</v>
      </c>
      <c r="AB316">
        <v>0</v>
      </c>
      <c r="AC316">
        <v>0</v>
      </c>
      <c r="AD316">
        <v>0</v>
      </c>
      <c r="AE316">
        <v>9.59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1</v>
      </c>
      <c r="AL316">
        <v>1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 t="s">
        <v>3</v>
      </c>
      <c r="AT316">
        <v>100.87628866</v>
      </c>
      <c r="AU316" t="s">
        <v>104</v>
      </c>
      <c r="AV316">
        <v>0</v>
      </c>
      <c r="AW316">
        <v>1</v>
      </c>
      <c r="AX316">
        <v>-1</v>
      </c>
      <c r="AY316">
        <v>0</v>
      </c>
      <c r="AZ316">
        <v>0</v>
      </c>
      <c r="BA316" t="s">
        <v>3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ROUND(Y316*Source!I522,9)</f>
        <v>4892.5000000099999</v>
      </c>
      <c r="CY316">
        <f t="shared" si="98"/>
        <v>9.59</v>
      </c>
      <c r="CZ316">
        <f t="shared" si="99"/>
        <v>9.59</v>
      </c>
      <c r="DA316">
        <f t="shared" si="100"/>
        <v>1</v>
      </c>
      <c r="DB316">
        <f t="shared" si="101"/>
        <v>967.4</v>
      </c>
      <c r="DC316">
        <f t="shared" si="102"/>
        <v>0</v>
      </c>
      <c r="DD316" t="s">
        <v>3</v>
      </c>
      <c r="DE316" t="s">
        <v>3</v>
      </c>
      <c r="DF316">
        <f t="shared" si="96"/>
        <v>46919.08</v>
      </c>
      <c r="DG316">
        <f t="shared" si="94"/>
        <v>0</v>
      </c>
      <c r="DH316">
        <f t="shared" si="95"/>
        <v>0</v>
      </c>
      <c r="DI316">
        <f t="shared" si="82"/>
        <v>0</v>
      </c>
      <c r="DJ316">
        <f t="shared" si="103"/>
        <v>46919.08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5">
      <c r="A317">
        <f>ROW(Source!A522)</f>
        <v>522</v>
      </c>
      <c r="B317">
        <v>57034452</v>
      </c>
      <c r="C317">
        <v>57035245</v>
      </c>
      <c r="D317">
        <v>0</v>
      </c>
      <c r="E317">
        <v>0</v>
      </c>
      <c r="F317">
        <v>1</v>
      </c>
      <c r="G317">
        <v>1081</v>
      </c>
      <c r="H317">
        <v>3</v>
      </c>
      <c r="I317" t="s">
        <v>393</v>
      </c>
      <c r="J317" t="s">
        <v>3</v>
      </c>
      <c r="K317" t="s">
        <v>394</v>
      </c>
      <c r="L317">
        <v>2040</v>
      </c>
      <c r="N317">
        <v>1013</v>
      </c>
      <c r="O317" t="s">
        <v>390</v>
      </c>
      <c r="P317" t="s">
        <v>390</v>
      </c>
      <c r="Q317">
        <v>1</v>
      </c>
      <c r="W317">
        <v>0</v>
      </c>
      <c r="X317">
        <v>-573236397</v>
      </c>
      <c r="Y317">
        <f t="shared" si="97"/>
        <v>2.1237113399999998</v>
      </c>
      <c r="AA317">
        <v>26.42</v>
      </c>
      <c r="AB317">
        <v>0</v>
      </c>
      <c r="AC317">
        <v>0</v>
      </c>
      <c r="AD317">
        <v>0</v>
      </c>
      <c r="AE317">
        <v>26.419999999999998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  <c r="AS317" t="s">
        <v>3</v>
      </c>
      <c r="AT317">
        <v>2.1237113399999998</v>
      </c>
      <c r="AU317" t="s">
        <v>104</v>
      </c>
      <c r="AV317">
        <v>0</v>
      </c>
      <c r="AW317">
        <v>1</v>
      </c>
      <c r="AX317">
        <v>-1</v>
      </c>
      <c r="AY317">
        <v>0</v>
      </c>
      <c r="AZ317">
        <v>0</v>
      </c>
      <c r="BA317" t="s">
        <v>3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ROUND(Y317*Source!I522,9)</f>
        <v>102.99999999000001</v>
      </c>
      <c r="CY317">
        <f t="shared" si="98"/>
        <v>26.42</v>
      </c>
      <c r="CZ317">
        <f t="shared" si="99"/>
        <v>26.419999999999998</v>
      </c>
      <c r="DA317">
        <f t="shared" si="100"/>
        <v>1</v>
      </c>
      <c r="DB317">
        <f t="shared" si="101"/>
        <v>56.11</v>
      </c>
      <c r="DC317">
        <f t="shared" si="102"/>
        <v>0</v>
      </c>
      <c r="DD317" t="s">
        <v>3</v>
      </c>
      <c r="DE317" t="s">
        <v>3</v>
      </c>
      <c r="DF317">
        <f t="shared" si="96"/>
        <v>2721.26</v>
      </c>
      <c r="DG317">
        <f t="shared" si="94"/>
        <v>0</v>
      </c>
      <c r="DH317">
        <f t="shared" si="95"/>
        <v>0</v>
      </c>
      <c r="DI317">
        <f t="shared" si="82"/>
        <v>0</v>
      </c>
      <c r="DJ317">
        <f t="shared" si="103"/>
        <v>2721.26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ROW(Source!A523)</f>
        <v>523</v>
      </c>
      <c r="B318">
        <v>57034454</v>
      </c>
      <c r="C318">
        <v>57035245</v>
      </c>
      <c r="D318">
        <v>55424304</v>
      </c>
      <c r="E318">
        <v>1081</v>
      </c>
      <c r="F318">
        <v>1</v>
      </c>
      <c r="G318">
        <v>1081</v>
      </c>
      <c r="H318">
        <v>1</v>
      </c>
      <c r="I318" t="s">
        <v>459</v>
      </c>
      <c r="J318" t="s">
        <v>3</v>
      </c>
      <c r="K318" t="s">
        <v>460</v>
      </c>
      <c r="L318">
        <v>1191</v>
      </c>
      <c r="N318">
        <v>1013</v>
      </c>
      <c r="O318" t="s">
        <v>461</v>
      </c>
      <c r="P318" t="s">
        <v>461</v>
      </c>
      <c r="Q318">
        <v>1</v>
      </c>
      <c r="W318">
        <v>0</v>
      </c>
      <c r="X318">
        <v>476480486</v>
      </c>
      <c r="Y318">
        <f>(AT318*1.2)</f>
        <v>5.3879999999999999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5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4.49</v>
      </c>
      <c r="AU318" t="s">
        <v>105</v>
      </c>
      <c r="AV318">
        <v>1</v>
      </c>
      <c r="AW318">
        <v>2</v>
      </c>
      <c r="AX318">
        <v>57035257</v>
      </c>
      <c r="AY318">
        <v>1</v>
      </c>
      <c r="AZ318">
        <v>0</v>
      </c>
      <c r="BA318">
        <v>329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U318">
        <f>ROUND(AT318*Source!I523*AH318*AL318,2)</f>
        <v>0</v>
      </c>
      <c r="CV318">
        <f>ROUND(Y318*Source!I523,9)</f>
        <v>261.31799999999998</v>
      </c>
      <c r="CW318">
        <v>0</v>
      </c>
      <c r="CX318">
        <f>ROUND(Y318*Source!I523,9)</f>
        <v>261.31799999999998</v>
      </c>
      <c r="CY318">
        <f>AD318</f>
        <v>0</v>
      </c>
      <c r="CZ318">
        <f>AH318</f>
        <v>0</v>
      </c>
      <c r="DA318">
        <f>AL318</f>
        <v>1</v>
      </c>
      <c r="DB318">
        <f>ROUND((ROUND(AT318*CZ318,2)*1.2),6)</f>
        <v>0</v>
      </c>
      <c r="DC318">
        <f>ROUND((ROUND(AT318*AG318,2)*1.2),6)</f>
        <v>0</v>
      </c>
      <c r="DD318" t="s">
        <v>3</v>
      </c>
      <c r="DE318" t="s">
        <v>3</v>
      </c>
      <c r="DF318">
        <f t="shared" si="96"/>
        <v>0</v>
      </c>
      <c r="DG318">
        <f t="shared" si="94"/>
        <v>0</v>
      </c>
      <c r="DH318">
        <f t="shared" si="95"/>
        <v>0</v>
      </c>
      <c r="DI318">
        <f t="shared" si="82"/>
        <v>0</v>
      </c>
      <c r="DJ318">
        <f>DI318</f>
        <v>0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5">
      <c r="A319">
        <f>ROW(Source!A523)</f>
        <v>523</v>
      </c>
      <c r="B319">
        <v>57034454</v>
      </c>
      <c r="C319">
        <v>57035245</v>
      </c>
      <c r="D319">
        <v>55490209</v>
      </c>
      <c r="E319">
        <v>1</v>
      </c>
      <c r="F319">
        <v>1</v>
      </c>
      <c r="G319">
        <v>1081</v>
      </c>
      <c r="H319">
        <v>2</v>
      </c>
      <c r="I319" t="s">
        <v>462</v>
      </c>
      <c r="J319" t="s">
        <v>463</v>
      </c>
      <c r="K319" t="s">
        <v>464</v>
      </c>
      <c r="L319">
        <v>1368</v>
      </c>
      <c r="N319">
        <v>1011</v>
      </c>
      <c r="O319" t="s">
        <v>465</v>
      </c>
      <c r="P319" t="s">
        <v>465</v>
      </c>
      <c r="Q319">
        <v>1</v>
      </c>
      <c r="W319">
        <v>0</v>
      </c>
      <c r="X319">
        <v>874612079</v>
      </c>
      <c r="Y319">
        <f>(AT319*1.2)</f>
        <v>1.2E-2</v>
      </c>
      <c r="AA319">
        <v>0</v>
      </c>
      <c r="AB319">
        <v>1485.19</v>
      </c>
      <c r="AC319">
        <v>744.56</v>
      </c>
      <c r="AD319">
        <v>0</v>
      </c>
      <c r="AE319">
        <v>0</v>
      </c>
      <c r="AF319">
        <v>83.1</v>
      </c>
      <c r="AG319">
        <v>12.62</v>
      </c>
      <c r="AH319">
        <v>0</v>
      </c>
      <c r="AI319">
        <v>1</v>
      </c>
      <c r="AJ319">
        <v>17.07</v>
      </c>
      <c r="AK319">
        <v>56.35</v>
      </c>
      <c r="AL319">
        <v>1</v>
      </c>
      <c r="AM319">
        <v>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0.01</v>
      </c>
      <c r="AU319" t="s">
        <v>105</v>
      </c>
      <c r="AV319">
        <v>0</v>
      </c>
      <c r="AW319">
        <v>2</v>
      </c>
      <c r="AX319">
        <v>57035258</v>
      </c>
      <c r="AY319">
        <v>1</v>
      </c>
      <c r="AZ319">
        <v>0</v>
      </c>
      <c r="BA319">
        <v>330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f>ROUND(Y319*Source!I523*DO319,9)</f>
        <v>7.3448399999999996</v>
      </c>
      <c r="CX319">
        <f>ROUND(Y319*Source!I523,9)</f>
        <v>0.58199999999999996</v>
      </c>
      <c r="CY319">
        <f>AB319</f>
        <v>1485.19</v>
      </c>
      <c r="CZ319">
        <f>AF319</f>
        <v>83.1</v>
      </c>
      <c r="DA319">
        <f>AJ319</f>
        <v>17.07</v>
      </c>
      <c r="DB319">
        <f>ROUND((ROUND(AT319*CZ319,2)*1.2),6)</f>
        <v>0.996</v>
      </c>
      <c r="DC319">
        <f>ROUND((ROUND(AT319*AG319,2)*1.2),6)</f>
        <v>0.156</v>
      </c>
      <c r="DD319" t="s">
        <v>3</v>
      </c>
      <c r="DE319" t="s">
        <v>3</v>
      </c>
      <c r="DF319">
        <f t="shared" si="96"/>
        <v>0</v>
      </c>
      <c r="DG319">
        <f>ROUND(ROUND(AF319*AJ319,2)*CX319,2)</f>
        <v>825.58</v>
      </c>
      <c r="DH319">
        <f>ROUND(ROUND(AG319*AK319,2)*CX319,2)</f>
        <v>413.88</v>
      </c>
      <c r="DI319">
        <f t="shared" si="82"/>
        <v>0</v>
      </c>
      <c r="DJ319">
        <f>DG319</f>
        <v>825.58</v>
      </c>
      <c r="DK319">
        <v>0</v>
      </c>
      <c r="DL319" t="s">
        <v>466</v>
      </c>
      <c r="DM319">
        <v>0</v>
      </c>
      <c r="DN319" t="s">
        <v>461</v>
      </c>
      <c r="DO319">
        <v>12.62</v>
      </c>
    </row>
    <row r="320" spans="1:119" x14ac:dyDescent="0.25">
      <c r="A320">
        <f>ROW(Source!A523)</f>
        <v>523</v>
      </c>
      <c r="B320">
        <v>57034454</v>
      </c>
      <c r="C320">
        <v>57035245</v>
      </c>
      <c r="D320">
        <v>55489443</v>
      </c>
      <c r="E320">
        <v>1</v>
      </c>
      <c r="F320">
        <v>1</v>
      </c>
      <c r="G320">
        <v>1081</v>
      </c>
      <c r="H320">
        <v>2</v>
      </c>
      <c r="I320" t="s">
        <v>539</v>
      </c>
      <c r="J320" t="s">
        <v>540</v>
      </c>
      <c r="K320" t="s">
        <v>541</v>
      </c>
      <c r="L320">
        <v>1368</v>
      </c>
      <c r="N320">
        <v>1011</v>
      </c>
      <c r="O320" t="s">
        <v>465</v>
      </c>
      <c r="P320" t="s">
        <v>465</v>
      </c>
      <c r="Q320">
        <v>1</v>
      </c>
      <c r="W320">
        <v>0</v>
      </c>
      <c r="X320">
        <v>-44940208</v>
      </c>
      <c r="Y320">
        <f>(AT320*1.2)</f>
        <v>1.2E-2</v>
      </c>
      <c r="AA320">
        <v>0</v>
      </c>
      <c r="AB320">
        <v>2706.94</v>
      </c>
      <c r="AC320">
        <v>998.84</v>
      </c>
      <c r="AD320">
        <v>0</v>
      </c>
      <c r="AE320">
        <v>0</v>
      </c>
      <c r="AF320">
        <v>179.17</v>
      </c>
      <c r="AG320">
        <v>16.93</v>
      </c>
      <c r="AH320">
        <v>0</v>
      </c>
      <c r="AI320">
        <v>1</v>
      </c>
      <c r="AJ320">
        <v>14.43</v>
      </c>
      <c r="AK320">
        <v>56.35</v>
      </c>
      <c r="AL320">
        <v>1</v>
      </c>
      <c r="AM320">
        <v>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0.01</v>
      </c>
      <c r="AU320" t="s">
        <v>105</v>
      </c>
      <c r="AV320">
        <v>0</v>
      </c>
      <c r="AW320">
        <v>2</v>
      </c>
      <c r="AX320">
        <v>57035259</v>
      </c>
      <c r="AY320">
        <v>1</v>
      </c>
      <c r="AZ320">
        <v>0</v>
      </c>
      <c r="BA320">
        <v>331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f>ROUND(Y320*Source!I523*DO320,9)</f>
        <v>9.8532600000000006</v>
      </c>
      <c r="CX320">
        <f>ROUND(Y320*Source!I523,9)</f>
        <v>0.58199999999999996</v>
      </c>
      <c r="CY320">
        <f>AB320</f>
        <v>2706.94</v>
      </c>
      <c r="CZ320">
        <f>AF320</f>
        <v>179.17</v>
      </c>
      <c r="DA320">
        <f>AJ320</f>
        <v>14.43</v>
      </c>
      <c r="DB320">
        <f>ROUND((ROUND(AT320*CZ320,2)*1.2),6)</f>
        <v>2.1480000000000001</v>
      </c>
      <c r="DC320">
        <f>ROUND((ROUND(AT320*AG320,2)*1.2),6)</f>
        <v>0.20399999999999999</v>
      </c>
      <c r="DD320" t="s">
        <v>3</v>
      </c>
      <c r="DE320" t="s">
        <v>3</v>
      </c>
      <c r="DF320">
        <f t="shared" si="96"/>
        <v>0</v>
      </c>
      <c r="DG320">
        <f>ROUND(ROUND(AF320*AJ320,2)*CX320,2)</f>
        <v>1504.71</v>
      </c>
      <c r="DH320">
        <f>ROUND(ROUND(AG320*AK320,2)*CX320,2)</f>
        <v>555.23</v>
      </c>
      <c r="DI320">
        <f t="shared" si="82"/>
        <v>0</v>
      </c>
      <c r="DJ320">
        <f>DG320</f>
        <v>1504.71</v>
      </c>
      <c r="DK320">
        <v>0</v>
      </c>
      <c r="DL320" t="s">
        <v>466</v>
      </c>
      <c r="DM320">
        <v>0</v>
      </c>
      <c r="DN320" t="s">
        <v>461</v>
      </c>
      <c r="DO320">
        <v>16.93</v>
      </c>
    </row>
    <row r="321" spans="1:119" x14ac:dyDescent="0.25">
      <c r="A321">
        <f>ROW(Source!A523)</f>
        <v>523</v>
      </c>
      <c r="B321">
        <v>57034454</v>
      </c>
      <c r="C321">
        <v>57035245</v>
      </c>
      <c r="D321">
        <v>55460033</v>
      </c>
      <c r="E321">
        <v>1</v>
      </c>
      <c r="F321">
        <v>1</v>
      </c>
      <c r="G321">
        <v>1081</v>
      </c>
      <c r="H321">
        <v>3</v>
      </c>
      <c r="I321" t="s">
        <v>542</v>
      </c>
      <c r="J321" t="s">
        <v>543</v>
      </c>
      <c r="K321" t="s">
        <v>544</v>
      </c>
      <c r="L321">
        <v>1346</v>
      </c>
      <c r="N321">
        <v>1009</v>
      </c>
      <c r="O321" t="s">
        <v>433</v>
      </c>
      <c r="P321" t="s">
        <v>433</v>
      </c>
      <c r="Q321">
        <v>1</v>
      </c>
      <c r="W321">
        <v>0</v>
      </c>
      <c r="X321">
        <v>-1364668115</v>
      </c>
      <c r="Y321">
        <f t="shared" ref="Y321:Y328" si="104">(AT321*1)</f>
        <v>0.43</v>
      </c>
      <c r="AA321">
        <v>33.64</v>
      </c>
      <c r="AB321">
        <v>0</v>
      </c>
      <c r="AC321">
        <v>0</v>
      </c>
      <c r="AD321">
        <v>0</v>
      </c>
      <c r="AE321">
        <v>1.38</v>
      </c>
      <c r="AF321">
        <v>0</v>
      </c>
      <c r="AG321">
        <v>0</v>
      </c>
      <c r="AH321">
        <v>0</v>
      </c>
      <c r="AI321">
        <v>24.38</v>
      </c>
      <c r="AJ321">
        <v>1</v>
      </c>
      <c r="AK321">
        <v>1</v>
      </c>
      <c r="AL321">
        <v>1</v>
      </c>
      <c r="AM321">
        <v>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0.43</v>
      </c>
      <c r="AU321" t="s">
        <v>104</v>
      </c>
      <c r="AV321">
        <v>0</v>
      </c>
      <c r="AW321">
        <v>2</v>
      </c>
      <c r="AX321">
        <v>57035260</v>
      </c>
      <c r="AY321">
        <v>1</v>
      </c>
      <c r="AZ321">
        <v>0</v>
      </c>
      <c r="BA321">
        <v>332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ROUND(Y321*Source!I523,9)</f>
        <v>20.855</v>
      </c>
      <c r="CY321">
        <f t="shared" ref="CY321:CY328" si="105">AA321</f>
        <v>33.64</v>
      </c>
      <c r="CZ321">
        <f t="shared" ref="CZ321:CZ328" si="106">AE321</f>
        <v>1.38</v>
      </c>
      <c r="DA321">
        <f t="shared" ref="DA321:DA328" si="107">AI321</f>
        <v>24.38</v>
      </c>
      <c r="DB321">
        <f t="shared" ref="DB321:DB328" si="108">ROUND((ROUND(AT321*CZ321,2)*1),6)</f>
        <v>0.59</v>
      </c>
      <c r="DC321">
        <f t="shared" ref="DC321:DC328" si="109">ROUND((ROUND(AT321*AG321,2)*1),6)</f>
        <v>0</v>
      </c>
      <c r="DD321" t="s">
        <v>3</v>
      </c>
      <c r="DE321" t="s">
        <v>3</v>
      </c>
      <c r="DF321">
        <f t="shared" ref="DF321:DF328" si="110">ROUND(ROUND(AE321*AI321,2)*CX321,2)</f>
        <v>701.56</v>
      </c>
      <c r="DG321">
        <f t="shared" ref="DG321:DG341" si="111">ROUND(ROUND(AF321,2)*CX321,2)</f>
        <v>0</v>
      </c>
      <c r="DH321">
        <f t="shared" ref="DH321:DH341" si="112">ROUND(ROUND(AG321,2)*CX321,2)</f>
        <v>0</v>
      </c>
      <c r="DI321">
        <f t="shared" ref="DI321:DI376" si="113">ROUND(ROUND(AH321,2)*CX321,2)</f>
        <v>0</v>
      </c>
      <c r="DJ321">
        <f t="shared" ref="DJ321:DJ328" si="114">DF321</f>
        <v>701.56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ROW(Source!A523)</f>
        <v>523</v>
      </c>
      <c r="B322">
        <v>57034454</v>
      </c>
      <c r="C322">
        <v>57035245</v>
      </c>
      <c r="D322">
        <v>55460424</v>
      </c>
      <c r="E322">
        <v>1</v>
      </c>
      <c r="F322">
        <v>1</v>
      </c>
      <c r="G322">
        <v>1081</v>
      </c>
      <c r="H322">
        <v>3</v>
      </c>
      <c r="I322" t="s">
        <v>545</v>
      </c>
      <c r="J322" t="s">
        <v>546</v>
      </c>
      <c r="K322" t="s">
        <v>547</v>
      </c>
      <c r="L322">
        <v>1346</v>
      </c>
      <c r="N322">
        <v>1009</v>
      </c>
      <c r="O322" t="s">
        <v>433</v>
      </c>
      <c r="P322" t="s">
        <v>433</v>
      </c>
      <c r="Q322">
        <v>1</v>
      </c>
      <c r="W322">
        <v>0</v>
      </c>
      <c r="X322">
        <v>1309298634</v>
      </c>
      <c r="Y322">
        <f t="shared" si="104"/>
        <v>0.16</v>
      </c>
      <c r="AA322">
        <v>286.31</v>
      </c>
      <c r="AB322">
        <v>0</v>
      </c>
      <c r="AC322">
        <v>0</v>
      </c>
      <c r="AD322">
        <v>0</v>
      </c>
      <c r="AE322">
        <v>159.06</v>
      </c>
      <c r="AF322">
        <v>0</v>
      </c>
      <c r="AG322">
        <v>0</v>
      </c>
      <c r="AH322">
        <v>0</v>
      </c>
      <c r="AI322">
        <v>1.8</v>
      </c>
      <c r="AJ322">
        <v>1</v>
      </c>
      <c r="AK322">
        <v>1</v>
      </c>
      <c r="AL322">
        <v>1</v>
      </c>
      <c r="AM322">
        <v>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0.16</v>
      </c>
      <c r="AU322" t="s">
        <v>104</v>
      </c>
      <c r="AV322">
        <v>0</v>
      </c>
      <c r="AW322">
        <v>2</v>
      </c>
      <c r="AX322">
        <v>57035261</v>
      </c>
      <c r="AY322">
        <v>1</v>
      </c>
      <c r="AZ322">
        <v>0</v>
      </c>
      <c r="BA322">
        <v>333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ROUND(Y322*Source!I523,9)</f>
        <v>7.76</v>
      </c>
      <c r="CY322">
        <f t="shared" si="105"/>
        <v>286.31</v>
      </c>
      <c r="CZ322">
        <f t="shared" si="106"/>
        <v>159.06</v>
      </c>
      <c r="DA322">
        <f t="shared" si="107"/>
        <v>1.8</v>
      </c>
      <c r="DB322">
        <f t="shared" si="108"/>
        <v>25.45</v>
      </c>
      <c r="DC322">
        <f t="shared" si="109"/>
        <v>0</v>
      </c>
      <c r="DD322" t="s">
        <v>3</v>
      </c>
      <c r="DE322" t="s">
        <v>3</v>
      </c>
      <c r="DF322">
        <f t="shared" si="110"/>
        <v>2221.77</v>
      </c>
      <c r="DG322">
        <f t="shared" si="111"/>
        <v>0</v>
      </c>
      <c r="DH322">
        <f t="shared" si="112"/>
        <v>0</v>
      </c>
      <c r="DI322">
        <f t="shared" si="113"/>
        <v>0</v>
      </c>
      <c r="DJ322">
        <f t="shared" si="114"/>
        <v>2221.77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5">
      <c r="A323">
        <f>ROW(Source!A523)</f>
        <v>523</v>
      </c>
      <c r="B323">
        <v>57034454</v>
      </c>
      <c r="C323">
        <v>57035245</v>
      </c>
      <c r="D323">
        <v>55482505</v>
      </c>
      <c r="E323">
        <v>1</v>
      </c>
      <c r="F323">
        <v>1</v>
      </c>
      <c r="G323">
        <v>1081</v>
      </c>
      <c r="H323">
        <v>3</v>
      </c>
      <c r="I323" t="s">
        <v>548</v>
      </c>
      <c r="J323" t="s">
        <v>549</v>
      </c>
      <c r="K323" t="s">
        <v>550</v>
      </c>
      <c r="L323">
        <v>1355</v>
      </c>
      <c r="N323">
        <v>1010</v>
      </c>
      <c r="O323" t="s">
        <v>414</v>
      </c>
      <c r="P323" t="s">
        <v>414</v>
      </c>
      <c r="Q323">
        <v>100</v>
      </c>
      <c r="W323">
        <v>0</v>
      </c>
      <c r="X323">
        <v>1198965026</v>
      </c>
      <c r="Y323">
        <f t="shared" si="104"/>
        <v>0.05</v>
      </c>
      <c r="AA323">
        <v>1102.5</v>
      </c>
      <c r="AB323">
        <v>0</v>
      </c>
      <c r="AC323">
        <v>0</v>
      </c>
      <c r="AD323">
        <v>0</v>
      </c>
      <c r="AE323">
        <v>68.819999999999993</v>
      </c>
      <c r="AF323">
        <v>0</v>
      </c>
      <c r="AG323">
        <v>0</v>
      </c>
      <c r="AH323">
        <v>0</v>
      </c>
      <c r="AI323">
        <v>16.02</v>
      </c>
      <c r="AJ323">
        <v>1</v>
      </c>
      <c r="AK323">
        <v>1</v>
      </c>
      <c r="AL323">
        <v>1</v>
      </c>
      <c r="AM323">
        <v>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0.05</v>
      </c>
      <c r="AU323" t="s">
        <v>104</v>
      </c>
      <c r="AV323">
        <v>0</v>
      </c>
      <c r="AW323">
        <v>2</v>
      </c>
      <c r="AX323">
        <v>57035262</v>
      </c>
      <c r="AY323">
        <v>1</v>
      </c>
      <c r="AZ323">
        <v>0</v>
      </c>
      <c r="BA323">
        <v>334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v>0</v>
      </c>
      <c r="CX323">
        <f>ROUND(Y323*Source!I523,9)</f>
        <v>2.4249999999999998</v>
      </c>
      <c r="CY323">
        <f t="shared" si="105"/>
        <v>1102.5</v>
      </c>
      <c r="CZ323">
        <f t="shared" si="106"/>
        <v>68.819999999999993</v>
      </c>
      <c r="DA323">
        <f t="shared" si="107"/>
        <v>16.02</v>
      </c>
      <c r="DB323">
        <f t="shared" si="108"/>
        <v>3.44</v>
      </c>
      <c r="DC323">
        <f t="shared" si="109"/>
        <v>0</v>
      </c>
      <c r="DD323" t="s">
        <v>3</v>
      </c>
      <c r="DE323" t="s">
        <v>3</v>
      </c>
      <c r="DF323">
        <f t="shared" si="110"/>
        <v>2673.56</v>
      </c>
      <c r="DG323">
        <f t="shared" si="111"/>
        <v>0</v>
      </c>
      <c r="DH323">
        <f t="shared" si="112"/>
        <v>0</v>
      </c>
      <c r="DI323">
        <f t="shared" si="113"/>
        <v>0</v>
      </c>
      <c r="DJ323">
        <f t="shared" si="114"/>
        <v>2673.56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5">
      <c r="A324">
        <f>ROW(Source!A523)</f>
        <v>523</v>
      </c>
      <c r="B324">
        <v>57034454</v>
      </c>
      <c r="C324">
        <v>57035245</v>
      </c>
      <c r="D324">
        <v>55482516</v>
      </c>
      <c r="E324">
        <v>1</v>
      </c>
      <c r="F324">
        <v>1</v>
      </c>
      <c r="G324">
        <v>1081</v>
      </c>
      <c r="H324">
        <v>3</v>
      </c>
      <c r="I324" t="s">
        <v>551</v>
      </c>
      <c r="J324" t="s">
        <v>552</v>
      </c>
      <c r="K324" t="s">
        <v>553</v>
      </c>
      <c r="L324">
        <v>1356</v>
      </c>
      <c r="N324">
        <v>1010</v>
      </c>
      <c r="O324" t="s">
        <v>382</v>
      </c>
      <c r="P324" t="s">
        <v>382</v>
      </c>
      <c r="Q324">
        <v>1000</v>
      </c>
      <c r="W324">
        <v>0</v>
      </c>
      <c r="X324">
        <v>472025271</v>
      </c>
      <c r="Y324">
        <f t="shared" si="104"/>
        <v>1.2200000000000001E-2</v>
      </c>
      <c r="AA324">
        <v>1267.29</v>
      </c>
      <c r="AB324">
        <v>0</v>
      </c>
      <c r="AC324">
        <v>0</v>
      </c>
      <c r="AD324">
        <v>0</v>
      </c>
      <c r="AE324">
        <v>183.4</v>
      </c>
      <c r="AF324">
        <v>0</v>
      </c>
      <c r="AG324">
        <v>0</v>
      </c>
      <c r="AH324">
        <v>0</v>
      </c>
      <c r="AI324">
        <v>6.91</v>
      </c>
      <c r="AJ324">
        <v>1</v>
      </c>
      <c r="AK324">
        <v>1</v>
      </c>
      <c r="AL324">
        <v>1</v>
      </c>
      <c r="AM324">
        <v>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1.2200000000000001E-2</v>
      </c>
      <c r="AU324" t="s">
        <v>104</v>
      </c>
      <c r="AV324">
        <v>0</v>
      </c>
      <c r="AW324">
        <v>2</v>
      </c>
      <c r="AX324">
        <v>57035263</v>
      </c>
      <c r="AY324">
        <v>1</v>
      </c>
      <c r="AZ324">
        <v>0</v>
      </c>
      <c r="BA324">
        <v>335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ROUND(Y324*Source!I523,9)</f>
        <v>0.5917</v>
      </c>
      <c r="CY324">
        <f t="shared" si="105"/>
        <v>1267.29</v>
      </c>
      <c r="CZ324">
        <f t="shared" si="106"/>
        <v>183.4</v>
      </c>
      <c r="DA324">
        <f t="shared" si="107"/>
        <v>6.91</v>
      </c>
      <c r="DB324">
        <f t="shared" si="108"/>
        <v>2.2400000000000002</v>
      </c>
      <c r="DC324">
        <f t="shared" si="109"/>
        <v>0</v>
      </c>
      <c r="DD324" t="s">
        <v>3</v>
      </c>
      <c r="DE324" t="s">
        <v>3</v>
      </c>
      <c r="DF324">
        <f t="shared" si="110"/>
        <v>749.86</v>
      </c>
      <c r="DG324">
        <f t="shared" si="111"/>
        <v>0</v>
      </c>
      <c r="DH324">
        <f t="shared" si="112"/>
        <v>0</v>
      </c>
      <c r="DI324">
        <f t="shared" si="113"/>
        <v>0</v>
      </c>
      <c r="DJ324">
        <f t="shared" si="114"/>
        <v>749.86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5">
      <c r="A325">
        <f>ROW(Source!A523)</f>
        <v>523</v>
      </c>
      <c r="B325">
        <v>57034454</v>
      </c>
      <c r="C325">
        <v>57035245</v>
      </c>
      <c r="D325">
        <v>55481842</v>
      </c>
      <c r="E325">
        <v>1</v>
      </c>
      <c r="F325">
        <v>1</v>
      </c>
      <c r="G325">
        <v>1081</v>
      </c>
      <c r="H325">
        <v>3</v>
      </c>
      <c r="I325" t="s">
        <v>554</v>
      </c>
      <c r="J325" t="s">
        <v>555</v>
      </c>
      <c r="K325" t="s">
        <v>556</v>
      </c>
      <c r="L325">
        <v>1354</v>
      </c>
      <c r="N325">
        <v>1010</v>
      </c>
      <c r="O325" t="s">
        <v>177</v>
      </c>
      <c r="P325" t="s">
        <v>177</v>
      </c>
      <c r="Q325">
        <v>1</v>
      </c>
      <c r="W325">
        <v>0</v>
      </c>
      <c r="X325">
        <v>-1424681180</v>
      </c>
      <c r="Y325">
        <f t="shared" si="104"/>
        <v>3.1</v>
      </c>
      <c r="AA325">
        <v>25.33</v>
      </c>
      <c r="AB325">
        <v>0</v>
      </c>
      <c r="AC325">
        <v>0</v>
      </c>
      <c r="AD325">
        <v>0</v>
      </c>
      <c r="AE325">
        <v>6.94</v>
      </c>
      <c r="AF325">
        <v>0</v>
      </c>
      <c r="AG325">
        <v>0</v>
      </c>
      <c r="AH325">
        <v>0</v>
      </c>
      <c r="AI325">
        <v>3.65</v>
      </c>
      <c r="AJ325">
        <v>1</v>
      </c>
      <c r="AK325">
        <v>1</v>
      </c>
      <c r="AL325">
        <v>1</v>
      </c>
      <c r="AM325">
        <v>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3.1</v>
      </c>
      <c r="AU325" t="s">
        <v>104</v>
      </c>
      <c r="AV325">
        <v>0</v>
      </c>
      <c r="AW325">
        <v>2</v>
      </c>
      <c r="AX325">
        <v>57035264</v>
      </c>
      <c r="AY325">
        <v>1</v>
      </c>
      <c r="AZ325">
        <v>0</v>
      </c>
      <c r="BA325">
        <v>336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ROUND(Y325*Source!I523,9)</f>
        <v>150.35</v>
      </c>
      <c r="CY325">
        <f t="shared" si="105"/>
        <v>25.33</v>
      </c>
      <c r="CZ325">
        <f t="shared" si="106"/>
        <v>6.94</v>
      </c>
      <c r="DA325">
        <f t="shared" si="107"/>
        <v>3.65</v>
      </c>
      <c r="DB325">
        <f t="shared" si="108"/>
        <v>21.51</v>
      </c>
      <c r="DC325">
        <f t="shared" si="109"/>
        <v>0</v>
      </c>
      <c r="DD325" t="s">
        <v>3</v>
      </c>
      <c r="DE325" t="s">
        <v>3</v>
      </c>
      <c r="DF325">
        <f t="shared" si="110"/>
        <v>3808.37</v>
      </c>
      <c r="DG325">
        <f t="shared" si="111"/>
        <v>0</v>
      </c>
      <c r="DH325">
        <f t="shared" si="112"/>
        <v>0</v>
      </c>
      <c r="DI325">
        <f t="shared" si="113"/>
        <v>0</v>
      </c>
      <c r="DJ325">
        <f t="shared" si="114"/>
        <v>3808.37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5">
      <c r="A326">
        <f>ROW(Source!A523)</f>
        <v>523</v>
      </c>
      <c r="B326">
        <v>57034454</v>
      </c>
      <c r="C326">
        <v>57035245</v>
      </c>
      <c r="D326">
        <v>55481849</v>
      </c>
      <c r="E326">
        <v>1</v>
      </c>
      <c r="F326">
        <v>1</v>
      </c>
      <c r="G326">
        <v>1081</v>
      </c>
      <c r="H326">
        <v>3</v>
      </c>
      <c r="I326" t="s">
        <v>557</v>
      </c>
      <c r="J326" t="s">
        <v>558</v>
      </c>
      <c r="K326" t="s">
        <v>559</v>
      </c>
      <c r="L326">
        <v>1356</v>
      </c>
      <c r="N326">
        <v>1010</v>
      </c>
      <c r="O326" t="s">
        <v>382</v>
      </c>
      <c r="P326" t="s">
        <v>382</v>
      </c>
      <c r="Q326">
        <v>1000</v>
      </c>
      <c r="W326">
        <v>0</v>
      </c>
      <c r="X326">
        <v>-41723139</v>
      </c>
      <c r="Y326">
        <f t="shared" si="104"/>
        <v>8.0000000000000002E-3</v>
      </c>
      <c r="AA326">
        <v>786.04</v>
      </c>
      <c r="AB326">
        <v>0</v>
      </c>
      <c r="AC326">
        <v>0</v>
      </c>
      <c r="AD326">
        <v>0</v>
      </c>
      <c r="AE326">
        <v>614.09</v>
      </c>
      <c r="AF326">
        <v>0</v>
      </c>
      <c r="AG326">
        <v>0</v>
      </c>
      <c r="AH326">
        <v>0</v>
      </c>
      <c r="AI326">
        <v>1.28</v>
      </c>
      <c r="AJ326">
        <v>1</v>
      </c>
      <c r="AK326">
        <v>1</v>
      </c>
      <c r="AL326">
        <v>1</v>
      </c>
      <c r="AM326">
        <v>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8.0000000000000002E-3</v>
      </c>
      <c r="AU326" t="s">
        <v>104</v>
      </c>
      <c r="AV326">
        <v>0</v>
      </c>
      <c r="AW326">
        <v>2</v>
      </c>
      <c r="AX326">
        <v>57035265</v>
      </c>
      <c r="AY326">
        <v>1</v>
      </c>
      <c r="AZ326">
        <v>0</v>
      </c>
      <c r="BA326">
        <v>337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ROUND(Y326*Source!I523,9)</f>
        <v>0.38800000000000001</v>
      </c>
      <c r="CY326">
        <f t="shared" si="105"/>
        <v>786.04</v>
      </c>
      <c r="CZ326">
        <f t="shared" si="106"/>
        <v>614.09</v>
      </c>
      <c r="DA326">
        <f t="shared" si="107"/>
        <v>1.28</v>
      </c>
      <c r="DB326">
        <f t="shared" si="108"/>
        <v>4.91</v>
      </c>
      <c r="DC326">
        <f t="shared" si="109"/>
        <v>0</v>
      </c>
      <c r="DD326" t="s">
        <v>3</v>
      </c>
      <c r="DE326" t="s">
        <v>3</v>
      </c>
      <c r="DF326">
        <f t="shared" si="110"/>
        <v>304.98</v>
      </c>
      <c r="DG326">
        <f t="shared" si="111"/>
        <v>0</v>
      </c>
      <c r="DH326">
        <f t="shared" si="112"/>
        <v>0</v>
      </c>
      <c r="DI326">
        <f t="shared" si="113"/>
        <v>0</v>
      </c>
      <c r="DJ326">
        <f t="shared" si="114"/>
        <v>304.98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5">
      <c r="A327">
        <f>ROW(Source!A523)</f>
        <v>523</v>
      </c>
      <c r="B327">
        <v>57034454</v>
      </c>
      <c r="C327">
        <v>57035245</v>
      </c>
      <c r="D327">
        <v>0</v>
      </c>
      <c r="E327">
        <v>0</v>
      </c>
      <c r="F327">
        <v>1</v>
      </c>
      <c r="G327">
        <v>1081</v>
      </c>
      <c r="H327">
        <v>3</v>
      </c>
      <c r="I327" t="s">
        <v>388</v>
      </c>
      <c r="J327" t="s">
        <v>3</v>
      </c>
      <c r="K327" t="s">
        <v>389</v>
      </c>
      <c r="L327">
        <v>2040</v>
      </c>
      <c r="N327">
        <v>1013</v>
      </c>
      <c r="O327" t="s">
        <v>390</v>
      </c>
      <c r="P327" t="s">
        <v>390</v>
      </c>
      <c r="Q327">
        <v>1</v>
      </c>
      <c r="W327">
        <v>0</v>
      </c>
      <c r="X327">
        <v>-820338689</v>
      </c>
      <c r="Y327">
        <f t="shared" si="104"/>
        <v>100.87628866</v>
      </c>
      <c r="AA327">
        <v>94.37</v>
      </c>
      <c r="AB327">
        <v>0</v>
      </c>
      <c r="AC327">
        <v>0</v>
      </c>
      <c r="AD327">
        <v>0</v>
      </c>
      <c r="AE327">
        <v>9.59</v>
      </c>
      <c r="AF327">
        <v>0</v>
      </c>
      <c r="AG327">
        <v>0</v>
      </c>
      <c r="AH327">
        <v>0</v>
      </c>
      <c r="AI327">
        <v>9.84</v>
      </c>
      <c r="AJ327">
        <v>1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 t="s">
        <v>3</v>
      </c>
      <c r="AT327">
        <v>100.87628866</v>
      </c>
      <c r="AU327" t="s">
        <v>104</v>
      </c>
      <c r="AV327">
        <v>0</v>
      </c>
      <c r="AW327">
        <v>1</v>
      </c>
      <c r="AX327">
        <v>-1</v>
      </c>
      <c r="AY327">
        <v>0</v>
      </c>
      <c r="AZ327">
        <v>0</v>
      </c>
      <c r="BA327" t="s">
        <v>3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ROUND(Y327*Source!I523,9)</f>
        <v>4892.5000000099999</v>
      </c>
      <c r="CY327">
        <f t="shared" si="105"/>
        <v>94.37</v>
      </c>
      <c r="CZ327">
        <f t="shared" si="106"/>
        <v>9.59</v>
      </c>
      <c r="DA327">
        <f t="shared" si="107"/>
        <v>9.84</v>
      </c>
      <c r="DB327">
        <f t="shared" si="108"/>
        <v>967.4</v>
      </c>
      <c r="DC327">
        <f t="shared" si="109"/>
        <v>0</v>
      </c>
      <c r="DD327" t="s">
        <v>3</v>
      </c>
      <c r="DE327" t="s">
        <v>3</v>
      </c>
      <c r="DF327">
        <f t="shared" si="110"/>
        <v>461705.23</v>
      </c>
      <c r="DG327">
        <f t="shared" si="111"/>
        <v>0</v>
      </c>
      <c r="DH327">
        <f t="shared" si="112"/>
        <v>0</v>
      </c>
      <c r="DI327">
        <f t="shared" si="113"/>
        <v>0</v>
      </c>
      <c r="DJ327">
        <f t="shared" si="114"/>
        <v>461705.23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5">
      <c r="A328">
        <f>ROW(Source!A523)</f>
        <v>523</v>
      </c>
      <c r="B328">
        <v>57034454</v>
      </c>
      <c r="C328">
        <v>57035245</v>
      </c>
      <c r="D328">
        <v>0</v>
      </c>
      <c r="E328">
        <v>0</v>
      </c>
      <c r="F328">
        <v>1</v>
      </c>
      <c r="G328">
        <v>1081</v>
      </c>
      <c r="H328">
        <v>3</v>
      </c>
      <c r="I328" t="s">
        <v>393</v>
      </c>
      <c r="J328" t="s">
        <v>3</v>
      </c>
      <c r="K328" t="s">
        <v>394</v>
      </c>
      <c r="L328">
        <v>2040</v>
      </c>
      <c r="N328">
        <v>1013</v>
      </c>
      <c r="O328" t="s">
        <v>390</v>
      </c>
      <c r="P328" t="s">
        <v>390</v>
      </c>
      <c r="Q328">
        <v>1</v>
      </c>
      <c r="W328">
        <v>0</v>
      </c>
      <c r="X328">
        <v>-573236397</v>
      </c>
      <c r="Y328">
        <f t="shared" si="104"/>
        <v>2.1237113399999998</v>
      </c>
      <c r="AA328">
        <v>259.97000000000003</v>
      </c>
      <c r="AB328">
        <v>0</v>
      </c>
      <c r="AC328">
        <v>0</v>
      </c>
      <c r="AD328">
        <v>0</v>
      </c>
      <c r="AE328">
        <v>26.419999999999998</v>
      </c>
      <c r="AF328">
        <v>0</v>
      </c>
      <c r="AG328">
        <v>0</v>
      </c>
      <c r="AH328">
        <v>0</v>
      </c>
      <c r="AI328">
        <v>9.84</v>
      </c>
      <c r="AJ328">
        <v>1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 t="s">
        <v>3</v>
      </c>
      <c r="AT328">
        <v>2.1237113399999998</v>
      </c>
      <c r="AU328" t="s">
        <v>104</v>
      </c>
      <c r="AV328">
        <v>0</v>
      </c>
      <c r="AW328">
        <v>1</v>
      </c>
      <c r="AX328">
        <v>-1</v>
      </c>
      <c r="AY328">
        <v>0</v>
      </c>
      <c r="AZ328">
        <v>0</v>
      </c>
      <c r="BA328" t="s">
        <v>3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ROUND(Y328*Source!I523,9)</f>
        <v>102.99999999000001</v>
      </c>
      <c r="CY328">
        <f t="shared" si="105"/>
        <v>259.97000000000003</v>
      </c>
      <c r="CZ328">
        <f t="shared" si="106"/>
        <v>26.419999999999998</v>
      </c>
      <c r="DA328">
        <f t="shared" si="107"/>
        <v>9.84</v>
      </c>
      <c r="DB328">
        <f t="shared" si="108"/>
        <v>56.11</v>
      </c>
      <c r="DC328">
        <f t="shared" si="109"/>
        <v>0</v>
      </c>
      <c r="DD328" t="s">
        <v>3</v>
      </c>
      <c r="DE328" t="s">
        <v>3</v>
      </c>
      <c r="DF328">
        <f t="shared" si="110"/>
        <v>26776.91</v>
      </c>
      <c r="DG328">
        <f t="shared" si="111"/>
        <v>0</v>
      </c>
      <c r="DH328">
        <f t="shared" si="112"/>
        <v>0</v>
      </c>
      <c r="DI328">
        <f t="shared" si="113"/>
        <v>0</v>
      </c>
      <c r="DJ328">
        <f t="shared" si="114"/>
        <v>26776.91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5">
      <c r="A329">
        <f>ROW(Source!A528)</f>
        <v>528</v>
      </c>
      <c r="B329">
        <v>57034452</v>
      </c>
      <c r="C329">
        <v>57035269</v>
      </c>
      <c r="D329">
        <v>55424304</v>
      </c>
      <c r="E329">
        <v>1081</v>
      </c>
      <c r="F329">
        <v>1</v>
      </c>
      <c r="G329">
        <v>1081</v>
      </c>
      <c r="H329">
        <v>1</v>
      </c>
      <c r="I329" t="s">
        <v>459</v>
      </c>
      <c r="J329" t="s">
        <v>3</v>
      </c>
      <c r="K329" t="s">
        <v>460</v>
      </c>
      <c r="L329">
        <v>1191</v>
      </c>
      <c r="N329">
        <v>1013</v>
      </c>
      <c r="O329" t="s">
        <v>461</v>
      </c>
      <c r="P329" t="s">
        <v>461</v>
      </c>
      <c r="Q329">
        <v>1</v>
      </c>
      <c r="W329">
        <v>0</v>
      </c>
      <c r="X329">
        <v>476480486</v>
      </c>
      <c r="Y329">
        <f>(AT329*1.2)</f>
        <v>6.4679999999999991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5.39</v>
      </c>
      <c r="AU329" t="s">
        <v>105</v>
      </c>
      <c r="AV329">
        <v>1</v>
      </c>
      <c r="AW329">
        <v>2</v>
      </c>
      <c r="AX329">
        <v>57035282</v>
      </c>
      <c r="AY329">
        <v>1</v>
      </c>
      <c r="AZ329">
        <v>0</v>
      </c>
      <c r="BA329">
        <v>339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U329">
        <f>ROUND(AT329*Source!I528*AH329*AL329,2)</f>
        <v>0</v>
      </c>
      <c r="CV329">
        <f>ROUND(Y329*Source!I528,9)</f>
        <v>19.404</v>
      </c>
      <c r="CW329">
        <v>0</v>
      </c>
      <c r="CX329">
        <f>ROUND(Y329*Source!I528,9)</f>
        <v>19.404</v>
      </c>
      <c r="CY329">
        <f>AD329</f>
        <v>0</v>
      </c>
      <c r="CZ329">
        <f>AH329</f>
        <v>0</v>
      </c>
      <c r="DA329">
        <f>AL329</f>
        <v>1</v>
      </c>
      <c r="DB329">
        <f>ROUND((ROUND(AT329*CZ329,2)*1.2),6)</f>
        <v>0</v>
      </c>
      <c r="DC329">
        <f>ROUND((ROUND(AT329*AG329,2)*1.2),6)</f>
        <v>0</v>
      </c>
      <c r="DD329" t="s">
        <v>3</v>
      </c>
      <c r="DE329" t="s">
        <v>3</v>
      </c>
      <c r="DF329">
        <f t="shared" ref="DF329:DF343" si="115">ROUND(ROUND(AE329,2)*CX329,2)</f>
        <v>0</v>
      </c>
      <c r="DG329">
        <f t="shared" si="111"/>
        <v>0</v>
      </c>
      <c r="DH329">
        <f t="shared" si="112"/>
        <v>0</v>
      </c>
      <c r="DI329">
        <f t="shared" si="113"/>
        <v>0</v>
      </c>
      <c r="DJ329">
        <f>DI329</f>
        <v>0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ROW(Source!A528)</f>
        <v>528</v>
      </c>
      <c r="B330">
        <v>57034452</v>
      </c>
      <c r="C330">
        <v>57035269</v>
      </c>
      <c r="D330">
        <v>55490209</v>
      </c>
      <c r="E330">
        <v>1</v>
      </c>
      <c r="F330">
        <v>1</v>
      </c>
      <c r="G330">
        <v>1081</v>
      </c>
      <c r="H330">
        <v>2</v>
      </c>
      <c r="I330" t="s">
        <v>462</v>
      </c>
      <c r="J330" t="s">
        <v>463</v>
      </c>
      <c r="K330" t="s">
        <v>464</v>
      </c>
      <c r="L330">
        <v>1368</v>
      </c>
      <c r="N330">
        <v>1011</v>
      </c>
      <c r="O330" t="s">
        <v>465</v>
      </c>
      <c r="P330" t="s">
        <v>465</v>
      </c>
      <c r="Q330">
        <v>1</v>
      </c>
      <c r="W330">
        <v>0</v>
      </c>
      <c r="X330">
        <v>874612079</v>
      </c>
      <c r="Y330">
        <f>(AT330*1.2)</f>
        <v>2.4E-2</v>
      </c>
      <c r="AA330">
        <v>0</v>
      </c>
      <c r="AB330">
        <v>87.01</v>
      </c>
      <c r="AC330">
        <v>13.21</v>
      </c>
      <c r="AD330">
        <v>0</v>
      </c>
      <c r="AE330">
        <v>0</v>
      </c>
      <c r="AF330">
        <v>83.1</v>
      </c>
      <c r="AG330">
        <v>12.62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0.02</v>
      </c>
      <c r="AU330" t="s">
        <v>105</v>
      </c>
      <c r="AV330">
        <v>0</v>
      </c>
      <c r="AW330">
        <v>2</v>
      </c>
      <c r="AX330">
        <v>57035283</v>
      </c>
      <c r="AY330">
        <v>1</v>
      </c>
      <c r="AZ330">
        <v>0</v>
      </c>
      <c r="BA330">
        <v>340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f>ROUND(Y330*Source!I528*DO330,9)</f>
        <v>0.90864</v>
      </c>
      <c r="CX330">
        <f>ROUND(Y330*Source!I528,9)</f>
        <v>7.1999999999999995E-2</v>
      </c>
      <c r="CY330">
        <f>AB330</f>
        <v>87.01</v>
      </c>
      <c r="CZ330">
        <f>AF330</f>
        <v>83.1</v>
      </c>
      <c r="DA330">
        <f>AJ330</f>
        <v>1</v>
      </c>
      <c r="DB330">
        <f>ROUND((ROUND(AT330*CZ330,2)*1.2),6)</f>
        <v>1.992</v>
      </c>
      <c r="DC330">
        <f>ROUND((ROUND(AT330*AG330,2)*1.2),6)</f>
        <v>0.3</v>
      </c>
      <c r="DD330" t="s">
        <v>3</v>
      </c>
      <c r="DE330" t="s">
        <v>3</v>
      </c>
      <c r="DF330">
        <f t="shared" si="115"/>
        <v>0</v>
      </c>
      <c r="DG330">
        <f t="shared" si="111"/>
        <v>5.98</v>
      </c>
      <c r="DH330">
        <f t="shared" si="112"/>
        <v>0.91</v>
      </c>
      <c r="DI330">
        <f t="shared" si="113"/>
        <v>0</v>
      </c>
      <c r="DJ330">
        <f>DG330</f>
        <v>5.98</v>
      </c>
      <c r="DK330">
        <v>0</v>
      </c>
      <c r="DL330" t="s">
        <v>466</v>
      </c>
      <c r="DM330">
        <v>0</v>
      </c>
      <c r="DN330" t="s">
        <v>461</v>
      </c>
      <c r="DO330">
        <v>12.62</v>
      </c>
    </row>
    <row r="331" spans="1:119" x14ac:dyDescent="0.25">
      <c r="A331">
        <f>ROW(Source!A528)</f>
        <v>528</v>
      </c>
      <c r="B331">
        <v>57034452</v>
      </c>
      <c r="C331">
        <v>57035269</v>
      </c>
      <c r="D331">
        <v>55489443</v>
      </c>
      <c r="E331">
        <v>1</v>
      </c>
      <c r="F331">
        <v>1</v>
      </c>
      <c r="G331">
        <v>1081</v>
      </c>
      <c r="H331">
        <v>2</v>
      </c>
      <c r="I331" t="s">
        <v>539</v>
      </c>
      <c r="J331" t="s">
        <v>540</v>
      </c>
      <c r="K331" t="s">
        <v>541</v>
      </c>
      <c r="L331">
        <v>1368</v>
      </c>
      <c r="N331">
        <v>1011</v>
      </c>
      <c r="O331" t="s">
        <v>465</v>
      </c>
      <c r="P331" t="s">
        <v>465</v>
      </c>
      <c r="Q331">
        <v>1</v>
      </c>
      <c r="W331">
        <v>0</v>
      </c>
      <c r="X331">
        <v>-44940208</v>
      </c>
      <c r="Y331">
        <f>(AT331*1.2)</f>
        <v>2.4E-2</v>
      </c>
      <c r="AA331">
        <v>0</v>
      </c>
      <c r="AB331">
        <v>187.59</v>
      </c>
      <c r="AC331">
        <v>17.73</v>
      </c>
      <c r="AD331">
        <v>0</v>
      </c>
      <c r="AE331">
        <v>0</v>
      </c>
      <c r="AF331">
        <v>179.17</v>
      </c>
      <c r="AG331">
        <v>16.93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0.02</v>
      </c>
      <c r="AU331" t="s">
        <v>105</v>
      </c>
      <c r="AV331">
        <v>0</v>
      </c>
      <c r="AW331">
        <v>2</v>
      </c>
      <c r="AX331">
        <v>57035284</v>
      </c>
      <c r="AY331">
        <v>1</v>
      </c>
      <c r="AZ331">
        <v>0</v>
      </c>
      <c r="BA331">
        <v>341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f>ROUND(Y331*Source!I528*DO331,9)</f>
        <v>1.21896</v>
      </c>
      <c r="CX331">
        <f>ROUND(Y331*Source!I528,9)</f>
        <v>7.1999999999999995E-2</v>
      </c>
      <c r="CY331">
        <f>AB331</f>
        <v>187.59</v>
      </c>
      <c r="CZ331">
        <f>AF331</f>
        <v>179.17</v>
      </c>
      <c r="DA331">
        <f>AJ331</f>
        <v>1</v>
      </c>
      <c r="DB331">
        <f>ROUND((ROUND(AT331*CZ331,2)*1.2),6)</f>
        <v>4.2960000000000003</v>
      </c>
      <c r="DC331">
        <f>ROUND((ROUND(AT331*AG331,2)*1.2),6)</f>
        <v>0.40799999999999997</v>
      </c>
      <c r="DD331" t="s">
        <v>3</v>
      </c>
      <c r="DE331" t="s">
        <v>3</v>
      </c>
      <c r="DF331">
        <f t="shared" si="115"/>
        <v>0</v>
      </c>
      <c r="DG331">
        <f t="shared" si="111"/>
        <v>12.9</v>
      </c>
      <c r="DH331">
        <f t="shared" si="112"/>
        <v>1.22</v>
      </c>
      <c r="DI331">
        <f t="shared" si="113"/>
        <v>0</v>
      </c>
      <c r="DJ331">
        <f>DG331</f>
        <v>12.9</v>
      </c>
      <c r="DK331">
        <v>0</v>
      </c>
      <c r="DL331" t="s">
        <v>466</v>
      </c>
      <c r="DM331">
        <v>0</v>
      </c>
      <c r="DN331" t="s">
        <v>461</v>
      </c>
      <c r="DO331">
        <v>16.93</v>
      </c>
    </row>
    <row r="332" spans="1:119" x14ac:dyDescent="0.25">
      <c r="A332">
        <f>ROW(Source!A528)</f>
        <v>528</v>
      </c>
      <c r="B332">
        <v>57034452</v>
      </c>
      <c r="C332">
        <v>57035269</v>
      </c>
      <c r="D332">
        <v>55460033</v>
      </c>
      <c r="E332">
        <v>1</v>
      </c>
      <c r="F332">
        <v>1</v>
      </c>
      <c r="G332">
        <v>1081</v>
      </c>
      <c r="H332">
        <v>3</v>
      </c>
      <c r="I332" t="s">
        <v>542</v>
      </c>
      <c r="J332" t="s">
        <v>543</v>
      </c>
      <c r="K332" t="s">
        <v>544</v>
      </c>
      <c r="L332">
        <v>1346</v>
      </c>
      <c r="N332">
        <v>1009</v>
      </c>
      <c r="O332" t="s">
        <v>433</v>
      </c>
      <c r="P332" t="s">
        <v>433</v>
      </c>
      <c r="Q332">
        <v>1</v>
      </c>
      <c r="W332">
        <v>0</v>
      </c>
      <c r="X332">
        <v>-1364668115</v>
      </c>
      <c r="Y332">
        <f t="shared" ref="Y332:Y340" si="116">(AT332*1)</f>
        <v>0.6</v>
      </c>
      <c r="AA332">
        <v>1.38</v>
      </c>
      <c r="AB332">
        <v>0</v>
      </c>
      <c r="AC332">
        <v>0</v>
      </c>
      <c r="AD332">
        <v>0</v>
      </c>
      <c r="AE332">
        <v>1.38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0.6</v>
      </c>
      <c r="AU332" t="s">
        <v>104</v>
      </c>
      <c r="AV332">
        <v>0</v>
      </c>
      <c r="AW332">
        <v>2</v>
      </c>
      <c r="AX332">
        <v>57035285</v>
      </c>
      <c r="AY332">
        <v>1</v>
      </c>
      <c r="AZ332">
        <v>0</v>
      </c>
      <c r="BA332">
        <v>342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ROUND(Y332*Source!I528,9)</f>
        <v>1.8</v>
      </c>
      <c r="CY332">
        <f t="shared" ref="CY332:CY340" si="117">AA332</f>
        <v>1.38</v>
      </c>
      <c r="CZ332">
        <f t="shared" ref="CZ332:CZ340" si="118">AE332</f>
        <v>1.38</v>
      </c>
      <c r="DA332">
        <f t="shared" ref="DA332:DA340" si="119">AI332</f>
        <v>1</v>
      </c>
      <c r="DB332">
        <f t="shared" ref="DB332:DB340" si="120">ROUND((ROUND(AT332*CZ332,2)*1),6)</f>
        <v>0.83</v>
      </c>
      <c r="DC332">
        <f t="shared" ref="DC332:DC340" si="121">ROUND((ROUND(AT332*AG332,2)*1),6)</f>
        <v>0</v>
      </c>
      <c r="DD332" t="s">
        <v>3</v>
      </c>
      <c r="DE332" t="s">
        <v>3</v>
      </c>
      <c r="DF332">
        <f t="shared" si="115"/>
        <v>2.48</v>
      </c>
      <c r="DG332">
        <f t="shared" si="111"/>
        <v>0</v>
      </c>
      <c r="DH332">
        <f t="shared" si="112"/>
        <v>0</v>
      </c>
      <c r="DI332">
        <f t="shared" si="113"/>
        <v>0</v>
      </c>
      <c r="DJ332">
        <f t="shared" ref="DJ332:DJ340" si="122">DF332</f>
        <v>2.48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5">
      <c r="A333">
        <f>ROW(Source!A528)</f>
        <v>528</v>
      </c>
      <c r="B333">
        <v>57034452</v>
      </c>
      <c r="C333">
        <v>57035269</v>
      </c>
      <c r="D333">
        <v>55460424</v>
      </c>
      <c r="E333">
        <v>1</v>
      </c>
      <c r="F333">
        <v>1</v>
      </c>
      <c r="G333">
        <v>1081</v>
      </c>
      <c r="H333">
        <v>3</v>
      </c>
      <c r="I333" t="s">
        <v>545</v>
      </c>
      <c r="J333" t="s">
        <v>546</v>
      </c>
      <c r="K333" t="s">
        <v>547</v>
      </c>
      <c r="L333">
        <v>1346</v>
      </c>
      <c r="N333">
        <v>1009</v>
      </c>
      <c r="O333" t="s">
        <v>433</v>
      </c>
      <c r="P333" t="s">
        <v>433</v>
      </c>
      <c r="Q333">
        <v>1</v>
      </c>
      <c r="W333">
        <v>0</v>
      </c>
      <c r="X333">
        <v>1309298634</v>
      </c>
      <c r="Y333">
        <f t="shared" si="116"/>
        <v>0.16</v>
      </c>
      <c r="AA333">
        <v>159.06</v>
      </c>
      <c r="AB333">
        <v>0</v>
      </c>
      <c r="AC333">
        <v>0</v>
      </c>
      <c r="AD333">
        <v>0</v>
      </c>
      <c r="AE333">
        <v>159.06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0.16</v>
      </c>
      <c r="AU333" t="s">
        <v>104</v>
      </c>
      <c r="AV333">
        <v>0</v>
      </c>
      <c r="AW333">
        <v>2</v>
      </c>
      <c r="AX333">
        <v>57035286</v>
      </c>
      <c r="AY333">
        <v>1</v>
      </c>
      <c r="AZ333">
        <v>0</v>
      </c>
      <c r="BA333">
        <v>343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ROUND(Y333*Source!I528,9)</f>
        <v>0.48</v>
      </c>
      <c r="CY333">
        <f t="shared" si="117"/>
        <v>159.06</v>
      </c>
      <c r="CZ333">
        <f t="shared" si="118"/>
        <v>159.06</v>
      </c>
      <c r="DA333">
        <f t="shared" si="119"/>
        <v>1</v>
      </c>
      <c r="DB333">
        <f t="shared" si="120"/>
        <v>25.45</v>
      </c>
      <c r="DC333">
        <f t="shared" si="121"/>
        <v>0</v>
      </c>
      <c r="DD333" t="s">
        <v>3</v>
      </c>
      <c r="DE333" t="s">
        <v>3</v>
      </c>
      <c r="DF333">
        <f t="shared" si="115"/>
        <v>76.349999999999994</v>
      </c>
      <c r="DG333">
        <f t="shared" si="111"/>
        <v>0</v>
      </c>
      <c r="DH333">
        <f t="shared" si="112"/>
        <v>0</v>
      </c>
      <c r="DI333">
        <f t="shared" si="113"/>
        <v>0</v>
      </c>
      <c r="DJ333">
        <f t="shared" si="122"/>
        <v>76.349999999999994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5">
      <c r="A334">
        <f>ROW(Source!A528)</f>
        <v>528</v>
      </c>
      <c r="B334">
        <v>57034452</v>
      </c>
      <c r="C334">
        <v>57035269</v>
      </c>
      <c r="D334">
        <v>55482506</v>
      </c>
      <c r="E334">
        <v>1</v>
      </c>
      <c r="F334">
        <v>1</v>
      </c>
      <c r="G334">
        <v>1081</v>
      </c>
      <c r="H334">
        <v>3</v>
      </c>
      <c r="I334" t="s">
        <v>560</v>
      </c>
      <c r="J334" t="s">
        <v>561</v>
      </c>
      <c r="K334" t="s">
        <v>562</v>
      </c>
      <c r="L334">
        <v>1355</v>
      </c>
      <c r="N334">
        <v>1010</v>
      </c>
      <c r="O334" t="s">
        <v>414</v>
      </c>
      <c r="P334" t="s">
        <v>414</v>
      </c>
      <c r="Q334">
        <v>100</v>
      </c>
      <c r="W334">
        <v>0</v>
      </c>
      <c r="X334">
        <v>-1805909399</v>
      </c>
      <c r="Y334">
        <f t="shared" si="116"/>
        <v>0.05</v>
      </c>
      <c r="AA334">
        <v>130.15</v>
      </c>
      <c r="AB334">
        <v>0</v>
      </c>
      <c r="AC334">
        <v>0</v>
      </c>
      <c r="AD334">
        <v>0</v>
      </c>
      <c r="AE334">
        <v>130.15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-2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0.05</v>
      </c>
      <c r="AU334" t="s">
        <v>104</v>
      </c>
      <c r="AV334">
        <v>0</v>
      </c>
      <c r="AW334">
        <v>2</v>
      </c>
      <c r="AX334">
        <v>57035287</v>
      </c>
      <c r="AY334">
        <v>1</v>
      </c>
      <c r="AZ334">
        <v>0</v>
      </c>
      <c r="BA334">
        <v>344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ROUND(Y334*Source!I528,9)</f>
        <v>0.15</v>
      </c>
      <c r="CY334">
        <f t="shared" si="117"/>
        <v>130.15</v>
      </c>
      <c r="CZ334">
        <f t="shared" si="118"/>
        <v>130.15</v>
      </c>
      <c r="DA334">
        <f t="shared" si="119"/>
        <v>1</v>
      </c>
      <c r="DB334">
        <f t="shared" si="120"/>
        <v>6.51</v>
      </c>
      <c r="DC334">
        <f t="shared" si="121"/>
        <v>0</v>
      </c>
      <c r="DD334" t="s">
        <v>3</v>
      </c>
      <c r="DE334" t="s">
        <v>3</v>
      </c>
      <c r="DF334">
        <f t="shared" si="115"/>
        <v>19.52</v>
      </c>
      <c r="DG334">
        <f t="shared" si="111"/>
        <v>0</v>
      </c>
      <c r="DH334">
        <f t="shared" si="112"/>
        <v>0</v>
      </c>
      <c r="DI334">
        <f t="shared" si="113"/>
        <v>0</v>
      </c>
      <c r="DJ334">
        <f t="shared" si="122"/>
        <v>19.52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ROW(Source!A528)</f>
        <v>528</v>
      </c>
      <c r="B335">
        <v>57034452</v>
      </c>
      <c r="C335">
        <v>57035269</v>
      </c>
      <c r="D335">
        <v>55482517</v>
      </c>
      <c r="E335">
        <v>1</v>
      </c>
      <c r="F335">
        <v>1</v>
      </c>
      <c r="G335">
        <v>1081</v>
      </c>
      <c r="H335">
        <v>3</v>
      </c>
      <c r="I335" t="s">
        <v>563</v>
      </c>
      <c r="J335" t="s">
        <v>564</v>
      </c>
      <c r="K335" t="s">
        <v>565</v>
      </c>
      <c r="L335">
        <v>1356</v>
      </c>
      <c r="N335">
        <v>1010</v>
      </c>
      <c r="O335" t="s">
        <v>382</v>
      </c>
      <c r="P335" t="s">
        <v>382</v>
      </c>
      <c r="Q335">
        <v>1000</v>
      </c>
      <c r="W335">
        <v>0</v>
      </c>
      <c r="X335">
        <v>1304193837</v>
      </c>
      <c r="Y335">
        <f t="shared" si="116"/>
        <v>1.2200000000000001E-2</v>
      </c>
      <c r="AA335">
        <v>226.86</v>
      </c>
      <c r="AB335">
        <v>0</v>
      </c>
      <c r="AC335">
        <v>0</v>
      </c>
      <c r="AD335">
        <v>0</v>
      </c>
      <c r="AE335">
        <v>226.86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1.2200000000000001E-2</v>
      </c>
      <c r="AU335" t="s">
        <v>104</v>
      </c>
      <c r="AV335">
        <v>0</v>
      </c>
      <c r="AW335">
        <v>2</v>
      </c>
      <c r="AX335">
        <v>57035288</v>
      </c>
      <c r="AY335">
        <v>1</v>
      </c>
      <c r="AZ335">
        <v>0</v>
      </c>
      <c r="BA335">
        <v>345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ROUND(Y335*Source!I528,9)</f>
        <v>3.6600000000000001E-2</v>
      </c>
      <c r="CY335">
        <f t="shared" si="117"/>
        <v>226.86</v>
      </c>
      <c r="CZ335">
        <f t="shared" si="118"/>
        <v>226.86</v>
      </c>
      <c r="DA335">
        <f t="shared" si="119"/>
        <v>1</v>
      </c>
      <c r="DB335">
        <f t="shared" si="120"/>
        <v>2.77</v>
      </c>
      <c r="DC335">
        <f t="shared" si="121"/>
        <v>0</v>
      </c>
      <c r="DD335" t="s">
        <v>3</v>
      </c>
      <c r="DE335" t="s">
        <v>3</v>
      </c>
      <c r="DF335">
        <f t="shared" si="115"/>
        <v>8.3000000000000007</v>
      </c>
      <c r="DG335">
        <f t="shared" si="111"/>
        <v>0</v>
      </c>
      <c r="DH335">
        <f t="shared" si="112"/>
        <v>0</v>
      </c>
      <c r="DI335">
        <f t="shared" si="113"/>
        <v>0</v>
      </c>
      <c r="DJ335">
        <f t="shared" si="122"/>
        <v>8.3000000000000007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5">
      <c r="A336">
        <f>ROW(Source!A528)</f>
        <v>528</v>
      </c>
      <c r="B336">
        <v>57034452</v>
      </c>
      <c r="C336">
        <v>57035269</v>
      </c>
      <c r="D336">
        <v>55481842</v>
      </c>
      <c r="E336">
        <v>1</v>
      </c>
      <c r="F336">
        <v>1</v>
      </c>
      <c r="G336">
        <v>1081</v>
      </c>
      <c r="H336">
        <v>3</v>
      </c>
      <c r="I336" t="s">
        <v>554</v>
      </c>
      <c r="J336" t="s">
        <v>555</v>
      </c>
      <c r="K336" t="s">
        <v>556</v>
      </c>
      <c r="L336">
        <v>1354</v>
      </c>
      <c r="N336">
        <v>1010</v>
      </c>
      <c r="O336" t="s">
        <v>177</v>
      </c>
      <c r="P336" t="s">
        <v>177</v>
      </c>
      <c r="Q336">
        <v>1</v>
      </c>
      <c r="W336">
        <v>0</v>
      </c>
      <c r="X336">
        <v>-1424681180</v>
      </c>
      <c r="Y336">
        <f t="shared" si="116"/>
        <v>3.1</v>
      </c>
      <c r="AA336">
        <v>6.94</v>
      </c>
      <c r="AB336">
        <v>0</v>
      </c>
      <c r="AC336">
        <v>0</v>
      </c>
      <c r="AD336">
        <v>0</v>
      </c>
      <c r="AE336">
        <v>6.94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-2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3.1</v>
      </c>
      <c r="AU336" t="s">
        <v>104</v>
      </c>
      <c r="AV336">
        <v>0</v>
      </c>
      <c r="AW336">
        <v>2</v>
      </c>
      <c r="AX336">
        <v>57035289</v>
      </c>
      <c r="AY336">
        <v>1</v>
      </c>
      <c r="AZ336">
        <v>0</v>
      </c>
      <c r="BA336">
        <v>346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ROUND(Y336*Source!I528,9)</f>
        <v>9.3000000000000007</v>
      </c>
      <c r="CY336">
        <f t="shared" si="117"/>
        <v>6.94</v>
      </c>
      <c r="CZ336">
        <f t="shared" si="118"/>
        <v>6.94</v>
      </c>
      <c r="DA336">
        <f t="shared" si="119"/>
        <v>1</v>
      </c>
      <c r="DB336">
        <f t="shared" si="120"/>
        <v>21.51</v>
      </c>
      <c r="DC336">
        <f t="shared" si="121"/>
        <v>0</v>
      </c>
      <c r="DD336" t="s">
        <v>3</v>
      </c>
      <c r="DE336" t="s">
        <v>3</v>
      </c>
      <c r="DF336">
        <f t="shared" si="115"/>
        <v>64.540000000000006</v>
      </c>
      <c r="DG336">
        <f t="shared" si="111"/>
        <v>0</v>
      </c>
      <c r="DH336">
        <f t="shared" si="112"/>
        <v>0</v>
      </c>
      <c r="DI336">
        <f t="shared" si="113"/>
        <v>0</v>
      </c>
      <c r="DJ336">
        <f t="shared" si="122"/>
        <v>64.540000000000006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5">
      <c r="A337">
        <f>ROW(Source!A528)</f>
        <v>528</v>
      </c>
      <c r="B337">
        <v>57034452</v>
      </c>
      <c r="C337">
        <v>57035269</v>
      </c>
      <c r="D337">
        <v>55481850</v>
      </c>
      <c r="E337">
        <v>1</v>
      </c>
      <c r="F337">
        <v>1</v>
      </c>
      <c r="G337">
        <v>1081</v>
      </c>
      <c r="H337">
        <v>3</v>
      </c>
      <c r="I337" t="s">
        <v>566</v>
      </c>
      <c r="J337" t="s">
        <v>567</v>
      </c>
      <c r="K337" t="s">
        <v>568</v>
      </c>
      <c r="L337">
        <v>1356</v>
      </c>
      <c r="N337">
        <v>1010</v>
      </c>
      <c r="O337" t="s">
        <v>382</v>
      </c>
      <c r="P337" t="s">
        <v>382</v>
      </c>
      <c r="Q337">
        <v>1000</v>
      </c>
      <c r="W337">
        <v>0</v>
      </c>
      <c r="X337">
        <v>1020131354</v>
      </c>
      <c r="Y337">
        <f t="shared" si="116"/>
        <v>8.0000000000000002E-3</v>
      </c>
      <c r="AA337">
        <v>614.09</v>
      </c>
      <c r="AB337">
        <v>0</v>
      </c>
      <c r="AC337">
        <v>0</v>
      </c>
      <c r="AD337">
        <v>0</v>
      </c>
      <c r="AE337">
        <v>614.09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-2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8.0000000000000002E-3</v>
      </c>
      <c r="AU337" t="s">
        <v>104</v>
      </c>
      <c r="AV337">
        <v>0</v>
      </c>
      <c r="AW337">
        <v>2</v>
      </c>
      <c r="AX337">
        <v>57035290</v>
      </c>
      <c r="AY337">
        <v>1</v>
      </c>
      <c r="AZ337">
        <v>0</v>
      </c>
      <c r="BA337">
        <v>347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ROUND(Y337*Source!I528,9)</f>
        <v>2.4E-2</v>
      </c>
      <c r="CY337">
        <f t="shared" si="117"/>
        <v>614.09</v>
      </c>
      <c r="CZ337">
        <f t="shared" si="118"/>
        <v>614.09</v>
      </c>
      <c r="DA337">
        <f t="shared" si="119"/>
        <v>1</v>
      </c>
      <c r="DB337">
        <f t="shared" si="120"/>
        <v>4.91</v>
      </c>
      <c r="DC337">
        <f t="shared" si="121"/>
        <v>0</v>
      </c>
      <c r="DD337" t="s">
        <v>3</v>
      </c>
      <c r="DE337" t="s">
        <v>3</v>
      </c>
      <c r="DF337">
        <f t="shared" si="115"/>
        <v>14.74</v>
      </c>
      <c r="DG337">
        <f t="shared" si="111"/>
        <v>0</v>
      </c>
      <c r="DH337">
        <f t="shared" si="112"/>
        <v>0</v>
      </c>
      <c r="DI337">
        <f t="shared" si="113"/>
        <v>0</v>
      </c>
      <c r="DJ337">
        <f t="shared" si="122"/>
        <v>14.74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5">
      <c r="A338">
        <f>ROW(Source!A528)</f>
        <v>528</v>
      </c>
      <c r="B338">
        <v>57034452</v>
      </c>
      <c r="C338">
        <v>57035269</v>
      </c>
      <c r="D338">
        <v>0</v>
      </c>
      <c r="E338">
        <v>0</v>
      </c>
      <c r="F338">
        <v>1</v>
      </c>
      <c r="G338">
        <v>1081</v>
      </c>
      <c r="H338">
        <v>3</v>
      </c>
      <c r="I338" t="s">
        <v>397</v>
      </c>
      <c r="J338" t="s">
        <v>3</v>
      </c>
      <c r="K338" t="s">
        <v>398</v>
      </c>
      <c r="L338">
        <v>2040</v>
      </c>
      <c r="N338">
        <v>1013</v>
      </c>
      <c r="O338" t="s">
        <v>390</v>
      </c>
      <c r="P338" t="s">
        <v>390</v>
      </c>
      <c r="Q338">
        <v>1</v>
      </c>
      <c r="W338">
        <v>0</v>
      </c>
      <c r="X338">
        <v>289316724</v>
      </c>
      <c r="Y338">
        <f t="shared" si="116"/>
        <v>34.3333333</v>
      </c>
      <c r="AA338">
        <v>22.33</v>
      </c>
      <c r="AB338">
        <v>0</v>
      </c>
      <c r="AC338">
        <v>0</v>
      </c>
      <c r="AD338">
        <v>0</v>
      </c>
      <c r="AE338">
        <v>22.330000000000002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 t="s">
        <v>3</v>
      </c>
      <c r="AT338">
        <v>34.3333333</v>
      </c>
      <c r="AU338" t="s">
        <v>104</v>
      </c>
      <c r="AV338">
        <v>0</v>
      </c>
      <c r="AW338">
        <v>1</v>
      </c>
      <c r="AX338">
        <v>-1</v>
      </c>
      <c r="AY338">
        <v>0</v>
      </c>
      <c r="AZ338">
        <v>0</v>
      </c>
      <c r="BA338" t="s">
        <v>3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ROUND(Y338*Source!I528,9)</f>
        <v>102.99999990000001</v>
      </c>
      <c r="CY338">
        <f t="shared" si="117"/>
        <v>22.33</v>
      </c>
      <c r="CZ338">
        <f t="shared" si="118"/>
        <v>22.330000000000002</v>
      </c>
      <c r="DA338">
        <f t="shared" si="119"/>
        <v>1</v>
      </c>
      <c r="DB338">
        <f t="shared" si="120"/>
        <v>766.66</v>
      </c>
      <c r="DC338">
        <f t="shared" si="121"/>
        <v>0</v>
      </c>
      <c r="DD338" t="s">
        <v>3</v>
      </c>
      <c r="DE338" t="s">
        <v>3</v>
      </c>
      <c r="DF338">
        <f t="shared" si="115"/>
        <v>2299.9899999999998</v>
      </c>
      <c r="DG338">
        <f t="shared" si="111"/>
        <v>0</v>
      </c>
      <c r="DH338">
        <f t="shared" si="112"/>
        <v>0</v>
      </c>
      <c r="DI338">
        <f t="shared" si="113"/>
        <v>0</v>
      </c>
      <c r="DJ338">
        <f t="shared" si="122"/>
        <v>2299.9899999999998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5">
      <c r="A339">
        <f>ROW(Source!A528)</f>
        <v>528</v>
      </c>
      <c r="B339">
        <v>57034452</v>
      </c>
      <c r="C339">
        <v>57035269</v>
      </c>
      <c r="D339">
        <v>0</v>
      </c>
      <c r="E339">
        <v>0</v>
      </c>
      <c r="F339">
        <v>1</v>
      </c>
      <c r="G339">
        <v>1081</v>
      </c>
      <c r="H339">
        <v>3</v>
      </c>
      <c r="I339" t="s">
        <v>401</v>
      </c>
      <c r="J339" t="s">
        <v>3</v>
      </c>
      <c r="K339" t="s">
        <v>402</v>
      </c>
      <c r="L339">
        <v>2040</v>
      </c>
      <c r="N339">
        <v>1013</v>
      </c>
      <c r="O339" t="s">
        <v>390</v>
      </c>
      <c r="P339" t="s">
        <v>390</v>
      </c>
      <c r="Q339">
        <v>1</v>
      </c>
      <c r="W339">
        <v>0</v>
      </c>
      <c r="X339">
        <v>-1347352361</v>
      </c>
      <c r="Y339">
        <f t="shared" si="116"/>
        <v>34.3333333</v>
      </c>
      <c r="AA339">
        <v>18.649999999999999</v>
      </c>
      <c r="AB339">
        <v>0</v>
      </c>
      <c r="AC339">
        <v>0</v>
      </c>
      <c r="AD339">
        <v>0</v>
      </c>
      <c r="AE339">
        <v>18.650000000000002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0</v>
      </c>
      <c r="AS339" t="s">
        <v>3</v>
      </c>
      <c r="AT339">
        <v>34.3333333</v>
      </c>
      <c r="AU339" t="s">
        <v>104</v>
      </c>
      <c r="AV339">
        <v>0</v>
      </c>
      <c r="AW339">
        <v>1</v>
      </c>
      <c r="AX339">
        <v>-1</v>
      </c>
      <c r="AY339">
        <v>0</v>
      </c>
      <c r="AZ339">
        <v>0</v>
      </c>
      <c r="BA339" t="s">
        <v>3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ROUND(Y339*Source!I528,9)</f>
        <v>102.99999990000001</v>
      </c>
      <c r="CY339">
        <f t="shared" si="117"/>
        <v>18.649999999999999</v>
      </c>
      <c r="CZ339">
        <f t="shared" si="118"/>
        <v>18.650000000000002</v>
      </c>
      <c r="DA339">
        <f t="shared" si="119"/>
        <v>1</v>
      </c>
      <c r="DB339">
        <f t="shared" si="120"/>
        <v>640.32000000000005</v>
      </c>
      <c r="DC339">
        <f t="shared" si="121"/>
        <v>0</v>
      </c>
      <c r="DD339" t="s">
        <v>3</v>
      </c>
      <c r="DE339" t="s">
        <v>3</v>
      </c>
      <c r="DF339">
        <f t="shared" si="115"/>
        <v>1920.95</v>
      </c>
      <c r="DG339">
        <f t="shared" si="111"/>
        <v>0</v>
      </c>
      <c r="DH339">
        <f t="shared" si="112"/>
        <v>0</v>
      </c>
      <c r="DI339">
        <f t="shared" si="113"/>
        <v>0</v>
      </c>
      <c r="DJ339">
        <f t="shared" si="122"/>
        <v>1920.95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ROW(Source!A528)</f>
        <v>528</v>
      </c>
      <c r="B340">
        <v>57034452</v>
      </c>
      <c r="C340">
        <v>57035269</v>
      </c>
      <c r="D340">
        <v>0</v>
      </c>
      <c r="E340">
        <v>0</v>
      </c>
      <c r="F340">
        <v>1</v>
      </c>
      <c r="G340">
        <v>1081</v>
      </c>
      <c r="H340">
        <v>3</v>
      </c>
      <c r="I340" t="s">
        <v>405</v>
      </c>
      <c r="J340" t="s">
        <v>3</v>
      </c>
      <c r="K340" t="s">
        <v>406</v>
      </c>
      <c r="L340">
        <v>2040</v>
      </c>
      <c r="N340">
        <v>1013</v>
      </c>
      <c r="O340" t="s">
        <v>390</v>
      </c>
      <c r="P340" t="s">
        <v>390</v>
      </c>
      <c r="Q340">
        <v>1</v>
      </c>
      <c r="W340">
        <v>0</v>
      </c>
      <c r="X340">
        <v>-1270377880</v>
      </c>
      <c r="Y340">
        <f t="shared" si="116"/>
        <v>34.3333333</v>
      </c>
      <c r="AA340">
        <v>21.05</v>
      </c>
      <c r="AB340">
        <v>0</v>
      </c>
      <c r="AC340">
        <v>0</v>
      </c>
      <c r="AD340">
        <v>0</v>
      </c>
      <c r="AE340">
        <v>21.05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 t="s">
        <v>3</v>
      </c>
      <c r="AT340">
        <v>34.3333333</v>
      </c>
      <c r="AU340" t="s">
        <v>104</v>
      </c>
      <c r="AV340">
        <v>0</v>
      </c>
      <c r="AW340">
        <v>1</v>
      </c>
      <c r="AX340">
        <v>-1</v>
      </c>
      <c r="AY340">
        <v>0</v>
      </c>
      <c r="AZ340">
        <v>0</v>
      </c>
      <c r="BA340" t="s">
        <v>3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ROUND(Y340*Source!I528,9)</f>
        <v>102.99999990000001</v>
      </c>
      <c r="CY340">
        <f t="shared" si="117"/>
        <v>21.05</v>
      </c>
      <c r="CZ340">
        <f t="shared" si="118"/>
        <v>21.05</v>
      </c>
      <c r="DA340">
        <f t="shared" si="119"/>
        <v>1</v>
      </c>
      <c r="DB340">
        <f t="shared" si="120"/>
        <v>722.72</v>
      </c>
      <c r="DC340">
        <f t="shared" si="121"/>
        <v>0</v>
      </c>
      <c r="DD340" t="s">
        <v>3</v>
      </c>
      <c r="DE340" t="s">
        <v>3</v>
      </c>
      <c r="DF340">
        <f t="shared" si="115"/>
        <v>2168.15</v>
      </c>
      <c r="DG340">
        <f t="shared" si="111"/>
        <v>0</v>
      </c>
      <c r="DH340">
        <f t="shared" si="112"/>
        <v>0</v>
      </c>
      <c r="DI340">
        <f t="shared" si="113"/>
        <v>0</v>
      </c>
      <c r="DJ340">
        <f t="shared" si="122"/>
        <v>2168.15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5">
      <c r="A341">
        <f>ROW(Source!A529)</f>
        <v>529</v>
      </c>
      <c r="B341">
        <v>57034454</v>
      </c>
      <c r="C341">
        <v>57035269</v>
      </c>
      <c r="D341">
        <v>55424304</v>
      </c>
      <c r="E341">
        <v>1081</v>
      </c>
      <c r="F341">
        <v>1</v>
      </c>
      <c r="G341">
        <v>1081</v>
      </c>
      <c r="H341">
        <v>1</v>
      </c>
      <c r="I341" t="s">
        <v>459</v>
      </c>
      <c r="J341" t="s">
        <v>3</v>
      </c>
      <c r="K341" t="s">
        <v>460</v>
      </c>
      <c r="L341">
        <v>1191</v>
      </c>
      <c r="N341">
        <v>1013</v>
      </c>
      <c r="O341" t="s">
        <v>461</v>
      </c>
      <c r="P341" t="s">
        <v>461</v>
      </c>
      <c r="Q341">
        <v>1</v>
      </c>
      <c r="W341">
        <v>0</v>
      </c>
      <c r="X341">
        <v>476480486</v>
      </c>
      <c r="Y341">
        <f>(AT341*1.2)</f>
        <v>6.4679999999999991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5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5.39</v>
      </c>
      <c r="AU341" t="s">
        <v>105</v>
      </c>
      <c r="AV341">
        <v>1</v>
      </c>
      <c r="AW341">
        <v>2</v>
      </c>
      <c r="AX341">
        <v>57035282</v>
      </c>
      <c r="AY341">
        <v>1</v>
      </c>
      <c r="AZ341">
        <v>0</v>
      </c>
      <c r="BA341">
        <v>349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U341">
        <f>ROUND(AT341*Source!I529*AH341*AL341,2)</f>
        <v>0</v>
      </c>
      <c r="CV341">
        <f>ROUND(Y341*Source!I529,9)</f>
        <v>19.404</v>
      </c>
      <c r="CW341">
        <v>0</v>
      </c>
      <c r="CX341">
        <f>ROUND(Y341*Source!I529,9)</f>
        <v>19.404</v>
      </c>
      <c r="CY341">
        <f>AD341</f>
        <v>0</v>
      </c>
      <c r="CZ341">
        <f>AH341</f>
        <v>0</v>
      </c>
      <c r="DA341">
        <f>AL341</f>
        <v>1</v>
      </c>
      <c r="DB341">
        <f>ROUND((ROUND(AT341*CZ341,2)*1.2),6)</f>
        <v>0</v>
      </c>
      <c r="DC341">
        <f>ROUND((ROUND(AT341*AG341,2)*1.2),6)</f>
        <v>0</v>
      </c>
      <c r="DD341" t="s">
        <v>3</v>
      </c>
      <c r="DE341" t="s">
        <v>3</v>
      </c>
      <c r="DF341">
        <f t="shared" si="115"/>
        <v>0</v>
      </c>
      <c r="DG341">
        <f t="shared" si="111"/>
        <v>0</v>
      </c>
      <c r="DH341">
        <f t="shared" si="112"/>
        <v>0</v>
      </c>
      <c r="DI341">
        <f t="shared" si="113"/>
        <v>0</v>
      </c>
      <c r="DJ341">
        <f>DI341</f>
        <v>0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5">
      <c r="A342">
        <f>ROW(Source!A529)</f>
        <v>529</v>
      </c>
      <c r="B342">
        <v>57034454</v>
      </c>
      <c r="C342">
        <v>57035269</v>
      </c>
      <c r="D342">
        <v>55490209</v>
      </c>
      <c r="E342">
        <v>1</v>
      </c>
      <c r="F342">
        <v>1</v>
      </c>
      <c r="G342">
        <v>1081</v>
      </c>
      <c r="H342">
        <v>2</v>
      </c>
      <c r="I342" t="s">
        <v>462</v>
      </c>
      <c r="J342" t="s">
        <v>463</v>
      </c>
      <c r="K342" t="s">
        <v>464</v>
      </c>
      <c r="L342">
        <v>1368</v>
      </c>
      <c r="N342">
        <v>1011</v>
      </c>
      <c r="O342" t="s">
        <v>465</v>
      </c>
      <c r="P342" t="s">
        <v>465</v>
      </c>
      <c r="Q342">
        <v>1</v>
      </c>
      <c r="W342">
        <v>0</v>
      </c>
      <c r="X342">
        <v>874612079</v>
      </c>
      <c r="Y342">
        <f>(AT342*1.2)</f>
        <v>2.4E-2</v>
      </c>
      <c r="AA342">
        <v>0</v>
      </c>
      <c r="AB342">
        <v>1485.19</v>
      </c>
      <c r="AC342">
        <v>744.56</v>
      </c>
      <c r="AD342">
        <v>0</v>
      </c>
      <c r="AE342">
        <v>0</v>
      </c>
      <c r="AF342">
        <v>83.1</v>
      </c>
      <c r="AG342">
        <v>12.62</v>
      </c>
      <c r="AH342">
        <v>0</v>
      </c>
      <c r="AI342">
        <v>1</v>
      </c>
      <c r="AJ342">
        <v>17.07</v>
      </c>
      <c r="AK342">
        <v>56.35</v>
      </c>
      <c r="AL342">
        <v>1</v>
      </c>
      <c r="AM342">
        <v>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0.02</v>
      </c>
      <c r="AU342" t="s">
        <v>105</v>
      </c>
      <c r="AV342">
        <v>0</v>
      </c>
      <c r="AW342">
        <v>2</v>
      </c>
      <c r="AX342">
        <v>57035283</v>
      </c>
      <c r="AY342">
        <v>1</v>
      </c>
      <c r="AZ342">
        <v>0</v>
      </c>
      <c r="BA342">
        <v>350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f>ROUND(Y342*Source!I529*DO342,9)</f>
        <v>0.90864</v>
      </c>
      <c r="CX342">
        <f>ROUND(Y342*Source!I529,9)</f>
        <v>7.1999999999999995E-2</v>
      </c>
      <c r="CY342">
        <f>AB342</f>
        <v>1485.19</v>
      </c>
      <c r="CZ342">
        <f>AF342</f>
        <v>83.1</v>
      </c>
      <c r="DA342">
        <f>AJ342</f>
        <v>17.07</v>
      </c>
      <c r="DB342">
        <f>ROUND((ROUND(AT342*CZ342,2)*1.2),6)</f>
        <v>1.992</v>
      </c>
      <c r="DC342">
        <f>ROUND((ROUND(AT342*AG342,2)*1.2),6)</f>
        <v>0.3</v>
      </c>
      <c r="DD342" t="s">
        <v>3</v>
      </c>
      <c r="DE342" t="s">
        <v>3</v>
      </c>
      <c r="DF342">
        <f t="shared" si="115"/>
        <v>0</v>
      </c>
      <c r="DG342">
        <f>ROUND(ROUND(AF342*AJ342,2)*CX342,2)</f>
        <v>102.13</v>
      </c>
      <c r="DH342">
        <f>ROUND(ROUND(AG342*AK342,2)*CX342,2)</f>
        <v>51.2</v>
      </c>
      <c r="DI342">
        <f t="shared" si="113"/>
        <v>0</v>
      </c>
      <c r="DJ342">
        <f>DG342</f>
        <v>102.13</v>
      </c>
      <c r="DK342">
        <v>0</v>
      </c>
      <c r="DL342" t="s">
        <v>466</v>
      </c>
      <c r="DM342">
        <v>0</v>
      </c>
      <c r="DN342" t="s">
        <v>461</v>
      </c>
      <c r="DO342">
        <v>12.62</v>
      </c>
    </row>
    <row r="343" spans="1:119" x14ac:dyDescent="0.25">
      <c r="A343">
        <f>ROW(Source!A529)</f>
        <v>529</v>
      </c>
      <c r="B343">
        <v>57034454</v>
      </c>
      <c r="C343">
        <v>57035269</v>
      </c>
      <c r="D343">
        <v>55489443</v>
      </c>
      <c r="E343">
        <v>1</v>
      </c>
      <c r="F343">
        <v>1</v>
      </c>
      <c r="G343">
        <v>1081</v>
      </c>
      <c r="H343">
        <v>2</v>
      </c>
      <c r="I343" t="s">
        <v>539</v>
      </c>
      <c r="J343" t="s">
        <v>540</v>
      </c>
      <c r="K343" t="s">
        <v>541</v>
      </c>
      <c r="L343">
        <v>1368</v>
      </c>
      <c r="N343">
        <v>1011</v>
      </c>
      <c r="O343" t="s">
        <v>465</v>
      </c>
      <c r="P343" t="s">
        <v>465</v>
      </c>
      <c r="Q343">
        <v>1</v>
      </c>
      <c r="W343">
        <v>0</v>
      </c>
      <c r="X343">
        <v>-44940208</v>
      </c>
      <c r="Y343">
        <f>(AT343*1.2)</f>
        <v>2.4E-2</v>
      </c>
      <c r="AA343">
        <v>0</v>
      </c>
      <c r="AB343">
        <v>2706.94</v>
      </c>
      <c r="AC343">
        <v>998.84</v>
      </c>
      <c r="AD343">
        <v>0</v>
      </c>
      <c r="AE343">
        <v>0</v>
      </c>
      <c r="AF343">
        <v>179.17</v>
      </c>
      <c r="AG343">
        <v>16.93</v>
      </c>
      <c r="AH343">
        <v>0</v>
      </c>
      <c r="AI343">
        <v>1</v>
      </c>
      <c r="AJ343">
        <v>14.43</v>
      </c>
      <c r="AK343">
        <v>56.35</v>
      </c>
      <c r="AL343">
        <v>1</v>
      </c>
      <c r="AM343">
        <v>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0.02</v>
      </c>
      <c r="AU343" t="s">
        <v>105</v>
      </c>
      <c r="AV343">
        <v>0</v>
      </c>
      <c r="AW343">
        <v>2</v>
      </c>
      <c r="AX343">
        <v>57035284</v>
      </c>
      <c r="AY343">
        <v>1</v>
      </c>
      <c r="AZ343">
        <v>0</v>
      </c>
      <c r="BA343">
        <v>351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f>ROUND(Y343*Source!I529*DO343,9)</f>
        <v>1.21896</v>
      </c>
      <c r="CX343">
        <f>ROUND(Y343*Source!I529,9)</f>
        <v>7.1999999999999995E-2</v>
      </c>
      <c r="CY343">
        <f>AB343</f>
        <v>2706.94</v>
      </c>
      <c r="CZ343">
        <f>AF343</f>
        <v>179.17</v>
      </c>
      <c r="DA343">
        <f>AJ343</f>
        <v>14.43</v>
      </c>
      <c r="DB343">
        <f>ROUND((ROUND(AT343*CZ343,2)*1.2),6)</f>
        <v>4.2960000000000003</v>
      </c>
      <c r="DC343">
        <f>ROUND((ROUND(AT343*AG343,2)*1.2),6)</f>
        <v>0.40799999999999997</v>
      </c>
      <c r="DD343" t="s">
        <v>3</v>
      </c>
      <c r="DE343" t="s">
        <v>3</v>
      </c>
      <c r="DF343">
        <f t="shared" si="115"/>
        <v>0</v>
      </c>
      <c r="DG343">
        <f>ROUND(ROUND(AF343*AJ343,2)*CX343,2)</f>
        <v>186.15</v>
      </c>
      <c r="DH343">
        <f>ROUND(ROUND(AG343*AK343,2)*CX343,2)</f>
        <v>68.69</v>
      </c>
      <c r="DI343">
        <f t="shared" si="113"/>
        <v>0</v>
      </c>
      <c r="DJ343">
        <f>DG343</f>
        <v>186.15</v>
      </c>
      <c r="DK343">
        <v>0</v>
      </c>
      <c r="DL343" t="s">
        <v>466</v>
      </c>
      <c r="DM343">
        <v>0</v>
      </c>
      <c r="DN343" t="s">
        <v>461</v>
      </c>
      <c r="DO343">
        <v>16.93</v>
      </c>
    </row>
    <row r="344" spans="1:119" x14ac:dyDescent="0.25">
      <c r="A344">
        <f>ROW(Source!A529)</f>
        <v>529</v>
      </c>
      <c r="B344">
        <v>57034454</v>
      </c>
      <c r="C344">
        <v>57035269</v>
      </c>
      <c r="D344">
        <v>55460033</v>
      </c>
      <c r="E344">
        <v>1</v>
      </c>
      <c r="F344">
        <v>1</v>
      </c>
      <c r="G344">
        <v>1081</v>
      </c>
      <c r="H344">
        <v>3</v>
      </c>
      <c r="I344" t="s">
        <v>542</v>
      </c>
      <c r="J344" t="s">
        <v>543</v>
      </c>
      <c r="K344" t="s">
        <v>544</v>
      </c>
      <c r="L344">
        <v>1346</v>
      </c>
      <c r="N344">
        <v>1009</v>
      </c>
      <c r="O344" t="s">
        <v>433</v>
      </c>
      <c r="P344" t="s">
        <v>433</v>
      </c>
      <c r="Q344">
        <v>1</v>
      </c>
      <c r="W344">
        <v>0</v>
      </c>
      <c r="X344">
        <v>-1364668115</v>
      </c>
      <c r="Y344">
        <f t="shared" ref="Y344:Y352" si="123">(AT344*1)</f>
        <v>0.6</v>
      </c>
      <c r="AA344">
        <v>33.64</v>
      </c>
      <c r="AB344">
        <v>0</v>
      </c>
      <c r="AC344">
        <v>0</v>
      </c>
      <c r="AD344">
        <v>0</v>
      </c>
      <c r="AE344">
        <v>1.38</v>
      </c>
      <c r="AF344">
        <v>0</v>
      </c>
      <c r="AG344">
        <v>0</v>
      </c>
      <c r="AH344">
        <v>0</v>
      </c>
      <c r="AI344">
        <v>24.38</v>
      </c>
      <c r="AJ344">
        <v>1</v>
      </c>
      <c r="AK344">
        <v>1</v>
      </c>
      <c r="AL344">
        <v>1</v>
      </c>
      <c r="AM344">
        <v>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0.6</v>
      </c>
      <c r="AU344" t="s">
        <v>104</v>
      </c>
      <c r="AV344">
        <v>0</v>
      </c>
      <c r="AW344">
        <v>2</v>
      </c>
      <c r="AX344">
        <v>57035285</v>
      </c>
      <c r="AY344">
        <v>1</v>
      </c>
      <c r="AZ344">
        <v>0</v>
      </c>
      <c r="BA344">
        <v>352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ROUND(Y344*Source!I529,9)</f>
        <v>1.8</v>
      </c>
      <c r="CY344">
        <f t="shared" ref="CY344:CY352" si="124">AA344</f>
        <v>33.64</v>
      </c>
      <c r="CZ344">
        <f t="shared" ref="CZ344:CZ352" si="125">AE344</f>
        <v>1.38</v>
      </c>
      <c r="DA344">
        <f t="shared" ref="DA344:DA352" si="126">AI344</f>
        <v>24.38</v>
      </c>
      <c r="DB344">
        <f t="shared" ref="DB344:DB352" si="127">ROUND((ROUND(AT344*CZ344,2)*1),6)</f>
        <v>0.83</v>
      </c>
      <c r="DC344">
        <f t="shared" ref="DC344:DC352" si="128">ROUND((ROUND(AT344*AG344,2)*1),6)</f>
        <v>0</v>
      </c>
      <c r="DD344" t="s">
        <v>3</v>
      </c>
      <c r="DE344" t="s">
        <v>3</v>
      </c>
      <c r="DF344">
        <f t="shared" ref="DF344:DF352" si="129">ROUND(ROUND(AE344*AI344,2)*CX344,2)</f>
        <v>60.55</v>
      </c>
      <c r="DG344">
        <f t="shared" ref="DG344:DG362" si="130">ROUND(ROUND(AF344,2)*CX344,2)</f>
        <v>0</v>
      </c>
      <c r="DH344">
        <f t="shared" ref="DH344:DH362" si="131">ROUND(ROUND(AG344,2)*CX344,2)</f>
        <v>0</v>
      </c>
      <c r="DI344">
        <f t="shared" si="113"/>
        <v>0</v>
      </c>
      <c r="DJ344">
        <f t="shared" ref="DJ344:DJ352" si="132">DF344</f>
        <v>60.55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5">
      <c r="A345">
        <f>ROW(Source!A529)</f>
        <v>529</v>
      </c>
      <c r="B345">
        <v>57034454</v>
      </c>
      <c r="C345">
        <v>57035269</v>
      </c>
      <c r="D345">
        <v>55460424</v>
      </c>
      <c r="E345">
        <v>1</v>
      </c>
      <c r="F345">
        <v>1</v>
      </c>
      <c r="G345">
        <v>1081</v>
      </c>
      <c r="H345">
        <v>3</v>
      </c>
      <c r="I345" t="s">
        <v>545</v>
      </c>
      <c r="J345" t="s">
        <v>546</v>
      </c>
      <c r="K345" t="s">
        <v>547</v>
      </c>
      <c r="L345">
        <v>1346</v>
      </c>
      <c r="N345">
        <v>1009</v>
      </c>
      <c r="O345" t="s">
        <v>433</v>
      </c>
      <c r="P345" t="s">
        <v>433</v>
      </c>
      <c r="Q345">
        <v>1</v>
      </c>
      <c r="W345">
        <v>0</v>
      </c>
      <c r="X345">
        <v>1309298634</v>
      </c>
      <c r="Y345">
        <f t="shared" si="123"/>
        <v>0.16</v>
      </c>
      <c r="AA345">
        <v>286.31</v>
      </c>
      <c r="AB345">
        <v>0</v>
      </c>
      <c r="AC345">
        <v>0</v>
      </c>
      <c r="AD345">
        <v>0</v>
      </c>
      <c r="AE345">
        <v>159.06</v>
      </c>
      <c r="AF345">
        <v>0</v>
      </c>
      <c r="AG345">
        <v>0</v>
      </c>
      <c r="AH345">
        <v>0</v>
      </c>
      <c r="AI345">
        <v>1.8</v>
      </c>
      <c r="AJ345">
        <v>1</v>
      </c>
      <c r="AK345">
        <v>1</v>
      </c>
      <c r="AL345">
        <v>1</v>
      </c>
      <c r="AM345">
        <v>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0.16</v>
      </c>
      <c r="AU345" t="s">
        <v>104</v>
      </c>
      <c r="AV345">
        <v>0</v>
      </c>
      <c r="AW345">
        <v>2</v>
      </c>
      <c r="AX345">
        <v>57035286</v>
      </c>
      <c r="AY345">
        <v>1</v>
      </c>
      <c r="AZ345">
        <v>0</v>
      </c>
      <c r="BA345">
        <v>353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ROUND(Y345*Source!I529,9)</f>
        <v>0.48</v>
      </c>
      <c r="CY345">
        <f t="shared" si="124"/>
        <v>286.31</v>
      </c>
      <c r="CZ345">
        <f t="shared" si="125"/>
        <v>159.06</v>
      </c>
      <c r="DA345">
        <f t="shared" si="126"/>
        <v>1.8</v>
      </c>
      <c r="DB345">
        <f t="shared" si="127"/>
        <v>25.45</v>
      </c>
      <c r="DC345">
        <f t="shared" si="128"/>
        <v>0</v>
      </c>
      <c r="DD345" t="s">
        <v>3</v>
      </c>
      <c r="DE345" t="s">
        <v>3</v>
      </c>
      <c r="DF345">
        <f t="shared" si="129"/>
        <v>137.43</v>
      </c>
      <c r="DG345">
        <f t="shared" si="130"/>
        <v>0</v>
      </c>
      <c r="DH345">
        <f t="shared" si="131"/>
        <v>0</v>
      </c>
      <c r="DI345">
        <f t="shared" si="113"/>
        <v>0</v>
      </c>
      <c r="DJ345">
        <f t="shared" si="132"/>
        <v>137.43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ROW(Source!A529)</f>
        <v>529</v>
      </c>
      <c r="B346">
        <v>57034454</v>
      </c>
      <c r="C346">
        <v>57035269</v>
      </c>
      <c r="D346">
        <v>55482506</v>
      </c>
      <c r="E346">
        <v>1</v>
      </c>
      <c r="F346">
        <v>1</v>
      </c>
      <c r="G346">
        <v>1081</v>
      </c>
      <c r="H346">
        <v>3</v>
      </c>
      <c r="I346" t="s">
        <v>560</v>
      </c>
      <c r="J346" t="s">
        <v>561</v>
      </c>
      <c r="K346" t="s">
        <v>562</v>
      </c>
      <c r="L346">
        <v>1355</v>
      </c>
      <c r="N346">
        <v>1010</v>
      </c>
      <c r="O346" t="s">
        <v>414</v>
      </c>
      <c r="P346" t="s">
        <v>414</v>
      </c>
      <c r="Q346">
        <v>100</v>
      </c>
      <c r="W346">
        <v>0</v>
      </c>
      <c r="X346">
        <v>-1805909399</v>
      </c>
      <c r="Y346">
        <f t="shared" si="123"/>
        <v>0.05</v>
      </c>
      <c r="AA346">
        <v>2209.9499999999998</v>
      </c>
      <c r="AB346">
        <v>0</v>
      </c>
      <c r="AC346">
        <v>0</v>
      </c>
      <c r="AD346">
        <v>0</v>
      </c>
      <c r="AE346">
        <v>130.15</v>
      </c>
      <c r="AF346">
        <v>0</v>
      </c>
      <c r="AG346">
        <v>0</v>
      </c>
      <c r="AH346">
        <v>0</v>
      </c>
      <c r="AI346">
        <v>16.98</v>
      </c>
      <c r="AJ346">
        <v>1</v>
      </c>
      <c r="AK346">
        <v>1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0.05</v>
      </c>
      <c r="AU346" t="s">
        <v>104</v>
      </c>
      <c r="AV346">
        <v>0</v>
      </c>
      <c r="AW346">
        <v>2</v>
      </c>
      <c r="AX346">
        <v>57035287</v>
      </c>
      <c r="AY346">
        <v>1</v>
      </c>
      <c r="AZ346">
        <v>0</v>
      </c>
      <c r="BA346">
        <v>354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ROUND(Y346*Source!I529,9)</f>
        <v>0.15</v>
      </c>
      <c r="CY346">
        <f t="shared" si="124"/>
        <v>2209.9499999999998</v>
      </c>
      <c r="CZ346">
        <f t="shared" si="125"/>
        <v>130.15</v>
      </c>
      <c r="DA346">
        <f t="shared" si="126"/>
        <v>16.98</v>
      </c>
      <c r="DB346">
        <f t="shared" si="127"/>
        <v>6.51</v>
      </c>
      <c r="DC346">
        <f t="shared" si="128"/>
        <v>0</v>
      </c>
      <c r="DD346" t="s">
        <v>3</v>
      </c>
      <c r="DE346" t="s">
        <v>3</v>
      </c>
      <c r="DF346">
        <f t="shared" si="129"/>
        <v>331.49</v>
      </c>
      <c r="DG346">
        <f t="shared" si="130"/>
        <v>0</v>
      </c>
      <c r="DH346">
        <f t="shared" si="131"/>
        <v>0</v>
      </c>
      <c r="DI346">
        <f t="shared" si="113"/>
        <v>0</v>
      </c>
      <c r="DJ346">
        <f t="shared" si="132"/>
        <v>331.49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5">
      <c r="A347">
        <f>ROW(Source!A529)</f>
        <v>529</v>
      </c>
      <c r="B347">
        <v>57034454</v>
      </c>
      <c r="C347">
        <v>57035269</v>
      </c>
      <c r="D347">
        <v>55482517</v>
      </c>
      <c r="E347">
        <v>1</v>
      </c>
      <c r="F347">
        <v>1</v>
      </c>
      <c r="G347">
        <v>1081</v>
      </c>
      <c r="H347">
        <v>3</v>
      </c>
      <c r="I347" t="s">
        <v>563</v>
      </c>
      <c r="J347" t="s">
        <v>564</v>
      </c>
      <c r="K347" t="s">
        <v>565</v>
      </c>
      <c r="L347">
        <v>1356</v>
      </c>
      <c r="N347">
        <v>1010</v>
      </c>
      <c r="O347" t="s">
        <v>382</v>
      </c>
      <c r="P347" t="s">
        <v>382</v>
      </c>
      <c r="Q347">
        <v>1000</v>
      </c>
      <c r="W347">
        <v>0</v>
      </c>
      <c r="X347">
        <v>1304193837</v>
      </c>
      <c r="Y347">
        <f t="shared" si="123"/>
        <v>1.2200000000000001E-2</v>
      </c>
      <c r="AA347">
        <v>1556.26</v>
      </c>
      <c r="AB347">
        <v>0</v>
      </c>
      <c r="AC347">
        <v>0</v>
      </c>
      <c r="AD347">
        <v>0</v>
      </c>
      <c r="AE347">
        <v>226.86</v>
      </c>
      <c r="AF347">
        <v>0</v>
      </c>
      <c r="AG347">
        <v>0</v>
      </c>
      <c r="AH347">
        <v>0</v>
      </c>
      <c r="AI347">
        <v>6.86</v>
      </c>
      <c r="AJ347">
        <v>1</v>
      </c>
      <c r="AK347">
        <v>1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1.2200000000000001E-2</v>
      </c>
      <c r="AU347" t="s">
        <v>104</v>
      </c>
      <c r="AV347">
        <v>0</v>
      </c>
      <c r="AW347">
        <v>2</v>
      </c>
      <c r="AX347">
        <v>57035288</v>
      </c>
      <c r="AY347">
        <v>1</v>
      </c>
      <c r="AZ347">
        <v>0</v>
      </c>
      <c r="BA347">
        <v>355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ROUND(Y347*Source!I529,9)</f>
        <v>3.6600000000000001E-2</v>
      </c>
      <c r="CY347">
        <f t="shared" si="124"/>
        <v>1556.26</v>
      </c>
      <c r="CZ347">
        <f t="shared" si="125"/>
        <v>226.86</v>
      </c>
      <c r="DA347">
        <f t="shared" si="126"/>
        <v>6.86</v>
      </c>
      <c r="DB347">
        <f t="shared" si="127"/>
        <v>2.77</v>
      </c>
      <c r="DC347">
        <f t="shared" si="128"/>
        <v>0</v>
      </c>
      <c r="DD347" t="s">
        <v>3</v>
      </c>
      <c r="DE347" t="s">
        <v>3</v>
      </c>
      <c r="DF347">
        <f t="shared" si="129"/>
        <v>56.96</v>
      </c>
      <c r="DG347">
        <f t="shared" si="130"/>
        <v>0</v>
      </c>
      <c r="DH347">
        <f t="shared" si="131"/>
        <v>0</v>
      </c>
      <c r="DI347">
        <f t="shared" si="113"/>
        <v>0</v>
      </c>
      <c r="DJ347">
        <f t="shared" si="132"/>
        <v>56.96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5">
      <c r="A348">
        <f>ROW(Source!A529)</f>
        <v>529</v>
      </c>
      <c r="B348">
        <v>57034454</v>
      </c>
      <c r="C348">
        <v>57035269</v>
      </c>
      <c r="D348">
        <v>55481842</v>
      </c>
      <c r="E348">
        <v>1</v>
      </c>
      <c r="F348">
        <v>1</v>
      </c>
      <c r="G348">
        <v>1081</v>
      </c>
      <c r="H348">
        <v>3</v>
      </c>
      <c r="I348" t="s">
        <v>554</v>
      </c>
      <c r="J348" t="s">
        <v>555</v>
      </c>
      <c r="K348" t="s">
        <v>556</v>
      </c>
      <c r="L348">
        <v>1354</v>
      </c>
      <c r="N348">
        <v>1010</v>
      </c>
      <c r="O348" t="s">
        <v>177</v>
      </c>
      <c r="P348" t="s">
        <v>177</v>
      </c>
      <c r="Q348">
        <v>1</v>
      </c>
      <c r="W348">
        <v>0</v>
      </c>
      <c r="X348">
        <v>-1424681180</v>
      </c>
      <c r="Y348">
        <f t="shared" si="123"/>
        <v>3.1</v>
      </c>
      <c r="AA348">
        <v>25.33</v>
      </c>
      <c r="AB348">
        <v>0</v>
      </c>
      <c r="AC348">
        <v>0</v>
      </c>
      <c r="AD348">
        <v>0</v>
      </c>
      <c r="AE348">
        <v>6.94</v>
      </c>
      <c r="AF348">
        <v>0</v>
      </c>
      <c r="AG348">
        <v>0</v>
      </c>
      <c r="AH348">
        <v>0</v>
      </c>
      <c r="AI348">
        <v>3.65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3.1</v>
      </c>
      <c r="AU348" t="s">
        <v>104</v>
      </c>
      <c r="AV348">
        <v>0</v>
      </c>
      <c r="AW348">
        <v>2</v>
      </c>
      <c r="AX348">
        <v>57035289</v>
      </c>
      <c r="AY348">
        <v>1</v>
      </c>
      <c r="AZ348">
        <v>0</v>
      </c>
      <c r="BA348">
        <v>356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ROUND(Y348*Source!I529,9)</f>
        <v>9.3000000000000007</v>
      </c>
      <c r="CY348">
        <f t="shared" si="124"/>
        <v>25.33</v>
      </c>
      <c r="CZ348">
        <f t="shared" si="125"/>
        <v>6.94</v>
      </c>
      <c r="DA348">
        <f t="shared" si="126"/>
        <v>3.65</v>
      </c>
      <c r="DB348">
        <f t="shared" si="127"/>
        <v>21.51</v>
      </c>
      <c r="DC348">
        <f t="shared" si="128"/>
        <v>0</v>
      </c>
      <c r="DD348" t="s">
        <v>3</v>
      </c>
      <c r="DE348" t="s">
        <v>3</v>
      </c>
      <c r="DF348">
        <f t="shared" si="129"/>
        <v>235.57</v>
      </c>
      <c r="DG348">
        <f t="shared" si="130"/>
        <v>0</v>
      </c>
      <c r="DH348">
        <f t="shared" si="131"/>
        <v>0</v>
      </c>
      <c r="DI348">
        <f t="shared" si="113"/>
        <v>0</v>
      </c>
      <c r="DJ348">
        <f t="shared" si="132"/>
        <v>235.57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5">
      <c r="A349">
        <f>ROW(Source!A529)</f>
        <v>529</v>
      </c>
      <c r="B349">
        <v>57034454</v>
      </c>
      <c r="C349">
        <v>57035269</v>
      </c>
      <c r="D349">
        <v>55481850</v>
      </c>
      <c r="E349">
        <v>1</v>
      </c>
      <c r="F349">
        <v>1</v>
      </c>
      <c r="G349">
        <v>1081</v>
      </c>
      <c r="H349">
        <v>3</v>
      </c>
      <c r="I349" t="s">
        <v>566</v>
      </c>
      <c r="J349" t="s">
        <v>567</v>
      </c>
      <c r="K349" t="s">
        <v>568</v>
      </c>
      <c r="L349">
        <v>1356</v>
      </c>
      <c r="N349">
        <v>1010</v>
      </c>
      <c r="O349" t="s">
        <v>382</v>
      </c>
      <c r="P349" t="s">
        <v>382</v>
      </c>
      <c r="Q349">
        <v>1000</v>
      </c>
      <c r="W349">
        <v>0</v>
      </c>
      <c r="X349">
        <v>1020131354</v>
      </c>
      <c r="Y349">
        <f t="shared" si="123"/>
        <v>8.0000000000000002E-3</v>
      </c>
      <c r="AA349">
        <v>1197.48</v>
      </c>
      <c r="AB349">
        <v>0</v>
      </c>
      <c r="AC349">
        <v>0</v>
      </c>
      <c r="AD349">
        <v>0</v>
      </c>
      <c r="AE349">
        <v>614.09</v>
      </c>
      <c r="AF349">
        <v>0</v>
      </c>
      <c r="AG349">
        <v>0</v>
      </c>
      <c r="AH349">
        <v>0</v>
      </c>
      <c r="AI349">
        <v>1.95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8.0000000000000002E-3</v>
      </c>
      <c r="AU349" t="s">
        <v>104</v>
      </c>
      <c r="AV349">
        <v>0</v>
      </c>
      <c r="AW349">
        <v>2</v>
      </c>
      <c r="AX349">
        <v>57035290</v>
      </c>
      <c r="AY349">
        <v>1</v>
      </c>
      <c r="AZ349">
        <v>0</v>
      </c>
      <c r="BA349">
        <v>357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ROUND(Y349*Source!I529,9)</f>
        <v>2.4E-2</v>
      </c>
      <c r="CY349">
        <f t="shared" si="124"/>
        <v>1197.48</v>
      </c>
      <c r="CZ349">
        <f t="shared" si="125"/>
        <v>614.09</v>
      </c>
      <c r="DA349">
        <f t="shared" si="126"/>
        <v>1.95</v>
      </c>
      <c r="DB349">
        <f t="shared" si="127"/>
        <v>4.91</v>
      </c>
      <c r="DC349">
        <f t="shared" si="128"/>
        <v>0</v>
      </c>
      <c r="DD349" t="s">
        <v>3</v>
      </c>
      <c r="DE349" t="s">
        <v>3</v>
      </c>
      <c r="DF349">
        <f t="shared" si="129"/>
        <v>28.74</v>
      </c>
      <c r="DG349">
        <f t="shared" si="130"/>
        <v>0</v>
      </c>
      <c r="DH349">
        <f t="shared" si="131"/>
        <v>0</v>
      </c>
      <c r="DI349">
        <f t="shared" si="113"/>
        <v>0</v>
      </c>
      <c r="DJ349">
        <f t="shared" si="132"/>
        <v>28.74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5">
      <c r="A350">
        <f>ROW(Source!A529)</f>
        <v>529</v>
      </c>
      <c r="B350">
        <v>57034454</v>
      </c>
      <c r="C350">
        <v>57035269</v>
      </c>
      <c r="D350">
        <v>0</v>
      </c>
      <c r="E350">
        <v>0</v>
      </c>
      <c r="F350">
        <v>1</v>
      </c>
      <c r="G350">
        <v>1081</v>
      </c>
      <c r="H350">
        <v>3</v>
      </c>
      <c r="I350" t="s">
        <v>397</v>
      </c>
      <c r="J350" t="s">
        <v>3</v>
      </c>
      <c r="K350" t="s">
        <v>398</v>
      </c>
      <c r="L350">
        <v>2040</v>
      </c>
      <c r="N350">
        <v>1013</v>
      </c>
      <c r="O350" t="s">
        <v>390</v>
      </c>
      <c r="P350" t="s">
        <v>390</v>
      </c>
      <c r="Q350">
        <v>1</v>
      </c>
      <c r="W350">
        <v>0</v>
      </c>
      <c r="X350">
        <v>289316724</v>
      </c>
      <c r="Y350">
        <f t="shared" si="123"/>
        <v>34.3333333</v>
      </c>
      <c r="AA350">
        <v>219.73</v>
      </c>
      <c r="AB350">
        <v>0</v>
      </c>
      <c r="AC350">
        <v>0</v>
      </c>
      <c r="AD350">
        <v>0</v>
      </c>
      <c r="AE350">
        <v>22.330000000000002</v>
      </c>
      <c r="AF350">
        <v>0</v>
      </c>
      <c r="AG350">
        <v>0</v>
      </c>
      <c r="AH350">
        <v>0</v>
      </c>
      <c r="AI350">
        <v>9.84</v>
      </c>
      <c r="AJ350">
        <v>1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 t="s">
        <v>3</v>
      </c>
      <c r="AT350">
        <v>34.3333333</v>
      </c>
      <c r="AU350" t="s">
        <v>104</v>
      </c>
      <c r="AV350">
        <v>0</v>
      </c>
      <c r="AW350">
        <v>1</v>
      </c>
      <c r="AX350">
        <v>-1</v>
      </c>
      <c r="AY350">
        <v>0</v>
      </c>
      <c r="AZ350">
        <v>0</v>
      </c>
      <c r="BA350" t="s">
        <v>3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ROUND(Y350*Source!I529,9)</f>
        <v>102.99999990000001</v>
      </c>
      <c r="CY350">
        <f t="shared" si="124"/>
        <v>219.73</v>
      </c>
      <c r="CZ350">
        <f t="shared" si="125"/>
        <v>22.330000000000002</v>
      </c>
      <c r="DA350">
        <f t="shared" si="126"/>
        <v>9.84</v>
      </c>
      <c r="DB350">
        <f t="shared" si="127"/>
        <v>766.66</v>
      </c>
      <c r="DC350">
        <f t="shared" si="128"/>
        <v>0</v>
      </c>
      <c r="DD350" t="s">
        <v>3</v>
      </c>
      <c r="DE350" t="s">
        <v>3</v>
      </c>
      <c r="DF350">
        <f t="shared" si="129"/>
        <v>22632.19</v>
      </c>
      <c r="DG350">
        <f t="shared" si="130"/>
        <v>0</v>
      </c>
      <c r="DH350">
        <f t="shared" si="131"/>
        <v>0</v>
      </c>
      <c r="DI350">
        <f t="shared" si="113"/>
        <v>0</v>
      </c>
      <c r="DJ350">
        <f t="shared" si="132"/>
        <v>22632.19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ROW(Source!A529)</f>
        <v>529</v>
      </c>
      <c r="B351">
        <v>57034454</v>
      </c>
      <c r="C351">
        <v>57035269</v>
      </c>
      <c r="D351">
        <v>0</v>
      </c>
      <c r="E351">
        <v>0</v>
      </c>
      <c r="F351">
        <v>1</v>
      </c>
      <c r="G351">
        <v>1081</v>
      </c>
      <c r="H351">
        <v>3</v>
      </c>
      <c r="I351" t="s">
        <v>401</v>
      </c>
      <c r="J351" t="s">
        <v>3</v>
      </c>
      <c r="K351" t="s">
        <v>402</v>
      </c>
      <c r="L351">
        <v>2040</v>
      </c>
      <c r="N351">
        <v>1013</v>
      </c>
      <c r="O351" t="s">
        <v>390</v>
      </c>
      <c r="P351" t="s">
        <v>390</v>
      </c>
      <c r="Q351">
        <v>1</v>
      </c>
      <c r="W351">
        <v>0</v>
      </c>
      <c r="X351">
        <v>-1347352361</v>
      </c>
      <c r="Y351">
        <f t="shared" si="123"/>
        <v>34.3333333</v>
      </c>
      <c r="AA351">
        <v>183.52</v>
      </c>
      <c r="AB351">
        <v>0</v>
      </c>
      <c r="AC351">
        <v>0</v>
      </c>
      <c r="AD351">
        <v>0</v>
      </c>
      <c r="AE351">
        <v>18.650000000000002</v>
      </c>
      <c r="AF351">
        <v>0</v>
      </c>
      <c r="AG351">
        <v>0</v>
      </c>
      <c r="AH351">
        <v>0</v>
      </c>
      <c r="AI351">
        <v>9.84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 t="s">
        <v>3</v>
      </c>
      <c r="AT351">
        <v>34.3333333</v>
      </c>
      <c r="AU351" t="s">
        <v>104</v>
      </c>
      <c r="AV351">
        <v>0</v>
      </c>
      <c r="AW351">
        <v>1</v>
      </c>
      <c r="AX351">
        <v>-1</v>
      </c>
      <c r="AY351">
        <v>0</v>
      </c>
      <c r="AZ351">
        <v>0</v>
      </c>
      <c r="BA351" t="s">
        <v>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ROUND(Y351*Source!I529,9)</f>
        <v>102.99999990000001</v>
      </c>
      <c r="CY351">
        <f t="shared" si="124"/>
        <v>183.52</v>
      </c>
      <c r="CZ351">
        <f t="shared" si="125"/>
        <v>18.650000000000002</v>
      </c>
      <c r="DA351">
        <f t="shared" si="126"/>
        <v>9.84</v>
      </c>
      <c r="DB351">
        <f t="shared" si="127"/>
        <v>640.32000000000005</v>
      </c>
      <c r="DC351">
        <f t="shared" si="128"/>
        <v>0</v>
      </c>
      <c r="DD351" t="s">
        <v>3</v>
      </c>
      <c r="DE351" t="s">
        <v>3</v>
      </c>
      <c r="DF351">
        <f t="shared" si="129"/>
        <v>18902.560000000001</v>
      </c>
      <c r="DG351">
        <f t="shared" si="130"/>
        <v>0</v>
      </c>
      <c r="DH351">
        <f t="shared" si="131"/>
        <v>0</v>
      </c>
      <c r="DI351">
        <f t="shared" si="113"/>
        <v>0</v>
      </c>
      <c r="DJ351">
        <f t="shared" si="132"/>
        <v>18902.560000000001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ROW(Source!A529)</f>
        <v>529</v>
      </c>
      <c r="B352">
        <v>57034454</v>
      </c>
      <c r="C352">
        <v>57035269</v>
      </c>
      <c r="D352">
        <v>0</v>
      </c>
      <c r="E352">
        <v>0</v>
      </c>
      <c r="F352">
        <v>1</v>
      </c>
      <c r="G352">
        <v>1081</v>
      </c>
      <c r="H352">
        <v>3</v>
      </c>
      <c r="I352" t="s">
        <v>405</v>
      </c>
      <c r="J352" t="s">
        <v>3</v>
      </c>
      <c r="K352" t="s">
        <v>406</v>
      </c>
      <c r="L352">
        <v>2040</v>
      </c>
      <c r="N352">
        <v>1013</v>
      </c>
      <c r="O352" t="s">
        <v>390</v>
      </c>
      <c r="P352" t="s">
        <v>390</v>
      </c>
      <c r="Q352">
        <v>1</v>
      </c>
      <c r="W352">
        <v>0</v>
      </c>
      <c r="X352">
        <v>-1270377880</v>
      </c>
      <c r="Y352">
        <f t="shared" si="123"/>
        <v>34.3333333</v>
      </c>
      <c r="AA352">
        <v>207.13</v>
      </c>
      <c r="AB352">
        <v>0</v>
      </c>
      <c r="AC352">
        <v>0</v>
      </c>
      <c r="AD352">
        <v>0</v>
      </c>
      <c r="AE352">
        <v>21.05</v>
      </c>
      <c r="AF352">
        <v>0</v>
      </c>
      <c r="AG352">
        <v>0</v>
      </c>
      <c r="AH352">
        <v>0</v>
      </c>
      <c r="AI352">
        <v>9.84</v>
      </c>
      <c r="AJ352">
        <v>1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 t="s">
        <v>3</v>
      </c>
      <c r="AT352">
        <v>34.3333333</v>
      </c>
      <c r="AU352" t="s">
        <v>104</v>
      </c>
      <c r="AV352">
        <v>0</v>
      </c>
      <c r="AW352">
        <v>1</v>
      </c>
      <c r="AX352">
        <v>-1</v>
      </c>
      <c r="AY352">
        <v>0</v>
      </c>
      <c r="AZ352">
        <v>0</v>
      </c>
      <c r="BA352" t="s">
        <v>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ROUND(Y352*Source!I529,9)</f>
        <v>102.99999990000001</v>
      </c>
      <c r="CY352">
        <f t="shared" si="124"/>
        <v>207.13</v>
      </c>
      <c r="CZ352">
        <f t="shared" si="125"/>
        <v>21.05</v>
      </c>
      <c r="DA352">
        <f t="shared" si="126"/>
        <v>9.84</v>
      </c>
      <c r="DB352">
        <f t="shared" si="127"/>
        <v>722.72</v>
      </c>
      <c r="DC352">
        <f t="shared" si="128"/>
        <v>0</v>
      </c>
      <c r="DD352" t="s">
        <v>3</v>
      </c>
      <c r="DE352" t="s">
        <v>3</v>
      </c>
      <c r="DF352">
        <f t="shared" si="129"/>
        <v>21334.39</v>
      </c>
      <c r="DG352">
        <f t="shared" si="130"/>
        <v>0</v>
      </c>
      <c r="DH352">
        <f t="shared" si="131"/>
        <v>0</v>
      </c>
      <c r="DI352">
        <f t="shared" si="113"/>
        <v>0</v>
      </c>
      <c r="DJ352">
        <f t="shared" si="132"/>
        <v>21334.39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5">
      <c r="A353">
        <f>ROW(Source!A536)</f>
        <v>536</v>
      </c>
      <c r="B353">
        <v>57034452</v>
      </c>
      <c r="C353">
        <v>57035295</v>
      </c>
      <c r="D353">
        <v>55424304</v>
      </c>
      <c r="E353">
        <v>1081</v>
      </c>
      <c r="F353">
        <v>1</v>
      </c>
      <c r="G353">
        <v>1081</v>
      </c>
      <c r="H353">
        <v>1</v>
      </c>
      <c r="I353" t="s">
        <v>459</v>
      </c>
      <c r="J353" t="s">
        <v>3</v>
      </c>
      <c r="K353" t="s">
        <v>460</v>
      </c>
      <c r="L353">
        <v>1191</v>
      </c>
      <c r="N353">
        <v>1013</v>
      </c>
      <c r="O353" t="s">
        <v>461</v>
      </c>
      <c r="P353" t="s">
        <v>461</v>
      </c>
      <c r="Q353">
        <v>1</v>
      </c>
      <c r="W353">
        <v>0</v>
      </c>
      <c r="X353">
        <v>476480486</v>
      </c>
      <c r="Y353">
        <f>(AT353*1.2)</f>
        <v>2.1960000000000002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1.83</v>
      </c>
      <c r="AU353" t="s">
        <v>105</v>
      </c>
      <c r="AV353">
        <v>1</v>
      </c>
      <c r="AW353">
        <v>2</v>
      </c>
      <c r="AX353">
        <v>57035305</v>
      </c>
      <c r="AY353">
        <v>1</v>
      </c>
      <c r="AZ353">
        <v>0</v>
      </c>
      <c r="BA353">
        <v>359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U353">
        <f>ROUND(AT353*Source!I536*AH353*AL353,2)</f>
        <v>0</v>
      </c>
      <c r="CV353">
        <f>ROUND(Y353*Source!I536,9)</f>
        <v>93.33</v>
      </c>
      <c r="CW353">
        <v>0</v>
      </c>
      <c r="CX353">
        <f>ROUND(Y353*Source!I536,9)</f>
        <v>93.33</v>
      </c>
      <c r="CY353">
        <f>AD353</f>
        <v>0</v>
      </c>
      <c r="CZ353">
        <f>AH353</f>
        <v>0</v>
      </c>
      <c r="DA353">
        <f>AL353</f>
        <v>1</v>
      </c>
      <c r="DB353">
        <f>ROUND((ROUND(AT353*CZ353,2)*1.2),6)</f>
        <v>0</v>
      </c>
      <c r="DC353">
        <f>ROUND((ROUND(AT353*AG353,2)*1.2),6)</f>
        <v>0</v>
      </c>
      <c r="DD353" t="s">
        <v>3</v>
      </c>
      <c r="DE353" t="s">
        <v>3</v>
      </c>
      <c r="DF353">
        <f t="shared" ref="DF353:DF364" si="133">ROUND(ROUND(AE353,2)*CX353,2)</f>
        <v>0</v>
      </c>
      <c r="DG353">
        <f t="shared" si="130"/>
        <v>0</v>
      </c>
      <c r="DH353">
        <f t="shared" si="131"/>
        <v>0</v>
      </c>
      <c r="DI353">
        <f t="shared" si="113"/>
        <v>0</v>
      </c>
      <c r="DJ353">
        <f>DI353</f>
        <v>0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ROW(Source!A536)</f>
        <v>536</v>
      </c>
      <c r="B354">
        <v>57034452</v>
      </c>
      <c r="C354">
        <v>57035295</v>
      </c>
      <c r="D354">
        <v>55490209</v>
      </c>
      <c r="E354">
        <v>1</v>
      </c>
      <c r="F354">
        <v>1</v>
      </c>
      <c r="G354">
        <v>1081</v>
      </c>
      <c r="H354">
        <v>2</v>
      </c>
      <c r="I354" t="s">
        <v>462</v>
      </c>
      <c r="J354" t="s">
        <v>463</v>
      </c>
      <c r="K354" t="s">
        <v>464</v>
      </c>
      <c r="L354">
        <v>1368</v>
      </c>
      <c r="N354">
        <v>1011</v>
      </c>
      <c r="O354" t="s">
        <v>465</v>
      </c>
      <c r="P354" t="s">
        <v>465</v>
      </c>
      <c r="Q354">
        <v>1</v>
      </c>
      <c r="W354">
        <v>0</v>
      </c>
      <c r="X354">
        <v>874612079</v>
      </c>
      <c r="Y354">
        <f>(AT354*1.2)</f>
        <v>1.2E-2</v>
      </c>
      <c r="AA354">
        <v>0</v>
      </c>
      <c r="AB354">
        <v>87.01</v>
      </c>
      <c r="AC354">
        <v>13.21</v>
      </c>
      <c r="AD354">
        <v>0</v>
      </c>
      <c r="AE354">
        <v>0</v>
      </c>
      <c r="AF354">
        <v>83.1</v>
      </c>
      <c r="AG354">
        <v>12.62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-2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0.01</v>
      </c>
      <c r="AU354" t="s">
        <v>105</v>
      </c>
      <c r="AV354">
        <v>0</v>
      </c>
      <c r="AW354">
        <v>2</v>
      </c>
      <c r="AX354">
        <v>57035306</v>
      </c>
      <c r="AY354">
        <v>1</v>
      </c>
      <c r="AZ354">
        <v>0</v>
      </c>
      <c r="BA354">
        <v>360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f>ROUND(Y354*Source!I536*DO354,9)</f>
        <v>6.4362000000000004</v>
      </c>
      <c r="CX354">
        <f>ROUND(Y354*Source!I536,9)</f>
        <v>0.51</v>
      </c>
      <c r="CY354">
        <f>AB354</f>
        <v>87.01</v>
      </c>
      <c r="CZ354">
        <f>AF354</f>
        <v>83.1</v>
      </c>
      <c r="DA354">
        <f>AJ354</f>
        <v>1</v>
      </c>
      <c r="DB354">
        <f>ROUND((ROUND(AT354*CZ354,2)*1.2),6)</f>
        <v>0.996</v>
      </c>
      <c r="DC354">
        <f>ROUND((ROUND(AT354*AG354,2)*1.2),6)</f>
        <v>0.156</v>
      </c>
      <c r="DD354" t="s">
        <v>3</v>
      </c>
      <c r="DE354" t="s">
        <v>3</v>
      </c>
      <c r="DF354">
        <f t="shared" si="133"/>
        <v>0</v>
      </c>
      <c r="DG354">
        <f t="shared" si="130"/>
        <v>42.38</v>
      </c>
      <c r="DH354">
        <f t="shared" si="131"/>
        <v>6.44</v>
      </c>
      <c r="DI354">
        <f t="shared" si="113"/>
        <v>0</v>
      </c>
      <c r="DJ354">
        <f>DG354</f>
        <v>42.38</v>
      </c>
      <c r="DK354">
        <v>0</v>
      </c>
      <c r="DL354" t="s">
        <v>466</v>
      </c>
      <c r="DM354">
        <v>0</v>
      </c>
      <c r="DN354" t="s">
        <v>461</v>
      </c>
      <c r="DO354">
        <v>12.62</v>
      </c>
    </row>
    <row r="355" spans="1:119" x14ac:dyDescent="0.25">
      <c r="A355">
        <f>ROW(Source!A536)</f>
        <v>536</v>
      </c>
      <c r="B355">
        <v>57034452</v>
      </c>
      <c r="C355">
        <v>57035295</v>
      </c>
      <c r="D355">
        <v>55489443</v>
      </c>
      <c r="E355">
        <v>1</v>
      </c>
      <c r="F355">
        <v>1</v>
      </c>
      <c r="G355">
        <v>1081</v>
      </c>
      <c r="H355">
        <v>2</v>
      </c>
      <c r="I355" t="s">
        <v>539</v>
      </c>
      <c r="J355" t="s">
        <v>540</v>
      </c>
      <c r="K355" t="s">
        <v>541</v>
      </c>
      <c r="L355">
        <v>1368</v>
      </c>
      <c r="N355">
        <v>1011</v>
      </c>
      <c r="O355" t="s">
        <v>465</v>
      </c>
      <c r="P355" t="s">
        <v>465</v>
      </c>
      <c r="Q355">
        <v>1</v>
      </c>
      <c r="W355">
        <v>0</v>
      </c>
      <c r="X355">
        <v>-44940208</v>
      </c>
      <c r="Y355">
        <f>(AT355*1.2)</f>
        <v>1.2E-2</v>
      </c>
      <c r="AA355">
        <v>0</v>
      </c>
      <c r="AB355">
        <v>187.59</v>
      </c>
      <c r="AC355">
        <v>17.73</v>
      </c>
      <c r="AD355">
        <v>0</v>
      </c>
      <c r="AE355">
        <v>0</v>
      </c>
      <c r="AF355">
        <v>179.17</v>
      </c>
      <c r="AG355">
        <v>16.93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0.01</v>
      </c>
      <c r="AU355" t="s">
        <v>105</v>
      </c>
      <c r="AV355">
        <v>0</v>
      </c>
      <c r="AW355">
        <v>2</v>
      </c>
      <c r="AX355">
        <v>57035307</v>
      </c>
      <c r="AY355">
        <v>1</v>
      </c>
      <c r="AZ355">
        <v>0</v>
      </c>
      <c r="BA355">
        <v>361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f>ROUND(Y355*Source!I536*DO355,9)</f>
        <v>8.6342999999999996</v>
      </c>
      <c r="CX355">
        <f>ROUND(Y355*Source!I536,9)</f>
        <v>0.51</v>
      </c>
      <c r="CY355">
        <f>AB355</f>
        <v>187.59</v>
      </c>
      <c r="CZ355">
        <f>AF355</f>
        <v>179.17</v>
      </c>
      <c r="DA355">
        <f>AJ355</f>
        <v>1</v>
      </c>
      <c r="DB355">
        <f>ROUND((ROUND(AT355*CZ355,2)*1.2),6)</f>
        <v>2.1480000000000001</v>
      </c>
      <c r="DC355">
        <f>ROUND((ROUND(AT355*AG355,2)*1.2),6)</f>
        <v>0.20399999999999999</v>
      </c>
      <c r="DD355" t="s">
        <v>3</v>
      </c>
      <c r="DE355" t="s">
        <v>3</v>
      </c>
      <c r="DF355">
        <f t="shared" si="133"/>
        <v>0</v>
      </c>
      <c r="DG355">
        <f t="shared" si="130"/>
        <v>91.38</v>
      </c>
      <c r="DH355">
        <f t="shared" si="131"/>
        <v>8.6300000000000008</v>
      </c>
      <c r="DI355">
        <f t="shared" si="113"/>
        <v>0</v>
      </c>
      <c r="DJ355">
        <f>DG355</f>
        <v>91.38</v>
      </c>
      <c r="DK355">
        <v>0</v>
      </c>
      <c r="DL355" t="s">
        <v>466</v>
      </c>
      <c r="DM355">
        <v>0</v>
      </c>
      <c r="DN355" t="s">
        <v>461</v>
      </c>
      <c r="DO355">
        <v>16.93</v>
      </c>
    </row>
    <row r="356" spans="1:119" x14ac:dyDescent="0.25">
      <c r="A356">
        <f>ROW(Source!A536)</f>
        <v>536</v>
      </c>
      <c r="B356">
        <v>57034452</v>
      </c>
      <c r="C356">
        <v>57035295</v>
      </c>
      <c r="D356">
        <v>55460033</v>
      </c>
      <c r="E356">
        <v>1</v>
      </c>
      <c r="F356">
        <v>1</v>
      </c>
      <c r="G356">
        <v>1081</v>
      </c>
      <c r="H356">
        <v>3</v>
      </c>
      <c r="I356" t="s">
        <v>542</v>
      </c>
      <c r="J356" t="s">
        <v>543</v>
      </c>
      <c r="K356" t="s">
        <v>544</v>
      </c>
      <c r="L356">
        <v>1346</v>
      </c>
      <c r="N356">
        <v>1009</v>
      </c>
      <c r="O356" t="s">
        <v>433</v>
      </c>
      <c r="P356" t="s">
        <v>433</v>
      </c>
      <c r="Q356">
        <v>1</v>
      </c>
      <c r="W356">
        <v>0</v>
      </c>
      <c r="X356">
        <v>-1364668115</v>
      </c>
      <c r="Y356">
        <f t="shared" ref="Y356:Y361" si="134">(AT356*1)</f>
        <v>0.6</v>
      </c>
      <c r="AA356">
        <v>1.38</v>
      </c>
      <c r="AB356">
        <v>0</v>
      </c>
      <c r="AC356">
        <v>0</v>
      </c>
      <c r="AD356">
        <v>0</v>
      </c>
      <c r="AE356">
        <v>1.38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-2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0.6</v>
      </c>
      <c r="AU356" t="s">
        <v>104</v>
      </c>
      <c r="AV356">
        <v>0</v>
      </c>
      <c r="AW356">
        <v>2</v>
      </c>
      <c r="AX356">
        <v>57035308</v>
      </c>
      <c r="AY356">
        <v>1</v>
      </c>
      <c r="AZ356">
        <v>0</v>
      </c>
      <c r="BA356">
        <v>362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ROUND(Y356*Source!I536,9)</f>
        <v>25.5</v>
      </c>
      <c r="CY356">
        <f t="shared" ref="CY356:CY361" si="135">AA356</f>
        <v>1.38</v>
      </c>
      <c r="CZ356">
        <f t="shared" ref="CZ356:CZ361" si="136">AE356</f>
        <v>1.38</v>
      </c>
      <c r="DA356">
        <f t="shared" ref="DA356:DA361" si="137">AI356</f>
        <v>1</v>
      </c>
      <c r="DB356">
        <f t="shared" ref="DB356:DB361" si="138">ROUND((ROUND(AT356*CZ356,2)*1),6)</f>
        <v>0.83</v>
      </c>
      <c r="DC356">
        <f t="shared" ref="DC356:DC361" si="139">ROUND((ROUND(AT356*AG356,2)*1),6)</f>
        <v>0</v>
      </c>
      <c r="DD356" t="s">
        <v>3</v>
      </c>
      <c r="DE356" t="s">
        <v>3</v>
      </c>
      <c r="DF356">
        <f t="shared" si="133"/>
        <v>35.19</v>
      </c>
      <c r="DG356">
        <f t="shared" si="130"/>
        <v>0</v>
      </c>
      <c r="DH356">
        <f t="shared" si="131"/>
        <v>0</v>
      </c>
      <c r="DI356">
        <f t="shared" si="113"/>
        <v>0</v>
      </c>
      <c r="DJ356">
        <f t="shared" ref="DJ356:DJ361" si="140">DF356</f>
        <v>35.19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5">
      <c r="A357">
        <f>ROW(Source!A536)</f>
        <v>536</v>
      </c>
      <c r="B357">
        <v>57034452</v>
      </c>
      <c r="C357">
        <v>57035295</v>
      </c>
      <c r="D357">
        <v>55460424</v>
      </c>
      <c r="E357">
        <v>1</v>
      </c>
      <c r="F357">
        <v>1</v>
      </c>
      <c r="G357">
        <v>1081</v>
      </c>
      <c r="H357">
        <v>3</v>
      </c>
      <c r="I357" t="s">
        <v>545</v>
      </c>
      <c r="J357" t="s">
        <v>546</v>
      </c>
      <c r="K357" t="s">
        <v>547</v>
      </c>
      <c r="L357">
        <v>1346</v>
      </c>
      <c r="N357">
        <v>1009</v>
      </c>
      <c r="O357" t="s">
        <v>433</v>
      </c>
      <c r="P357" t="s">
        <v>433</v>
      </c>
      <c r="Q357">
        <v>1</v>
      </c>
      <c r="W357">
        <v>0</v>
      </c>
      <c r="X357">
        <v>1309298634</v>
      </c>
      <c r="Y357">
        <f t="shared" si="134"/>
        <v>0.16</v>
      </c>
      <c r="AA357">
        <v>159.06</v>
      </c>
      <c r="AB357">
        <v>0</v>
      </c>
      <c r="AC357">
        <v>0</v>
      </c>
      <c r="AD357">
        <v>0</v>
      </c>
      <c r="AE357">
        <v>159.06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-2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0.16</v>
      </c>
      <c r="AU357" t="s">
        <v>104</v>
      </c>
      <c r="AV357">
        <v>0</v>
      </c>
      <c r="AW357">
        <v>2</v>
      </c>
      <c r="AX357">
        <v>57035309</v>
      </c>
      <c r="AY357">
        <v>1</v>
      </c>
      <c r="AZ357">
        <v>0</v>
      </c>
      <c r="BA357">
        <v>363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ROUND(Y357*Source!I536,9)</f>
        <v>6.8</v>
      </c>
      <c r="CY357">
        <f t="shared" si="135"/>
        <v>159.06</v>
      </c>
      <c r="CZ357">
        <f t="shared" si="136"/>
        <v>159.06</v>
      </c>
      <c r="DA357">
        <f t="shared" si="137"/>
        <v>1</v>
      </c>
      <c r="DB357">
        <f t="shared" si="138"/>
        <v>25.45</v>
      </c>
      <c r="DC357">
        <f t="shared" si="139"/>
        <v>0</v>
      </c>
      <c r="DD357" t="s">
        <v>3</v>
      </c>
      <c r="DE357" t="s">
        <v>3</v>
      </c>
      <c r="DF357">
        <f t="shared" si="133"/>
        <v>1081.6099999999999</v>
      </c>
      <c r="DG357">
        <f t="shared" si="130"/>
        <v>0</v>
      </c>
      <c r="DH357">
        <f t="shared" si="131"/>
        <v>0</v>
      </c>
      <c r="DI357">
        <f t="shared" si="113"/>
        <v>0</v>
      </c>
      <c r="DJ357">
        <f t="shared" si="140"/>
        <v>1081.6099999999999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5">
      <c r="A358">
        <f>ROW(Source!A536)</f>
        <v>536</v>
      </c>
      <c r="B358">
        <v>57034452</v>
      </c>
      <c r="C358">
        <v>57035295</v>
      </c>
      <c r="D358">
        <v>55482517</v>
      </c>
      <c r="E358">
        <v>1</v>
      </c>
      <c r="F358">
        <v>1</v>
      </c>
      <c r="G358">
        <v>1081</v>
      </c>
      <c r="H358">
        <v>3</v>
      </c>
      <c r="I358" t="s">
        <v>563</v>
      </c>
      <c r="J358" t="s">
        <v>564</v>
      </c>
      <c r="K358" t="s">
        <v>565</v>
      </c>
      <c r="L358">
        <v>1356</v>
      </c>
      <c r="N358">
        <v>1010</v>
      </c>
      <c r="O358" t="s">
        <v>382</v>
      </c>
      <c r="P358" t="s">
        <v>382</v>
      </c>
      <c r="Q358">
        <v>1000</v>
      </c>
      <c r="W358">
        <v>0</v>
      </c>
      <c r="X358">
        <v>1304193837</v>
      </c>
      <c r="Y358">
        <f t="shared" si="134"/>
        <v>1.2200000000000001E-2</v>
      </c>
      <c r="AA358">
        <v>226.86</v>
      </c>
      <c r="AB358">
        <v>0</v>
      </c>
      <c r="AC358">
        <v>0</v>
      </c>
      <c r="AD358">
        <v>0</v>
      </c>
      <c r="AE358">
        <v>226.86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-2</v>
      </c>
      <c r="AN358">
        <v>0</v>
      </c>
      <c r="AO358">
        <v>1</v>
      </c>
      <c r="AP358">
        <v>1</v>
      </c>
      <c r="AQ358">
        <v>0</v>
      </c>
      <c r="AR358">
        <v>0</v>
      </c>
      <c r="AS358" t="s">
        <v>3</v>
      </c>
      <c r="AT358">
        <v>1.2200000000000001E-2</v>
      </c>
      <c r="AU358" t="s">
        <v>104</v>
      </c>
      <c r="AV358">
        <v>0</v>
      </c>
      <c r="AW358">
        <v>2</v>
      </c>
      <c r="AX358">
        <v>57035310</v>
      </c>
      <c r="AY358">
        <v>1</v>
      </c>
      <c r="AZ358">
        <v>0</v>
      </c>
      <c r="BA358">
        <v>364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ROUND(Y358*Source!I536,9)</f>
        <v>0.51849999999999996</v>
      </c>
      <c r="CY358">
        <f t="shared" si="135"/>
        <v>226.86</v>
      </c>
      <c r="CZ358">
        <f t="shared" si="136"/>
        <v>226.86</v>
      </c>
      <c r="DA358">
        <f t="shared" si="137"/>
        <v>1</v>
      </c>
      <c r="DB358">
        <f t="shared" si="138"/>
        <v>2.77</v>
      </c>
      <c r="DC358">
        <f t="shared" si="139"/>
        <v>0</v>
      </c>
      <c r="DD358" t="s">
        <v>3</v>
      </c>
      <c r="DE358" t="s">
        <v>3</v>
      </c>
      <c r="DF358">
        <f t="shared" si="133"/>
        <v>117.63</v>
      </c>
      <c r="DG358">
        <f t="shared" si="130"/>
        <v>0</v>
      </c>
      <c r="DH358">
        <f t="shared" si="131"/>
        <v>0</v>
      </c>
      <c r="DI358">
        <f t="shared" si="113"/>
        <v>0</v>
      </c>
      <c r="DJ358">
        <f t="shared" si="140"/>
        <v>117.63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5">
      <c r="A359">
        <f>ROW(Source!A536)</f>
        <v>536</v>
      </c>
      <c r="B359">
        <v>57034452</v>
      </c>
      <c r="C359">
        <v>57035295</v>
      </c>
      <c r="D359">
        <v>55481842</v>
      </c>
      <c r="E359">
        <v>1</v>
      </c>
      <c r="F359">
        <v>1</v>
      </c>
      <c r="G359">
        <v>1081</v>
      </c>
      <c r="H359">
        <v>3</v>
      </c>
      <c r="I359" t="s">
        <v>554</v>
      </c>
      <c r="J359" t="s">
        <v>555</v>
      </c>
      <c r="K359" t="s">
        <v>556</v>
      </c>
      <c r="L359">
        <v>1354</v>
      </c>
      <c r="N359">
        <v>1010</v>
      </c>
      <c r="O359" t="s">
        <v>177</v>
      </c>
      <c r="P359" t="s">
        <v>177</v>
      </c>
      <c r="Q359">
        <v>1</v>
      </c>
      <c r="W359">
        <v>0</v>
      </c>
      <c r="X359">
        <v>-1424681180</v>
      </c>
      <c r="Y359">
        <f t="shared" si="134"/>
        <v>3.1</v>
      </c>
      <c r="AA359">
        <v>6.94</v>
      </c>
      <c r="AB359">
        <v>0</v>
      </c>
      <c r="AC359">
        <v>0</v>
      </c>
      <c r="AD359">
        <v>0</v>
      </c>
      <c r="AE359">
        <v>6.94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3.1</v>
      </c>
      <c r="AU359" t="s">
        <v>104</v>
      </c>
      <c r="AV359">
        <v>0</v>
      </c>
      <c r="AW359">
        <v>2</v>
      </c>
      <c r="AX359">
        <v>57035311</v>
      </c>
      <c r="AY359">
        <v>1</v>
      </c>
      <c r="AZ359">
        <v>0</v>
      </c>
      <c r="BA359">
        <v>365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ROUND(Y359*Source!I536,9)</f>
        <v>131.75</v>
      </c>
      <c r="CY359">
        <f t="shared" si="135"/>
        <v>6.94</v>
      </c>
      <c r="CZ359">
        <f t="shared" si="136"/>
        <v>6.94</v>
      </c>
      <c r="DA359">
        <f t="shared" si="137"/>
        <v>1</v>
      </c>
      <c r="DB359">
        <f t="shared" si="138"/>
        <v>21.51</v>
      </c>
      <c r="DC359">
        <f t="shared" si="139"/>
        <v>0</v>
      </c>
      <c r="DD359" t="s">
        <v>3</v>
      </c>
      <c r="DE359" t="s">
        <v>3</v>
      </c>
      <c r="DF359">
        <f t="shared" si="133"/>
        <v>914.35</v>
      </c>
      <c r="DG359">
        <f t="shared" si="130"/>
        <v>0</v>
      </c>
      <c r="DH359">
        <f t="shared" si="131"/>
        <v>0</v>
      </c>
      <c r="DI359">
        <f t="shared" si="113"/>
        <v>0</v>
      </c>
      <c r="DJ359">
        <f t="shared" si="140"/>
        <v>914.35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5">
      <c r="A360">
        <f>ROW(Source!A536)</f>
        <v>536</v>
      </c>
      <c r="B360">
        <v>57034452</v>
      </c>
      <c r="C360">
        <v>57035295</v>
      </c>
      <c r="D360">
        <v>55481850</v>
      </c>
      <c r="E360">
        <v>1</v>
      </c>
      <c r="F360">
        <v>1</v>
      </c>
      <c r="G360">
        <v>1081</v>
      </c>
      <c r="H360">
        <v>3</v>
      </c>
      <c r="I360" t="s">
        <v>566</v>
      </c>
      <c r="J360" t="s">
        <v>567</v>
      </c>
      <c r="K360" t="s">
        <v>568</v>
      </c>
      <c r="L360">
        <v>1356</v>
      </c>
      <c r="N360">
        <v>1010</v>
      </c>
      <c r="O360" t="s">
        <v>382</v>
      </c>
      <c r="P360" t="s">
        <v>382</v>
      </c>
      <c r="Q360">
        <v>1000</v>
      </c>
      <c r="W360">
        <v>0</v>
      </c>
      <c r="X360">
        <v>1020131354</v>
      </c>
      <c r="Y360">
        <f t="shared" si="134"/>
        <v>8.0000000000000002E-3</v>
      </c>
      <c r="AA360">
        <v>614.09</v>
      </c>
      <c r="AB360">
        <v>0</v>
      </c>
      <c r="AC360">
        <v>0</v>
      </c>
      <c r="AD360">
        <v>0</v>
      </c>
      <c r="AE360">
        <v>614.09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-2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8.0000000000000002E-3</v>
      </c>
      <c r="AU360" t="s">
        <v>104</v>
      </c>
      <c r="AV360">
        <v>0</v>
      </c>
      <c r="AW360">
        <v>2</v>
      </c>
      <c r="AX360">
        <v>57035312</v>
      </c>
      <c r="AY360">
        <v>1</v>
      </c>
      <c r="AZ360">
        <v>0</v>
      </c>
      <c r="BA360">
        <v>366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ROUND(Y360*Source!I536,9)</f>
        <v>0.34</v>
      </c>
      <c r="CY360">
        <f t="shared" si="135"/>
        <v>614.09</v>
      </c>
      <c r="CZ360">
        <f t="shared" si="136"/>
        <v>614.09</v>
      </c>
      <c r="DA360">
        <f t="shared" si="137"/>
        <v>1</v>
      </c>
      <c r="DB360">
        <f t="shared" si="138"/>
        <v>4.91</v>
      </c>
      <c r="DC360">
        <f t="shared" si="139"/>
        <v>0</v>
      </c>
      <c r="DD360" t="s">
        <v>3</v>
      </c>
      <c r="DE360" t="s">
        <v>3</v>
      </c>
      <c r="DF360">
        <f t="shared" si="133"/>
        <v>208.79</v>
      </c>
      <c r="DG360">
        <f t="shared" si="130"/>
        <v>0</v>
      </c>
      <c r="DH360">
        <f t="shared" si="131"/>
        <v>0</v>
      </c>
      <c r="DI360">
        <f t="shared" si="113"/>
        <v>0</v>
      </c>
      <c r="DJ360">
        <f t="shared" si="140"/>
        <v>208.79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5">
      <c r="A361">
        <f>ROW(Source!A536)</f>
        <v>536</v>
      </c>
      <c r="B361">
        <v>57034452</v>
      </c>
      <c r="C361">
        <v>57035295</v>
      </c>
      <c r="D361">
        <v>0</v>
      </c>
      <c r="E361">
        <v>0</v>
      </c>
      <c r="F361">
        <v>1</v>
      </c>
      <c r="G361">
        <v>1081</v>
      </c>
      <c r="H361">
        <v>3</v>
      </c>
      <c r="I361" t="s">
        <v>388</v>
      </c>
      <c r="J361" t="s">
        <v>3</v>
      </c>
      <c r="K361" t="s">
        <v>389</v>
      </c>
      <c r="L361">
        <v>2040</v>
      </c>
      <c r="N361">
        <v>1013</v>
      </c>
      <c r="O361" t="s">
        <v>390</v>
      </c>
      <c r="P361" t="s">
        <v>390</v>
      </c>
      <c r="Q361">
        <v>1</v>
      </c>
      <c r="W361">
        <v>0</v>
      </c>
      <c r="X361">
        <v>-820338689</v>
      </c>
      <c r="Y361">
        <f t="shared" si="134"/>
        <v>103</v>
      </c>
      <c r="AA361">
        <v>9.59</v>
      </c>
      <c r="AB361">
        <v>0</v>
      </c>
      <c r="AC361">
        <v>0</v>
      </c>
      <c r="AD361">
        <v>0</v>
      </c>
      <c r="AE361">
        <v>9.59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 t="s">
        <v>3</v>
      </c>
      <c r="AT361">
        <v>103</v>
      </c>
      <c r="AU361" t="s">
        <v>104</v>
      </c>
      <c r="AV361">
        <v>0</v>
      </c>
      <c r="AW361">
        <v>1</v>
      </c>
      <c r="AX361">
        <v>-1</v>
      </c>
      <c r="AY361">
        <v>0</v>
      </c>
      <c r="AZ361">
        <v>0</v>
      </c>
      <c r="BA361" t="s">
        <v>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ROUND(Y361*Source!I536,9)</f>
        <v>4377.5</v>
      </c>
      <c r="CY361">
        <f t="shared" si="135"/>
        <v>9.59</v>
      </c>
      <c r="CZ361">
        <f t="shared" si="136"/>
        <v>9.59</v>
      </c>
      <c r="DA361">
        <f t="shared" si="137"/>
        <v>1</v>
      </c>
      <c r="DB361">
        <f t="shared" si="138"/>
        <v>987.77</v>
      </c>
      <c r="DC361">
        <f t="shared" si="139"/>
        <v>0</v>
      </c>
      <c r="DD361" t="s">
        <v>3</v>
      </c>
      <c r="DE361" t="s">
        <v>3</v>
      </c>
      <c r="DF361">
        <f t="shared" si="133"/>
        <v>41980.23</v>
      </c>
      <c r="DG361">
        <f t="shared" si="130"/>
        <v>0</v>
      </c>
      <c r="DH361">
        <f t="shared" si="131"/>
        <v>0</v>
      </c>
      <c r="DI361">
        <f t="shared" si="113"/>
        <v>0</v>
      </c>
      <c r="DJ361">
        <f t="shared" si="140"/>
        <v>41980.23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5">
      <c r="A362">
        <f>ROW(Source!A537)</f>
        <v>537</v>
      </c>
      <c r="B362">
        <v>57034454</v>
      </c>
      <c r="C362">
        <v>57035295</v>
      </c>
      <c r="D362">
        <v>55424304</v>
      </c>
      <c r="E362">
        <v>1081</v>
      </c>
      <c r="F362">
        <v>1</v>
      </c>
      <c r="G362">
        <v>1081</v>
      </c>
      <c r="H362">
        <v>1</v>
      </c>
      <c r="I362" t="s">
        <v>459</v>
      </c>
      <c r="J362" t="s">
        <v>3</v>
      </c>
      <c r="K362" t="s">
        <v>460</v>
      </c>
      <c r="L362">
        <v>1191</v>
      </c>
      <c r="N362">
        <v>1013</v>
      </c>
      <c r="O362" t="s">
        <v>461</v>
      </c>
      <c r="P362" t="s">
        <v>461</v>
      </c>
      <c r="Q362">
        <v>1</v>
      </c>
      <c r="W362">
        <v>0</v>
      </c>
      <c r="X362">
        <v>476480486</v>
      </c>
      <c r="Y362">
        <f>(AT362*1.2)</f>
        <v>2.1960000000000002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5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1.83</v>
      </c>
      <c r="AU362" t="s">
        <v>105</v>
      </c>
      <c r="AV362">
        <v>1</v>
      </c>
      <c r="AW362">
        <v>2</v>
      </c>
      <c r="AX362">
        <v>57035305</v>
      </c>
      <c r="AY362">
        <v>1</v>
      </c>
      <c r="AZ362">
        <v>0</v>
      </c>
      <c r="BA362">
        <v>368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U362">
        <f>ROUND(AT362*Source!I537*AH362*AL362,2)</f>
        <v>0</v>
      </c>
      <c r="CV362">
        <f>ROUND(Y362*Source!I537,9)</f>
        <v>93.33</v>
      </c>
      <c r="CW362">
        <v>0</v>
      </c>
      <c r="CX362">
        <f>ROUND(Y362*Source!I537,9)</f>
        <v>93.33</v>
      </c>
      <c r="CY362">
        <f>AD362</f>
        <v>0</v>
      </c>
      <c r="CZ362">
        <f>AH362</f>
        <v>0</v>
      </c>
      <c r="DA362">
        <f>AL362</f>
        <v>1</v>
      </c>
      <c r="DB362">
        <f>ROUND((ROUND(AT362*CZ362,2)*1.2),6)</f>
        <v>0</v>
      </c>
      <c r="DC362">
        <f>ROUND((ROUND(AT362*AG362,2)*1.2),6)</f>
        <v>0</v>
      </c>
      <c r="DD362" t="s">
        <v>3</v>
      </c>
      <c r="DE362" t="s">
        <v>3</v>
      </c>
      <c r="DF362">
        <f t="shared" si="133"/>
        <v>0</v>
      </c>
      <c r="DG362">
        <f t="shared" si="130"/>
        <v>0</v>
      </c>
      <c r="DH362">
        <f t="shared" si="131"/>
        <v>0</v>
      </c>
      <c r="DI362">
        <f t="shared" si="113"/>
        <v>0</v>
      </c>
      <c r="DJ362">
        <f>DI362</f>
        <v>0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5">
      <c r="A363">
        <f>ROW(Source!A537)</f>
        <v>537</v>
      </c>
      <c r="B363">
        <v>57034454</v>
      </c>
      <c r="C363">
        <v>57035295</v>
      </c>
      <c r="D363">
        <v>55490209</v>
      </c>
      <c r="E363">
        <v>1</v>
      </c>
      <c r="F363">
        <v>1</v>
      </c>
      <c r="G363">
        <v>1081</v>
      </c>
      <c r="H363">
        <v>2</v>
      </c>
      <c r="I363" t="s">
        <v>462</v>
      </c>
      <c r="J363" t="s">
        <v>463</v>
      </c>
      <c r="K363" t="s">
        <v>464</v>
      </c>
      <c r="L363">
        <v>1368</v>
      </c>
      <c r="N363">
        <v>1011</v>
      </c>
      <c r="O363" t="s">
        <v>465</v>
      </c>
      <c r="P363" t="s">
        <v>465</v>
      </c>
      <c r="Q363">
        <v>1</v>
      </c>
      <c r="W363">
        <v>0</v>
      </c>
      <c r="X363">
        <v>874612079</v>
      </c>
      <c r="Y363">
        <f>(AT363*1.2)</f>
        <v>1.2E-2</v>
      </c>
      <c r="AA363">
        <v>0</v>
      </c>
      <c r="AB363">
        <v>1485.19</v>
      </c>
      <c r="AC363">
        <v>744.56</v>
      </c>
      <c r="AD363">
        <v>0</v>
      </c>
      <c r="AE363">
        <v>0</v>
      </c>
      <c r="AF363">
        <v>83.1</v>
      </c>
      <c r="AG363">
        <v>12.62</v>
      </c>
      <c r="AH363">
        <v>0</v>
      </c>
      <c r="AI363">
        <v>1</v>
      </c>
      <c r="AJ363">
        <v>17.07</v>
      </c>
      <c r="AK363">
        <v>56.35</v>
      </c>
      <c r="AL363">
        <v>1</v>
      </c>
      <c r="AM363">
        <v>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0.01</v>
      </c>
      <c r="AU363" t="s">
        <v>105</v>
      </c>
      <c r="AV363">
        <v>0</v>
      </c>
      <c r="AW363">
        <v>2</v>
      </c>
      <c r="AX363">
        <v>57035306</v>
      </c>
      <c r="AY363">
        <v>1</v>
      </c>
      <c r="AZ363">
        <v>0</v>
      </c>
      <c r="BA363">
        <v>369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f>ROUND(Y363*Source!I537*DO363,9)</f>
        <v>6.4362000000000004</v>
      </c>
      <c r="CX363">
        <f>ROUND(Y363*Source!I537,9)</f>
        <v>0.51</v>
      </c>
      <c r="CY363">
        <f>AB363</f>
        <v>1485.19</v>
      </c>
      <c r="CZ363">
        <f>AF363</f>
        <v>83.1</v>
      </c>
      <c r="DA363">
        <f>AJ363</f>
        <v>17.07</v>
      </c>
      <c r="DB363">
        <f>ROUND((ROUND(AT363*CZ363,2)*1.2),6)</f>
        <v>0.996</v>
      </c>
      <c r="DC363">
        <f>ROUND((ROUND(AT363*AG363,2)*1.2),6)</f>
        <v>0.156</v>
      </c>
      <c r="DD363" t="s">
        <v>3</v>
      </c>
      <c r="DE363" t="s">
        <v>3</v>
      </c>
      <c r="DF363">
        <f t="shared" si="133"/>
        <v>0</v>
      </c>
      <c r="DG363">
        <f>ROUND(ROUND(AF363*AJ363,2)*CX363,2)</f>
        <v>723.45</v>
      </c>
      <c r="DH363">
        <f>ROUND(ROUND(AG363*AK363,2)*CX363,2)</f>
        <v>362.68</v>
      </c>
      <c r="DI363">
        <f t="shared" si="113"/>
        <v>0</v>
      </c>
      <c r="DJ363">
        <f>DG363</f>
        <v>723.45</v>
      </c>
      <c r="DK363">
        <v>0</v>
      </c>
      <c r="DL363" t="s">
        <v>466</v>
      </c>
      <c r="DM363">
        <v>0</v>
      </c>
      <c r="DN363" t="s">
        <v>461</v>
      </c>
      <c r="DO363">
        <v>12.62</v>
      </c>
    </row>
    <row r="364" spans="1:119" x14ac:dyDescent="0.25">
      <c r="A364">
        <f>ROW(Source!A537)</f>
        <v>537</v>
      </c>
      <c r="B364">
        <v>57034454</v>
      </c>
      <c r="C364">
        <v>57035295</v>
      </c>
      <c r="D364">
        <v>55489443</v>
      </c>
      <c r="E364">
        <v>1</v>
      </c>
      <c r="F364">
        <v>1</v>
      </c>
      <c r="G364">
        <v>1081</v>
      </c>
      <c r="H364">
        <v>2</v>
      </c>
      <c r="I364" t="s">
        <v>539</v>
      </c>
      <c r="J364" t="s">
        <v>540</v>
      </c>
      <c r="K364" t="s">
        <v>541</v>
      </c>
      <c r="L364">
        <v>1368</v>
      </c>
      <c r="N364">
        <v>1011</v>
      </c>
      <c r="O364" t="s">
        <v>465</v>
      </c>
      <c r="P364" t="s">
        <v>465</v>
      </c>
      <c r="Q364">
        <v>1</v>
      </c>
      <c r="W364">
        <v>0</v>
      </c>
      <c r="X364">
        <v>-44940208</v>
      </c>
      <c r="Y364">
        <f>(AT364*1.2)</f>
        <v>1.2E-2</v>
      </c>
      <c r="AA364">
        <v>0</v>
      </c>
      <c r="AB364">
        <v>2706.94</v>
      </c>
      <c r="AC364">
        <v>998.84</v>
      </c>
      <c r="AD364">
        <v>0</v>
      </c>
      <c r="AE364">
        <v>0</v>
      </c>
      <c r="AF364">
        <v>179.17</v>
      </c>
      <c r="AG364">
        <v>16.93</v>
      </c>
      <c r="AH364">
        <v>0</v>
      </c>
      <c r="AI364">
        <v>1</v>
      </c>
      <c r="AJ364">
        <v>14.43</v>
      </c>
      <c r="AK364">
        <v>56.35</v>
      </c>
      <c r="AL364">
        <v>1</v>
      </c>
      <c r="AM364">
        <v>2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0.01</v>
      </c>
      <c r="AU364" t="s">
        <v>105</v>
      </c>
      <c r="AV364">
        <v>0</v>
      </c>
      <c r="AW364">
        <v>2</v>
      </c>
      <c r="AX364">
        <v>57035307</v>
      </c>
      <c r="AY364">
        <v>1</v>
      </c>
      <c r="AZ364">
        <v>0</v>
      </c>
      <c r="BA364">
        <v>370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f>ROUND(Y364*Source!I537*DO364,9)</f>
        <v>8.6342999999999996</v>
      </c>
      <c r="CX364">
        <f>ROUND(Y364*Source!I537,9)</f>
        <v>0.51</v>
      </c>
      <c r="CY364">
        <f>AB364</f>
        <v>2706.94</v>
      </c>
      <c r="CZ364">
        <f>AF364</f>
        <v>179.17</v>
      </c>
      <c r="DA364">
        <f>AJ364</f>
        <v>14.43</v>
      </c>
      <c r="DB364">
        <f>ROUND((ROUND(AT364*CZ364,2)*1.2),6)</f>
        <v>2.1480000000000001</v>
      </c>
      <c r="DC364">
        <f>ROUND((ROUND(AT364*AG364,2)*1.2),6)</f>
        <v>0.20399999999999999</v>
      </c>
      <c r="DD364" t="s">
        <v>3</v>
      </c>
      <c r="DE364" t="s">
        <v>3</v>
      </c>
      <c r="DF364">
        <f t="shared" si="133"/>
        <v>0</v>
      </c>
      <c r="DG364">
        <f>ROUND(ROUND(AF364*AJ364,2)*CX364,2)</f>
        <v>1318.56</v>
      </c>
      <c r="DH364">
        <f>ROUND(ROUND(AG364*AK364,2)*CX364,2)</f>
        <v>486.55</v>
      </c>
      <c r="DI364">
        <f t="shared" si="113"/>
        <v>0</v>
      </c>
      <c r="DJ364">
        <f>DG364</f>
        <v>1318.56</v>
      </c>
      <c r="DK364">
        <v>0</v>
      </c>
      <c r="DL364" t="s">
        <v>466</v>
      </c>
      <c r="DM364">
        <v>0</v>
      </c>
      <c r="DN364" t="s">
        <v>461</v>
      </c>
      <c r="DO364">
        <v>16.93</v>
      </c>
    </row>
    <row r="365" spans="1:119" x14ac:dyDescent="0.25">
      <c r="A365">
        <f>ROW(Source!A537)</f>
        <v>537</v>
      </c>
      <c r="B365">
        <v>57034454</v>
      </c>
      <c r="C365">
        <v>57035295</v>
      </c>
      <c r="D365">
        <v>55460033</v>
      </c>
      <c r="E365">
        <v>1</v>
      </c>
      <c r="F365">
        <v>1</v>
      </c>
      <c r="G365">
        <v>1081</v>
      </c>
      <c r="H365">
        <v>3</v>
      </c>
      <c r="I365" t="s">
        <v>542</v>
      </c>
      <c r="J365" t="s">
        <v>543</v>
      </c>
      <c r="K365" t="s">
        <v>544</v>
      </c>
      <c r="L365">
        <v>1346</v>
      </c>
      <c r="N365">
        <v>1009</v>
      </c>
      <c r="O365" t="s">
        <v>433</v>
      </c>
      <c r="P365" t="s">
        <v>433</v>
      </c>
      <c r="Q365">
        <v>1</v>
      </c>
      <c r="W365">
        <v>0</v>
      </c>
      <c r="X365">
        <v>-1364668115</v>
      </c>
      <c r="Y365">
        <f t="shared" ref="Y365:Y370" si="141">(AT365*1)</f>
        <v>0.6</v>
      </c>
      <c r="AA365">
        <v>33.64</v>
      </c>
      <c r="AB365">
        <v>0</v>
      </c>
      <c r="AC365">
        <v>0</v>
      </c>
      <c r="AD365">
        <v>0</v>
      </c>
      <c r="AE365">
        <v>1.38</v>
      </c>
      <c r="AF365">
        <v>0</v>
      </c>
      <c r="AG365">
        <v>0</v>
      </c>
      <c r="AH365">
        <v>0</v>
      </c>
      <c r="AI365">
        <v>24.38</v>
      </c>
      <c r="AJ365">
        <v>1</v>
      </c>
      <c r="AK365">
        <v>1</v>
      </c>
      <c r="AL365">
        <v>1</v>
      </c>
      <c r="AM365">
        <v>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0.6</v>
      </c>
      <c r="AU365" t="s">
        <v>104</v>
      </c>
      <c r="AV365">
        <v>0</v>
      </c>
      <c r="AW365">
        <v>2</v>
      </c>
      <c r="AX365">
        <v>57035308</v>
      </c>
      <c r="AY365">
        <v>1</v>
      </c>
      <c r="AZ365">
        <v>0</v>
      </c>
      <c r="BA365">
        <v>371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ROUND(Y365*Source!I537,9)</f>
        <v>25.5</v>
      </c>
      <c r="CY365">
        <f t="shared" ref="CY365:CY370" si="142">AA365</f>
        <v>33.64</v>
      </c>
      <c r="CZ365">
        <f t="shared" ref="CZ365:CZ370" si="143">AE365</f>
        <v>1.38</v>
      </c>
      <c r="DA365">
        <f t="shared" ref="DA365:DA370" si="144">AI365</f>
        <v>24.38</v>
      </c>
      <c r="DB365">
        <f t="shared" ref="DB365:DB370" si="145">ROUND((ROUND(AT365*CZ365,2)*1),6)</f>
        <v>0.83</v>
      </c>
      <c r="DC365">
        <f t="shared" ref="DC365:DC370" si="146">ROUND((ROUND(AT365*AG365,2)*1),6)</f>
        <v>0</v>
      </c>
      <c r="DD365" t="s">
        <v>3</v>
      </c>
      <c r="DE365" t="s">
        <v>3</v>
      </c>
      <c r="DF365">
        <f t="shared" ref="DF365:DF370" si="147">ROUND(ROUND(AE365*AI365,2)*CX365,2)</f>
        <v>857.82</v>
      </c>
      <c r="DG365">
        <f t="shared" ref="DG365:DG376" si="148">ROUND(ROUND(AF365,2)*CX365,2)</f>
        <v>0</v>
      </c>
      <c r="DH365">
        <f t="shared" ref="DH365:DH376" si="149">ROUND(ROUND(AG365,2)*CX365,2)</f>
        <v>0</v>
      </c>
      <c r="DI365">
        <f t="shared" si="113"/>
        <v>0</v>
      </c>
      <c r="DJ365">
        <f t="shared" ref="DJ365:DJ370" si="150">DF365</f>
        <v>857.82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5">
      <c r="A366">
        <f>ROW(Source!A537)</f>
        <v>537</v>
      </c>
      <c r="B366">
        <v>57034454</v>
      </c>
      <c r="C366">
        <v>57035295</v>
      </c>
      <c r="D366">
        <v>55460424</v>
      </c>
      <c r="E366">
        <v>1</v>
      </c>
      <c r="F366">
        <v>1</v>
      </c>
      <c r="G366">
        <v>1081</v>
      </c>
      <c r="H366">
        <v>3</v>
      </c>
      <c r="I366" t="s">
        <v>545</v>
      </c>
      <c r="J366" t="s">
        <v>546</v>
      </c>
      <c r="K366" t="s">
        <v>547</v>
      </c>
      <c r="L366">
        <v>1346</v>
      </c>
      <c r="N366">
        <v>1009</v>
      </c>
      <c r="O366" t="s">
        <v>433</v>
      </c>
      <c r="P366" t="s">
        <v>433</v>
      </c>
      <c r="Q366">
        <v>1</v>
      </c>
      <c r="W366">
        <v>0</v>
      </c>
      <c r="X366">
        <v>1309298634</v>
      </c>
      <c r="Y366">
        <f t="shared" si="141"/>
        <v>0.16</v>
      </c>
      <c r="AA366">
        <v>286.31</v>
      </c>
      <c r="AB366">
        <v>0</v>
      </c>
      <c r="AC366">
        <v>0</v>
      </c>
      <c r="AD366">
        <v>0</v>
      </c>
      <c r="AE366">
        <v>159.06</v>
      </c>
      <c r="AF366">
        <v>0</v>
      </c>
      <c r="AG366">
        <v>0</v>
      </c>
      <c r="AH366">
        <v>0</v>
      </c>
      <c r="AI366">
        <v>1.8</v>
      </c>
      <c r="AJ366">
        <v>1</v>
      </c>
      <c r="AK366">
        <v>1</v>
      </c>
      <c r="AL366">
        <v>1</v>
      </c>
      <c r="AM366">
        <v>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0.16</v>
      </c>
      <c r="AU366" t="s">
        <v>104</v>
      </c>
      <c r="AV366">
        <v>0</v>
      </c>
      <c r="AW366">
        <v>2</v>
      </c>
      <c r="AX366">
        <v>57035309</v>
      </c>
      <c r="AY366">
        <v>1</v>
      </c>
      <c r="AZ366">
        <v>0</v>
      </c>
      <c r="BA366">
        <v>372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ROUND(Y366*Source!I537,9)</f>
        <v>6.8</v>
      </c>
      <c r="CY366">
        <f t="shared" si="142"/>
        <v>286.31</v>
      </c>
      <c r="CZ366">
        <f t="shared" si="143"/>
        <v>159.06</v>
      </c>
      <c r="DA366">
        <f t="shared" si="144"/>
        <v>1.8</v>
      </c>
      <c r="DB366">
        <f t="shared" si="145"/>
        <v>25.45</v>
      </c>
      <c r="DC366">
        <f t="shared" si="146"/>
        <v>0</v>
      </c>
      <c r="DD366" t="s">
        <v>3</v>
      </c>
      <c r="DE366" t="s">
        <v>3</v>
      </c>
      <c r="DF366">
        <f t="shared" si="147"/>
        <v>1946.91</v>
      </c>
      <c r="DG366">
        <f t="shared" si="148"/>
        <v>0</v>
      </c>
      <c r="DH366">
        <f t="shared" si="149"/>
        <v>0</v>
      </c>
      <c r="DI366">
        <f t="shared" si="113"/>
        <v>0</v>
      </c>
      <c r="DJ366">
        <f t="shared" si="150"/>
        <v>1946.91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5">
      <c r="A367">
        <f>ROW(Source!A537)</f>
        <v>537</v>
      </c>
      <c r="B367">
        <v>57034454</v>
      </c>
      <c r="C367">
        <v>57035295</v>
      </c>
      <c r="D367">
        <v>55482517</v>
      </c>
      <c r="E367">
        <v>1</v>
      </c>
      <c r="F367">
        <v>1</v>
      </c>
      <c r="G367">
        <v>1081</v>
      </c>
      <c r="H367">
        <v>3</v>
      </c>
      <c r="I367" t="s">
        <v>563</v>
      </c>
      <c r="J367" t="s">
        <v>564</v>
      </c>
      <c r="K367" t="s">
        <v>565</v>
      </c>
      <c r="L367">
        <v>1356</v>
      </c>
      <c r="N367">
        <v>1010</v>
      </c>
      <c r="O367" t="s">
        <v>382</v>
      </c>
      <c r="P367" t="s">
        <v>382</v>
      </c>
      <c r="Q367">
        <v>1000</v>
      </c>
      <c r="W367">
        <v>0</v>
      </c>
      <c r="X367">
        <v>1304193837</v>
      </c>
      <c r="Y367">
        <f t="shared" si="141"/>
        <v>1.2200000000000001E-2</v>
      </c>
      <c r="AA367">
        <v>1556.26</v>
      </c>
      <c r="AB367">
        <v>0</v>
      </c>
      <c r="AC367">
        <v>0</v>
      </c>
      <c r="AD367">
        <v>0</v>
      </c>
      <c r="AE367">
        <v>226.86</v>
      </c>
      <c r="AF367">
        <v>0</v>
      </c>
      <c r="AG367">
        <v>0</v>
      </c>
      <c r="AH367">
        <v>0</v>
      </c>
      <c r="AI367">
        <v>6.86</v>
      </c>
      <c r="AJ367">
        <v>1</v>
      </c>
      <c r="AK367">
        <v>1</v>
      </c>
      <c r="AL367">
        <v>1</v>
      </c>
      <c r="AM367">
        <v>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1.2200000000000001E-2</v>
      </c>
      <c r="AU367" t="s">
        <v>104</v>
      </c>
      <c r="AV367">
        <v>0</v>
      </c>
      <c r="AW367">
        <v>2</v>
      </c>
      <c r="AX367">
        <v>57035310</v>
      </c>
      <c r="AY367">
        <v>1</v>
      </c>
      <c r="AZ367">
        <v>0</v>
      </c>
      <c r="BA367">
        <v>373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ROUND(Y367*Source!I537,9)</f>
        <v>0.51849999999999996</v>
      </c>
      <c r="CY367">
        <f t="shared" si="142"/>
        <v>1556.26</v>
      </c>
      <c r="CZ367">
        <f t="shared" si="143"/>
        <v>226.86</v>
      </c>
      <c r="DA367">
        <f t="shared" si="144"/>
        <v>6.86</v>
      </c>
      <c r="DB367">
        <f t="shared" si="145"/>
        <v>2.77</v>
      </c>
      <c r="DC367">
        <f t="shared" si="146"/>
        <v>0</v>
      </c>
      <c r="DD367" t="s">
        <v>3</v>
      </c>
      <c r="DE367" t="s">
        <v>3</v>
      </c>
      <c r="DF367">
        <f t="shared" si="147"/>
        <v>806.92</v>
      </c>
      <c r="DG367">
        <f t="shared" si="148"/>
        <v>0</v>
      </c>
      <c r="DH367">
        <f t="shared" si="149"/>
        <v>0</v>
      </c>
      <c r="DI367">
        <f t="shared" si="113"/>
        <v>0</v>
      </c>
      <c r="DJ367">
        <f t="shared" si="150"/>
        <v>806.92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5">
      <c r="A368">
        <f>ROW(Source!A537)</f>
        <v>537</v>
      </c>
      <c r="B368">
        <v>57034454</v>
      </c>
      <c r="C368">
        <v>57035295</v>
      </c>
      <c r="D368">
        <v>55481842</v>
      </c>
      <c r="E368">
        <v>1</v>
      </c>
      <c r="F368">
        <v>1</v>
      </c>
      <c r="G368">
        <v>1081</v>
      </c>
      <c r="H368">
        <v>3</v>
      </c>
      <c r="I368" t="s">
        <v>554</v>
      </c>
      <c r="J368" t="s">
        <v>555</v>
      </c>
      <c r="K368" t="s">
        <v>556</v>
      </c>
      <c r="L368">
        <v>1354</v>
      </c>
      <c r="N368">
        <v>1010</v>
      </c>
      <c r="O368" t="s">
        <v>177</v>
      </c>
      <c r="P368" t="s">
        <v>177</v>
      </c>
      <c r="Q368">
        <v>1</v>
      </c>
      <c r="W368">
        <v>0</v>
      </c>
      <c r="X368">
        <v>-1424681180</v>
      </c>
      <c r="Y368">
        <f t="shared" si="141"/>
        <v>3.1</v>
      </c>
      <c r="AA368">
        <v>25.33</v>
      </c>
      <c r="AB368">
        <v>0</v>
      </c>
      <c r="AC368">
        <v>0</v>
      </c>
      <c r="AD368">
        <v>0</v>
      </c>
      <c r="AE368">
        <v>6.94</v>
      </c>
      <c r="AF368">
        <v>0</v>
      </c>
      <c r="AG368">
        <v>0</v>
      </c>
      <c r="AH368">
        <v>0</v>
      </c>
      <c r="AI368">
        <v>3.65</v>
      </c>
      <c r="AJ368">
        <v>1</v>
      </c>
      <c r="AK368">
        <v>1</v>
      </c>
      <c r="AL368">
        <v>1</v>
      </c>
      <c r="AM368">
        <v>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3.1</v>
      </c>
      <c r="AU368" t="s">
        <v>104</v>
      </c>
      <c r="AV368">
        <v>0</v>
      </c>
      <c r="AW368">
        <v>2</v>
      </c>
      <c r="AX368">
        <v>57035311</v>
      </c>
      <c r="AY368">
        <v>1</v>
      </c>
      <c r="AZ368">
        <v>0</v>
      </c>
      <c r="BA368">
        <v>374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ROUND(Y368*Source!I537,9)</f>
        <v>131.75</v>
      </c>
      <c r="CY368">
        <f t="shared" si="142"/>
        <v>25.33</v>
      </c>
      <c r="CZ368">
        <f t="shared" si="143"/>
        <v>6.94</v>
      </c>
      <c r="DA368">
        <f t="shared" si="144"/>
        <v>3.65</v>
      </c>
      <c r="DB368">
        <f t="shared" si="145"/>
        <v>21.51</v>
      </c>
      <c r="DC368">
        <f t="shared" si="146"/>
        <v>0</v>
      </c>
      <c r="DD368" t="s">
        <v>3</v>
      </c>
      <c r="DE368" t="s">
        <v>3</v>
      </c>
      <c r="DF368">
        <f t="shared" si="147"/>
        <v>3337.23</v>
      </c>
      <c r="DG368">
        <f t="shared" si="148"/>
        <v>0</v>
      </c>
      <c r="DH368">
        <f t="shared" si="149"/>
        <v>0</v>
      </c>
      <c r="DI368">
        <f t="shared" si="113"/>
        <v>0</v>
      </c>
      <c r="DJ368">
        <f t="shared" si="150"/>
        <v>3337.23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5">
      <c r="A369">
        <f>ROW(Source!A537)</f>
        <v>537</v>
      </c>
      <c r="B369">
        <v>57034454</v>
      </c>
      <c r="C369">
        <v>57035295</v>
      </c>
      <c r="D369">
        <v>55481850</v>
      </c>
      <c r="E369">
        <v>1</v>
      </c>
      <c r="F369">
        <v>1</v>
      </c>
      <c r="G369">
        <v>1081</v>
      </c>
      <c r="H369">
        <v>3</v>
      </c>
      <c r="I369" t="s">
        <v>566</v>
      </c>
      <c r="J369" t="s">
        <v>567</v>
      </c>
      <c r="K369" t="s">
        <v>568</v>
      </c>
      <c r="L369">
        <v>1356</v>
      </c>
      <c r="N369">
        <v>1010</v>
      </c>
      <c r="O369" t="s">
        <v>382</v>
      </c>
      <c r="P369" t="s">
        <v>382</v>
      </c>
      <c r="Q369">
        <v>1000</v>
      </c>
      <c r="W369">
        <v>0</v>
      </c>
      <c r="X369">
        <v>1020131354</v>
      </c>
      <c r="Y369">
        <f t="shared" si="141"/>
        <v>8.0000000000000002E-3</v>
      </c>
      <c r="AA369">
        <v>1197.48</v>
      </c>
      <c r="AB369">
        <v>0</v>
      </c>
      <c r="AC369">
        <v>0</v>
      </c>
      <c r="AD369">
        <v>0</v>
      </c>
      <c r="AE369">
        <v>614.09</v>
      </c>
      <c r="AF369">
        <v>0</v>
      </c>
      <c r="AG369">
        <v>0</v>
      </c>
      <c r="AH369">
        <v>0</v>
      </c>
      <c r="AI369">
        <v>1.95</v>
      </c>
      <c r="AJ369">
        <v>1</v>
      </c>
      <c r="AK369">
        <v>1</v>
      </c>
      <c r="AL369">
        <v>1</v>
      </c>
      <c r="AM369">
        <v>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8.0000000000000002E-3</v>
      </c>
      <c r="AU369" t="s">
        <v>104</v>
      </c>
      <c r="AV369">
        <v>0</v>
      </c>
      <c r="AW369">
        <v>2</v>
      </c>
      <c r="AX369">
        <v>57035312</v>
      </c>
      <c r="AY369">
        <v>1</v>
      </c>
      <c r="AZ369">
        <v>0</v>
      </c>
      <c r="BA369">
        <v>375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ROUND(Y369*Source!I537,9)</f>
        <v>0.34</v>
      </c>
      <c r="CY369">
        <f t="shared" si="142"/>
        <v>1197.48</v>
      </c>
      <c r="CZ369">
        <f t="shared" si="143"/>
        <v>614.09</v>
      </c>
      <c r="DA369">
        <f t="shared" si="144"/>
        <v>1.95</v>
      </c>
      <c r="DB369">
        <f t="shared" si="145"/>
        <v>4.91</v>
      </c>
      <c r="DC369">
        <f t="shared" si="146"/>
        <v>0</v>
      </c>
      <c r="DD369" t="s">
        <v>3</v>
      </c>
      <c r="DE369" t="s">
        <v>3</v>
      </c>
      <c r="DF369">
        <f t="shared" si="147"/>
        <v>407.14</v>
      </c>
      <c r="DG369">
        <f t="shared" si="148"/>
        <v>0</v>
      </c>
      <c r="DH369">
        <f t="shared" si="149"/>
        <v>0</v>
      </c>
      <c r="DI369">
        <f t="shared" si="113"/>
        <v>0</v>
      </c>
      <c r="DJ369">
        <f t="shared" si="150"/>
        <v>407.14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5">
      <c r="A370">
        <f>ROW(Source!A537)</f>
        <v>537</v>
      </c>
      <c r="B370">
        <v>57034454</v>
      </c>
      <c r="C370">
        <v>57035295</v>
      </c>
      <c r="D370">
        <v>0</v>
      </c>
      <c r="E370">
        <v>0</v>
      </c>
      <c r="F370">
        <v>1</v>
      </c>
      <c r="G370">
        <v>1081</v>
      </c>
      <c r="H370">
        <v>3</v>
      </c>
      <c r="I370" t="s">
        <v>388</v>
      </c>
      <c r="J370" t="s">
        <v>3</v>
      </c>
      <c r="K370" t="s">
        <v>389</v>
      </c>
      <c r="L370">
        <v>2040</v>
      </c>
      <c r="N370">
        <v>1013</v>
      </c>
      <c r="O370" t="s">
        <v>390</v>
      </c>
      <c r="P370" t="s">
        <v>390</v>
      </c>
      <c r="Q370">
        <v>1</v>
      </c>
      <c r="W370">
        <v>0</v>
      </c>
      <c r="X370">
        <v>-820338689</v>
      </c>
      <c r="Y370">
        <f t="shared" si="141"/>
        <v>103</v>
      </c>
      <c r="AA370">
        <v>94.37</v>
      </c>
      <c r="AB370">
        <v>0</v>
      </c>
      <c r="AC370">
        <v>0</v>
      </c>
      <c r="AD370">
        <v>0</v>
      </c>
      <c r="AE370">
        <v>9.59</v>
      </c>
      <c r="AF370">
        <v>0</v>
      </c>
      <c r="AG370">
        <v>0</v>
      </c>
      <c r="AH370">
        <v>0</v>
      </c>
      <c r="AI370">
        <v>9.84</v>
      </c>
      <c r="AJ370">
        <v>1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 t="s">
        <v>3</v>
      </c>
      <c r="AT370">
        <v>103</v>
      </c>
      <c r="AU370" t="s">
        <v>104</v>
      </c>
      <c r="AV370">
        <v>0</v>
      </c>
      <c r="AW370">
        <v>1</v>
      </c>
      <c r="AX370">
        <v>-1</v>
      </c>
      <c r="AY370">
        <v>0</v>
      </c>
      <c r="AZ370">
        <v>0</v>
      </c>
      <c r="BA370" t="s">
        <v>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ROUND(Y370*Source!I537,9)</f>
        <v>4377.5</v>
      </c>
      <c r="CY370">
        <f t="shared" si="142"/>
        <v>94.37</v>
      </c>
      <c r="CZ370">
        <f t="shared" si="143"/>
        <v>9.59</v>
      </c>
      <c r="DA370">
        <f t="shared" si="144"/>
        <v>9.84</v>
      </c>
      <c r="DB370">
        <f t="shared" si="145"/>
        <v>987.77</v>
      </c>
      <c r="DC370">
        <f t="shared" si="146"/>
        <v>0</v>
      </c>
      <c r="DD370" t="s">
        <v>3</v>
      </c>
      <c r="DE370" t="s">
        <v>3</v>
      </c>
      <c r="DF370">
        <f t="shared" si="147"/>
        <v>413104.68</v>
      </c>
      <c r="DG370">
        <f t="shared" si="148"/>
        <v>0</v>
      </c>
      <c r="DH370">
        <f t="shared" si="149"/>
        <v>0</v>
      </c>
      <c r="DI370">
        <f t="shared" si="113"/>
        <v>0</v>
      </c>
      <c r="DJ370">
        <f t="shared" si="150"/>
        <v>413104.68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5">
      <c r="A371">
        <f>ROW(Source!A540)</f>
        <v>540</v>
      </c>
      <c r="B371">
        <v>57034452</v>
      </c>
      <c r="C371">
        <v>57035315</v>
      </c>
      <c r="D371">
        <v>55424304</v>
      </c>
      <c r="E371">
        <v>1081</v>
      </c>
      <c r="F371">
        <v>1</v>
      </c>
      <c r="G371">
        <v>1081</v>
      </c>
      <c r="H371">
        <v>1</v>
      </c>
      <c r="I371" t="s">
        <v>459</v>
      </c>
      <c r="J371" t="s">
        <v>3</v>
      </c>
      <c r="K371" t="s">
        <v>460</v>
      </c>
      <c r="L371">
        <v>1191</v>
      </c>
      <c r="N371">
        <v>1013</v>
      </c>
      <c r="O371" t="s">
        <v>461</v>
      </c>
      <c r="P371" t="s">
        <v>461</v>
      </c>
      <c r="Q371">
        <v>1</v>
      </c>
      <c r="W371">
        <v>0</v>
      </c>
      <c r="X371">
        <v>476480486</v>
      </c>
      <c r="Y371">
        <f>(AT371*1.2)</f>
        <v>1.512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-2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1.26</v>
      </c>
      <c r="AU371" t="s">
        <v>105</v>
      </c>
      <c r="AV371">
        <v>1</v>
      </c>
      <c r="AW371">
        <v>2</v>
      </c>
      <c r="AX371">
        <v>57035319</v>
      </c>
      <c r="AY371">
        <v>1</v>
      </c>
      <c r="AZ371">
        <v>0</v>
      </c>
      <c r="BA371">
        <v>377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U371">
        <f>ROUND(AT371*Source!I540*AH371*AL371,2)</f>
        <v>0</v>
      </c>
      <c r="CV371">
        <f>ROUND(Y371*Source!I540,9)</f>
        <v>142.12799999999999</v>
      </c>
      <c r="CW371">
        <v>0</v>
      </c>
      <c r="CX371">
        <f>ROUND(Y371*Source!I540,9)</f>
        <v>142.12799999999999</v>
      </c>
      <c r="CY371">
        <f>AD371</f>
        <v>0</v>
      </c>
      <c r="CZ371">
        <f>AH371</f>
        <v>0</v>
      </c>
      <c r="DA371">
        <f>AL371</f>
        <v>1</v>
      </c>
      <c r="DB371">
        <f>ROUND((ROUND(AT371*CZ371,2)*1.2),6)</f>
        <v>0</v>
      </c>
      <c r="DC371">
        <f>ROUND((ROUND(AT371*AG371,2)*1.2),6)</f>
        <v>0</v>
      </c>
      <c r="DD371" t="s">
        <v>3</v>
      </c>
      <c r="DE371" t="s">
        <v>3</v>
      </c>
      <c r="DF371">
        <f>ROUND(ROUND(AE371,2)*CX371,2)</f>
        <v>0</v>
      </c>
      <c r="DG371">
        <f t="shared" si="148"/>
        <v>0</v>
      </c>
      <c r="DH371">
        <f t="shared" si="149"/>
        <v>0</v>
      </c>
      <c r="DI371">
        <f t="shared" si="113"/>
        <v>0</v>
      </c>
      <c r="DJ371">
        <f>DI371</f>
        <v>0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5">
      <c r="A372">
        <f>ROW(Source!A540)</f>
        <v>540</v>
      </c>
      <c r="B372">
        <v>57034452</v>
      </c>
      <c r="C372">
        <v>57035315</v>
      </c>
      <c r="D372">
        <v>55465987</v>
      </c>
      <c r="E372">
        <v>1</v>
      </c>
      <c r="F372">
        <v>1</v>
      </c>
      <c r="G372">
        <v>1081</v>
      </c>
      <c r="H372">
        <v>3</v>
      </c>
      <c r="I372" t="s">
        <v>429</v>
      </c>
      <c r="J372" t="s">
        <v>431</v>
      </c>
      <c r="K372" t="s">
        <v>430</v>
      </c>
      <c r="L372">
        <v>1348</v>
      </c>
      <c r="N372">
        <v>1009</v>
      </c>
      <c r="O372" t="s">
        <v>299</v>
      </c>
      <c r="P372" t="s">
        <v>299</v>
      </c>
      <c r="Q372">
        <v>1000</v>
      </c>
      <c r="W372">
        <v>1</v>
      </c>
      <c r="X372">
        <v>1438006865</v>
      </c>
      <c r="Y372">
        <f>(AT372*1)</f>
        <v>-3.0000000000000001E-5</v>
      </c>
      <c r="AA372">
        <v>18995.22</v>
      </c>
      <c r="AB372">
        <v>0</v>
      </c>
      <c r="AC372">
        <v>0</v>
      </c>
      <c r="AD372">
        <v>0</v>
      </c>
      <c r="AE372">
        <v>18995.22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-2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-3.0000000000000001E-5</v>
      </c>
      <c r="AU372" t="s">
        <v>104</v>
      </c>
      <c r="AV372">
        <v>0</v>
      </c>
      <c r="AW372">
        <v>2</v>
      </c>
      <c r="AX372">
        <v>57035320</v>
      </c>
      <c r="AY372">
        <v>1</v>
      </c>
      <c r="AZ372">
        <v>6144</v>
      </c>
      <c r="BA372">
        <v>378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ROUND(Y372*Source!I540,9)</f>
        <v>-2.82E-3</v>
      </c>
      <c r="CY372">
        <f>AA372</f>
        <v>18995.22</v>
      </c>
      <c r="CZ372">
        <f>AE372</f>
        <v>18995.22</v>
      </c>
      <c r="DA372">
        <f>AI372</f>
        <v>1</v>
      </c>
      <c r="DB372">
        <f>ROUND((ROUND(AT372*CZ372,2)*1),6)</f>
        <v>-0.56999999999999995</v>
      </c>
      <c r="DC372">
        <f>ROUND((ROUND(AT372*AG372,2)*1),6)</f>
        <v>0</v>
      </c>
      <c r="DD372" t="s">
        <v>3</v>
      </c>
      <c r="DE372" t="s">
        <v>3</v>
      </c>
      <c r="DF372">
        <f>ROUND(ROUND(AE372,2)*CX372,2)</f>
        <v>-53.57</v>
      </c>
      <c r="DG372">
        <f t="shared" si="148"/>
        <v>0</v>
      </c>
      <c r="DH372">
        <f t="shared" si="149"/>
        <v>0</v>
      </c>
      <c r="DI372">
        <f t="shared" si="113"/>
        <v>0</v>
      </c>
      <c r="DJ372">
        <f>DF372</f>
        <v>-53.57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5">
      <c r="A373">
        <f>ROW(Source!A540)</f>
        <v>540</v>
      </c>
      <c r="B373">
        <v>57034452</v>
      </c>
      <c r="C373">
        <v>57035315</v>
      </c>
      <c r="D373">
        <v>55466046</v>
      </c>
      <c r="E373">
        <v>1</v>
      </c>
      <c r="F373">
        <v>1</v>
      </c>
      <c r="G373">
        <v>1081</v>
      </c>
      <c r="H373">
        <v>3</v>
      </c>
      <c r="I373" t="s">
        <v>432</v>
      </c>
      <c r="J373" t="s">
        <v>434</v>
      </c>
      <c r="K373" t="s">
        <v>620</v>
      </c>
      <c r="L373">
        <v>1346</v>
      </c>
      <c r="N373">
        <v>1009</v>
      </c>
      <c r="O373" t="s">
        <v>433</v>
      </c>
      <c r="P373" t="s">
        <v>433</v>
      </c>
      <c r="Q373">
        <v>1</v>
      </c>
      <c r="W373">
        <v>0</v>
      </c>
      <c r="X373">
        <v>-1684521540</v>
      </c>
      <c r="Y373">
        <f>(AT373*1)</f>
        <v>0.15957447</v>
      </c>
      <c r="AA373">
        <v>347.24</v>
      </c>
      <c r="AB373">
        <v>0</v>
      </c>
      <c r="AC373">
        <v>0</v>
      </c>
      <c r="AD373">
        <v>0</v>
      </c>
      <c r="AE373">
        <v>347.24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 t="s">
        <v>3</v>
      </c>
      <c r="AT373">
        <v>0.15957447</v>
      </c>
      <c r="AU373" t="s">
        <v>104</v>
      </c>
      <c r="AV373">
        <v>0</v>
      </c>
      <c r="AW373">
        <v>1</v>
      </c>
      <c r="AX373">
        <v>-1</v>
      </c>
      <c r="AY373">
        <v>0</v>
      </c>
      <c r="AZ373">
        <v>0</v>
      </c>
      <c r="BA373" t="s">
        <v>3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ROUND(Y373*Source!I540,9)</f>
        <v>15.000000180000001</v>
      </c>
      <c r="CY373">
        <f>AA373</f>
        <v>347.24</v>
      </c>
      <c r="CZ373">
        <f>AE373</f>
        <v>347.24</v>
      </c>
      <c r="DA373">
        <f>AI373</f>
        <v>1</v>
      </c>
      <c r="DB373">
        <f>ROUND((ROUND(AT373*CZ373,2)*1),6)</f>
        <v>55.41</v>
      </c>
      <c r="DC373">
        <f>ROUND((ROUND(AT373*AG373,2)*1),6)</f>
        <v>0</v>
      </c>
      <c r="DD373" t="s">
        <v>3</v>
      </c>
      <c r="DE373" t="s">
        <v>3</v>
      </c>
      <c r="DF373">
        <f>ROUND(ROUND(AE373,2)*CX373,2)</f>
        <v>5208.6000000000004</v>
      </c>
      <c r="DG373">
        <f t="shared" si="148"/>
        <v>0</v>
      </c>
      <c r="DH373">
        <f t="shared" si="149"/>
        <v>0</v>
      </c>
      <c r="DI373">
        <f t="shared" si="113"/>
        <v>0</v>
      </c>
      <c r="DJ373">
        <f>DF373</f>
        <v>5208.6000000000004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5">
      <c r="A374">
        <f>ROW(Source!A541)</f>
        <v>541</v>
      </c>
      <c r="B374">
        <v>57034454</v>
      </c>
      <c r="C374">
        <v>57035315</v>
      </c>
      <c r="D374">
        <v>55424304</v>
      </c>
      <c r="E374">
        <v>1081</v>
      </c>
      <c r="F374">
        <v>1</v>
      </c>
      <c r="G374">
        <v>1081</v>
      </c>
      <c r="H374">
        <v>1</v>
      </c>
      <c r="I374" t="s">
        <v>459</v>
      </c>
      <c r="J374" t="s">
        <v>3</v>
      </c>
      <c r="K374" t="s">
        <v>460</v>
      </c>
      <c r="L374">
        <v>1191</v>
      </c>
      <c r="N374">
        <v>1013</v>
      </c>
      <c r="O374" t="s">
        <v>461</v>
      </c>
      <c r="P374" t="s">
        <v>461</v>
      </c>
      <c r="Q374">
        <v>1</v>
      </c>
      <c r="W374">
        <v>0</v>
      </c>
      <c r="X374">
        <v>476480486</v>
      </c>
      <c r="Y374">
        <f>(AT374*1.2)</f>
        <v>1.512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5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1.26</v>
      </c>
      <c r="AU374" t="s">
        <v>105</v>
      </c>
      <c r="AV374">
        <v>1</v>
      </c>
      <c r="AW374">
        <v>2</v>
      </c>
      <c r="AX374">
        <v>57035319</v>
      </c>
      <c r="AY374">
        <v>1</v>
      </c>
      <c r="AZ374">
        <v>0</v>
      </c>
      <c r="BA374">
        <v>379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U374">
        <f>ROUND(AT374*Source!I541*AH374*AL374,2)</f>
        <v>0</v>
      </c>
      <c r="CV374">
        <f>ROUND(Y374*Source!I541,9)</f>
        <v>142.12799999999999</v>
      </c>
      <c r="CW374">
        <v>0</v>
      </c>
      <c r="CX374">
        <f>ROUND(Y374*Source!I541,9)</f>
        <v>142.12799999999999</v>
      </c>
      <c r="CY374">
        <f>AD374</f>
        <v>0</v>
      </c>
      <c r="CZ374">
        <f>AH374</f>
        <v>0</v>
      </c>
      <c r="DA374">
        <f>AL374</f>
        <v>1</v>
      </c>
      <c r="DB374">
        <f>ROUND((ROUND(AT374*CZ374,2)*1.2),6)</f>
        <v>0</v>
      </c>
      <c r="DC374">
        <f>ROUND((ROUND(AT374*AG374,2)*1.2),6)</f>
        <v>0</v>
      </c>
      <c r="DD374" t="s">
        <v>3</v>
      </c>
      <c r="DE374" t="s">
        <v>3</v>
      </c>
      <c r="DF374">
        <f>ROUND(ROUND(AE374,2)*CX374,2)</f>
        <v>0</v>
      </c>
      <c r="DG374">
        <f t="shared" si="148"/>
        <v>0</v>
      </c>
      <c r="DH374">
        <f t="shared" si="149"/>
        <v>0</v>
      </c>
      <c r="DI374">
        <f t="shared" si="113"/>
        <v>0</v>
      </c>
      <c r="DJ374">
        <f>DI374</f>
        <v>0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5">
      <c r="A375">
        <f>ROW(Source!A541)</f>
        <v>541</v>
      </c>
      <c r="B375">
        <v>57034454</v>
      </c>
      <c r="C375">
        <v>57035315</v>
      </c>
      <c r="D375">
        <v>55465987</v>
      </c>
      <c r="E375">
        <v>1</v>
      </c>
      <c r="F375">
        <v>1</v>
      </c>
      <c r="G375">
        <v>1081</v>
      </c>
      <c r="H375">
        <v>3</v>
      </c>
      <c r="I375" t="s">
        <v>429</v>
      </c>
      <c r="J375" t="s">
        <v>431</v>
      </c>
      <c r="K375" t="s">
        <v>430</v>
      </c>
      <c r="L375">
        <v>1348</v>
      </c>
      <c r="N375">
        <v>1009</v>
      </c>
      <c r="O375" t="s">
        <v>299</v>
      </c>
      <c r="P375" t="s">
        <v>299</v>
      </c>
      <c r="Q375">
        <v>1000</v>
      </c>
      <c r="W375">
        <v>1</v>
      </c>
      <c r="X375">
        <v>1438006865</v>
      </c>
      <c r="Y375">
        <f>(AT375*1)</f>
        <v>-3.0000000000000001E-5</v>
      </c>
      <c r="AA375">
        <v>345523.05</v>
      </c>
      <c r="AB375">
        <v>0</v>
      </c>
      <c r="AC375">
        <v>0</v>
      </c>
      <c r="AD375">
        <v>0</v>
      </c>
      <c r="AE375">
        <v>18995.22</v>
      </c>
      <c r="AF375">
        <v>0</v>
      </c>
      <c r="AG375">
        <v>0</v>
      </c>
      <c r="AH375">
        <v>0</v>
      </c>
      <c r="AI375">
        <v>18.190000000000001</v>
      </c>
      <c r="AJ375">
        <v>1</v>
      </c>
      <c r="AK375">
        <v>1</v>
      </c>
      <c r="AL375">
        <v>1</v>
      </c>
      <c r="AM375">
        <v>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-3.0000000000000001E-5</v>
      </c>
      <c r="AU375" t="s">
        <v>104</v>
      </c>
      <c r="AV375">
        <v>0</v>
      </c>
      <c r="AW375">
        <v>2</v>
      </c>
      <c r="AX375">
        <v>57035320</v>
      </c>
      <c r="AY375">
        <v>1</v>
      </c>
      <c r="AZ375">
        <v>6144</v>
      </c>
      <c r="BA375">
        <v>380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ROUND(Y375*Source!I541,9)</f>
        <v>-2.82E-3</v>
      </c>
      <c r="CY375">
        <f>AA375</f>
        <v>345523.05</v>
      </c>
      <c r="CZ375">
        <f>AE375</f>
        <v>18995.22</v>
      </c>
      <c r="DA375">
        <f>AI375</f>
        <v>18.190000000000001</v>
      </c>
      <c r="DB375">
        <f>ROUND((ROUND(AT375*CZ375,2)*1),6)</f>
        <v>-0.56999999999999995</v>
      </c>
      <c r="DC375">
        <f>ROUND((ROUND(AT375*AG375,2)*1),6)</f>
        <v>0</v>
      </c>
      <c r="DD375" t="s">
        <v>3</v>
      </c>
      <c r="DE375" t="s">
        <v>3</v>
      </c>
      <c r="DF375">
        <f>ROUND(ROUND(AE375*AI375,2)*CX375,2)</f>
        <v>-974.38</v>
      </c>
      <c r="DG375">
        <f t="shared" si="148"/>
        <v>0</v>
      </c>
      <c r="DH375">
        <f t="shared" si="149"/>
        <v>0</v>
      </c>
      <c r="DI375">
        <f t="shared" si="113"/>
        <v>0</v>
      </c>
      <c r="DJ375">
        <f>DF375</f>
        <v>-974.38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5">
      <c r="A376">
        <f>ROW(Source!A541)</f>
        <v>541</v>
      </c>
      <c r="B376">
        <v>57034454</v>
      </c>
      <c r="C376">
        <v>57035315</v>
      </c>
      <c r="D376">
        <v>55466046</v>
      </c>
      <c r="E376">
        <v>1</v>
      </c>
      <c r="F376">
        <v>1</v>
      </c>
      <c r="G376">
        <v>1081</v>
      </c>
      <c r="H376">
        <v>3</v>
      </c>
      <c r="I376" t="s">
        <v>432</v>
      </c>
      <c r="J376" t="s">
        <v>434</v>
      </c>
      <c r="K376" t="s">
        <v>620</v>
      </c>
      <c r="L376">
        <v>1346</v>
      </c>
      <c r="N376">
        <v>1009</v>
      </c>
      <c r="O376" t="s">
        <v>433</v>
      </c>
      <c r="P376" t="s">
        <v>433</v>
      </c>
      <c r="Q376">
        <v>1</v>
      </c>
      <c r="W376">
        <v>0</v>
      </c>
      <c r="X376">
        <v>-1684521540</v>
      </c>
      <c r="Y376">
        <f>(AT376*1)</f>
        <v>0.15957447</v>
      </c>
      <c r="AA376">
        <v>1892.46</v>
      </c>
      <c r="AB376">
        <v>0</v>
      </c>
      <c r="AC376">
        <v>0</v>
      </c>
      <c r="AD376">
        <v>0</v>
      </c>
      <c r="AE376">
        <v>347.24</v>
      </c>
      <c r="AF376">
        <v>0</v>
      </c>
      <c r="AG376">
        <v>0</v>
      </c>
      <c r="AH376">
        <v>0</v>
      </c>
      <c r="AI376">
        <v>5.45</v>
      </c>
      <c r="AJ376">
        <v>1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 t="s">
        <v>3</v>
      </c>
      <c r="AT376">
        <v>0.15957447</v>
      </c>
      <c r="AU376" t="s">
        <v>104</v>
      </c>
      <c r="AV376">
        <v>0</v>
      </c>
      <c r="AW376">
        <v>1</v>
      </c>
      <c r="AX376">
        <v>-1</v>
      </c>
      <c r="AY376">
        <v>0</v>
      </c>
      <c r="AZ376">
        <v>0</v>
      </c>
      <c r="BA376" t="s">
        <v>3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ROUND(Y376*Source!I541,9)</f>
        <v>15.000000180000001</v>
      </c>
      <c r="CY376">
        <f>AA376</f>
        <v>1892.46</v>
      </c>
      <c r="CZ376">
        <f>AE376</f>
        <v>347.24</v>
      </c>
      <c r="DA376">
        <f>AI376</f>
        <v>5.45</v>
      </c>
      <c r="DB376">
        <f>ROUND((ROUND(AT376*CZ376,2)*1),6)</f>
        <v>55.41</v>
      </c>
      <c r="DC376">
        <f>ROUND((ROUND(AT376*AG376,2)*1),6)</f>
        <v>0</v>
      </c>
      <c r="DD376" t="s">
        <v>3</v>
      </c>
      <c r="DE376" t="s">
        <v>3</v>
      </c>
      <c r="DF376">
        <f>ROUND(ROUND(AE376*AI376,2)*CX376,2)</f>
        <v>28386.9</v>
      </c>
      <c r="DG376">
        <f t="shared" si="148"/>
        <v>0</v>
      </c>
      <c r="DH376">
        <f t="shared" si="149"/>
        <v>0</v>
      </c>
      <c r="DI376">
        <f t="shared" si="113"/>
        <v>0</v>
      </c>
      <c r="DJ376">
        <f>DF376</f>
        <v>28386.9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38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57035326</v>
      </c>
      <c r="C1">
        <v>57035323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459</v>
      </c>
      <c r="J1" t="s">
        <v>3</v>
      </c>
      <c r="K1" t="s">
        <v>460</v>
      </c>
      <c r="L1">
        <v>1191</v>
      </c>
      <c r="N1">
        <v>1013</v>
      </c>
      <c r="O1" t="s">
        <v>461</v>
      </c>
      <c r="P1" t="s">
        <v>461</v>
      </c>
      <c r="Q1">
        <v>1</v>
      </c>
      <c r="X1">
        <v>3.09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29</v>
      </c>
      <c r="AG1">
        <v>1.1123999999999998</v>
      </c>
      <c r="AH1">
        <v>2</v>
      </c>
      <c r="AI1">
        <v>57035324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57035327</v>
      </c>
      <c r="C2">
        <v>57035323</v>
      </c>
      <c r="D2">
        <v>55490209</v>
      </c>
      <c r="E2">
        <v>1</v>
      </c>
      <c r="F2">
        <v>1</v>
      </c>
      <c r="G2">
        <v>1081</v>
      </c>
      <c r="H2">
        <v>2</v>
      </c>
      <c r="I2" t="s">
        <v>462</v>
      </c>
      <c r="J2" t="s">
        <v>463</v>
      </c>
      <c r="K2" t="s">
        <v>464</v>
      </c>
      <c r="L2">
        <v>1368</v>
      </c>
      <c r="N2">
        <v>1011</v>
      </c>
      <c r="O2" t="s">
        <v>465</v>
      </c>
      <c r="P2" t="s">
        <v>465</v>
      </c>
      <c r="Q2">
        <v>1</v>
      </c>
      <c r="X2">
        <v>0.32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29</v>
      </c>
      <c r="AG2">
        <v>0.1152</v>
      </c>
      <c r="AH2">
        <v>2</v>
      </c>
      <c r="AI2">
        <v>57035325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57035328</v>
      </c>
      <c r="C3">
        <v>57035323</v>
      </c>
      <c r="D3">
        <v>55440932</v>
      </c>
      <c r="E3">
        <v>1081</v>
      </c>
      <c r="F3">
        <v>1</v>
      </c>
      <c r="G3">
        <v>1081</v>
      </c>
      <c r="H3">
        <v>3</v>
      </c>
      <c r="I3" t="s">
        <v>569</v>
      </c>
      <c r="J3" t="s">
        <v>3</v>
      </c>
      <c r="K3" t="s">
        <v>570</v>
      </c>
      <c r="L3">
        <v>1354</v>
      </c>
      <c r="N3">
        <v>1010</v>
      </c>
      <c r="O3" t="s">
        <v>177</v>
      </c>
      <c r="P3" t="s">
        <v>177</v>
      </c>
      <c r="Q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28</v>
      </c>
      <c r="AG3">
        <v>0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ROW(Source!A29)</f>
        <v>29</v>
      </c>
      <c r="B4">
        <v>57035326</v>
      </c>
      <c r="C4">
        <v>57035323</v>
      </c>
      <c r="D4">
        <v>55424304</v>
      </c>
      <c r="E4">
        <v>1081</v>
      </c>
      <c r="F4">
        <v>1</v>
      </c>
      <c r="G4">
        <v>1081</v>
      </c>
      <c r="H4">
        <v>1</v>
      </c>
      <c r="I4" t="s">
        <v>459</v>
      </c>
      <c r="J4" t="s">
        <v>3</v>
      </c>
      <c r="K4" t="s">
        <v>460</v>
      </c>
      <c r="L4">
        <v>1191</v>
      </c>
      <c r="N4">
        <v>1013</v>
      </c>
      <c r="O4" t="s">
        <v>461</v>
      </c>
      <c r="P4" t="s">
        <v>461</v>
      </c>
      <c r="Q4">
        <v>1</v>
      </c>
      <c r="X4">
        <v>3.09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29</v>
      </c>
      <c r="AG4">
        <v>1.1123999999999998</v>
      </c>
      <c r="AH4">
        <v>2</v>
      </c>
      <c r="AI4">
        <v>57035324</v>
      </c>
      <c r="AJ4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ROW(Source!A29)</f>
        <v>29</v>
      </c>
      <c r="B5">
        <v>57035327</v>
      </c>
      <c r="C5">
        <v>57035323</v>
      </c>
      <c r="D5">
        <v>55490209</v>
      </c>
      <c r="E5">
        <v>1</v>
      </c>
      <c r="F5">
        <v>1</v>
      </c>
      <c r="G5">
        <v>1081</v>
      </c>
      <c r="H5">
        <v>2</v>
      </c>
      <c r="I5" t="s">
        <v>462</v>
      </c>
      <c r="J5" t="s">
        <v>463</v>
      </c>
      <c r="K5" t="s">
        <v>464</v>
      </c>
      <c r="L5">
        <v>1368</v>
      </c>
      <c r="N5">
        <v>1011</v>
      </c>
      <c r="O5" t="s">
        <v>465</v>
      </c>
      <c r="P5" t="s">
        <v>465</v>
      </c>
      <c r="Q5">
        <v>1</v>
      </c>
      <c r="X5">
        <v>0.32</v>
      </c>
      <c r="Y5">
        <v>0</v>
      </c>
      <c r="Z5">
        <v>83.1</v>
      </c>
      <c r="AA5">
        <v>12.62</v>
      </c>
      <c r="AB5">
        <v>0</v>
      </c>
      <c r="AC5">
        <v>0</v>
      </c>
      <c r="AD5">
        <v>1</v>
      </c>
      <c r="AE5">
        <v>0</v>
      </c>
      <c r="AF5" t="s">
        <v>29</v>
      </c>
      <c r="AG5">
        <v>0.1152</v>
      </c>
      <c r="AH5">
        <v>2</v>
      </c>
      <c r="AI5">
        <v>57035325</v>
      </c>
      <c r="AJ5">
        <v>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ROW(Source!A29)</f>
        <v>29</v>
      </c>
      <c r="B6">
        <v>57035328</v>
      </c>
      <c r="C6">
        <v>57035323</v>
      </c>
      <c r="D6">
        <v>55440932</v>
      </c>
      <c r="E6">
        <v>1081</v>
      </c>
      <c r="F6">
        <v>1</v>
      </c>
      <c r="G6">
        <v>1081</v>
      </c>
      <c r="H6">
        <v>3</v>
      </c>
      <c r="I6" t="s">
        <v>569</v>
      </c>
      <c r="J6" t="s">
        <v>3</v>
      </c>
      <c r="K6" t="s">
        <v>570</v>
      </c>
      <c r="L6">
        <v>1354</v>
      </c>
      <c r="N6">
        <v>1010</v>
      </c>
      <c r="O6" t="s">
        <v>177</v>
      </c>
      <c r="P6" t="s">
        <v>177</v>
      </c>
      <c r="Q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28</v>
      </c>
      <c r="AG6">
        <v>0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ROW(Source!A30)</f>
        <v>30</v>
      </c>
      <c r="B7">
        <v>57035331</v>
      </c>
      <c r="C7">
        <v>57035329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459</v>
      </c>
      <c r="J7" t="s">
        <v>3</v>
      </c>
      <c r="K7" t="s">
        <v>460</v>
      </c>
      <c r="L7">
        <v>1191</v>
      </c>
      <c r="N7">
        <v>1013</v>
      </c>
      <c r="O7" t="s">
        <v>461</v>
      </c>
      <c r="P7" t="s">
        <v>461</v>
      </c>
      <c r="Q7">
        <v>1</v>
      </c>
      <c r="X7">
        <v>11.7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29</v>
      </c>
      <c r="AG7">
        <v>4.2119999999999997</v>
      </c>
      <c r="AH7">
        <v>2</v>
      </c>
      <c r="AI7">
        <v>57035330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ROW(Source!A31)</f>
        <v>31</v>
      </c>
      <c r="B8">
        <v>57035331</v>
      </c>
      <c r="C8">
        <v>57035329</v>
      </c>
      <c r="D8">
        <v>55424304</v>
      </c>
      <c r="E8">
        <v>1081</v>
      </c>
      <c r="F8">
        <v>1</v>
      </c>
      <c r="G8">
        <v>1081</v>
      </c>
      <c r="H8">
        <v>1</v>
      </c>
      <c r="I8" t="s">
        <v>459</v>
      </c>
      <c r="J8" t="s">
        <v>3</v>
      </c>
      <c r="K8" t="s">
        <v>460</v>
      </c>
      <c r="L8">
        <v>1191</v>
      </c>
      <c r="N8">
        <v>1013</v>
      </c>
      <c r="O8" t="s">
        <v>461</v>
      </c>
      <c r="P8" t="s">
        <v>461</v>
      </c>
      <c r="Q8">
        <v>1</v>
      </c>
      <c r="X8">
        <v>11.7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t="s">
        <v>29</v>
      </c>
      <c r="AG8">
        <v>4.2119999999999997</v>
      </c>
      <c r="AH8">
        <v>2</v>
      </c>
      <c r="AI8">
        <v>57035330</v>
      </c>
      <c r="AJ8">
        <v>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ROW(Source!A32)</f>
        <v>32</v>
      </c>
      <c r="B9">
        <v>57035337</v>
      </c>
      <c r="C9">
        <v>57035332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459</v>
      </c>
      <c r="J9" t="s">
        <v>3</v>
      </c>
      <c r="K9" t="s">
        <v>460</v>
      </c>
      <c r="L9">
        <v>1191</v>
      </c>
      <c r="N9">
        <v>1013</v>
      </c>
      <c r="O9" t="s">
        <v>461</v>
      </c>
      <c r="P9" t="s">
        <v>461</v>
      </c>
      <c r="Q9">
        <v>1</v>
      </c>
      <c r="X9">
        <v>2.65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29</v>
      </c>
      <c r="AG9">
        <v>0.95399999999999985</v>
      </c>
      <c r="AH9">
        <v>2</v>
      </c>
      <c r="AI9">
        <v>57035333</v>
      </c>
      <c r="AJ9">
        <v>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ROW(Source!A32)</f>
        <v>32</v>
      </c>
      <c r="B10">
        <v>57035338</v>
      </c>
      <c r="C10">
        <v>57035332</v>
      </c>
      <c r="D10">
        <v>55461074</v>
      </c>
      <c r="E10">
        <v>1</v>
      </c>
      <c r="F10">
        <v>1</v>
      </c>
      <c r="G10">
        <v>1081</v>
      </c>
      <c r="H10">
        <v>3</v>
      </c>
      <c r="I10" t="s">
        <v>467</v>
      </c>
      <c r="J10" t="s">
        <v>468</v>
      </c>
      <c r="K10" t="s">
        <v>469</v>
      </c>
      <c r="L10">
        <v>1346</v>
      </c>
      <c r="N10">
        <v>1009</v>
      </c>
      <c r="O10" t="s">
        <v>433</v>
      </c>
      <c r="P10" t="s">
        <v>433</v>
      </c>
      <c r="Q10">
        <v>1</v>
      </c>
      <c r="X10">
        <v>6.2700000000000004E-3</v>
      </c>
      <c r="Y10">
        <v>27.62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28</v>
      </c>
      <c r="AG10">
        <v>0</v>
      </c>
      <c r="AH10">
        <v>2</v>
      </c>
      <c r="AI10">
        <v>57035334</v>
      </c>
      <c r="AJ10">
        <v>8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ROW(Source!A32)</f>
        <v>32</v>
      </c>
      <c r="B11">
        <v>57035339</v>
      </c>
      <c r="C11">
        <v>57035332</v>
      </c>
      <c r="D11">
        <v>55459793</v>
      </c>
      <c r="E11">
        <v>1</v>
      </c>
      <c r="F11">
        <v>1</v>
      </c>
      <c r="G11">
        <v>1081</v>
      </c>
      <c r="H11">
        <v>3</v>
      </c>
      <c r="I11" t="s">
        <v>470</v>
      </c>
      <c r="J11" t="s">
        <v>471</v>
      </c>
      <c r="K11" t="s">
        <v>472</v>
      </c>
      <c r="L11">
        <v>1348</v>
      </c>
      <c r="N11">
        <v>1009</v>
      </c>
      <c r="O11" t="s">
        <v>299</v>
      </c>
      <c r="P11" t="s">
        <v>299</v>
      </c>
      <c r="Q11">
        <v>1000</v>
      </c>
      <c r="X11">
        <v>1.0000000000000001E-5</v>
      </c>
      <c r="Y11">
        <v>64123.05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28</v>
      </c>
      <c r="AG11">
        <v>0</v>
      </c>
      <c r="AH11">
        <v>2</v>
      </c>
      <c r="AI11">
        <v>57035335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ROW(Source!A32)</f>
        <v>32</v>
      </c>
      <c r="B12">
        <v>57035340</v>
      </c>
      <c r="C12">
        <v>57035332</v>
      </c>
      <c r="D12">
        <v>55469253</v>
      </c>
      <c r="E12">
        <v>1</v>
      </c>
      <c r="F12">
        <v>1</v>
      </c>
      <c r="G12">
        <v>1081</v>
      </c>
      <c r="H12">
        <v>3</v>
      </c>
      <c r="I12" t="s">
        <v>473</v>
      </c>
      <c r="J12" t="s">
        <v>474</v>
      </c>
      <c r="K12" t="s">
        <v>475</v>
      </c>
      <c r="L12">
        <v>1354</v>
      </c>
      <c r="N12">
        <v>1010</v>
      </c>
      <c r="O12" t="s">
        <v>177</v>
      </c>
      <c r="P12" t="s">
        <v>177</v>
      </c>
      <c r="Q12">
        <v>1</v>
      </c>
      <c r="X12">
        <v>0.1</v>
      </c>
      <c r="Y12">
        <v>15.25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28</v>
      </c>
      <c r="AG12">
        <v>0</v>
      </c>
      <c r="AH12">
        <v>2</v>
      </c>
      <c r="AI12">
        <v>57035336</v>
      </c>
      <c r="AJ12">
        <v>10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ROW(Source!A32)</f>
        <v>32</v>
      </c>
      <c r="B13">
        <v>57035341</v>
      </c>
      <c r="C13">
        <v>57035332</v>
      </c>
      <c r="D13">
        <v>55441122</v>
      </c>
      <c r="E13">
        <v>1081</v>
      </c>
      <c r="F13">
        <v>1</v>
      </c>
      <c r="G13">
        <v>1081</v>
      </c>
      <c r="H13">
        <v>3</v>
      </c>
      <c r="I13" t="s">
        <v>571</v>
      </c>
      <c r="J13" t="s">
        <v>3</v>
      </c>
      <c r="K13" t="s">
        <v>572</v>
      </c>
      <c r="L13">
        <v>1354</v>
      </c>
      <c r="N13">
        <v>1010</v>
      </c>
      <c r="O13" t="s">
        <v>177</v>
      </c>
      <c r="P13" t="s">
        <v>177</v>
      </c>
      <c r="Q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28</v>
      </c>
      <c r="AG13">
        <v>0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ROW(Source!A33)</f>
        <v>33</v>
      </c>
      <c r="B14">
        <v>57035337</v>
      </c>
      <c r="C14">
        <v>57035332</v>
      </c>
      <c r="D14">
        <v>55424304</v>
      </c>
      <c r="E14">
        <v>1081</v>
      </c>
      <c r="F14">
        <v>1</v>
      </c>
      <c r="G14">
        <v>1081</v>
      </c>
      <c r="H14">
        <v>1</v>
      </c>
      <c r="I14" t="s">
        <v>459</v>
      </c>
      <c r="J14" t="s">
        <v>3</v>
      </c>
      <c r="K14" t="s">
        <v>460</v>
      </c>
      <c r="L14">
        <v>1191</v>
      </c>
      <c r="N14">
        <v>1013</v>
      </c>
      <c r="O14" t="s">
        <v>461</v>
      </c>
      <c r="P14" t="s">
        <v>461</v>
      </c>
      <c r="Q14">
        <v>1</v>
      </c>
      <c r="X14">
        <v>2.65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29</v>
      </c>
      <c r="AG14">
        <v>0.95399999999999985</v>
      </c>
      <c r="AH14">
        <v>2</v>
      </c>
      <c r="AI14">
        <v>57035333</v>
      </c>
      <c r="AJ14">
        <v>11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ROW(Source!A33)</f>
        <v>33</v>
      </c>
      <c r="B15">
        <v>57035338</v>
      </c>
      <c r="C15">
        <v>57035332</v>
      </c>
      <c r="D15">
        <v>55461074</v>
      </c>
      <c r="E15">
        <v>1</v>
      </c>
      <c r="F15">
        <v>1</v>
      </c>
      <c r="G15">
        <v>1081</v>
      </c>
      <c r="H15">
        <v>3</v>
      </c>
      <c r="I15" t="s">
        <v>467</v>
      </c>
      <c r="J15" t="s">
        <v>468</v>
      </c>
      <c r="K15" t="s">
        <v>469</v>
      </c>
      <c r="L15">
        <v>1346</v>
      </c>
      <c r="N15">
        <v>1009</v>
      </c>
      <c r="O15" t="s">
        <v>433</v>
      </c>
      <c r="P15" t="s">
        <v>433</v>
      </c>
      <c r="Q15">
        <v>1</v>
      </c>
      <c r="X15">
        <v>6.2700000000000004E-3</v>
      </c>
      <c r="Y15">
        <v>27.62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28</v>
      </c>
      <c r="AG15">
        <v>0</v>
      </c>
      <c r="AH15">
        <v>2</v>
      </c>
      <c r="AI15">
        <v>57035334</v>
      </c>
      <c r="AJ15">
        <v>12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ROW(Source!A33)</f>
        <v>33</v>
      </c>
      <c r="B16">
        <v>57035339</v>
      </c>
      <c r="C16">
        <v>57035332</v>
      </c>
      <c r="D16">
        <v>55459793</v>
      </c>
      <c r="E16">
        <v>1</v>
      </c>
      <c r="F16">
        <v>1</v>
      </c>
      <c r="G16">
        <v>1081</v>
      </c>
      <c r="H16">
        <v>3</v>
      </c>
      <c r="I16" t="s">
        <v>470</v>
      </c>
      <c r="J16" t="s">
        <v>471</v>
      </c>
      <c r="K16" t="s">
        <v>472</v>
      </c>
      <c r="L16">
        <v>1348</v>
      </c>
      <c r="N16">
        <v>1009</v>
      </c>
      <c r="O16" t="s">
        <v>299</v>
      </c>
      <c r="P16" t="s">
        <v>299</v>
      </c>
      <c r="Q16">
        <v>1000</v>
      </c>
      <c r="X16">
        <v>1.0000000000000001E-5</v>
      </c>
      <c r="Y16">
        <v>64123.05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28</v>
      </c>
      <c r="AG16">
        <v>0</v>
      </c>
      <c r="AH16">
        <v>2</v>
      </c>
      <c r="AI16">
        <v>57035335</v>
      </c>
      <c r="AJ16">
        <v>13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ROW(Source!A33)</f>
        <v>33</v>
      </c>
      <c r="B17">
        <v>57035340</v>
      </c>
      <c r="C17">
        <v>57035332</v>
      </c>
      <c r="D17">
        <v>55469253</v>
      </c>
      <c r="E17">
        <v>1</v>
      </c>
      <c r="F17">
        <v>1</v>
      </c>
      <c r="G17">
        <v>1081</v>
      </c>
      <c r="H17">
        <v>3</v>
      </c>
      <c r="I17" t="s">
        <v>473</v>
      </c>
      <c r="J17" t="s">
        <v>474</v>
      </c>
      <c r="K17" t="s">
        <v>475</v>
      </c>
      <c r="L17">
        <v>1354</v>
      </c>
      <c r="N17">
        <v>1010</v>
      </c>
      <c r="O17" t="s">
        <v>177</v>
      </c>
      <c r="P17" t="s">
        <v>177</v>
      </c>
      <c r="Q17">
        <v>1</v>
      </c>
      <c r="X17">
        <v>0.1</v>
      </c>
      <c r="Y17">
        <v>15.25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28</v>
      </c>
      <c r="AG17">
        <v>0</v>
      </c>
      <c r="AH17">
        <v>2</v>
      </c>
      <c r="AI17">
        <v>57035336</v>
      </c>
      <c r="AJ17">
        <v>14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ROW(Source!A33)</f>
        <v>33</v>
      </c>
      <c r="B18">
        <v>57035341</v>
      </c>
      <c r="C18">
        <v>57035332</v>
      </c>
      <c r="D18">
        <v>55441122</v>
      </c>
      <c r="E18">
        <v>1081</v>
      </c>
      <c r="F18">
        <v>1</v>
      </c>
      <c r="G18">
        <v>1081</v>
      </c>
      <c r="H18">
        <v>3</v>
      </c>
      <c r="I18" t="s">
        <v>571</v>
      </c>
      <c r="J18" t="s">
        <v>3</v>
      </c>
      <c r="K18" t="s">
        <v>572</v>
      </c>
      <c r="L18">
        <v>1354</v>
      </c>
      <c r="N18">
        <v>1010</v>
      </c>
      <c r="O18" t="s">
        <v>177</v>
      </c>
      <c r="P18" t="s">
        <v>177</v>
      </c>
      <c r="Q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28</v>
      </c>
      <c r="AG18">
        <v>0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ROW(Source!A34)</f>
        <v>34</v>
      </c>
      <c r="B19">
        <v>57035349</v>
      </c>
      <c r="C19">
        <v>57035342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459</v>
      </c>
      <c r="J19" t="s">
        <v>3</v>
      </c>
      <c r="K19" t="s">
        <v>460</v>
      </c>
      <c r="L19">
        <v>1191</v>
      </c>
      <c r="N19">
        <v>1013</v>
      </c>
      <c r="O19" t="s">
        <v>461</v>
      </c>
      <c r="P19" t="s">
        <v>461</v>
      </c>
      <c r="Q19">
        <v>1</v>
      </c>
      <c r="X19">
        <v>1.36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29</v>
      </c>
      <c r="AG19">
        <v>0.48960000000000004</v>
      </c>
      <c r="AH19">
        <v>2</v>
      </c>
      <c r="AI19">
        <v>57035343</v>
      </c>
      <c r="AJ19">
        <v>15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ROW(Source!A34)</f>
        <v>34</v>
      </c>
      <c r="B20">
        <v>57035350</v>
      </c>
      <c r="C20">
        <v>57035342</v>
      </c>
      <c r="D20">
        <v>55490330</v>
      </c>
      <c r="E20">
        <v>1</v>
      </c>
      <c r="F20">
        <v>1</v>
      </c>
      <c r="G20">
        <v>1081</v>
      </c>
      <c r="H20">
        <v>2</v>
      </c>
      <c r="I20" t="s">
        <v>476</v>
      </c>
      <c r="J20" t="s">
        <v>477</v>
      </c>
      <c r="K20" t="s">
        <v>478</v>
      </c>
      <c r="L20">
        <v>1368</v>
      </c>
      <c r="N20">
        <v>1011</v>
      </c>
      <c r="O20" t="s">
        <v>465</v>
      </c>
      <c r="P20" t="s">
        <v>465</v>
      </c>
      <c r="Q20">
        <v>1</v>
      </c>
      <c r="X20">
        <v>1.7000000000000001E-2</v>
      </c>
      <c r="Y20">
        <v>0</v>
      </c>
      <c r="Z20">
        <v>0.8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29</v>
      </c>
      <c r="AG20">
        <v>6.1200000000000004E-3</v>
      </c>
      <c r="AH20">
        <v>2</v>
      </c>
      <c r="AI20">
        <v>57035344</v>
      </c>
      <c r="AJ20">
        <v>16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ROW(Source!A34)</f>
        <v>34</v>
      </c>
      <c r="B21">
        <v>57035351</v>
      </c>
      <c r="C21">
        <v>57035342</v>
      </c>
      <c r="D21">
        <v>55490296</v>
      </c>
      <c r="E21">
        <v>1</v>
      </c>
      <c r="F21">
        <v>1</v>
      </c>
      <c r="G21">
        <v>1081</v>
      </c>
      <c r="H21">
        <v>2</v>
      </c>
      <c r="I21" t="s">
        <v>479</v>
      </c>
      <c r="J21" t="s">
        <v>480</v>
      </c>
      <c r="K21" t="s">
        <v>481</v>
      </c>
      <c r="L21">
        <v>1368</v>
      </c>
      <c r="N21">
        <v>1011</v>
      </c>
      <c r="O21" t="s">
        <v>465</v>
      </c>
      <c r="P21" t="s">
        <v>465</v>
      </c>
      <c r="Q21">
        <v>1</v>
      </c>
      <c r="X21">
        <v>0.02</v>
      </c>
      <c r="Y21">
        <v>0</v>
      </c>
      <c r="Z21">
        <v>0.47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29</v>
      </c>
      <c r="AG21">
        <v>7.1999999999999998E-3</v>
      </c>
      <c r="AH21">
        <v>2</v>
      </c>
      <c r="AI21">
        <v>57035345</v>
      </c>
      <c r="AJ21">
        <v>17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ROW(Source!A34)</f>
        <v>34</v>
      </c>
      <c r="B22">
        <v>57035352</v>
      </c>
      <c r="C22">
        <v>57035342</v>
      </c>
      <c r="D22">
        <v>55461074</v>
      </c>
      <c r="E22">
        <v>1</v>
      </c>
      <c r="F22">
        <v>1</v>
      </c>
      <c r="G22">
        <v>1081</v>
      </c>
      <c r="H22">
        <v>3</v>
      </c>
      <c r="I22" t="s">
        <v>467</v>
      </c>
      <c r="J22" t="s">
        <v>468</v>
      </c>
      <c r="K22" t="s">
        <v>469</v>
      </c>
      <c r="L22">
        <v>1346</v>
      </c>
      <c r="N22">
        <v>1009</v>
      </c>
      <c r="O22" t="s">
        <v>433</v>
      </c>
      <c r="P22" t="s">
        <v>433</v>
      </c>
      <c r="Q22">
        <v>1</v>
      </c>
      <c r="X22">
        <v>6.2700000000000004E-3</v>
      </c>
      <c r="Y22">
        <v>27.62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28</v>
      </c>
      <c r="AG22">
        <v>0</v>
      </c>
      <c r="AH22">
        <v>2</v>
      </c>
      <c r="AI22">
        <v>57035346</v>
      </c>
      <c r="AJ22">
        <v>18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ROW(Source!A34)</f>
        <v>34</v>
      </c>
      <c r="B23">
        <v>57035353</v>
      </c>
      <c r="C23">
        <v>57035342</v>
      </c>
      <c r="D23">
        <v>55459793</v>
      </c>
      <c r="E23">
        <v>1</v>
      </c>
      <c r="F23">
        <v>1</v>
      </c>
      <c r="G23">
        <v>1081</v>
      </c>
      <c r="H23">
        <v>3</v>
      </c>
      <c r="I23" t="s">
        <v>470</v>
      </c>
      <c r="J23" t="s">
        <v>471</v>
      </c>
      <c r="K23" t="s">
        <v>472</v>
      </c>
      <c r="L23">
        <v>1348</v>
      </c>
      <c r="N23">
        <v>1009</v>
      </c>
      <c r="O23" t="s">
        <v>299</v>
      </c>
      <c r="P23" t="s">
        <v>299</v>
      </c>
      <c r="Q23">
        <v>1000</v>
      </c>
      <c r="X23">
        <v>1.0000000000000001E-5</v>
      </c>
      <c r="Y23">
        <v>64123.05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28</v>
      </c>
      <c r="AG23">
        <v>0</v>
      </c>
      <c r="AH23">
        <v>2</v>
      </c>
      <c r="AI23">
        <v>57035347</v>
      </c>
      <c r="AJ23">
        <v>19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ROW(Source!A34)</f>
        <v>34</v>
      </c>
      <c r="B24">
        <v>57035354</v>
      </c>
      <c r="C24">
        <v>57035342</v>
      </c>
      <c r="D24">
        <v>55469253</v>
      </c>
      <c r="E24">
        <v>1</v>
      </c>
      <c r="F24">
        <v>1</v>
      </c>
      <c r="G24">
        <v>1081</v>
      </c>
      <c r="H24">
        <v>3</v>
      </c>
      <c r="I24" t="s">
        <v>473</v>
      </c>
      <c r="J24" t="s">
        <v>474</v>
      </c>
      <c r="K24" t="s">
        <v>475</v>
      </c>
      <c r="L24">
        <v>1354</v>
      </c>
      <c r="N24">
        <v>1010</v>
      </c>
      <c r="O24" t="s">
        <v>177</v>
      </c>
      <c r="P24" t="s">
        <v>177</v>
      </c>
      <c r="Q24">
        <v>1</v>
      </c>
      <c r="X24">
        <v>0.1</v>
      </c>
      <c r="Y24">
        <v>15.25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28</v>
      </c>
      <c r="AG24">
        <v>0</v>
      </c>
      <c r="AH24">
        <v>2</v>
      </c>
      <c r="AI24">
        <v>57035348</v>
      </c>
      <c r="AJ24">
        <v>20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ROW(Source!A34)</f>
        <v>34</v>
      </c>
      <c r="B25">
        <v>57035355</v>
      </c>
      <c r="C25">
        <v>57035342</v>
      </c>
      <c r="D25">
        <v>55441128</v>
      </c>
      <c r="E25">
        <v>1081</v>
      </c>
      <c r="F25">
        <v>1</v>
      </c>
      <c r="G25">
        <v>1081</v>
      </c>
      <c r="H25">
        <v>3</v>
      </c>
      <c r="I25" t="s">
        <v>573</v>
      </c>
      <c r="J25" t="s">
        <v>3</v>
      </c>
      <c r="K25" t="s">
        <v>574</v>
      </c>
      <c r="L25">
        <v>1354</v>
      </c>
      <c r="N25">
        <v>1010</v>
      </c>
      <c r="O25" t="s">
        <v>177</v>
      </c>
      <c r="P25" t="s">
        <v>177</v>
      </c>
      <c r="Q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28</v>
      </c>
      <c r="AG25">
        <v>0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ROW(Source!A35)</f>
        <v>35</v>
      </c>
      <c r="B26">
        <v>57035349</v>
      </c>
      <c r="C26">
        <v>57035342</v>
      </c>
      <c r="D26">
        <v>55424304</v>
      </c>
      <c r="E26">
        <v>1081</v>
      </c>
      <c r="F26">
        <v>1</v>
      </c>
      <c r="G26">
        <v>1081</v>
      </c>
      <c r="H26">
        <v>1</v>
      </c>
      <c r="I26" t="s">
        <v>459</v>
      </c>
      <c r="J26" t="s">
        <v>3</v>
      </c>
      <c r="K26" t="s">
        <v>460</v>
      </c>
      <c r="L26">
        <v>1191</v>
      </c>
      <c r="N26">
        <v>1013</v>
      </c>
      <c r="O26" t="s">
        <v>461</v>
      </c>
      <c r="P26" t="s">
        <v>461</v>
      </c>
      <c r="Q26">
        <v>1</v>
      </c>
      <c r="X26">
        <v>1.36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29</v>
      </c>
      <c r="AG26">
        <v>0.48960000000000004</v>
      </c>
      <c r="AH26">
        <v>2</v>
      </c>
      <c r="AI26">
        <v>57035343</v>
      </c>
      <c r="AJ26">
        <v>21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ROW(Source!A35)</f>
        <v>35</v>
      </c>
      <c r="B27">
        <v>57035350</v>
      </c>
      <c r="C27">
        <v>57035342</v>
      </c>
      <c r="D27">
        <v>55490330</v>
      </c>
      <c r="E27">
        <v>1</v>
      </c>
      <c r="F27">
        <v>1</v>
      </c>
      <c r="G27">
        <v>1081</v>
      </c>
      <c r="H27">
        <v>2</v>
      </c>
      <c r="I27" t="s">
        <v>476</v>
      </c>
      <c r="J27" t="s">
        <v>477</v>
      </c>
      <c r="K27" t="s">
        <v>478</v>
      </c>
      <c r="L27">
        <v>1368</v>
      </c>
      <c r="N27">
        <v>1011</v>
      </c>
      <c r="O27" t="s">
        <v>465</v>
      </c>
      <c r="P27" t="s">
        <v>465</v>
      </c>
      <c r="Q27">
        <v>1</v>
      </c>
      <c r="X27">
        <v>1.7000000000000001E-2</v>
      </c>
      <c r="Y27">
        <v>0</v>
      </c>
      <c r="Z27">
        <v>0.8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29</v>
      </c>
      <c r="AG27">
        <v>6.1200000000000004E-3</v>
      </c>
      <c r="AH27">
        <v>2</v>
      </c>
      <c r="AI27">
        <v>57035344</v>
      </c>
      <c r="AJ27">
        <v>22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ROW(Source!A35)</f>
        <v>35</v>
      </c>
      <c r="B28">
        <v>57035351</v>
      </c>
      <c r="C28">
        <v>57035342</v>
      </c>
      <c r="D28">
        <v>55490296</v>
      </c>
      <c r="E28">
        <v>1</v>
      </c>
      <c r="F28">
        <v>1</v>
      </c>
      <c r="G28">
        <v>1081</v>
      </c>
      <c r="H28">
        <v>2</v>
      </c>
      <c r="I28" t="s">
        <v>479</v>
      </c>
      <c r="J28" t="s">
        <v>480</v>
      </c>
      <c r="K28" t="s">
        <v>481</v>
      </c>
      <c r="L28">
        <v>1368</v>
      </c>
      <c r="N28">
        <v>1011</v>
      </c>
      <c r="O28" t="s">
        <v>465</v>
      </c>
      <c r="P28" t="s">
        <v>465</v>
      </c>
      <c r="Q28">
        <v>1</v>
      </c>
      <c r="X28">
        <v>0.02</v>
      </c>
      <c r="Y28">
        <v>0</v>
      </c>
      <c r="Z28">
        <v>0.47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29</v>
      </c>
      <c r="AG28">
        <v>7.1999999999999998E-3</v>
      </c>
      <c r="AH28">
        <v>2</v>
      </c>
      <c r="AI28">
        <v>57035345</v>
      </c>
      <c r="AJ28">
        <v>23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ROW(Source!A35)</f>
        <v>35</v>
      </c>
      <c r="B29">
        <v>57035352</v>
      </c>
      <c r="C29">
        <v>57035342</v>
      </c>
      <c r="D29">
        <v>55461074</v>
      </c>
      <c r="E29">
        <v>1</v>
      </c>
      <c r="F29">
        <v>1</v>
      </c>
      <c r="G29">
        <v>1081</v>
      </c>
      <c r="H29">
        <v>3</v>
      </c>
      <c r="I29" t="s">
        <v>467</v>
      </c>
      <c r="J29" t="s">
        <v>468</v>
      </c>
      <c r="K29" t="s">
        <v>469</v>
      </c>
      <c r="L29">
        <v>1346</v>
      </c>
      <c r="N29">
        <v>1009</v>
      </c>
      <c r="O29" t="s">
        <v>433</v>
      </c>
      <c r="P29" t="s">
        <v>433</v>
      </c>
      <c r="Q29">
        <v>1</v>
      </c>
      <c r="X29">
        <v>6.2700000000000004E-3</v>
      </c>
      <c r="Y29">
        <v>27.62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28</v>
      </c>
      <c r="AG29">
        <v>0</v>
      </c>
      <c r="AH29">
        <v>2</v>
      </c>
      <c r="AI29">
        <v>57035346</v>
      </c>
      <c r="AJ29">
        <v>24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ROW(Source!A35)</f>
        <v>35</v>
      </c>
      <c r="B30">
        <v>57035353</v>
      </c>
      <c r="C30">
        <v>57035342</v>
      </c>
      <c r="D30">
        <v>55459793</v>
      </c>
      <c r="E30">
        <v>1</v>
      </c>
      <c r="F30">
        <v>1</v>
      </c>
      <c r="G30">
        <v>1081</v>
      </c>
      <c r="H30">
        <v>3</v>
      </c>
      <c r="I30" t="s">
        <v>470</v>
      </c>
      <c r="J30" t="s">
        <v>471</v>
      </c>
      <c r="K30" t="s">
        <v>472</v>
      </c>
      <c r="L30">
        <v>1348</v>
      </c>
      <c r="N30">
        <v>1009</v>
      </c>
      <c r="O30" t="s">
        <v>299</v>
      </c>
      <c r="P30" t="s">
        <v>299</v>
      </c>
      <c r="Q30">
        <v>1000</v>
      </c>
      <c r="X30">
        <v>1.0000000000000001E-5</v>
      </c>
      <c r="Y30">
        <v>64123.05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28</v>
      </c>
      <c r="AG30">
        <v>0</v>
      </c>
      <c r="AH30">
        <v>2</v>
      </c>
      <c r="AI30">
        <v>57035347</v>
      </c>
      <c r="AJ30">
        <v>25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ROW(Source!A35)</f>
        <v>35</v>
      </c>
      <c r="B31">
        <v>57035354</v>
      </c>
      <c r="C31">
        <v>57035342</v>
      </c>
      <c r="D31">
        <v>55469253</v>
      </c>
      <c r="E31">
        <v>1</v>
      </c>
      <c r="F31">
        <v>1</v>
      </c>
      <c r="G31">
        <v>1081</v>
      </c>
      <c r="H31">
        <v>3</v>
      </c>
      <c r="I31" t="s">
        <v>473</v>
      </c>
      <c r="J31" t="s">
        <v>474</v>
      </c>
      <c r="K31" t="s">
        <v>475</v>
      </c>
      <c r="L31">
        <v>1354</v>
      </c>
      <c r="N31">
        <v>1010</v>
      </c>
      <c r="O31" t="s">
        <v>177</v>
      </c>
      <c r="P31" t="s">
        <v>177</v>
      </c>
      <c r="Q31">
        <v>1</v>
      </c>
      <c r="X31">
        <v>0.1</v>
      </c>
      <c r="Y31">
        <v>15.25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28</v>
      </c>
      <c r="AG31">
        <v>0</v>
      </c>
      <c r="AH31">
        <v>2</v>
      </c>
      <c r="AI31">
        <v>57035348</v>
      </c>
      <c r="AJ31">
        <v>26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ROW(Source!A35)</f>
        <v>35</v>
      </c>
      <c r="B32">
        <v>57035355</v>
      </c>
      <c r="C32">
        <v>57035342</v>
      </c>
      <c r="D32">
        <v>55441128</v>
      </c>
      <c r="E32">
        <v>1081</v>
      </c>
      <c r="F32">
        <v>1</v>
      </c>
      <c r="G32">
        <v>1081</v>
      </c>
      <c r="H32">
        <v>3</v>
      </c>
      <c r="I32" t="s">
        <v>573</v>
      </c>
      <c r="J32" t="s">
        <v>3</v>
      </c>
      <c r="K32" t="s">
        <v>574</v>
      </c>
      <c r="L32">
        <v>1354</v>
      </c>
      <c r="N32">
        <v>1010</v>
      </c>
      <c r="O32" t="s">
        <v>177</v>
      </c>
      <c r="P32" t="s">
        <v>177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28</v>
      </c>
      <c r="AG32">
        <v>0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ROW(Source!A36)</f>
        <v>36</v>
      </c>
      <c r="B33">
        <v>57035358</v>
      </c>
      <c r="C33">
        <v>57035356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459</v>
      </c>
      <c r="J33" t="s">
        <v>3</v>
      </c>
      <c r="K33" t="s">
        <v>460</v>
      </c>
      <c r="L33">
        <v>1191</v>
      </c>
      <c r="N33">
        <v>1013</v>
      </c>
      <c r="O33" t="s">
        <v>461</v>
      </c>
      <c r="P33" t="s">
        <v>461</v>
      </c>
      <c r="Q33">
        <v>1</v>
      </c>
      <c r="X33">
        <v>1.68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29</v>
      </c>
      <c r="AG33">
        <v>0.6048</v>
      </c>
      <c r="AH33">
        <v>2</v>
      </c>
      <c r="AI33">
        <v>57035357</v>
      </c>
      <c r="AJ33">
        <v>27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ROW(Source!A37)</f>
        <v>37</v>
      </c>
      <c r="B34">
        <v>57035358</v>
      </c>
      <c r="C34">
        <v>57035356</v>
      </c>
      <c r="D34">
        <v>55424304</v>
      </c>
      <c r="E34">
        <v>1081</v>
      </c>
      <c r="F34">
        <v>1</v>
      </c>
      <c r="G34">
        <v>1081</v>
      </c>
      <c r="H34">
        <v>1</v>
      </c>
      <c r="I34" t="s">
        <v>459</v>
      </c>
      <c r="J34" t="s">
        <v>3</v>
      </c>
      <c r="K34" t="s">
        <v>460</v>
      </c>
      <c r="L34">
        <v>1191</v>
      </c>
      <c r="N34">
        <v>1013</v>
      </c>
      <c r="O34" t="s">
        <v>461</v>
      </c>
      <c r="P34" t="s">
        <v>461</v>
      </c>
      <c r="Q34">
        <v>1</v>
      </c>
      <c r="X34">
        <v>1.68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29</v>
      </c>
      <c r="AG34">
        <v>0.6048</v>
      </c>
      <c r="AH34">
        <v>2</v>
      </c>
      <c r="AI34">
        <v>57035357</v>
      </c>
      <c r="AJ34">
        <v>28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ROW(Source!A38)</f>
        <v>38</v>
      </c>
      <c r="B35">
        <v>57035361</v>
      </c>
      <c r="C35">
        <v>57035359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459</v>
      </c>
      <c r="J35" t="s">
        <v>3</v>
      </c>
      <c r="K35" t="s">
        <v>460</v>
      </c>
      <c r="L35">
        <v>1191</v>
      </c>
      <c r="N35">
        <v>1013</v>
      </c>
      <c r="O35" t="s">
        <v>461</v>
      </c>
      <c r="P35" t="s">
        <v>461</v>
      </c>
      <c r="Q35">
        <v>1</v>
      </c>
      <c r="X35">
        <v>0.84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29</v>
      </c>
      <c r="AG35">
        <v>0.3024</v>
      </c>
      <c r="AH35">
        <v>2</v>
      </c>
      <c r="AI35">
        <v>57035360</v>
      </c>
      <c r="AJ35">
        <v>29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ROW(Source!A39)</f>
        <v>39</v>
      </c>
      <c r="B36">
        <v>57035361</v>
      </c>
      <c r="C36">
        <v>57035359</v>
      </c>
      <c r="D36">
        <v>55424304</v>
      </c>
      <c r="E36">
        <v>1081</v>
      </c>
      <c r="F36">
        <v>1</v>
      </c>
      <c r="G36">
        <v>1081</v>
      </c>
      <c r="H36">
        <v>1</v>
      </c>
      <c r="I36" t="s">
        <v>459</v>
      </c>
      <c r="J36" t="s">
        <v>3</v>
      </c>
      <c r="K36" t="s">
        <v>460</v>
      </c>
      <c r="L36">
        <v>1191</v>
      </c>
      <c r="N36">
        <v>1013</v>
      </c>
      <c r="O36" t="s">
        <v>461</v>
      </c>
      <c r="P36" t="s">
        <v>461</v>
      </c>
      <c r="Q36">
        <v>1</v>
      </c>
      <c r="X36">
        <v>0.84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 t="s">
        <v>29</v>
      </c>
      <c r="AG36">
        <v>0.3024</v>
      </c>
      <c r="AH36">
        <v>2</v>
      </c>
      <c r="AI36">
        <v>57035360</v>
      </c>
      <c r="AJ36">
        <v>30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ROW(Source!A40)</f>
        <v>40</v>
      </c>
      <c r="B37">
        <v>57035366</v>
      </c>
      <c r="C37">
        <v>57035362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459</v>
      </c>
      <c r="J37" t="s">
        <v>3</v>
      </c>
      <c r="K37" t="s">
        <v>460</v>
      </c>
      <c r="L37">
        <v>1191</v>
      </c>
      <c r="N37">
        <v>1013</v>
      </c>
      <c r="O37" t="s">
        <v>461</v>
      </c>
      <c r="P37" t="s">
        <v>461</v>
      </c>
      <c r="Q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 t="s">
        <v>29</v>
      </c>
      <c r="AG37">
        <v>0.36</v>
      </c>
      <c r="AH37">
        <v>2</v>
      </c>
      <c r="AI37">
        <v>57035363</v>
      </c>
      <c r="AJ37">
        <v>31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ROW(Source!A40)</f>
        <v>40</v>
      </c>
      <c r="B38">
        <v>57035367</v>
      </c>
      <c r="C38">
        <v>57035362</v>
      </c>
      <c r="D38">
        <v>55459793</v>
      </c>
      <c r="E38">
        <v>1</v>
      </c>
      <c r="F38">
        <v>1</v>
      </c>
      <c r="G38">
        <v>1081</v>
      </c>
      <c r="H38">
        <v>3</v>
      </c>
      <c r="I38" t="s">
        <v>470</v>
      </c>
      <c r="J38" t="s">
        <v>471</v>
      </c>
      <c r="K38" t="s">
        <v>472</v>
      </c>
      <c r="L38">
        <v>1348</v>
      </c>
      <c r="N38">
        <v>1009</v>
      </c>
      <c r="O38" t="s">
        <v>299</v>
      </c>
      <c r="P38" t="s">
        <v>299</v>
      </c>
      <c r="Q38">
        <v>1000</v>
      </c>
      <c r="X38">
        <v>1.0000000000000001E-5</v>
      </c>
      <c r="Y38">
        <v>64123.05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28</v>
      </c>
      <c r="AG38">
        <v>0</v>
      </c>
      <c r="AH38">
        <v>2</v>
      </c>
      <c r="AI38">
        <v>57035364</v>
      </c>
      <c r="AJ38">
        <v>32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ROW(Source!A40)</f>
        <v>40</v>
      </c>
      <c r="B39">
        <v>57035368</v>
      </c>
      <c r="C39">
        <v>57035362</v>
      </c>
      <c r="D39">
        <v>55487942</v>
      </c>
      <c r="E39">
        <v>1</v>
      </c>
      <c r="F39">
        <v>1</v>
      </c>
      <c r="G39">
        <v>1081</v>
      </c>
      <c r="H39">
        <v>3</v>
      </c>
      <c r="I39" t="s">
        <v>482</v>
      </c>
      <c r="J39" t="s">
        <v>483</v>
      </c>
      <c r="K39" t="s">
        <v>484</v>
      </c>
      <c r="L39">
        <v>1303</v>
      </c>
      <c r="N39">
        <v>1003</v>
      </c>
      <c r="O39" t="s">
        <v>485</v>
      </c>
      <c r="P39" t="s">
        <v>485</v>
      </c>
      <c r="Q39">
        <v>1000</v>
      </c>
      <c r="X39">
        <v>2E-3</v>
      </c>
      <c r="Y39">
        <v>516.63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28</v>
      </c>
      <c r="AG39">
        <v>0</v>
      </c>
      <c r="AH39">
        <v>2</v>
      </c>
      <c r="AI39">
        <v>57035365</v>
      </c>
      <c r="AJ39">
        <v>33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ROW(Source!A40)</f>
        <v>40</v>
      </c>
      <c r="B40">
        <v>57035369</v>
      </c>
      <c r="C40">
        <v>57035362</v>
      </c>
      <c r="D40">
        <v>55431425</v>
      </c>
      <c r="E40">
        <v>1081</v>
      </c>
      <c r="F40">
        <v>1</v>
      </c>
      <c r="G40">
        <v>1081</v>
      </c>
      <c r="H40">
        <v>3</v>
      </c>
      <c r="I40" t="s">
        <v>575</v>
      </c>
      <c r="J40" t="s">
        <v>3</v>
      </c>
      <c r="K40" t="s">
        <v>576</v>
      </c>
      <c r="L40">
        <v>1354</v>
      </c>
      <c r="N40">
        <v>1010</v>
      </c>
      <c r="O40" t="s">
        <v>177</v>
      </c>
      <c r="P40" t="s">
        <v>177</v>
      </c>
      <c r="Q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28</v>
      </c>
      <c r="AG40">
        <v>0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ROW(Source!A41)</f>
        <v>41</v>
      </c>
      <c r="B41">
        <v>57035366</v>
      </c>
      <c r="C41">
        <v>57035362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459</v>
      </c>
      <c r="J41" t="s">
        <v>3</v>
      </c>
      <c r="K41" t="s">
        <v>460</v>
      </c>
      <c r="L41">
        <v>1191</v>
      </c>
      <c r="N41">
        <v>1013</v>
      </c>
      <c r="O41" t="s">
        <v>461</v>
      </c>
      <c r="P41" t="s">
        <v>461</v>
      </c>
      <c r="Q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29</v>
      </c>
      <c r="AG41">
        <v>0.36</v>
      </c>
      <c r="AH41">
        <v>2</v>
      </c>
      <c r="AI41">
        <v>57035363</v>
      </c>
      <c r="AJ41">
        <v>34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ROW(Source!A41)</f>
        <v>41</v>
      </c>
      <c r="B42">
        <v>57035367</v>
      </c>
      <c r="C42">
        <v>57035362</v>
      </c>
      <c r="D42">
        <v>55459793</v>
      </c>
      <c r="E42">
        <v>1</v>
      </c>
      <c r="F42">
        <v>1</v>
      </c>
      <c r="G42">
        <v>1081</v>
      </c>
      <c r="H42">
        <v>3</v>
      </c>
      <c r="I42" t="s">
        <v>470</v>
      </c>
      <c r="J42" t="s">
        <v>471</v>
      </c>
      <c r="K42" t="s">
        <v>472</v>
      </c>
      <c r="L42">
        <v>1348</v>
      </c>
      <c r="N42">
        <v>1009</v>
      </c>
      <c r="O42" t="s">
        <v>299</v>
      </c>
      <c r="P42" t="s">
        <v>299</v>
      </c>
      <c r="Q42">
        <v>1000</v>
      </c>
      <c r="X42">
        <v>1.0000000000000001E-5</v>
      </c>
      <c r="Y42">
        <v>64123.05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28</v>
      </c>
      <c r="AG42">
        <v>0</v>
      </c>
      <c r="AH42">
        <v>2</v>
      </c>
      <c r="AI42">
        <v>57035364</v>
      </c>
      <c r="AJ42">
        <v>35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ROW(Source!A41)</f>
        <v>41</v>
      </c>
      <c r="B43">
        <v>57035368</v>
      </c>
      <c r="C43">
        <v>57035362</v>
      </c>
      <c r="D43">
        <v>55487942</v>
      </c>
      <c r="E43">
        <v>1</v>
      </c>
      <c r="F43">
        <v>1</v>
      </c>
      <c r="G43">
        <v>1081</v>
      </c>
      <c r="H43">
        <v>3</v>
      </c>
      <c r="I43" t="s">
        <v>482</v>
      </c>
      <c r="J43" t="s">
        <v>483</v>
      </c>
      <c r="K43" t="s">
        <v>484</v>
      </c>
      <c r="L43">
        <v>1303</v>
      </c>
      <c r="N43">
        <v>1003</v>
      </c>
      <c r="O43" t="s">
        <v>485</v>
      </c>
      <c r="P43" t="s">
        <v>485</v>
      </c>
      <c r="Q43">
        <v>1000</v>
      </c>
      <c r="X43">
        <v>2E-3</v>
      </c>
      <c r="Y43">
        <v>516.63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28</v>
      </c>
      <c r="AG43">
        <v>0</v>
      </c>
      <c r="AH43">
        <v>2</v>
      </c>
      <c r="AI43">
        <v>57035365</v>
      </c>
      <c r="AJ43">
        <v>36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ROW(Source!A41)</f>
        <v>41</v>
      </c>
      <c r="B44">
        <v>57035369</v>
      </c>
      <c r="C44">
        <v>57035362</v>
      </c>
      <c r="D44">
        <v>55431425</v>
      </c>
      <c r="E44">
        <v>1081</v>
      </c>
      <c r="F44">
        <v>1</v>
      </c>
      <c r="G44">
        <v>1081</v>
      </c>
      <c r="H44">
        <v>3</v>
      </c>
      <c r="I44" t="s">
        <v>575</v>
      </c>
      <c r="J44" t="s">
        <v>3</v>
      </c>
      <c r="K44" t="s">
        <v>576</v>
      </c>
      <c r="L44">
        <v>1354</v>
      </c>
      <c r="N44">
        <v>1010</v>
      </c>
      <c r="O44" t="s">
        <v>177</v>
      </c>
      <c r="P44" t="s">
        <v>177</v>
      </c>
      <c r="Q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28</v>
      </c>
      <c r="AG44">
        <v>0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ROW(Source!A42)</f>
        <v>42</v>
      </c>
      <c r="B45">
        <v>57035372</v>
      </c>
      <c r="C45">
        <v>57035370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459</v>
      </c>
      <c r="J45" t="s">
        <v>3</v>
      </c>
      <c r="K45" t="s">
        <v>460</v>
      </c>
      <c r="L45">
        <v>1191</v>
      </c>
      <c r="N45">
        <v>1013</v>
      </c>
      <c r="O45" t="s">
        <v>461</v>
      </c>
      <c r="P45" t="s">
        <v>461</v>
      </c>
      <c r="Q45">
        <v>1</v>
      </c>
      <c r="X45">
        <v>1.2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29</v>
      </c>
      <c r="AG45">
        <v>0.432</v>
      </c>
      <c r="AH45">
        <v>2</v>
      </c>
      <c r="AI45">
        <v>57035371</v>
      </c>
      <c r="AJ45">
        <v>37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ROW(Source!A43)</f>
        <v>43</v>
      </c>
      <c r="B46">
        <v>57035372</v>
      </c>
      <c r="C46">
        <v>57035370</v>
      </c>
      <c r="D46">
        <v>55424304</v>
      </c>
      <c r="E46">
        <v>1081</v>
      </c>
      <c r="F46">
        <v>1</v>
      </c>
      <c r="G46">
        <v>1081</v>
      </c>
      <c r="H46">
        <v>1</v>
      </c>
      <c r="I46" t="s">
        <v>459</v>
      </c>
      <c r="J46" t="s">
        <v>3</v>
      </c>
      <c r="K46" t="s">
        <v>460</v>
      </c>
      <c r="L46">
        <v>1191</v>
      </c>
      <c r="N46">
        <v>1013</v>
      </c>
      <c r="O46" t="s">
        <v>461</v>
      </c>
      <c r="P46" t="s">
        <v>461</v>
      </c>
      <c r="Q46">
        <v>1</v>
      </c>
      <c r="X46">
        <v>1.2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 t="s">
        <v>29</v>
      </c>
      <c r="AG46">
        <v>0.432</v>
      </c>
      <c r="AH46">
        <v>2</v>
      </c>
      <c r="AI46">
        <v>57035371</v>
      </c>
      <c r="AJ46">
        <v>38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ROW(Source!A44)</f>
        <v>44</v>
      </c>
      <c r="B47">
        <v>57035375</v>
      </c>
      <c r="C47">
        <v>57035373</v>
      </c>
      <c r="D47">
        <v>55424304</v>
      </c>
      <c r="E47">
        <v>1081</v>
      </c>
      <c r="F47">
        <v>1</v>
      </c>
      <c r="G47">
        <v>1081</v>
      </c>
      <c r="H47">
        <v>1</v>
      </c>
      <c r="I47" t="s">
        <v>459</v>
      </c>
      <c r="J47" t="s">
        <v>3</v>
      </c>
      <c r="K47" t="s">
        <v>460</v>
      </c>
      <c r="L47">
        <v>1191</v>
      </c>
      <c r="N47">
        <v>1013</v>
      </c>
      <c r="O47" t="s">
        <v>461</v>
      </c>
      <c r="P47" t="s">
        <v>461</v>
      </c>
      <c r="Q47">
        <v>1</v>
      </c>
      <c r="X47">
        <v>0.35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29</v>
      </c>
      <c r="AG47">
        <v>0.126</v>
      </c>
      <c r="AH47">
        <v>2</v>
      </c>
      <c r="AI47">
        <v>57035374</v>
      </c>
      <c r="AJ47">
        <v>39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ROW(Source!A45)</f>
        <v>45</v>
      </c>
      <c r="B48">
        <v>57035375</v>
      </c>
      <c r="C48">
        <v>57035373</v>
      </c>
      <c r="D48">
        <v>55424304</v>
      </c>
      <c r="E48">
        <v>1081</v>
      </c>
      <c r="F48">
        <v>1</v>
      </c>
      <c r="G48">
        <v>1081</v>
      </c>
      <c r="H48">
        <v>1</v>
      </c>
      <c r="I48" t="s">
        <v>459</v>
      </c>
      <c r="J48" t="s">
        <v>3</v>
      </c>
      <c r="K48" t="s">
        <v>460</v>
      </c>
      <c r="L48">
        <v>1191</v>
      </c>
      <c r="N48">
        <v>1013</v>
      </c>
      <c r="O48" t="s">
        <v>461</v>
      </c>
      <c r="P48" t="s">
        <v>461</v>
      </c>
      <c r="Q48">
        <v>1</v>
      </c>
      <c r="X48">
        <v>0.35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 t="s">
        <v>29</v>
      </c>
      <c r="AG48">
        <v>0.126</v>
      </c>
      <c r="AH48">
        <v>2</v>
      </c>
      <c r="AI48">
        <v>57035374</v>
      </c>
      <c r="AJ48">
        <v>40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ROW(Source!A46)</f>
        <v>46</v>
      </c>
      <c r="B49">
        <v>57035378</v>
      </c>
      <c r="C49">
        <v>57035376</v>
      </c>
      <c r="D49">
        <v>55424304</v>
      </c>
      <c r="E49">
        <v>1081</v>
      </c>
      <c r="F49">
        <v>1</v>
      </c>
      <c r="G49">
        <v>1081</v>
      </c>
      <c r="H49">
        <v>1</v>
      </c>
      <c r="I49" t="s">
        <v>459</v>
      </c>
      <c r="J49" t="s">
        <v>3</v>
      </c>
      <c r="K49" t="s">
        <v>460</v>
      </c>
      <c r="L49">
        <v>1191</v>
      </c>
      <c r="N49">
        <v>1013</v>
      </c>
      <c r="O49" t="s">
        <v>461</v>
      </c>
      <c r="P49" t="s">
        <v>461</v>
      </c>
      <c r="Q49">
        <v>1</v>
      </c>
      <c r="X49">
        <v>11.7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29</v>
      </c>
      <c r="AG49">
        <v>4.2119999999999997</v>
      </c>
      <c r="AH49">
        <v>2</v>
      </c>
      <c r="AI49">
        <v>57035377</v>
      </c>
      <c r="AJ49">
        <v>41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ROW(Source!A47)</f>
        <v>47</v>
      </c>
      <c r="B50">
        <v>57035378</v>
      </c>
      <c r="C50">
        <v>57035376</v>
      </c>
      <c r="D50">
        <v>55424304</v>
      </c>
      <c r="E50">
        <v>1081</v>
      </c>
      <c r="F50">
        <v>1</v>
      </c>
      <c r="G50">
        <v>1081</v>
      </c>
      <c r="H50">
        <v>1</v>
      </c>
      <c r="I50" t="s">
        <v>459</v>
      </c>
      <c r="J50" t="s">
        <v>3</v>
      </c>
      <c r="K50" t="s">
        <v>460</v>
      </c>
      <c r="L50">
        <v>1191</v>
      </c>
      <c r="N50">
        <v>1013</v>
      </c>
      <c r="O50" t="s">
        <v>461</v>
      </c>
      <c r="P50" t="s">
        <v>461</v>
      </c>
      <c r="Q50">
        <v>1</v>
      </c>
      <c r="X50">
        <v>11.7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 t="s">
        <v>29</v>
      </c>
      <c r="AG50">
        <v>4.2119999999999997</v>
      </c>
      <c r="AH50">
        <v>2</v>
      </c>
      <c r="AI50">
        <v>57035377</v>
      </c>
      <c r="AJ50">
        <v>42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ROW(Source!A48)</f>
        <v>48</v>
      </c>
      <c r="B51">
        <v>57035381</v>
      </c>
      <c r="C51">
        <v>57035379</v>
      </c>
      <c r="D51">
        <v>55424304</v>
      </c>
      <c r="E51">
        <v>1081</v>
      </c>
      <c r="F51">
        <v>1</v>
      </c>
      <c r="G51">
        <v>1081</v>
      </c>
      <c r="H51">
        <v>1</v>
      </c>
      <c r="I51" t="s">
        <v>459</v>
      </c>
      <c r="J51" t="s">
        <v>3</v>
      </c>
      <c r="K51" t="s">
        <v>460</v>
      </c>
      <c r="L51">
        <v>1191</v>
      </c>
      <c r="N51">
        <v>1013</v>
      </c>
      <c r="O51" t="s">
        <v>461</v>
      </c>
      <c r="P51" t="s">
        <v>461</v>
      </c>
      <c r="Q51">
        <v>1</v>
      </c>
      <c r="X51">
        <v>1.2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 t="s">
        <v>29</v>
      </c>
      <c r="AG51">
        <v>0.432</v>
      </c>
      <c r="AH51">
        <v>2</v>
      </c>
      <c r="AI51">
        <v>57035380</v>
      </c>
      <c r="AJ51">
        <v>43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ROW(Source!A49)</f>
        <v>49</v>
      </c>
      <c r="B52">
        <v>57035381</v>
      </c>
      <c r="C52">
        <v>57035379</v>
      </c>
      <c r="D52">
        <v>55424304</v>
      </c>
      <c r="E52">
        <v>1081</v>
      </c>
      <c r="F52">
        <v>1</v>
      </c>
      <c r="G52">
        <v>1081</v>
      </c>
      <c r="H52">
        <v>1</v>
      </c>
      <c r="I52" t="s">
        <v>459</v>
      </c>
      <c r="J52" t="s">
        <v>3</v>
      </c>
      <c r="K52" t="s">
        <v>460</v>
      </c>
      <c r="L52">
        <v>1191</v>
      </c>
      <c r="N52">
        <v>1013</v>
      </c>
      <c r="O52" t="s">
        <v>461</v>
      </c>
      <c r="P52" t="s">
        <v>461</v>
      </c>
      <c r="Q52">
        <v>1</v>
      </c>
      <c r="X52">
        <v>1.2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 t="s">
        <v>29</v>
      </c>
      <c r="AG52">
        <v>0.432</v>
      </c>
      <c r="AH52">
        <v>2</v>
      </c>
      <c r="AI52">
        <v>57035380</v>
      </c>
      <c r="AJ52">
        <v>44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ROW(Source!A50)</f>
        <v>50</v>
      </c>
      <c r="B53">
        <v>57035389</v>
      </c>
      <c r="C53">
        <v>57035382</v>
      </c>
      <c r="D53">
        <v>55424304</v>
      </c>
      <c r="E53">
        <v>1081</v>
      </c>
      <c r="F53">
        <v>1</v>
      </c>
      <c r="G53">
        <v>1081</v>
      </c>
      <c r="H53">
        <v>1</v>
      </c>
      <c r="I53" t="s">
        <v>459</v>
      </c>
      <c r="J53" t="s">
        <v>3</v>
      </c>
      <c r="K53" t="s">
        <v>460</v>
      </c>
      <c r="L53">
        <v>1191</v>
      </c>
      <c r="N53">
        <v>1013</v>
      </c>
      <c r="O53" t="s">
        <v>461</v>
      </c>
      <c r="P53" t="s">
        <v>461</v>
      </c>
      <c r="Q53">
        <v>1</v>
      </c>
      <c r="X53">
        <v>1.36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29</v>
      </c>
      <c r="AG53">
        <v>0.48960000000000004</v>
      </c>
      <c r="AH53">
        <v>2</v>
      </c>
      <c r="AI53">
        <v>57035383</v>
      </c>
      <c r="AJ53">
        <v>45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ROW(Source!A50)</f>
        <v>50</v>
      </c>
      <c r="B54">
        <v>57035390</v>
      </c>
      <c r="C54">
        <v>57035382</v>
      </c>
      <c r="D54">
        <v>55490330</v>
      </c>
      <c r="E54">
        <v>1</v>
      </c>
      <c r="F54">
        <v>1</v>
      </c>
      <c r="G54">
        <v>1081</v>
      </c>
      <c r="H54">
        <v>2</v>
      </c>
      <c r="I54" t="s">
        <v>476</v>
      </c>
      <c r="J54" t="s">
        <v>477</v>
      </c>
      <c r="K54" t="s">
        <v>478</v>
      </c>
      <c r="L54">
        <v>1368</v>
      </c>
      <c r="N54">
        <v>1011</v>
      </c>
      <c r="O54" t="s">
        <v>465</v>
      </c>
      <c r="P54" t="s">
        <v>465</v>
      </c>
      <c r="Q54">
        <v>1</v>
      </c>
      <c r="X54">
        <v>1.7000000000000001E-2</v>
      </c>
      <c r="Y54">
        <v>0</v>
      </c>
      <c r="Z54">
        <v>0.8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29</v>
      </c>
      <c r="AG54">
        <v>6.1200000000000004E-3</v>
      </c>
      <c r="AH54">
        <v>2</v>
      </c>
      <c r="AI54">
        <v>57035384</v>
      </c>
      <c r="AJ54">
        <v>46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ROW(Source!A50)</f>
        <v>50</v>
      </c>
      <c r="B55">
        <v>57035391</v>
      </c>
      <c r="C55">
        <v>57035382</v>
      </c>
      <c r="D55">
        <v>55490296</v>
      </c>
      <c r="E55">
        <v>1</v>
      </c>
      <c r="F55">
        <v>1</v>
      </c>
      <c r="G55">
        <v>1081</v>
      </c>
      <c r="H55">
        <v>2</v>
      </c>
      <c r="I55" t="s">
        <v>479</v>
      </c>
      <c r="J55" t="s">
        <v>480</v>
      </c>
      <c r="K55" t="s">
        <v>481</v>
      </c>
      <c r="L55">
        <v>1368</v>
      </c>
      <c r="N55">
        <v>1011</v>
      </c>
      <c r="O55" t="s">
        <v>465</v>
      </c>
      <c r="P55" t="s">
        <v>465</v>
      </c>
      <c r="Q55">
        <v>1</v>
      </c>
      <c r="X55">
        <v>0.02</v>
      </c>
      <c r="Y55">
        <v>0</v>
      </c>
      <c r="Z55">
        <v>0.47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29</v>
      </c>
      <c r="AG55">
        <v>7.1999999999999998E-3</v>
      </c>
      <c r="AH55">
        <v>2</v>
      </c>
      <c r="AI55">
        <v>57035385</v>
      </c>
      <c r="AJ55">
        <v>47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ROW(Source!A50)</f>
        <v>50</v>
      </c>
      <c r="B56">
        <v>57035392</v>
      </c>
      <c r="C56">
        <v>57035382</v>
      </c>
      <c r="D56">
        <v>55461074</v>
      </c>
      <c r="E56">
        <v>1</v>
      </c>
      <c r="F56">
        <v>1</v>
      </c>
      <c r="G56">
        <v>1081</v>
      </c>
      <c r="H56">
        <v>3</v>
      </c>
      <c r="I56" t="s">
        <v>467</v>
      </c>
      <c r="J56" t="s">
        <v>468</v>
      </c>
      <c r="K56" t="s">
        <v>469</v>
      </c>
      <c r="L56">
        <v>1346</v>
      </c>
      <c r="N56">
        <v>1009</v>
      </c>
      <c r="O56" t="s">
        <v>433</v>
      </c>
      <c r="P56" t="s">
        <v>433</v>
      </c>
      <c r="Q56">
        <v>1</v>
      </c>
      <c r="X56">
        <v>6.2700000000000004E-3</v>
      </c>
      <c r="Y56">
        <v>27.62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28</v>
      </c>
      <c r="AG56">
        <v>0</v>
      </c>
      <c r="AH56">
        <v>2</v>
      </c>
      <c r="AI56">
        <v>57035386</v>
      </c>
      <c r="AJ56">
        <v>48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ROW(Source!A50)</f>
        <v>50</v>
      </c>
      <c r="B57">
        <v>57035393</v>
      </c>
      <c r="C57">
        <v>57035382</v>
      </c>
      <c r="D57">
        <v>55459793</v>
      </c>
      <c r="E57">
        <v>1</v>
      </c>
      <c r="F57">
        <v>1</v>
      </c>
      <c r="G57">
        <v>1081</v>
      </c>
      <c r="H57">
        <v>3</v>
      </c>
      <c r="I57" t="s">
        <v>470</v>
      </c>
      <c r="J57" t="s">
        <v>471</v>
      </c>
      <c r="K57" t="s">
        <v>472</v>
      </c>
      <c r="L57">
        <v>1348</v>
      </c>
      <c r="N57">
        <v>1009</v>
      </c>
      <c r="O57" t="s">
        <v>299</v>
      </c>
      <c r="P57" t="s">
        <v>299</v>
      </c>
      <c r="Q57">
        <v>1000</v>
      </c>
      <c r="X57">
        <v>1.0000000000000001E-5</v>
      </c>
      <c r="Y57">
        <v>64123.05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28</v>
      </c>
      <c r="AG57">
        <v>0</v>
      </c>
      <c r="AH57">
        <v>2</v>
      </c>
      <c r="AI57">
        <v>57035387</v>
      </c>
      <c r="AJ57">
        <v>49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ROW(Source!A50)</f>
        <v>50</v>
      </c>
      <c r="B58">
        <v>57035394</v>
      </c>
      <c r="C58">
        <v>57035382</v>
      </c>
      <c r="D58">
        <v>55469253</v>
      </c>
      <c r="E58">
        <v>1</v>
      </c>
      <c r="F58">
        <v>1</v>
      </c>
      <c r="G58">
        <v>1081</v>
      </c>
      <c r="H58">
        <v>3</v>
      </c>
      <c r="I58" t="s">
        <v>473</v>
      </c>
      <c r="J58" t="s">
        <v>474</v>
      </c>
      <c r="K58" t="s">
        <v>475</v>
      </c>
      <c r="L58">
        <v>1354</v>
      </c>
      <c r="N58">
        <v>1010</v>
      </c>
      <c r="O58" t="s">
        <v>177</v>
      </c>
      <c r="P58" t="s">
        <v>177</v>
      </c>
      <c r="Q58">
        <v>1</v>
      </c>
      <c r="X58">
        <v>0.1</v>
      </c>
      <c r="Y58">
        <v>15.25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28</v>
      </c>
      <c r="AG58">
        <v>0</v>
      </c>
      <c r="AH58">
        <v>2</v>
      </c>
      <c r="AI58">
        <v>57035388</v>
      </c>
      <c r="AJ58">
        <v>50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ROW(Source!A50)</f>
        <v>50</v>
      </c>
      <c r="B59">
        <v>57035395</v>
      </c>
      <c r="C59">
        <v>57035382</v>
      </c>
      <c r="D59">
        <v>55441128</v>
      </c>
      <c r="E59">
        <v>1081</v>
      </c>
      <c r="F59">
        <v>1</v>
      </c>
      <c r="G59">
        <v>1081</v>
      </c>
      <c r="H59">
        <v>3</v>
      </c>
      <c r="I59" t="s">
        <v>573</v>
      </c>
      <c r="J59" t="s">
        <v>3</v>
      </c>
      <c r="K59" t="s">
        <v>574</v>
      </c>
      <c r="L59">
        <v>1354</v>
      </c>
      <c r="N59">
        <v>1010</v>
      </c>
      <c r="O59" t="s">
        <v>177</v>
      </c>
      <c r="P59" t="s">
        <v>177</v>
      </c>
      <c r="Q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28</v>
      </c>
      <c r="AG59">
        <v>0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ROW(Source!A51)</f>
        <v>51</v>
      </c>
      <c r="B60">
        <v>57035389</v>
      </c>
      <c r="C60">
        <v>57035382</v>
      </c>
      <c r="D60">
        <v>55424304</v>
      </c>
      <c r="E60">
        <v>1081</v>
      </c>
      <c r="F60">
        <v>1</v>
      </c>
      <c r="G60">
        <v>1081</v>
      </c>
      <c r="H60">
        <v>1</v>
      </c>
      <c r="I60" t="s">
        <v>459</v>
      </c>
      <c r="J60" t="s">
        <v>3</v>
      </c>
      <c r="K60" t="s">
        <v>460</v>
      </c>
      <c r="L60">
        <v>1191</v>
      </c>
      <c r="N60">
        <v>1013</v>
      </c>
      <c r="O60" t="s">
        <v>461</v>
      </c>
      <c r="P60" t="s">
        <v>461</v>
      </c>
      <c r="Q60">
        <v>1</v>
      </c>
      <c r="X60">
        <v>1.36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 t="s">
        <v>29</v>
      </c>
      <c r="AG60">
        <v>0.48960000000000004</v>
      </c>
      <c r="AH60">
        <v>2</v>
      </c>
      <c r="AI60">
        <v>57035383</v>
      </c>
      <c r="AJ60">
        <v>51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ROW(Source!A51)</f>
        <v>51</v>
      </c>
      <c r="B61">
        <v>57035390</v>
      </c>
      <c r="C61">
        <v>57035382</v>
      </c>
      <c r="D61">
        <v>55490330</v>
      </c>
      <c r="E61">
        <v>1</v>
      </c>
      <c r="F61">
        <v>1</v>
      </c>
      <c r="G61">
        <v>1081</v>
      </c>
      <c r="H61">
        <v>2</v>
      </c>
      <c r="I61" t="s">
        <v>476</v>
      </c>
      <c r="J61" t="s">
        <v>477</v>
      </c>
      <c r="K61" t="s">
        <v>478</v>
      </c>
      <c r="L61">
        <v>1368</v>
      </c>
      <c r="N61">
        <v>1011</v>
      </c>
      <c r="O61" t="s">
        <v>465</v>
      </c>
      <c r="P61" t="s">
        <v>465</v>
      </c>
      <c r="Q61">
        <v>1</v>
      </c>
      <c r="X61">
        <v>1.7000000000000001E-2</v>
      </c>
      <c r="Y61">
        <v>0</v>
      </c>
      <c r="Z61">
        <v>0.8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29</v>
      </c>
      <c r="AG61">
        <v>6.1200000000000004E-3</v>
      </c>
      <c r="AH61">
        <v>2</v>
      </c>
      <c r="AI61">
        <v>57035384</v>
      </c>
      <c r="AJ61">
        <v>52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ROW(Source!A51)</f>
        <v>51</v>
      </c>
      <c r="B62">
        <v>57035391</v>
      </c>
      <c r="C62">
        <v>57035382</v>
      </c>
      <c r="D62">
        <v>55490296</v>
      </c>
      <c r="E62">
        <v>1</v>
      </c>
      <c r="F62">
        <v>1</v>
      </c>
      <c r="G62">
        <v>1081</v>
      </c>
      <c r="H62">
        <v>2</v>
      </c>
      <c r="I62" t="s">
        <v>479</v>
      </c>
      <c r="J62" t="s">
        <v>480</v>
      </c>
      <c r="K62" t="s">
        <v>481</v>
      </c>
      <c r="L62">
        <v>1368</v>
      </c>
      <c r="N62">
        <v>1011</v>
      </c>
      <c r="O62" t="s">
        <v>465</v>
      </c>
      <c r="P62" t="s">
        <v>465</v>
      </c>
      <c r="Q62">
        <v>1</v>
      </c>
      <c r="X62">
        <v>0.02</v>
      </c>
      <c r="Y62">
        <v>0</v>
      </c>
      <c r="Z62">
        <v>0.47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29</v>
      </c>
      <c r="AG62">
        <v>7.1999999999999998E-3</v>
      </c>
      <c r="AH62">
        <v>2</v>
      </c>
      <c r="AI62">
        <v>57035385</v>
      </c>
      <c r="AJ62">
        <v>53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ROW(Source!A51)</f>
        <v>51</v>
      </c>
      <c r="B63">
        <v>57035392</v>
      </c>
      <c r="C63">
        <v>57035382</v>
      </c>
      <c r="D63">
        <v>55461074</v>
      </c>
      <c r="E63">
        <v>1</v>
      </c>
      <c r="F63">
        <v>1</v>
      </c>
      <c r="G63">
        <v>1081</v>
      </c>
      <c r="H63">
        <v>3</v>
      </c>
      <c r="I63" t="s">
        <v>467</v>
      </c>
      <c r="J63" t="s">
        <v>468</v>
      </c>
      <c r="K63" t="s">
        <v>469</v>
      </c>
      <c r="L63">
        <v>1346</v>
      </c>
      <c r="N63">
        <v>1009</v>
      </c>
      <c r="O63" t="s">
        <v>433</v>
      </c>
      <c r="P63" t="s">
        <v>433</v>
      </c>
      <c r="Q63">
        <v>1</v>
      </c>
      <c r="X63">
        <v>6.2700000000000004E-3</v>
      </c>
      <c r="Y63">
        <v>27.62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28</v>
      </c>
      <c r="AG63">
        <v>0</v>
      </c>
      <c r="AH63">
        <v>2</v>
      </c>
      <c r="AI63">
        <v>57035386</v>
      </c>
      <c r="AJ63">
        <v>54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ROW(Source!A51)</f>
        <v>51</v>
      </c>
      <c r="B64">
        <v>57035393</v>
      </c>
      <c r="C64">
        <v>57035382</v>
      </c>
      <c r="D64">
        <v>55459793</v>
      </c>
      <c r="E64">
        <v>1</v>
      </c>
      <c r="F64">
        <v>1</v>
      </c>
      <c r="G64">
        <v>1081</v>
      </c>
      <c r="H64">
        <v>3</v>
      </c>
      <c r="I64" t="s">
        <v>470</v>
      </c>
      <c r="J64" t="s">
        <v>471</v>
      </c>
      <c r="K64" t="s">
        <v>472</v>
      </c>
      <c r="L64">
        <v>1348</v>
      </c>
      <c r="N64">
        <v>1009</v>
      </c>
      <c r="O64" t="s">
        <v>299</v>
      </c>
      <c r="P64" t="s">
        <v>299</v>
      </c>
      <c r="Q64">
        <v>1000</v>
      </c>
      <c r="X64">
        <v>1.0000000000000001E-5</v>
      </c>
      <c r="Y64">
        <v>64123.05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28</v>
      </c>
      <c r="AG64">
        <v>0</v>
      </c>
      <c r="AH64">
        <v>2</v>
      </c>
      <c r="AI64">
        <v>57035387</v>
      </c>
      <c r="AJ64">
        <v>55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ROW(Source!A51)</f>
        <v>51</v>
      </c>
      <c r="B65">
        <v>57035394</v>
      </c>
      <c r="C65">
        <v>57035382</v>
      </c>
      <c r="D65">
        <v>55469253</v>
      </c>
      <c r="E65">
        <v>1</v>
      </c>
      <c r="F65">
        <v>1</v>
      </c>
      <c r="G65">
        <v>1081</v>
      </c>
      <c r="H65">
        <v>3</v>
      </c>
      <c r="I65" t="s">
        <v>473</v>
      </c>
      <c r="J65" t="s">
        <v>474</v>
      </c>
      <c r="K65" t="s">
        <v>475</v>
      </c>
      <c r="L65">
        <v>1354</v>
      </c>
      <c r="N65">
        <v>1010</v>
      </c>
      <c r="O65" t="s">
        <v>177</v>
      </c>
      <c r="P65" t="s">
        <v>177</v>
      </c>
      <c r="Q65">
        <v>1</v>
      </c>
      <c r="X65">
        <v>0.1</v>
      </c>
      <c r="Y65">
        <v>15.25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28</v>
      </c>
      <c r="AG65">
        <v>0</v>
      </c>
      <c r="AH65">
        <v>2</v>
      </c>
      <c r="AI65">
        <v>57035388</v>
      </c>
      <c r="AJ65">
        <v>56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ROW(Source!A51)</f>
        <v>51</v>
      </c>
      <c r="B66">
        <v>57035395</v>
      </c>
      <c r="C66">
        <v>57035382</v>
      </c>
      <c r="D66">
        <v>55441128</v>
      </c>
      <c r="E66">
        <v>1081</v>
      </c>
      <c r="F66">
        <v>1</v>
      </c>
      <c r="G66">
        <v>1081</v>
      </c>
      <c r="H66">
        <v>3</v>
      </c>
      <c r="I66" t="s">
        <v>573</v>
      </c>
      <c r="J66" t="s">
        <v>3</v>
      </c>
      <c r="K66" t="s">
        <v>574</v>
      </c>
      <c r="L66">
        <v>1354</v>
      </c>
      <c r="N66">
        <v>1010</v>
      </c>
      <c r="O66" t="s">
        <v>177</v>
      </c>
      <c r="P66" t="s">
        <v>177</v>
      </c>
      <c r="Q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28</v>
      </c>
      <c r="AG66">
        <v>0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ROW(Source!A52)</f>
        <v>52</v>
      </c>
      <c r="B67">
        <v>57035399</v>
      </c>
      <c r="C67">
        <v>57035396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459</v>
      </c>
      <c r="J67" t="s">
        <v>3</v>
      </c>
      <c r="K67" t="s">
        <v>460</v>
      </c>
      <c r="L67">
        <v>1191</v>
      </c>
      <c r="N67">
        <v>1013</v>
      </c>
      <c r="O67" t="s">
        <v>461</v>
      </c>
      <c r="P67" t="s">
        <v>461</v>
      </c>
      <c r="Q67">
        <v>1</v>
      </c>
      <c r="X67">
        <v>1.03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29</v>
      </c>
      <c r="AG67">
        <v>0.37079999999999996</v>
      </c>
      <c r="AH67">
        <v>2</v>
      </c>
      <c r="AI67">
        <v>57035397</v>
      </c>
      <c r="AJ67">
        <v>57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ROW(Source!A52)</f>
        <v>52</v>
      </c>
      <c r="B68">
        <v>57035400</v>
      </c>
      <c r="C68">
        <v>57035396</v>
      </c>
      <c r="D68">
        <v>55490209</v>
      </c>
      <c r="E68">
        <v>1</v>
      </c>
      <c r="F68">
        <v>1</v>
      </c>
      <c r="G68">
        <v>1081</v>
      </c>
      <c r="H68">
        <v>2</v>
      </c>
      <c r="I68" t="s">
        <v>462</v>
      </c>
      <c r="J68" t="s">
        <v>463</v>
      </c>
      <c r="K68" t="s">
        <v>464</v>
      </c>
      <c r="L68">
        <v>1368</v>
      </c>
      <c r="N68">
        <v>1011</v>
      </c>
      <c r="O68" t="s">
        <v>465</v>
      </c>
      <c r="P68" t="s">
        <v>465</v>
      </c>
      <c r="Q68">
        <v>1</v>
      </c>
      <c r="X68">
        <v>0.03</v>
      </c>
      <c r="Y68">
        <v>0</v>
      </c>
      <c r="Z68">
        <v>83.1</v>
      </c>
      <c r="AA68">
        <v>12.62</v>
      </c>
      <c r="AB68">
        <v>0</v>
      </c>
      <c r="AC68">
        <v>0</v>
      </c>
      <c r="AD68">
        <v>1</v>
      </c>
      <c r="AE68">
        <v>0</v>
      </c>
      <c r="AF68" t="s">
        <v>29</v>
      </c>
      <c r="AG68">
        <v>1.0799999999999999E-2</v>
      </c>
      <c r="AH68">
        <v>2</v>
      </c>
      <c r="AI68">
        <v>57035398</v>
      </c>
      <c r="AJ68">
        <v>58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ROW(Source!A52)</f>
        <v>52</v>
      </c>
      <c r="B69">
        <v>57035401</v>
      </c>
      <c r="C69">
        <v>57035396</v>
      </c>
      <c r="D69">
        <v>55416982</v>
      </c>
      <c r="E69">
        <v>1081</v>
      </c>
      <c r="F69">
        <v>1</v>
      </c>
      <c r="G69">
        <v>1081</v>
      </c>
      <c r="H69">
        <v>3</v>
      </c>
      <c r="I69" t="s">
        <v>577</v>
      </c>
      <c r="J69" t="s">
        <v>3</v>
      </c>
      <c r="K69" t="s">
        <v>578</v>
      </c>
      <c r="L69">
        <v>1346</v>
      </c>
      <c r="N69">
        <v>1009</v>
      </c>
      <c r="O69" t="s">
        <v>433</v>
      </c>
      <c r="P69" t="s">
        <v>433</v>
      </c>
      <c r="Q69">
        <v>1</v>
      </c>
      <c r="X69">
        <v>6.3E-2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28</v>
      </c>
      <c r="AG69">
        <v>0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ROW(Source!A52)</f>
        <v>52</v>
      </c>
      <c r="B70">
        <v>57035402</v>
      </c>
      <c r="C70">
        <v>57035396</v>
      </c>
      <c r="D70">
        <v>55431407</v>
      </c>
      <c r="E70">
        <v>1081</v>
      </c>
      <c r="F70">
        <v>1</v>
      </c>
      <c r="G70">
        <v>1081</v>
      </c>
      <c r="H70">
        <v>3</v>
      </c>
      <c r="I70" t="s">
        <v>579</v>
      </c>
      <c r="J70" t="s">
        <v>3</v>
      </c>
      <c r="K70" t="s">
        <v>580</v>
      </c>
      <c r="L70">
        <v>1354</v>
      </c>
      <c r="N70">
        <v>1010</v>
      </c>
      <c r="O70" t="s">
        <v>177</v>
      </c>
      <c r="P70" t="s">
        <v>177</v>
      </c>
      <c r="Q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28</v>
      </c>
      <c r="AG70">
        <v>0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ROW(Source!A53)</f>
        <v>53</v>
      </c>
      <c r="B71">
        <v>57035399</v>
      </c>
      <c r="C71">
        <v>57035396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459</v>
      </c>
      <c r="J71" t="s">
        <v>3</v>
      </c>
      <c r="K71" t="s">
        <v>460</v>
      </c>
      <c r="L71">
        <v>1191</v>
      </c>
      <c r="N71">
        <v>1013</v>
      </c>
      <c r="O71" t="s">
        <v>461</v>
      </c>
      <c r="P71" t="s">
        <v>461</v>
      </c>
      <c r="Q71">
        <v>1</v>
      </c>
      <c r="X71">
        <v>1.03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29</v>
      </c>
      <c r="AG71">
        <v>0.37079999999999996</v>
      </c>
      <c r="AH71">
        <v>2</v>
      </c>
      <c r="AI71">
        <v>57035397</v>
      </c>
      <c r="AJ71">
        <v>59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ROW(Source!A53)</f>
        <v>53</v>
      </c>
      <c r="B72">
        <v>57035400</v>
      </c>
      <c r="C72">
        <v>57035396</v>
      </c>
      <c r="D72">
        <v>55490209</v>
      </c>
      <c r="E72">
        <v>1</v>
      </c>
      <c r="F72">
        <v>1</v>
      </c>
      <c r="G72">
        <v>1081</v>
      </c>
      <c r="H72">
        <v>2</v>
      </c>
      <c r="I72" t="s">
        <v>462</v>
      </c>
      <c r="J72" t="s">
        <v>463</v>
      </c>
      <c r="K72" t="s">
        <v>464</v>
      </c>
      <c r="L72">
        <v>1368</v>
      </c>
      <c r="N72">
        <v>1011</v>
      </c>
      <c r="O72" t="s">
        <v>465</v>
      </c>
      <c r="P72" t="s">
        <v>465</v>
      </c>
      <c r="Q72">
        <v>1</v>
      </c>
      <c r="X72">
        <v>0.03</v>
      </c>
      <c r="Y72">
        <v>0</v>
      </c>
      <c r="Z72">
        <v>83.1</v>
      </c>
      <c r="AA72">
        <v>12.62</v>
      </c>
      <c r="AB72">
        <v>0</v>
      </c>
      <c r="AC72">
        <v>0</v>
      </c>
      <c r="AD72">
        <v>1</v>
      </c>
      <c r="AE72">
        <v>0</v>
      </c>
      <c r="AF72" t="s">
        <v>29</v>
      </c>
      <c r="AG72">
        <v>1.0799999999999999E-2</v>
      </c>
      <c r="AH72">
        <v>2</v>
      </c>
      <c r="AI72">
        <v>57035398</v>
      </c>
      <c r="AJ72">
        <v>60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ROW(Source!A53)</f>
        <v>53</v>
      </c>
      <c r="B73">
        <v>57035401</v>
      </c>
      <c r="C73">
        <v>57035396</v>
      </c>
      <c r="D73">
        <v>55416982</v>
      </c>
      <c r="E73">
        <v>1081</v>
      </c>
      <c r="F73">
        <v>1</v>
      </c>
      <c r="G73">
        <v>1081</v>
      </c>
      <c r="H73">
        <v>3</v>
      </c>
      <c r="I73" t="s">
        <v>577</v>
      </c>
      <c r="J73" t="s">
        <v>3</v>
      </c>
      <c r="K73" t="s">
        <v>578</v>
      </c>
      <c r="L73">
        <v>1346</v>
      </c>
      <c r="N73">
        <v>1009</v>
      </c>
      <c r="O73" t="s">
        <v>433</v>
      </c>
      <c r="P73" t="s">
        <v>433</v>
      </c>
      <c r="Q73">
        <v>1</v>
      </c>
      <c r="X73">
        <v>6.3E-2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28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ROW(Source!A53)</f>
        <v>53</v>
      </c>
      <c r="B74">
        <v>57035402</v>
      </c>
      <c r="C74">
        <v>57035396</v>
      </c>
      <c r="D74">
        <v>55431407</v>
      </c>
      <c r="E74">
        <v>1081</v>
      </c>
      <c r="F74">
        <v>1</v>
      </c>
      <c r="G74">
        <v>1081</v>
      </c>
      <c r="H74">
        <v>3</v>
      </c>
      <c r="I74" t="s">
        <v>579</v>
      </c>
      <c r="J74" t="s">
        <v>3</v>
      </c>
      <c r="K74" t="s">
        <v>580</v>
      </c>
      <c r="L74">
        <v>1354</v>
      </c>
      <c r="N74">
        <v>1010</v>
      </c>
      <c r="O74" t="s">
        <v>177</v>
      </c>
      <c r="P74" t="s">
        <v>177</v>
      </c>
      <c r="Q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28</v>
      </c>
      <c r="AG74">
        <v>0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ROW(Source!A54)</f>
        <v>54</v>
      </c>
      <c r="B75">
        <v>57035407</v>
      </c>
      <c r="C75">
        <v>57035403</v>
      </c>
      <c r="D75">
        <v>55424304</v>
      </c>
      <c r="E75">
        <v>1081</v>
      </c>
      <c r="F75">
        <v>1</v>
      </c>
      <c r="G75">
        <v>1081</v>
      </c>
      <c r="H75">
        <v>1</v>
      </c>
      <c r="I75" t="s">
        <v>459</v>
      </c>
      <c r="J75" t="s">
        <v>3</v>
      </c>
      <c r="K75" t="s">
        <v>460</v>
      </c>
      <c r="L75">
        <v>1191</v>
      </c>
      <c r="N75">
        <v>1013</v>
      </c>
      <c r="O75" t="s">
        <v>461</v>
      </c>
      <c r="P75" t="s">
        <v>461</v>
      </c>
      <c r="Q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29</v>
      </c>
      <c r="AG75">
        <v>0.36</v>
      </c>
      <c r="AH75">
        <v>2</v>
      </c>
      <c r="AI75">
        <v>57035404</v>
      </c>
      <c r="AJ75">
        <v>61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ROW(Source!A54)</f>
        <v>54</v>
      </c>
      <c r="B76">
        <v>57035408</v>
      </c>
      <c r="C76">
        <v>57035403</v>
      </c>
      <c r="D76">
        <v>55459793</v>
      </c>
      <c r="E76">
        <v>1</v>
      </c>
      <c r="F76">
        <v>1</v>
      </c>
      <c r="G76">
        <v>1081</v>
      </c>
      <c r="H76">
        <v>3</v>
      </c>
      <c r="I76" t="s">
        <v>470</v>
      </c>
      <c r="J76" t="s">
        <v>471</v>
      </c>
      <c r="K76" t="s">
        <v>472</v>
      </c>
      <c r="L76">
        <v>1348</v>
      </c>
      <c r="N76">
        <v>1009</v>
      </c>
      <c r="O76" t="s">
        <v>299</v>
      </c>
      <c r="P76" t="s">
        <v>299</v>
      </c>
      <c r="Q76">
        <v>1000</v>
      </c>
      <c r="X76">
        <v>1.0000000000000001E-5</v>
      </c>
      <c r="Y76">
        <v>64123.05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28</v>
      </c>
      <c r="AG76">
        <v>0</v>
      </c>
      <c r="AH76">
        <v>2</v>
      </c>
      <c r="AI76">
        <v>57035405</v>
      </c>
      <c r="AJ76">
        <v>62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ROW(Source!A54)</f>
        <v>54</v>
      </c>
      <c r="B77">
        <v>57035409</v>
      </c>
      <c r="C77">
        <v>57035403</v>
      </c>
      <c r="D77">
        <v>55487942</v>
      </c>
      <c r="E77">
        <v>1</v>
      </c>
      <c r="F77">
        <v>1</v>
      </c>
      <c r="G77">
        <v>1081</v>
      </c>
      <c r="H77">
        <v>3</v>
      </c>
      <c r="I77" t="s">
        <v>482</v>
      </c>
      <c r="J77" t="s">
        <v>483</v>
      </c>
      <c r="K77" t="s">
        <v>484</v>
      </c>
      <c r="L77">
        <v>1303</v>
      </c>
      <c r="N77">
        <v>1003</v>
      </c>
      <c r="O77" t="s">
        <v>485</v>
      </c>
      <c r="P77" t="s">
        <v>485</v>
      </c>
      <c r="Q77">
        <v>1000</v>
      </c>
      <c r="X77">
        <v>2E-3</v>
      </c>
      <c r="Y77">
        <v>516.63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28</v>
      </c>
      <c r="AG77">
        <v>0</v>
      </c>
      <c r="AH77">
        <v>2</v>
      </c>
      <c r="AI77">
        <v>57035406</v>
      </c>
      <c r="AJ77">
        <v>63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ROW(Source!A54)</f>
        <v>54</v>
      </c>
      <c r="B78">
        <v>57035410</v>
      </c>
      <c r="C78">
        <v>57035403</v>
      </c>
      <c r="D78">
        <v>55431425</v>
      </c>
      <c r="E78">
        <v>1081</v>
      </c>
      <c r="F78">
        <v>1</v>
      </c>
      <c r="G78">
        <v>1081</v>
      </c>
      <c r="H78">
        <v>3</v>
      </c>
      <c r="I78" t="s">
        <v>575</v>
      </c>
      <c r="J78" t="s">
        <v>3</v>
      </c>
      <c r="K78" t="s">
        <v>576</v>
      </c>
      <c r="L78">
        <v>1354</v>
      </c>
      <c r="N78">
        <v>1010</v>
      </c>
      <c r="O78" t="s">
        <v>177</v>
      </c>
      <c r="P78" t="s">
        <v>177</v>
      </c>
      <c r="Q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28</v>
      </c>
      <c r="AG78">
        <v>0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ROW(Source!A55)</f>
        <v>55</v>
      </c>
      <c r="B79">
        <v>57035407</v>
      </c>
      <c r="C79">
        <v>57035403</v>
      </c>
      <c r="D79">
        <v>55424304</v>
      </c>
      <c r="E79">
        <v>1081</v>
      </c>
      <c r="F79">
        <v>1</v>
      </c>
      <c r="G79">
        <v>1081</v>
      </c>
      <c r="H79">
        <v>1</v>
      </c>
      <c r="I79" t="s">
        <v>459</v>
      </c>
      <c r="J79" t="s">
        <v>3</v>
      </c>
      <c r="K79" t="s">
        <v>460</v>
      </c>
      <c r="L79">
        <v>1191</v>
      </c>
      <c r="N79">
        <v>1013</v>
      </c>
      <c r="O79" t="s">
        <v>461</v>
      </c>
      <c r="P79" t="s">
        <v>461</v>
      </c>
      <c r="Q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 t="s">
        <v>29</v>
      </c>
      <c r="AG79">
        <v>0.36</v>
      </c>
      <c r="AH79">
        <v>2</v>
      </c>
      <c r="AI79">
        <v>57035404</v>
      </c>
      <c r="AJ79">
        <v>64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ROW(Source!A55)</f>
        <v>55</v>
      </c>
      <c r="B80">
        <v>57035408</v>
      </c>
      <c r="C80">
        <v>57035403</v>
      </c>
      <c r="D80">
        <v>55459793</v>
      </c>
      <c r="E80">
        <v>1</v>
      </c>
      <c r="F80">
        <v>1</v>
      </c>
      <c r="G80">
        <v>1081</v>
      </c>
      <c r="H80">
        <v>3</v>
      </c>
      <c r="I80" t="s">
        <v>470</v>
      </c>
      <c r="J80" t="s">
        <v>471</v>
      </c>
      <c r="K80" t="s">
        <v>472</v>
      </c>
      <c r="L80">
        <v>1348</v>
      </c>
      <c r="N80">
        <v>1009</v>
      </c>
      <c r="O80" t="s">
        <v>299</v>
      </c>
      <c r="P80" t="s">
        <v>299</v>
      </c>
      <c r="Q80">
        <v>1000</v>
      </c>
      <c r="X80">
        <v>1.0000000000000001E-5</v>
      </c>
      <c r="Y80">
        <v>64123.05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28</v>
      </c>
      <c r="AG80">
        <v>0</v>
      </c>
      <c r="AH80">
        <v>2</v>
      </c>
      <c r="AI80">
        <v>57035405</v>
      </c>
      <c r="AJ80">
        <v>65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ROW(Source!A55)</f>
        <v>55</v>
      </c>
      <c r="B81">
        <v>57035409</v>
      </c>
      <c r="C81">
        <v>57035403</v>
      </c>
      <c r="D81">
        <v>55487942</v>
      </c>
      <c r="E81">
        <v>1</v>
      </c>
      <c r="F81">
        <v>1</v>
      </c>
      <c r="G81">
        <v>1081</v>
      </c>
      <c r="H81">
        <v>3</v>
      </c>
      <c r="I81" t="s">
        <v>482</v>
      </c>
      <c r="J81" t="s">
        <v>483</v>
      </c>
      <c r="K81" t="s">
        <v>484</v>
      </c>
      <c r="L81">
        <v>1303</v>
      </c>
      <c r="N81">
        <v>1003</v>
      </c>
      <c r="O81" t="s">
        <v>485</v>
      </c>
      <c r="P81" t="s">
        <v>485</v>
      </c>
      <c r="Q81">
        <v>1000</v>
      </c>
      <c r="X81">
        <v>2E-3</v>
      </c>
      <c r="Y81">
        <v>516.63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28</v>
      </c>
      <c r="AG81">
        <v>0</v>
      </c>
      <c r="AH81">
        <v>2</v>
      </c>
      <c r="AI81">
        <v>57035406</v>
      </c>
      <c r="AJ81">
        <v>66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ROW(Source!A55)</f>
        <v>55</v>
      </c>
      <c r="B82">
        <v>57035410</v>
      </c>
      <c r="C82">
        <v>57035403</v>
      </c>
      <c r="D82">
        <v>55431425</v>
      </c>
      <c r="E82">
        <v>1081</v>
      </c>
      <c r="F82">
        <v>1</v>
      </c>
      <c r="G82">
        <v>1081</v>
      </c>
      <c r="H82">
        <v>3</v>
      </c>
      <c r="I82" t="s">
        <v>575</v>
      </c>
      <c r="J82" t="s">
        <v>3</v>
      </c>
      <c r="K82" t="s">
        <v>576</v>
      </c>
      <c r="L82">
        <v>1354</v>
      </c>
      <c r="N82">
        <v>1010</v>
      </c>
      <c r="O82" t="s">
        <v>177</v>
      </c>
      <c r="P82" t="s">
        <v>177</v>
      </c>
      <c r="Q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28</v>
      </c>
      <c r="AG82">
        <v>0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ROW(Source!A56)</f>
        <v>56</v>
      </c>
      <c r="B83">
        <v>57035413</v>
      </c>
      <c r="C83">
        <v>57035411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459</v>
      </c>
      <c r="J83" t="s">
        <v>3</v>
      </c>
      <c r="K83" t="s">
        <v>460</v>
      </c>
      <c r="L83">
        <v>1191</v>
      </c>
      <c r="N83">
        <v>1013</v>
      </c>
      <c r="O83" t="s">
        <v>461</v>
      </c>
      <c r="P83" t="s">
        <v>461</v>
      </c>
      <c r="Q83">
        <v>1</v>
      </c>
      <c r="X83">
        <v>1.2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29</v>
      </c>
      <c r="AG83">
        <v>0.432</v>
      </c>
      <c r="AH83">
        <v>2</v>
      </c>
      <c r="AI83">
        <v>57035412</v>
      </c>
      <c r="AJ83">
        <v>67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ROW(Source!A57)</f>
        <v>57</v>
      </c>
      <c r="B84">
        <v>57035413</v>
      </c>
      <c r="C84">
        <v>57035411</v>
      </c>
      <c r="D84">
        <v>55424304</v>
      </c>
      <c r="E84">
        <v>1081</v>
      </c>
      <c r="F84">
        <v>1</v>
      </c>
      <c r="G84">
        <v>1081</v>
      </c>
      <c r="H84">
        <v>1</v>
      </c>
      <c r="I84" t="s">
        <v>459</v>
      </c>
      <c r="J84" t="s">
        <v>3</v>
      </c>
      <c r="K84" t="s">
        <v>460</v>
      </c>
      <c r="L84">
        <v>1191</v>
      </c>
      <c r="N84">
        <v>1013</v>
      </c>
      <c r="O84" t="s">
        <v>461</v>
      </c>
      <c r="P84" t="s">
        <v>461</v>
      </c>
      <c r="Q84">
        <v>1</v>
      </c>
      <c r="X84">
        <v>1.2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 t="s">
        <v>29</v>
      </c>
      <c r="AG84">
        <v>0.432</v>
      </c>
      <c r="AH84">
        <v>2</v>
      </c>
      <c r="AI84">
        <v>57035412</v>
      </c>
      <c r="AJ84">
        <v>68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ROW(Source!A58)</f>
        <v>58</v>
      </c>
      <c r="B85">
        <v>57035422</v>
      </c>
      <c r="C85">
        <v>57035414</v>
      </c>
      <c r="D85">
        <v>55424304</v>
      </c>
      <c r="E85">
        <v>1081</v>
      </c>
      <c r="F85">
        <v>1</v>
      </c>
      <c r="G85">
        <v>1081</v>
      </c>
      <c r="H85">
        <v>1</v>
      </c>
      <c r="I85" t="s">
        <v>459</v>
      </c>
      <c r="J85" t="s">
        <v>3</v>
      </c>
      <c r="K85" t="s">
        <v>460</v>
      </c>
      <c r="L85">
        <v>1191</v>
      </c>
      <c r="N85">
        <v>1013</v>
      </c>
      <c r="O85" t="s">
        <v>461</v>
      </c>
      <c r="P85" t="s">
        <v>461</v>
      </c>
      <c r="Q85">
        <v>1</v>
      </c>
      <c r="X85">
        <v>13.4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29</v>
      </c>
      <c r="AG85">
        <v>4.823999999999999</v>
      </c>
      <c r="AH85">
        <v>2</v>
      </c>
      <c r="AI85">
        <v>57035415</v>
      </c>
      <c r="AJ85">
        <v>69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ROW(Source!A58)</f>
        <v>58</v>
      </c>
      <c r="B86">
        <v>57035423</v>
      </c>
      <c r="C86">
        <v>57035414</v>
      </c>
      <c r="D86">
        <v>55490209</v>
      </c>
      <c r="E86">
        <v>1</v>
      </c>
      <c r="F86">
        <v>1</v>
      </c>
      <c r="G86">
        <v>1081</v>
      </c>
      <c r="H86">
        <v>2</v>
      </c>
      <c r="I86" t="s">
        <v>462</v>
      </c>
      <c r="J86" t="s">
        <v>463</v>
      </c>
      <c r="K86" t="s">
        <v>464</v>
      </c>
      <c r="L86">
        <v>1368</v>
      </c>
      <c r="N86">
        <v>1011</v>
      </c>
      <c r="O86" t="s">
        <v>465</v>
      </c>
      <c r="P86" t="s">
        <v>465</v>
      </c>
      <c r="Q86">
        <v>1</v>
      </c>
      <c r="X86">
        <v>0.73</v>
      </c>
      <c r="Y86">
        <v>0</v>
      </c>
      <c r="Z86">
        <v>83.1</v>
      </c>
      <c r="AA86">
        <v>12.62</v>
      </c>
      <c r="AB86">
        <v>0</v>
      </c>
      <c r="AC86">
        <v>0</v>
      </c>
      <c r="AD86">
        <v>1</v>
      </c>
      <c r="AE86">
        <v>0</v>
      </c>
      <c r="AF86" t="s">
        <v>29</v>
      </c>
      <c r="AG86">
        <v>0.26279999999999998</v>
      </c>
      <c r="AH86">
        <v>2</v>
      </c>
      <c r="AI86">
        <v>57035416</v>
      </c>
      <c r="AJ86">
        <v>70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ROW(Source!A58)</f>
        <v>58</v>
      </c>
      <c r="B87">
        <v>57035424</v>
      </c>
      <c r="C87">
        <v>57035414</v>
      </c>
      <c r="D87">
        <v>55482166</v>
      </c>
      <c r="E87">
        <v>1</v>
      </c>
      <c r="F87">
        <v>1</v>
      </c>
      <c r="G87">
        <v>1081</v>
      </c>
      <c r="H87">
        <v>3</v>
      </c>
      <c r="I87" t="s">
        <v>486</v>
      </c>
      <c r="J87" t="s">
        <v>487</v>
      </c>
      <c r="K87" t="s">
        <v>488</v>
      </c>
      <c r="L87">
        <v>1301</v>
      </c>
      <c r="N87">
        <v>1003</v>
      </c>
      <c r="O87" t="s">
        <v>371</v>
      </c>
      <c r="P87" t="s">
        <v>371</v>
      </c>
      <c r="Q87">
        <v>1</v>
      </c>
      <c r="X87">
        <v>1.18</v>
      </c>
      <c r="Y87">
        <v>0.69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28</v>
      </c>
      <c r="AG87">
        <v>0</v>
      </c>
      <c r="AH87">
        <v>2</v>
      </c>
      <c r="AI87">
        <v>57035417</v>
      </c>
      <c r="AJ87">
        <v>71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ROW(Source!A58)</f>
        <v>58</v>
      </c>
      <c r="B88">
        <v>57035425</v>
      </c>
      <c r="C88">
        <v>57035414</v>
      </c>
      <c r="D88">
        <v>55482203</v>
      </c>
      <c r="E88">
        <v>1</v>
      </c>
      <c r="F88">
        <v>1</v>
      </c>
      <c r="G88">
        <v>1081</v>
      </c>
      <c r="H88">
        <v>3</v>
      </c>
      <c r="I88" t="s">
        <v>489</v>
      </c>
      <c r="J88" t="s">
        <v>490</v>
      </c>
      <c r="K88" t="s">
        <v>491</v>
      </c>
      <c r="L88">
        <v>1356</v>
      </c>
      <c r="N88">
        <v>1010</v>
      </c>
      <c r="O88" t="s">
        <v>382</v>
      </c>
      <c r="P88" t="s">
        <v>382</v>
      </c>
      <c r="Q88">
        <v>1000</v>
      </c>
      <c r="X88">
        <v>2E-3</v>
      </c>
      <c r="Y88">
        <v>226.66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28</v>
      </c>
      <c r="AG88">
        <v>0</v>
      </c>
      <c r="AH88">
        <v>2</v>
      </c>
      <c r="AI88">
        <v>57035418</v>
      </c>
      <c r="AJ88">
        <v>72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ROW(Source!A58)</f>
        <v>58</v>
      </c>
      <c r="B89">
        <v>57035426</v>
      </c>
      <c r="C89">
        <v>57035414</v>
      </c>
      <c r="D89">
        <v>55482617</v>
      </c>
      <c r="E89">
        <v>1</v>
      </c>
      <c r="F89">
        <v>1</v>
      </c>
      <c r="G89">
        <v>1081</v>
      </c>
      <c r="H89">
        <v>3</v>
      </c>
      <c r="I89" t="s">
        <v>492</v>
      </c>
      <c r="J89" t="s">
        <v>493</v>
      </c>
      <c r="K89" t="s">
        <v>494</v>
      </c>
      <c r="L89">
        <v>1354</v>
      </c>
      <c r="N89">
        <v>1010</v>
      </c>
      <c r="O89" t="s">
        <v>177</v>
      </c>
      <c r="P89" t="s">
        <v>177</v>
      </c>
      <c r="Q89">
        <v>1</v>
      </c>
      <c r="X89">
        <v>1</v>
      </c>
      <c r="Y89">
        <v>14.99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28</v>
      </c>
      <c r="AG89">
        <v>0</v>
      </c>
      <c r="AH89">
        <v>2</v>
      </c>
      <c r="AI89">
        <v>57035419</v>
      </c>
      <c r="AJ89">
        <v>73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ROW(Source!A58)</f>
        <v>58</v>
      </c>
      <c r="B90">
        <v>57035427</v>
      </c>
      <c r="C90">
        <v>57035414</v>
      </c>
      <c r="D90">
        <v>55481864</v>
      </c>
      <c r="E90">
        <v>1</v>
      </c>
      <c r="F90">
        <v>1</v>
      </c>
      <c r="G90">
        <v>1081</v>
      </c>
      <c r="H90">
        <v>3</v>
      </c>
      <c r="I90" t="s">
        <v>495</v>
      </c>
      <c r="J90" t="s">
        <v>496</v>
      </c>
      <c r="K90" t="s">
        <v>497</v>
      </c>
      <c r="L90">
        <v>1301</v>
      </c>
      <c r="N90">
        <v>1003</v>
      </c>
      <c r="O90" t="s">
        <v>371</v>
      </c>
      <c r="P90" t="s">
        <v>371</v>
      </c>
      <c r="Q90">
        <v>1</v>
      </c>
      <c r="X90">
        <v>0.48</v>
      </c>
      <c r="Y90">
        <v>0.7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28</v>
      </c>
      <c r="AG90">
        <v>0</v>
      </c>
      <c r="AH90">
        <v>2</v>
      </c>
      <c r="AI90">
        <v>57035420</v>
      </c>
      <c r="AJ90">
        <v>74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ROW(Source!A58)</f>
        <v>58</v>
      </c>
      <c r="B91">
        <v>57035428</v>
      </c>
      <c r="C91">
        <v>57035414</v>
      </c>
      <c r="D91">
        <v>55481866</v>
      </c>
      <c r="E91">
        <v>1</v>
      </c>
      <c r="F91">
        <v>1</v>
      </c>
      <c r="G91">
        <v>1081</v>
      </c>
      <c r="H91">
        <v>3</v>
      </c>
      <c r="I91" t="s">
        <v>498</v>
      </c>
      <c r="J91" t="s">
        <v>499</v>
      </c>
      <c r="K91" t="s">
        <v>500</v>
      </c>
      <c r="L91">
        <v>1356</v>
      </c>
      <c r="N91">
        <v>1010</v>
      </c>
      <c r="O91" t="s">
        <v>382</v>
      </c>
      <c r="P91" t="s">
        <v>382</v>
      </c>
      <c r="Q91">
        <v>1000</v>
      </c>
      <c r="X91">
        <v>4.1000000000000003E-3</v>
      </c>
      <c r="Y91">
        <v>6.44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28</v>
      </c>
      <c r="AG91">
        <v>0</v>
      </c>
      <c r="AH91">
        <v>2</v>
      </c>
      <c r="AI91">
        <v>57035421</v>
      </c>
      <c r="AJ91">
        <v>75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ROW(Source!A58)</f>
        <v>58</v>
      </c>
      <c r="B92">
        <v>57035429</v>
      </c>
      <c r="C92">
        <v>57035414</v>
      </c>
      <c r="D92">
        <v>55416982</v>
      </c>
      <c r="E92">
        <v>1081</v>
      </c>
      <c r="F92">
        <v>1</v>
      </c>
      <c r="G92">
        <v>1081</v>
      </c>
      <c r="H92">
        <v>3</v>
      </c>
      <c r="I92" t="s">
        <v>577</v>
      </c>
      <c r="J92" t="s">
        <v>3</v>
      </c>
      <c r="K92" t="s">
        <v>578</v>
      </c>
      <c r="L92">
        <v>1346</v>
      </c>
      <c r="N92">
        <v>1009</v>
      </c>
      <c r="O92" t="s">
        <v>433</v>
      </c>
      <c r="P92" t="s">
        <v>433</v>
      </c>
      <c r="Q92">
        <v>1</v>
      </c>
      <c r="X92">
        <v>0.77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28</v>
      </c>
      <c r="AG92">
        <v>0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ROW(Source!A58)</f>
        <v>58</v>
      </c>
      <c r="B93">
        <v>57035430</v>
      </c>
      <c r="C93">
        <v>57035414</v>
      </c>
      <c r="D93">
        <v>55431085</v>
      </c>
      <c r="E93">
        <v>1081</v>
      </c>
      <c r="F93">
        <v>1</v>
      </c>
      <c r="G93">
        <v>1081</v>
      </c>
      <c r="H93">
        <v>3</v>
      </c>
      <c r="I93" t="s">
        <v>581</v>
      </c>
      <c r="J93" t="s">
        <v>3</v>
      </c>
      <c r="K93" t="s">
        <v>582</v>
      </c>
      <c r="L93">
        <v>1354</v>
      </c>
      <c r="N93">
        <v>1010</v>
      </c>
      <c r="O93" t="s">
        <v>177</v>
      </c>
      <c r="P93" t="s">
        <v>177</v>
      </c>
      <c r="Q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28</v>
      </c>
      <c r="AG93">
        <v>0</v>
      </c>
      <c r="AH93">
        <v>3</v>
      </c>
      <c r="AI93">
        <v>-1</v>
      </c>
      <c r="AJ93" t="s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ROW(Source!A58)</f>
        <v>58</v>
      </c>
      <c r="B94">
        <v>57035431</v>
      </c>
      <c r="C94">
        <v>57035414</v>
      </c>
      <c r="D94">
        <v>55432026</v>
      </c>
      <c r="E94">
        <v>1081</v>
      </c>
      <c r="F94">
        <v>1</v>
      </c>
      <c r="G94">
        <v>1081</v>
      </c>
      <c r="H94">
        <v>3</v>
      </c>
      <c r="I94" t="s">
        <v>583</v>
      </c>
      <c r="J94" t="s">
        <v>3</v>
      </c>
      <c r="K94" t="s">
        <v>584</v>
      </c>
      <c r="L94">
        <v>1356</v>
      </c>
      <c r="N94">
        <v>1010</v>
      </c>
      <c r="O94" t="s">
        <v>382</v>
      </c>
      <c r="P94" t="s">
        <v>382</v>
      </c>
      <c r="Q94">
        <v>1000</v>
      </c>
      <c r="X94">
        <v>6.1199999999999997E-2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28</v>
      </c>
      <c r="AG94">
        <v>0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ROW(Source!A58)</f>
        <v>58</v>
      </c>
      <c r="B95">
        <v>57035432</v>
      </c>
      <c r="C95">
        <v>57035414</v>
      </c>
      <c r="D95">
        <v>55433412</v>
      </c>
      <c r="E95">
        <v>1081</v>
      </c>
      <c r="F95">
        <v>1</v>
      </c>
      <c r="G95">
        <v>1081</v>
      </c>
      <c r="H95">
        <v>3</v>
      </c>
      <c r="I95" t="s">
        <v>585</v>
      </c>
      <c r="J95" t="s">
        <v>3</v>
      </c>
      <c r="K95" t="s">
        <v>586</v>
      </c>
      <c r="L95">
        <v>1354</v>
      </c>
      <c r="N95">
        <v>1010</v>
      </c>
      <c r="O95" t="s">
        <v>177</v>
      </c>
      <c r="P95" t="s">
        <v>177</v>
      </c>
      <c r="Q95">
        <v>1</v>
      </c>
      <c r="X95">
        <v>2.04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28</v>
      </c>
      <c r="AG95">
        <v>0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ROW(Source!A59)</f>
        <v>59</v>
      </c>
      <c r="B96">
        <v>57035422</v>
      </c>
      <c r="C96">
        <v>57035414</v>
      </c>
      <c r="D96">
        <v>55424304</v>
      </c>
      <c r="E96">
        <v>1081</v>
      </c>
      <c r="F96">
        <v>1</v>
      </c>
      <c r="G96">
        <v>1081</v>
      </c>
      <c r="H96">
        <v>1</v>
      </c>
      <c r="I96" t="s">
        <v>459</v>
      </c>
      <c r="J96" t="s">
        <v>3</v>
      </c>
      <c r="K96" t="s">
        <v>460</v>
      </c>
      <c r="L96">
        <v>1191</v>
      </c>
      <c r="N96">
        <v>1013</v>
      </c>
      <c r="O96" t="s">
        <v>461</v>
      </c>
      <c r="P96" t="s">
        <v>461</v>
      </c>
      <c r="Q96">
        <v>1</v>
      </c>
      <c r="X96">
        <v>13.4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 t="s">
        <v>29</v>
      </c>
      <c r="AG96">
        <v>4.823999999999999</v>
      </c>
      <c r="AH96">
        <v>2</v>
      </c>
      <c r="AI96">
        <v>57035415</v>
      </c>
      <c r="AJ96">
        <v>76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ROW(Source!A59)</f>
        <v>59</v>
      </c>
      <c r="B97">
        <v>57035423</v>
      </c>
      <c r="C97">
        <v>57035414</v>
      </c>
      <c r="D97">
        <v>55490209</v>
      </c>
      <c r="E97">
        <v>1</v>
      </c>
      <c r="F97">
        <v>1</v>
      </c>
      <c r="G97">
        <v>1081</v>
      </c>
      <c r="H97">
        <v>2</v>
      </c>
      <c r="I97" t="s">
        <v>462</v>
      </c>
      <c r="J97" t="s">
        <v>463</v>
      </c>
      <c r="K97" t="s">
        <v>464</v>
      </c>
      <c r="L97">
        <v>1368</v>
      </c>
      <c r="N97">
        <v>1011</v>
      </c>
      <c r="O97" t="s">
        <v>465</v>
      </c>
      <c r="P97" t="s">
        <v>465</v>
      </c>
      <c r="Q97">
        <v>1</v>
      </c>
      <c r="X97">
        <v>0.73</v>
      </c>
      <c r="Y97">
        <v>0</v>
      </c>
      <c r="Z97">
        <v>83.1</v>
      </c>
      <c r="AA97">
        <v>12.62</v>
      </c>
      <c r="AB97">
        <v>0</v>
      </c>
      <c r="AC97">
        <v>0</v>
      </c>
      <c r="AD97">
        <v>1</v>
      </c>
      <c r="AE97">
        <v>0</v>
      </c>
      <c r="AF97" t="s">
        <v>29</v>
      </c>
      <c r="AG97">
        <v>0.26279999999999998</v>
      </c>
      <c r="AH97">
        <v>2</v>
      </c>
      <c r="AI97">
        <v>57035416</v>
      </c>
      <c r="AJ97">
        <v>77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ROW(Source!A59)</f>
        <v>59</v>
      </c>
      <c r="B98">
        <v>57035424</v>
      </c>
      <c r="C98">
        <v>57035414</v>
      </c>
      <c r="D98">
        <v>55482166</v>
      </c>
      <c r="E98">
        <v>1</v>
      </c>
      <c r="F98">
        <v>1</v>
      </c>
      <c r="G98">
        <v>1081</v>
      </c>
      <c r="H98">
        <v>3</v>
      </c>
      <c r="I98" t="s">
        <v>486</v>
      </c>
      <c r="J98" t="s">
        <v>487</v>
      </c>
      <c r="K98" t="s">
        <v>488</v>
      </c>
      <c r="L98">
        <v>1301</v>
      </c>
      <c r="N98">
        <v>1003</v>
      </c>
      <c r="O98" t="s">
        <v>371</v>
      </c>
      <c r="P98" t="s">
        <v>371</v>
      </c>
      <c r="Q98">
        <v>1</v>
      </c>
      <c r="X98">
        <v>1.18</v>
      </c>
      <c r="Y98">
        <v>0.69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28</v>
      </c>
      <c r="AG98">
        <v>0</v>
      </c>
      <c r="AH98">
        <v>2</v>
      </c>
      <c r="AI98">
        <v>57035417</v>
      </c>
      <c r="AJ98">
        <v>78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ROW(Source!A59)</f>
        <v>59</v>
      </c>
      <c r="B99">
        <v>57035425</v>
      </c>
      <c r="C99">
        <v>57035414</v>
      </c>
      <c r="D99">
        <v>55482203</v>
      </c>
      <c r="E99">
        <v>1</v>
      </c>
      <c r="F99">
        <v>1</v>
      </c>
      <c r="G99">
        <v>1081</v>
      </c>
      <c r="H99">
        <v>3</v>
      </c>
      <c r="I99" t="s">
        <v>489</v>
      </c>
      <c r="J99" t="s">
        <v>490</v>
      </c>
      <c r="K99" t="s">
        <v>491</v>
      </c>
      <c r="L99">
        <v>1356</v>
      </c>
      <c r="N99">
        <v>1010</v>
      </c>
      <c r="O99" t="s">
        <v>382</v>
      </c>
      <c r="P99" t="s">
        <v>382</v>
      </c>
      <c r="Q99">
        <v>1000</v>
      </c>
      <c r="X99">
        <v>2E-3</v>
      </c>
      <c r="Y99">
        <v>226.66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28</v>
      </c>
      <c r="AG99">
        <v>0</v>
      </c>
      <c r="AH99">
        <v>2</v>
      </c>
      <c r="AI99">
        <v>57035418</v>
      </c>
      <c r="AJ99">
        <v>79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ROW(Source!A59)</f>
        <v>59</v>
      </c>
      <c r="B100">
        <v>57035426</v>
      </c>
      <c r="C100">
        <v>57035414</v>
      </c>
      <c r="D100">
        <v>55482617</v>
      </c>
      <c r="E100">
        <v>1</v>
      </c>
      <c r="F100">
        <v>1</v>
      </c>
      <c r="G100">
        <v>1081</v>
      </c>
      <c r="H100">
        <v>3</v>
      </c>
      <c r="I100" t="s">
        <v>492</v>
      </c>
      <c r="J100" t="s">
        <v>493</v>
      </c>
      <c r="K100" t="s">
        <v>494</v>
      </c>
      <c r="L100">
        <v>1354</v>
      </c>
      <c r="N100">
        <v>1010</v>
      </c>
      <c r="O100" t="s">
        <v>177</v>
      </c>
      <c r="P100" t="s">
        <v>177</v>
      </c>
      <c r="Q100">
        <v>1</v>
      </c>
      <c r="X100">
        <v>1</v>
      </c>
      <c r="Y100">
        <v>14.99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28</v>
      </c>
      <c r="AG100">
        <v>0</v>
      </c>
      <c r="AH100">
        <v>2</v>
      </c>
      <c r="AI100">
        <v>57035419</v>
      </c>
      <c r="AJ100">
        <v>80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ROW(Source!A59)</f>
        <v>59</v>
      </c>
      <c r="B101">
        <v>57035427</v>
      </c>
      <c r="C101">
        <v>57035414</v>
      </c>
      <c r="D101">
        <v>55481864</v>
      </c>
      <c r="E101">
        <v>1</v>
      </c>
      <c r="F101">
        <v>1</v>
      </c>
      <c r="G101">
        <v>1081</v>
      </c>
      <c r="H101">
        <v>3</v>
      </c>
      <c r="I101" t="s">
        <v>495</v>
      </c>
      <c r="J101" t="s">
        <v>496</v>
      </c>
      <c r="K101" t="s">
        <v>497</v>
      </c>
      <c r="L101">
        <v>1301</v>
      </c>
      <c r="N101">
        <v>1003</v>
      </c>
      <c r="O101" t="s">
        <v>371</v>
      </c>
      <c r="P101" t="s">
        <v>371</v>
      </c>
      <c r="Q101">
        <v>1</v>
      </c>
      <c r="X101">
        <v>0.48</v>
      </c>
      <c r="Y101">
        <v>0.7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28</v>
      </c>
      <c r="AG101">
        <v>0</v>
      </c>
      <c r="AH101">
        <v>2</v>
      </c>
      <c r="AI101">
        <v>57035420</v>
      </c>
      <c r="AJ101">
        <v>81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ROW(Source!A59)</f>
        <v>59</v>
      </c>
      <c r="B102">
        <v>57035428</v>
      </c>
      <c r="C102">
        <v>57035414</v>
      </c>
      <c r="D102">
        <v>55481866</v>
      </c>
      <c r="E102">
        <v>1</v>
      </c>
      <c r="F102">
        <v>1</v>
      </c>
      <c r="G102">
        <v>1081</v>
      </c>
      <c r="H102">
        <v>3</v>
      </c>
      <c r="I102" t="s">
        <v>498</v>
      </c>
      <c r="J102" t="s">
        <v>499</v>
      </c>
      <c r="K102" t="s">
        <v>500</v>
      </c>
      <c r="L102">
        <v>1356</v>
      </c>
      <c r="N102">
        <v>1010</v>
      </c>
      <c r="O102" t="s">
        <v>382</v>
      </c>
      <c r="P102" t="s">
        <v>382</v>
      </c>
      <c r="Q102">
        <v>1000</v>
      </c>
      <c r="X102">
        <v>4.1000000000000003E-3</v>
      </c>
      <c r="Y102">
        <v>6.44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28</v>
      </c>
      <c r="AG102">
        <v>0</v>
      </c>
      <c r="AH102">
        <v>2</v>
      </c>
      <c r="AI102">
        <v>57035421</v>
      </c>
      <c r="AJ102">
        <v>82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ROW(Source!A59)</f>
        <v>59</v>
      </c>
      <c r="B103">
        <v>57035429</v>
      </c>
      <c r="C103">
        <v>57035414</v>
      </c>
      <c r="D103">
        <v>55416982</v>
      </c>
      <c r="E103">
        <v>1081</v>
      </c>
      <c r="F103">
        <v>1</v>
      </c>
      <c r="G103">
        <v>1081</v>
      </c>
      <c r="H103">
        <v>3</v>
      </c>
      <c r="I103" t="s">
        <v>577</v>
      </c>
      <c r="J103" t="s">
        <v>3</v>
      </c>
      <c r="K103" t="s">
        <v>578</v>
      </c>
      <c r="L103">
        <v>1346</v>
      </c>
      <c r="N103">
        <v>1009</v>
      </c>
      <c r="O103" t="s">
        <v>433</v>
      </c>
      <c r="P103" t="s">
        <v>433</v>
      </c>
      <c r="Q103">
        <v>1</v>
      </c>
      <c r="X103">
        <v>0.77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28</v>
      </c>
      <c r="AG103">
        <v>0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ROW(Source!A59)</f>
        <v>59</v>
      </c>
      <c r="B104">
        <v>57035430</v>
      </c>
      <c r="C104">
        <v>57035414</v>
      </c>
      <c r="D104">
        <v>55431085</v>
      </c>
      <c r="E104">
        <v>1081</v>
      </c>
      <c r="F104">
        <v>1</v>
      </c>
      <c r="G104">
        <v>1081</v>
      </c>
      <c r="H104">
        <v>3</v>
      </c>
      <c r="I104" t="s">
        <v>581</v>
      </c>
      <c r="J104" t="s">
        <v>3</v>
      </c>
      <c r="K104" t="s">
        <v>582</v>
      </c>
      <c r="L104">
        <v>1354</v>
      </c>
      <c r="N104">
        <v>1010</v>
      </c>
      <c r="O104" t="s">
        <v>177</v>
      </c>
      <c r="P104" t="s">
        <v>177</v>
      </c>
      <c r="Q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28</v>
      </c>
      <c r="AG104">
        <v>0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ROW(Source!A59)</f>
        <v>59</v>
      </c>
      <c r="B105">
        <v>57035431</v>
      </c>
      <c r="C105">
        <v>57035414</v>
      </c>
      <c r="D105">
        <v>55432026</v>
      </c>
      <c r="E105">
        <v>1081</v>
      </c>
      <c r="F105">
        <v>1</v>
      </c>
      <c r="G105">
        <v>1081</v>
      </c>
      <c r="H105">
        <v>3</v>
      </c>
      <c r="I105" t="s">
        <v>583</v>
      </c>
      <c r="J105" t="s">
        <v>3</v>
      </c>
      <c r="K105" t="s">
        <v>584</v>
      </c>
      <c r="L105">
        <v>1356</v>
      </c>
      <c r="N105">
        <v>1010</v>
      </c>
      <c r="O105" t="s">
        <v>382</v>
      </c>
      <c r="P105" t="s">
        <v>382</v>
      </c>
      <c r="Q105">
        <v>1000</v>
      </c>
      <c r="X105">
        <v>6.1199999999999997E-2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28</v>
      </c>
      <c r="AG105">
        <v>0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ROW(Source!A59)</f>
        <v>59</v>
      </c>
      <c r="B106">
        <v>57035432</v>
      </c>
      <c r="C106">
        <v>57035414</v>
      </c>
      <c r="D106">
        <v>55433412</v>
      </c>
      <c r="E106">
        <v>1081</v>
      </c>
      <c r="F106">
        <v>1</v>
      </c>
      <c r="G106">
        <v>1081</v>
      </c>
      <c r="H106">
        <v>3</v>
      </c>
      <c r="I106" t="s">
        <v>585</v>
      </c>
      <c r="J106" t="s">
        <v>3</v>
      </c>
      <c r="K106" t="s">
        <v>586</v>
      </c>
      <c r="L106">
        <v>1354</v>
      </c>
      <c r="N106">
        <v>1010</v>
      </c>
      <c r="O106" t="s">
        <v>177</v>
      </c>
      <c r="P106" t="s">
        <v>177</v>
      </c>
      <c r="Q106">
        <v>1</v>
      </c>
      <c r="X106">
        <v>2.04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28</v>
      </c>
      <c r="AG106">
        <v>0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ROW(Source!A60)</f>
        <v>60</v>
      </c>
      <c r="B107">
        <v>57035435</v>
      </c>
      <c r="C107">
        <v>57035433</v>
      </c>
      <c r="D107">
        <v>55424304</v>
      </c>
      <c r="E107">
        <v>1081</v>
      </c>
      <c r="F107">
        <v>1</v>
      </c>
      <c r="G107">
        <v>1081</v>
      </c>
      <c r="H107">
        <v>1</v>
      </c>
      <c r="I107" t="s">
        <v>459</v>
      </c>
      <c r="J107" t="s">
        <v>3</v>
      </c>
      <c r="K107" t="s">
        <v>460</v>
      </c>
      <c r="L107">
        <v>1191</v>
      </c>
      <c r="N107">
        <v>1013</v>
      </c>
      <c r="O107" t="s">
        <v>461</v>
      </c>
      <c r="P107" t="s">
        <v>461</v>
      </c>
      <c r="Q107">
        <v>1</v>
      </c>
      <c r="X107">
        <v>2.4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29</v>
      </c>
      <c r="AG107">
        <v>0.86399999999999999</v>
      </c>
      <c r="AH107">
        <v>2</v>
      </c>
      <c r="AI107">
        <v>57035434</v>
      </c>
      <c r="AJ107">
        <v>83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ROW(Source!A61)</f>
        <v>61</v>
      </c>
      <c r="B108">
        <v>57035435</v>
      </c>
      <c r="C108">
        <v>57035433</v>
      </c>
      <c r="D108">
        <v>55424304</v>
      </c>
      <c r="E108">
        <v>1081</v>
      </c>
      <c r="F108">
        <v>1</v>
      </c>
      <c r="G108">
        <v>1081</v>
      </c>
      <c r="H108">
        <v>1</v>
      </c>
      <c r="I108" t="s">
        <v>459</v>
      </c>
      <c r="J108" t="s">
        <v>3</v>
      </c>
      <c r="K108" t="s">
        <v>460</v>
      </c>
      <c r="L108">
        <v>1191</v>
      </c>
      <c r="N108">
        <v>1013</v>
      </c>
      <c r="O108" t="s">
        <v>461</v>
      </c>
      <c r="P108" t="s">
        <v>461</v>
      </c>
      <c r="Q108">
        <v>1</v>
      </c>
      <c r="X108">
        <v>2.4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 t="s">
        <v>29</v>
      </c>
      <c r="AG108">
        <v>0.86399999999999999</v>
      </c>
      <c r="AH108">
        <v>2</v>
      </c>
      <c r="AI108">
        <v>57035434</v>
      </c>
      <c r="AJ108">
        <v>84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ROW(Source!A62)</f>
        <v>62</v>
      </c>
      <c r="B109">
        <v>57035438</v>
      </c>
      <c r="C109">
        <v>57035436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459</v>
      </c>
      <c r="J109" t="s">
        <v>3</v>
      </c>
      <c r="K109" t="s">
        <v>460</v>
      </c>
      <c r="L109">
        <v>1191</v>
      </c>
      <c r="N109">
        <v>1013</v>
      </c>
      <c r="O109" t="s">
        <v>461</v>
      </c>
      <c r="P109" t="s">
        <v>461</v>
      </c>
      <c r="Q109">
        <v>1</v>
      </c>
      <c r="X109">
        <v>1.2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29</v>
      </c>
      <c r="AG109">
        <v>0.432</v>
      </c>
      <c r="AH109">
        <v>2</v>
      </c>
      <c r="AI109">
        <v>57035437</v>
      </c>
      <c r="AJ109">
        <v>85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ROW(Source!A63)</f>
        <v>63</v>
      </c>
      <c r="B110">
        <v>57035438</v>
      </c>
      <c r="C110">
        <v>57035436</v>
      </c>
      <c r="D110">
        <v>55424304</v>
      </c>
      <c r="E110">
        <v>1081</v>
      </c>
      <c r="F110">
        <v>1</v>
      </c>
      <c r="G110">
        <v>1081</v>
      </c>
      <c r="H110">
        <v>1</v>
      </c>
      <c r="I110" t="s">
        <v>459</v>
      </c>
      <c r="J110" t="s">
        <v>3</v>
      </c>
      <c r="K110" t="s">
        <v>460</v>
      </c>
      <c r="L110">
        <v>1191</v>
      </c>
      <c r="N110">
        <v>1013</v>
      </c>
      <c r="O110" t="s">
        <v>461</v>
      </c>
      <c r="P110" t="s">
        <v>461</v>
      </c>
      <c r="Q110">
        <v>1</v>
      </c>
      <c r="X110">
        <v>1.2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 t="s">
        <v>29</v>
      </c>
      <c r="AG110">
        <v>0.432</v>
      </c>
      <c r="AH110">
        <v>2</v>
      </c>
      <c r="AI110">
        <v>57035437</v>
      </c>
      <c r="AJ110">
        <v>86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ROW(Source!A64)</f>
        <v>64</v>
      </c>
      <c r="B111">
        <v>57037677</v>
      </c>
      <c r="C111">
        <v>57037670</v>
      </c>
      <c r="D111">
        <v>55424304</v>
      </c>
      <c r="E111">
        <v>1081</v>
      </c>
      <c r="F111">
        <v>1</v>
      </c>
      <c r="G111">
        <v>1081</v>
      </c>
      <c r="H111">
        <v>1</v>
      </c>
      <c r="I111" t="s">
        <v>459</v>
      </c>
      <c r="J111" t="s">
        <v>3</v>
      </c>
      <c r="K111" t="s">
        <v>460</v>
      </c>
      <c r="L111">
        <v>1191</v>
      </c>
      <c r="N111">
        <v>1013</v>
      </c>
      <c r="O111" t="s">
        <v>461</v>
      </c>
      <c r="P111" t="s">
        <v>461</v>
      </c>
      <c r="Q111">
        <v>1</v>
      </c>
      <c r="X111">
        <v>34.61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29</v>
      </c>
      <c r="AG111">
        <v>12.459599999999998</v>
      </c>
      <c r="AH111">
        <v>2</v>
      </c>
      <c r="AI111">
        <v>57037671</v>
      </c>
      <c r="AJ111">
        <v>87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ROW(Source!A64)</f>
        <v>64</v>
      </c>
      <c r="B112">
        <v>57037678</v>
      </c>
      <c r="C112">
        <v>57037670</v>
      </c>
      <c r="D112">
        <v>55490263</v>
      </c>
      <c r="E112">
        <v>1</v>
      </c>
      <c r="F112">
        <v>1</v>
      </c>
      <c r="G112">
        <v>1081</v>
      </c>
      <c r="H112">
        <v>2</v>
      </c>
      <c r="I112" t="s">
        <v>501</v>
      </c>
      <c r="J112" t="s">
        <v>502</v>
      </c>
      <c r="K112" t="s">
        <v>503</v>
      </c>
      <c r="L112">
        <v>1368</v>
      </c>
      <c r="N112">
        <v>1011</v>
      </c>
      <c r="O112" t="s">
        <v>465</v>
      </c>
      <c r="P112" t="s">
        <v>465</v>
      </c>
      <c r="Q112">
        <v>1</v>
      </c>
      <c r="X112">
        <v>4.87</v>
      </c>
      <c r="Y112">
        <v>0</v>
      </c>
      <c r="Z112">
        <v>0.77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29</v>
      </c>
      <c r="AG112">
        <v>1.7532000000000001</v>
      </c>
      <c r="AH112">
        <v>2</v>
      </c>
      <c r="AI112">
        <v>57037672</v>
      </c>
      <c r="AJ112">
        <v>88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ROW(Source!A64)</f>
        <v>64</v>
      </c>
      <c r="B113">
        <v>57037679</v>
      </c>
      <c r="C113">
        <v>57037670</v>
      </c>
      <c r="D113">
        <v>55490296</v>
      </c>
      <c r="E113">
        <v>1</v>
      </c>
      <c r="F113">
        <v>1</v>
      </c>
      <c r="G113">
        <v>1081</v>
      </c>
      <c r="H113">
        <v>2</v>
      </c>
      <c r="I113" t="s">
        <v>479</v>
      </c>
      <c r="J113" t="s">
        <v>480</v>
      </c>
      <c r="K113" t="s">
        <v>481</v>
      </c>
      <c r="L113">
        <v>1368</v>
      </c>
      <c r="N113">
        <v>1011</v>
      </c>
      <c r="O113" t="s">
        <v>465</v>
      </c>
      <c r="P113" t="s">
        <v>465</v>
      </c>
      <c r="Q113">
        <v>1</v>
      </c>
      <c r="X113">
        <v>6.89</v>
      </c>
      <c r="Y113">
        <v>0</v>
      </c>
      <c r="Z113">
        <v>0.47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29</v>
      </c>
      <c r="AG113">
        <v>2.4803999999999995</v>
      </c>
      <c r="AH113">
        <v>2</v>
      </c>
      <c r="AI113">
        <v>57037673</v>
      </c>
      <c r="AJ113">
        <v>89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ROW(Source!A64)</f>
        <v>64</v>
      </c>
      <c r="B114">
        <v>57037680</v>
      </c>
      <c r="C114">
        <v>57037670</v>
      </c>
      <c r="D114">
        <v>55482203</v>
      </c>
      <c r="E114">
        <v>1</v>
      </c>
      <c r="F114">
        <v>1</v>
      </c>
      <c r="G114">
        <v>1081</v>
      </c>
      <c r="H114">
        <v>3</v>
      </c>
      <c r="I114" t="s">
        <v>489</v>
      </c>
      <c r="J114" t="s">
        <v>490</v>
      </c>
      <c r="K114" t="s">
        <v>491</v>
      </c>
      <c r="L114">
        <v>1356</v>
      </c>
      <c r="N114">
        <v>1010</v>
      </c>
      <c r="O114" t="s">
        <v>382</v>
      </c>
      <c r="P114" t="s">
        <v>382</v>
      </c>
      <c r="Q114">
        <v>1000</v>
      </c>
      <c r="X114">
        <v>3.1E-2</v>
      </c>
      <c r="Y114">
        <v>226.66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28</v>
      </c>
      <c r="AG114">
        <v>0</v>
      </c>
      <c r="AH114">
        <v>2</v>
      </c>
      <c r="AI114">
        <v>57037674</v>
      </c>
      <c r="AJ114">
        <v>90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ROW(Source!A64)</f>
        <v>64</v>
      </c>
      <c r="B115">
        <v>57037681</v>
      </c>
      <c r="C115">
        <v>57037670</v>
      </c>
      <c r="D115">
        <v>55481977</v>
      </c>
      <c r="E115">
        <v>1</v>
      </c>
      <c r="F115">
        <v>1</v>
      </c>
      <c r="G115">
        <v>1081</v>
      </c>
      <c r="H115">
        <v>3</v>
      </c>
      <c r="I115" t="s">
        <v>504</v>
      </c>
      <c r="J115" t="s">
        <v>505</v>
      </c>
      <c r="K115" t="s">
        <v>506</v>
      </c>
      <c r="L115">
        <v>1355</v>
      </c>
      <c r="N115">
        <v>1010</v>
      </c>
      <c r="O115" t="s">
        <v>414</v>
      </c>
      <c r="P115" t="s">
        <v>414</v>
      </c>
      <c r="Q115">
        <v>100</v>
      </c>
      <c r="X115">
        <v>0.315</v>
      </c>
      <c r="Y115">
        <v>26.71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28</v>
      </c>
      <c r="AG115">
        <v>0</v>
      </c>
      <c r="AH115">
        <v>2</v>
      </c>
      <c r="AI115">
        <v>57037675</v>
      </c>
      <c r="AJ115">
        <v>91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ROW(Source!A64)</f>
        <v>64</v>
      </c>
      <c r="B116">
        <v>57037682</v>
      </c>
      <c r="C116">
        <v>57037670</v>
      </c>
      <c r="D116">
        <v>55469263</v>
      </c>
      <c r="E116">
        <v>1</v>
      </c>
      <c r="F116">
        <v>1</v>
      </c>
      <c r="G116">
        <v>1081</v>
      </c>
      <c r="H116">
        <v>3</v>
      </c>
      <c r="I116" t="s">
        <v>507</v>
      </c>
      <c r="J116" t="s">
        <v>508</v>
      </c>
      <c r="K116" t="s">
        <v>509</v>
      </c>
      <c r="L116">
        <v>1354</v>
      </c>
      <c r="N116">
        <v>1010</v>
      </c>
      <c r="O116" t="s">
        <v>177</v>
      </c>
      <c r="P116" t="s">
        <v>177</v>
      </c>
      <c r="Q116">
        <v>1</v>
      </c>
      <c r="X116">
        <v>0.55900000000000005</v>
      </c>
      <c r="Y116">
        <v>14.22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28</v>
      </c>
      <c r="AG116">
        <v>0</v>
      </c>
      <c r="AH116">
        <v>2</v>
      </c>
      <c r="AI116">
        <v>57037676</v>
      </c>
      <c r="AJ116">
        <v>92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ROW(Source!A64)</f>
        <v>64</v>
      </c>
      <c r="B117">
        <v>57037683</v>
      </c>
      <c r="C117">
        <v>57037670</v>
      </c>
      <c r="D117">
        <v>55428300</v>
      </c>
      <c r="E117">
        <v>1081</v>
      </c>
      <c r="F117">
        <v>1</v>
      </c>
      <c r="G117">
        <v>1081</v>
      </c>
      <c r="H117">
        <v>3</v>
      </c>
      <c r="I117" t="s">
        <v>587</v>
      </c>
      <c r="J117" t="s">
        <v>3</v>
      </c>
      <c r="K117" t="s">
        <v>588</v>
      </c>
      <c r="L117">
        <v>1301</v>
      </c>
      <c r="N117">
        <v>1003</v>
      </c>
      <c r="O117" t="s">
        <v>371</v>
      </c>
      <c r="P117" t="s">
        <v>371</v>
      </c>
      <c r="Q117">
        <v>1</v>
      </c>
      <c r="X117">
        <v>102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28</v>
      </c>
      <c r="AG117">
        <v>0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ROW(Source!A64)</f>
        <v>64</v>
      </c>
      <c r="B118">
        <v>57037684</v>
      </c>
      <c r="C118">
        <v>57037670</v>
      </c>
      <c r="D118">
        <v>55433559</v>
      </c>
      <c r="E118">
        <v>1081</v>
      </c>
      <c r="F118">
        <v>1</v>
      </c>
      <c r="G118">
        <v>1081</v>
      </c>
      <c r="H118">
        <v>3</v>
      </c>
      <c r="I118" t="s">
        <v>589</v>
      </c>
      <c r="J118" t="s">
        <v>3</v>
      </c>
      <c r="K118" t="s">
        <v>590</v>
      </c>
      <c r="L118">
        <v>1356</v>
      </c>
      <c r="N118">
        <v>1010</v>
      </c>
      <c r="O118" t="s">
        <v>382</v>
      </c>
      <c r="P118" t="s">
        <v>382</v>
      </c>
      <c r="Q118">
        <v>1000</v>
      </c>
      <c r="X118">
        <v>0.23799999999999999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28</v>
      </c>
      <c r="AG118">
        <v>0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ROW(Source!A64)</f>
        <v>64</v>
      </c>
      <c r="B119">
        <v>57037685</v>
      </c>
      <c r="C119">
        <v>57037670</v>
      </c>
      <c r="D119">
        <v>55438947</v>
      </c>
      <c r="E119">
        <v>1081</v>
      </c>
      <c r="F119">
        <v>1</v>
      </c>
      <c r="G119">
        <v>1081</v>
      </c>
      <c r="H119">
        <v>3</v>
      </c>
      <c r="I119" t="s">
        <v>591</v>
      </c>
      <c r="J119" t="s">
        <v>3</v>
      </c>
      <c r="K119" t="s">
        <v>592</v>
      </c>
      <c r="L119">
        <v>1303</v>
      </c>
      <c r="N119">
        <v>1003</v>
      </c>
      <c r="O119" t="s">
        <v>485</v>
      </c>
      <c r="P119" t="s">
        <v>485</v>
      </c>
      <c r="Q119">
        <v>1000</v>
      </c>
      <c r="X119">
        <v>0.10199999999999999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28</v>
      </c>
      <c r="AG119">
        <v>0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ROW(Source!A64)</f>
        <v>64</v>
      </c>
      <c r="B120">
        <v>57037686</v>
      </c>
      <c r="C120">
        <v>57037670</v>
      </c>
      <c r="D120">
        <v>55447796</v>
      </c>
      <c r="E120">
        <v>1081</v>
      </c>
      <c r="F120">
        <v>1</v>
      </c>
      <c r="G120">
        <v>1081</v>
      </c>
      <c r="H120">
        <v>3</v>
      </c>
      <c r="I120" t="s">
        <v>593</v>
      </c>
      <c r="J120" t="s">
        <v>3</v>
      </c>
      <c r="K120" t="s">
        <v>594</v>
      </c>
      <c r="L120">
        <v>1355</v>
      </c>
      <c r="N120">
        <v>1010</v>
      </c>
      <c r="O120" t="s">
        <v>414</v>
      </c>
      <c r="P120" t="s">
        <v>414</v>
      </c>
      <c r="Q120">
        <v>100</v>
      </c>
      <c r="X120">
        <v>4.71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28</v>
      </c>
      <c r="AG120">
        <v>0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ROW(Source!A65)</f>
        <v>65</v>
      </c>
      <c r="B121">
        <v>57037677</v>
      </c>
      <c r="C121">
        <v>57037670</v>
      </c>
      <c r="D121">
        <v>55424304</v>
      </c>
      <c r="E121">
        <v>1081</v>
      </c>
      <c r="F121">
        <v>1</v>
      </c>
      <c r="G121">
        <v>1081</v>
      </c>
      <c r="H121">
        <v>1</v>
      </c>
      <c r="I121" t="s">
        <v>459</v>
      </c>
      <c r="J121" t="s">
        <v>3</v>
      </c>
      <c r="K121" t="s">
        <v>460</v>
      </c>
      <c r="L121">
        <v>1191</v>
      </c>
      <c r="N121">
        <v>1013</v>
      </c>
      <c r="O121" t="s">
        <v>461</v>
      </c>
      <c r="P121" t="s">
        <v>461</v>
      </c>
      <c r="Q121">
        <v>1</v>
      </c>
      <c r="X121">
        <v>34.61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29</v>
      </c>
      <c r="AG121">
        <v>12.459599999999998</v>
      </c>
      <c r="AH121">
        <v>2</v>
      </c>
      <c r="AI121">
        <v>57037671</v>
      </c>
      <c r="AJ121">
        <v>93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ROW(Source!A65)</f>
        <v>65</v>
      </c>
      <c r="B122">
        <v>57037678</v>
      </c>
      <c r="C122">
        <v>57037670</v>
      </c>
      <c r="D122">
        <v>55490263</v>
      </c>
      <c r="E122">
        <v>1</v>
      </c>
      <c r="F122">
        <v>1</v>
      </c>
      <c r="G122">
        <v>1081</v>
      </c>
      <c r="H122">
        <v>2</v>
      </c>
      <c r="I122" t="s">
        <v>501</v>
      </c>
      <c r="J122" t="s">
        <v>502</v>
      </c>
      <c r="K122" t="s">
        <v>503</v>
      </c>
      <c r="L122">
        <v>1368</v>
      </c>
      <c r="N122">
        <v>1011</v>
      </c>
      <c r="O122" t="s">
        <v>465</v>
      </c>
      <c r="P122" t="s">
        <v>465</v>
      </c>
      <c r="Q122">
        <v>1</v>
      </c>
      <c r="X122">
        <v>4.87</v>
      </c>
      <c r="Y122">
        <v>0</v>
      </c>
      <c r="Z122">
        <v>0.77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29</v>
      </c>
      <c r="AG122">
        <v>1.7532000000000001</v>
      </c>
      <c r="AH122">
        <v>2</v>
      </c>
      <c r="AI122">
        <v>57037672</v>
      </c>
      <c r="AJ122">
        <v>94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ROW(Source!A65)</f>
        <v>65</v>
      </c>
      <c r="B123">
        <v>57037679</v>
      </c>
      <c r="C123">
        <v>57037670</v>
      </c>
      <c r="D123">
        <v>55490296</v>
      </c>
      <c r="E123">
        <v>1</v>
      </c>
      <c r="F123">
        <v>1</v>
      </c>
      <c r="G123">
        <v>1081</v>
      </c>
      <c r="H123">
        <v>2</v>
      </c>
      <c r="I123" t="s">
        <v>479</v>
      </c>
      <c r="J123" t="s">
        <v>480</v>
      </c>
      <c r="K123" t="s">
        <v>481</v>
      </c>
      <c r="L123">
        <v>1368</v>
      </c>
      <c r="N123">
        <v>1011</v>
      </c>
      <c r="O123" t="s">
        <v>465</v>
      </c>
      <c r="P123" t="s">
        <v>465</v>
      </c>
      <c r="Q123">
        <v>1</v>
      </c>
      <c r="X123">
        <v>6.89</v>
      </c>
      <c r="Y123">
        <v>0</v>
      </c>
      <c r="Z123">
        <v>0.47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29</v>
      </c>
      <c r="AG123">
        <v>2.4803999999999995</v>
      </c>
      <c r="AH123">
        <v>2</v>
      </c>
      <c r="AI123">
        <v>57037673</v>
      </c>
      <c r="AJ123">
        <v>95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ROW(Source!A65)</f>
        <v>65</v>
      </c>
      <c r="B124">
        <v>57037680</v>
      </c>
      <c r="C124">
        <v>57037670</v>
      </c>
      <c r="D124">
        <v>55482203</v>
      </c>
      <c r="E124">
        <v>1</v>
      </c>
      <c r="F124">
        <v>1</v>
      </c>
      <c r="G124">
        <v>1081</v>
      </c>
      <c r="H124">
        <v>3</v>
      </c>
      <c r="I124" t="s">
        <v>489</v>
      </c>
      <c r="J124" t="s">
        <v>490</v>
      </c>
      <c r="K124" t="s">
        <v>491</v>
      </c>
      <c r="L124">
        <v>1356</v>
      </c>
      <c r="N124">
        <v>1010</v>
      </c>
      <c r="O124" t="s">
        <v>382</v>
      </c>
      <c r="P124" t="s">
        <v>382</v>
      </c>
      <c r="Q124">
        <v>1000</v>
      </c>
      <c r="X124">
        <v>3.1E-2</v>
      </c>
      <c r="Y124">
        <v>226.66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28</v>
      </c>
      <c r="AG124">
        <v>0</v>
      </c>
      <c r="AH124">
        <v>2</v>
      </c>
      <c r="AI124">
        <v>57037674</v>
      </c>
      <c r="AJ124">
        <v>96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ROW(Source!A65)</f>
        <v>65</v>
      </c>
      <c r="B125">
        <v>57037681</v>
      </c>
      <c r="C125">
        <v>57037670</v>
      </c>
      <c r="D125">
        <v>55481977</v>
      </c>
      <c r="E125">
        <v>1</v>
      </c>
      <c r="F125">
        <v>1</v>
      </c>
      <c r="G125">
        <v>1081</v>
      </c>
      <c r="H125">
        <v>3</v>
      </c>
      <c r="I125" t="s">
        <v>504</v>
      </c>
      <c r="J125" t="s">
        <v>505</v>
      </c>
      <c r="K125" t="s">
        <v>506</v>
      </c>
      <c r="L125">
        <v>1355</v>
      </c>
      <c r="N125">
        <v>1010</v>
      </c>
      <c r="O125" t="s">
        <v>414</v>
      </c>
      <c r="P125" t="s">
        <v>414</v>
      </c>
      <c r="Q125">
        <v>100</v>
      </c>
      <c r="X125">
        <v>0.315</v>
      </c>
      <c r="Y125">
        <v>26.71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28</v>
      </c>
      <c r="AG125">
        <v>0</v>
      </c>
      <c r="AH125">
        <v>2</v>
      </c>
      <c r="AI125">
        <v>57037675</v>
      </c>
      <c r="AJ125">
        <v>97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ROW(Source!A65)</f>
        <v>65</v>
      </c>
      <c r="B126">
        <v>57037682</v>
      </c>
      <c r="C126">
        <v>57037670</v>
      </c>
      <c r="D126">
        <v>55469263</v>
      </c>
      <c r="E126">
        <v>1</v>
      </c>
      <c r="F126">
        <v>1</v>
      </c>
      <c r="G126">
        <v>1081</v>
      </c>
      <c r="H126">
        <v>3</v>
      </c>
      <c r="I126" t="s">
        <v>507</v>
      </c>
      <c r="J126" t="s">
        <v>508</v>
      </c>
      <c r="K126" t="s">
        <v>509</v>
      </c>
      <c r="L126">
        <v>1354</v>
      </c>
      <c r="N126">
        <v>1010</v>
      </c>
      <c r="O126" t="s">
        <v>177</v>
      </c>
      <c r="P126" t="s">
        <v>177</v>
      </c>
      <c r="Q126">
        <v>1</v>
      </c>
      <c r="X126">
        <v>0.55900000000000005</v>
      </c>
      <c r="Y126">
        <v>14.22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28</v>
      </c>
      <c r="AG126">
        <v>0</v>
      </c>
      <c r="AH126">
        <v>2</v>
      </c>
      <c r="AI126">
        <v>57037676</v>
      </c>
      <c r="AJ126">
        <v>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ROW(Source!A65)</f>
        <v>65</v>
      </c>
      <c r="B127">
        <v>57037683</v>
      </c>
      <c r="C127">
        <v>57037670</v>
      </c>
      <c r="D127">
        <v>55428300</v>
      </c>
      <c r="E127">
        <v>1081</v>
      </c>
      <c r="F127">
        <v>1</v>
      </c>
      <c r="G127">
        <v>1081</v>
      </c>
      <c r="H127">
        <v>3</v>
      </c>
      <c r="I127" t="s">
        <v>587</v>
      </c>
      <c r="J127" t="s">
        <v>3</v>
      </c>
      <c r="K127" t="s">
        <v>588</v>
      </c>
      <c r="L127">
        <v>1301</v>
      </c>
      <c r="N127">
        <v>1003</v>
      </c>
      <c r="O127" t="s">
        <v>371</v>
      </c>
      <c r="P127" t="s">
        <v>371</v>
      </c>
      <c r="Q127">
        <v>1</v>
      </c>
      <c r="X127">
        <v>102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28</v>
      </c>
      <c r="AG127">
        <v>0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ROW(Source!A65)</f>
        <v>65</v>
      </c>
      <c r="B128">
        <v>57037684</v>
      </c>
      <c r="C128">
        <v>57037670</v>
      </c>
      <c r="D128">
        <v>55433559</v>
      </c>
      <c r="E128">
        <v>1081</v>
      </c>
      <c r="F128">
        <v>1</v>
      </c>
      <c r="G128">
        <v>1081</v>
      </c>
      <c r="H128">
        <v>3</v>
      </c>
      <c r="I128" t="s">
        <v>589</v>
      </c>
      <c r="J128" t="s">
        <v>3</v>
      </c>
      <c r="K128" t="s">
        <v>590</v>
      </c>
      <c r="L128">
        <v>1356</v>
      </c>
      <c r="N128">
        <v>1010</v>
      </c>
      <c r="O128" t="s">
        <v>382</v>
      </c>
      <c r="P128" t="s">
        <v>382</v>
      </c>
      <c r="Q128">
        <v>1000</v>
      </c>
      <c r="X128">
        <v>0.23799999999999999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28</v>
      </c>
      <c r="AG128">
        <v>0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ROW(Source!A65)</f>
        <v>65</v>
      </c>
      <c r="B129">
        <v>57037685</v>
      </c>
      <c r="C129">
        <v>57037670</v>
      </c>
      <c r="D129">
        <v>55438947</v>
      </c>
      <c r="E129">
        <v>1081</v>
      </c>
      <c r="F129">
        <v>1</v>
      </c>
      <c r="G129">
        <v>1081</v>
      </c>
      <c r="H129">
        <v>3</v>
      </c>
      <c r="I129" t="s">
        <v>591</v>
      </c>
      <c r="J129" t="s">
        <v>3</v>
      </c>
      <c r="K129" t="s">
        <v>592</v>
      </c>
      <c r="L129">
        <v>1303</v>
      </c>
      <c r="N129">
        <v>1003</v>
      </c>
      <c r="O129" t="s">
        <v>485</v>
      </c>
      <c r="P129" t="s">
        <v>485</v>
      </c>
      <c r="Q129">
        <v>1000</v>
      </c>
      <c r="X129">
        <v>0.10199999999999999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28</v>
      </c>
      <c r="AG129">
        <v>0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ROW(Source!A65)</f>
        <v>65</v>
      </c>
      <c r="B130">
        <v>57037686</v>
      </c>
      <c r="C130">
        <v>57037670</v>
      </c>
      <c r="D130">
        <v>55447796</v>
      </c>
      <c r="E130">
        <v>1081</v>
      </c>
      <c r="F130">
        <v>1</v>
      </c>
      <c r="G130">
        <v>1081</v>
      </c>
      <c r="H130">
        <v>3</v>
      </c>
      <c r="I130" t="s">
        <v>593</v>
      </c>
      <c r="J130" t="s">
        <v>3</v>
      </c>
      <c r="K130" t="s">
        <v>594</v>
      </c>
      <c r="L130">
        <v>1355</v>
      </c>
      <c r="N130">
        <v>1010</v>
      </c>
      <c r="O130" t="s">
        <v>414</v>
      </c>
      <c r="P130" t="s">
        <v>414</v>
      </c>
      <c r="Q130">
        <v>100</v>
      </c>
      <c r="X130">
        <v>4.71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28</v>
      </c>
      <c r="AG130">
        <v>0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ROW(Source!A66)</f>
        <v>66</v>
      </c>
      <c r="B131">
        <v>57035442</v>
      </c>
      <c r="C131">
        <v>57035439</v>
      </c>
      <c r="D131">
        <v>55424304</v>
      </c>
      <c r="E131">
        <v>1081</v>
      </c>
      <c r="F131">
        <v>1</v>
      </c>
      <c r="G131">
        <v>1081</v>
      </c>
      <c r="H131">
        <v>1</v>
      </c>
      <c r="I131" t="s">
        <v>459</v>
      </c>
      <c r="J131" t="s">
        <v>3</v>
      </c>
      <c r="K131" t="s">
        <v>460</v>
      </c>
      <c r="L131">
        <v>1191</v>
      </c>
      <c r="N131">
        <v>1013</v>
      </c>
      <c r="O131" t="s">
        <v>461</v>
      </c>
      <c r="P131" t="s">
        <v>461</v>
      </c>
      <c r="Q131">
        <v>1</v>
      </c>
      <c r="X131">
        <v>30.44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105</v>
      </c>
      <c r="AG131">
        <v>36.527999999999999</v>
      </c>
      <c r="AH131">
        <v>2</v>
      </c>
      <c r="AI131">
        <v>57035440</v>
      </c>
      <c r="AJ131">
        <v>99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ROW(Source!A66)</f>
        <v>66</v>
      </c>
      <c r="B132">
        <v>57035443</v>
      </c>
      <c r="C132">
        <v>57035439</v>
      </c>
      <c r="D132">
        <v>55424288</v>
      </c>
      <c r="E132">
        <v>1081</v>
      </c>
      <c r="F132">
        <v>1</v>
      </c>
      <c r="G132">
        <v>1081</v>
      </c>
      <c r="H132">
        <v>3</v>
      </c>
      <c r="I132" t="s">
        <v>510</v>
      </c>
      <c r="J132" t="s">
        <v>3</v>
      </c>
      <c r="K132" t="s">
        <v>511</v>
      </c>
      <c r="L132">
        <v>1348</v>
      </c>
      <c r="N132">
        <v>1009</v>
      </c>
      <c r="O132" t="s">
        <v>299</v>
      </c>
      <c r="P132" t="s">
        <v>299</v>
      </c>
      <c r="Q132">
        <v>1000</v>
      </c>
      <c r="X132">
        <v>0.247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104</v>
      </c>
      <c r="AG132">
        <v>0.247</v>
      </c>
      <c r="AH132">
        <v>2</v>
      </c>
      <c r="AI132">
        <v>57035441</v>
      </c>
      <c r="AJ132">
        <v>100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ROW(Source!A67)</f>
        <v>67</v>
      </c>
      <c r="B133">
        <v>57035442</v>
      </c>
      <c r="C133">
        <v>57035439</v>
      </c>
      <c r="D133">
        <v>55424304</v>
      </c>
      <c r="E133">
        <v>1081</v>
      </c>
      <c r="F133">
        <v>1</v>
      </c>
      <c r="G133">
        <v>1081</v>
      </c>
      <c r="H133">
        <v>1</v>
      </c>
      <c r="I133" t="s">
        <v>459</v>
      </c>
      <c r="J133" t="s">
        <v>3</v>
      </c>
      <c r="K133" t="s">
        <v>460</v>
      </c>
      <c r="L133">
        <v>1191</v>
      </c>
      <c r="N133">
        <v>1013</v>
      </c>
      <c r="O133" t="s">
        <v>461</v>
      </c>
      <c r="P133" t="s">
        <v>461</v>
      </c>
      <c r="Q133">
        <v>1</v>
      </c>
      <c r="X133">
        <v>30.44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105</v>
      </c>
      <c r="AG133">
        <v>36.527999999999999</v>
      </c>
      <c r="AH133">
        <v>2</v>
      </c>
      <c r="AI133">
        <v>57035440</v>
      </c>
      <c r="AJ133">
        <v>101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ROW(Source!A67)</f>
        <v>67</v>
      </c>
      <c r="B134">
        <v>57035443</v>
      </c>
      <c r="C134">
        <v>57035439</v>
      </c>
      <c r="D134">
        <v>55424288</v>
      </c>
      <c r="E134">
        <v>1081</v>
      </c>
      <c r="F134">
        <v>1</v>
      </c>
      <c r="G134">
        <v>1081</v>
      </c>
      <c r="H134">
        <v>3</v>
      </c>
      <c r="I134" t="s">
        <v>510</v>
      </c>
      <c r="J134" t="s">
        <v>3</v>
      </c>
      <c r="K134" t="s">
        <v>511</v>
      </c>
      <c r="L134">
        <v>1348</v>
      </c>
      <c r="N134">
        <v>1009</v>
      </c>
      <c r="O134" t="s">
        <v>299</v>
      </c>
      <c r="P134" t="s">
        <v>299</v>
      </c>
      <c r="Q134">
        <v>1000</v>
      </c>
      <c r="X134">
        <v>0.247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104</v>
      </c>
      <c r="AG134">
        <v>0.247</v>
      </c>
      <c r="AH134">
        <v>2</v>
      </c>
      <c r="AI134">
        <v>57035441</v>
      </c>
      <c r="AJ134">
        <v>102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ROW(Source!A68)</f>
        <v>68</v>
      </c>
      <c r="B135">
        <v>57035446</v>
      </c>
      <c r="C135">
        <v>57035444</v>
      </c>
      <c r="D135">
        <v>55424304</v>
      </c>
      <c r="E135">
        <v>1081</v>
      </c>
      <c r="F135">
        <v>1</v>
      </c>
      <c r="G135">
        <v>1081</v>
      </c>
      <c r="H135">
        <v>1</v>
      </c>
      <c r="I135" t="s">
        <v>459</v>
      </c>
      <c r="J135" t="s">
        <v>3</v>
      </c>
      <c r="K135" t="s">
        <v>460</v>
      </c>
      <c r="L135">
        <v>1191</v>
      </c>
      <c r="N135">
        <v>1013</v>
      </c>
      <c r="O135" t="s">
        <v>461</v>
      </c>
      <c r="P135" t="s">
        <v>461</v>
      </c>
      <c r="Q135">
        <v>1</v>
      </c>
      <c r="X135">
        <v>9.64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 t="s">
        <v>105</v>
      </c>
      <c r="AG135">
        <v>11.568</v>
      </c>
      <c r="AH135">
        <v>2</v>
      </c>
      <c r="AI135">
        <v>57035445</v>
      </c>
      <c r="AJ135">
        <v>103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ROW(Source!A69)</f>
        <v>69</v>
      </c>
      <c r="B136">
        <v>57035446</v>
      </c>
      <c r="C136">
        <v>57035444</v>
      </c>
      <c r="D136">
        <v>55424304</v>
      </c>
      <c r="E136">
        <v>1081</v>
      </c>
      <c r="F136">
        <v>1</v>
      </c>
      <c r="G136">
        <v>1081</v>
      </c>
      <c r="H136">
        <v>1</v>
      </c>
      <c r="I136" t="s">
        <v>459</v>
      </c>
      <c r="J136" t="s">
        <v>3</v>
      </c>
      <c r="K136" t="s">
        <v>460</v>
      </c>
      <c r="L136">
        <v>1191</v>
      </c>
      <c r="N136">
        <v>1013</v>
      </c>
      <c r="O136" t="s">
        <v>461</v>
      </c>
      <c r="P136" t="s">
        <v>461</v>
      </c>
      <c r="Q136">
        <v>1</v>
      </c>
      <c r="X136">
        <v>9.64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1</v>
      </c>
      <c r="AF136" t="s">
        <v>105</v>
      </c>
      <c r="AG136">
        <v>11.568</v>
      </c>
      <c r="AH136">
        <v>2</v>
      </c>
      <c r="AI136">
        <v>57035445</v>
      </c>
      <c r="AJ136">
        <v>104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ROW(Source!A70)</f>
        <v>70</v>
      </c>
      <c r="B137">
        <v>57037690</v>
      </c>
      <c r="C137">
        <v>57037687</v>
      </c>
      <c r="D137">
        <v>55424304</v>
      </c>
      <c r="E137">
        <v>1081</v>
      </c>
      <c r="F137">
        <v>1</v>
      </c>
      <c r="G137">
        <v>1081</v>
      </c>
      <c r="H137">
        <v>1</v>
      </c>
      <c r="I137" t="s">
        <v>459</v>
      </c>
      <c r="J137" t="s">
        <v>3</v>
      </c>
      <c r="K137" t="s">
        <v>460</v>
      </c>
      <c r="L137">
        <v>1191</v>
      </c>
      <c r="N137">
        <v>1013</v>
      </c>
      <c r="O137" t="s">
        <v>461</v>
      </c>
      <c r="P137" t="s">
        <v>461</v>
      </c>
      <c r="Q137">
        <v>1</v>
      </c>
      <c r="X137">
        <v>2.25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105</v>
      </c>
      <c r="AG137">
        <v>2.6999999999999997</v>
      </c>
      <c r="AH137">
        <v>2</v>
      </c>
      <c r="AI137">
        <v>57037688</v>
      </c>
      <c r="AJ137">
        <v>105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ROW(Source!A70)</f>
        <v>70</v>
      </c>
      <c r="B138">
        <v>57037691</v>
      </c>
      <c r="C138">
        <v>57037687</v>
      </c>
      <c r="D138">
        <v>55424288</v>
      </c>
      <c r="E138">
        <v>1081</v>
      </c>
      <c r="F138">
        <v>1</v>
      </c>
      <c r="G138">
        <v>1081</v>
      </c>
      <c r="H138">
        <v>3</v>
      </c>
      <c r="I138" t="s">
        <v>510</v>
      </c>
      <c r="J138" t="s">
        <v>3</v>
      </c>
      <c r="K138" t="s">
        <v>511</v>
      </c>
      <c r="L138">
        <v>1348</v>
      </c>
      <c r="N138">
        <v>1009</v>
      </c>
      <c r="O138" t="s">
        <v>299</v>
      </c>
      <c r="P138" t="s">
        <v>299</v>
      </c>
      <c r="Q138">
        <v>1000</v>
      </c>
      <c r="X138">
        <v>7.0000000000000001E-3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104</v>
      </c>
      <c r="AG138">
        <v>7.0000000000000001E-3</v>
      </c>
      <c r="AH138">
        <v>2</v>
      </c>
      <c r="AI138">
        <v>57037689</v>
      </c>
      <c r="AJ138">
        <v>106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ROW(Source!A71)</f>
        <v>71</v>
      </c>
      <c r="B139">
        <v>57037690</v>
      </c>
      <c r="C139">
        <v>57037687</v>
      </c>
      <c r="D139">
        <v>55424304</v>
      </c>
      <c r="E139">
        <v>1081</v>
      </c>
      <c r="F139">
        <v>1</v>
      </c>
      <c r="G139">
        <v>1081</v>
      </c>
      <c r="H139">
        <v>1</v>
      </c>
      <c r="I139" t="s">
        <v>459</v>
      </c>
      <c r="J139" t="s">
        <v>3</v>
      </c>
      <c r="K139" t="s">
        <v>460</v>
      </c>
      <c r="L139">
        <v>1191</v>
      </c>
      <c r="N139">
        <v>1013</v>
      </c>
      <c r="O139" t="s">
        <v>461</v>
      </c>
      <c r="P139" t="s">
        <v>461</v>
      </c>
      <c r="Q139">
        <v>1</v>
      </c>
      <c r="X139">
        <v>2.25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 t="s">
        <v>105</v>
      </c>
      <c r="AG139">
        <v>2.6999999999999997</v>
      </c>
      <c r="AH139">
        <v>2</v>
      </c>
      <c r="AI139">
        <v>57037688</v>
      </c>
      <c r="AJ139">
        <v>107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ROW(Source!A71)</f>
        <v>71</v>
      </c>
      <c r="B140">
        <v>57037691</v>
      </c>
      <c r="C140">
        <v>57037687</v>
      </c>
      <c r="D140">
        <v>55424288</v>
      </c>
      <c r="E140">
        <v>1081</v>
      </c>
      <c r="F140">
        <v>1</v>
      </c>
      <c r="G140">
        <v>1081</v>
      </c>
      <c r="H140">
        <v>3</v>
      </c>
      <c r="I140" t="s">
        <v>510</v>
      </c>
      <c r="J140" t="s">
        <v>3</v>
      </c>
      <c r="K140" t="s">
        <v>511</v>
      </c>
      <c r="L140">
        <v>1348</v>
      </c>
      <c r="N140">
        <v>1009</v>
      </c>
      <c r="O140" t="s">
        <v>299</v>
      </c>
      <c r="P140" t="s">
        <v>299</v>
      </c>
      <c r="Q140">
        <v>1000</v>
      </c>
      <c r="X140">
        <v>7.0000000000000001E-3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104</v>
      </c>
      <c r="AG140">
        <v>7.0000000000000001E-3</v>
      </c>
      <c r="AH140">
        <v>2</v>
      </c>
      <c r="AI140">
        <v>57037689</v>
      </c>
      <c r="AJ140">
        <v>108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ROW(Source!A107)</f>
        <v>107</v>
      </c>
      <c r="B141">
        <v>57035045</v>
      </c>
      <c r="C141">
        <v>57035041</v>
      </c>
      <c r="D141">
        <v>55424304</v>
      </c>
      <c r="E141">
        <v>1081</v>
      </c>
      <c r="F141">
        <v>1</v>
      </c>
      <c r="G141">
        <v>1081</v>
      </c>
      <c r="H141">
        <v>1</v>
      </c>
      <c r="I141" t="s">
        <v>459</v>
      </c>
      <c r="J141" t="s">
        <v>3</v>
      </c>
      <c r="K141" t="s">
        <v>460</v>
      </c>
      <c r="L141">
        <v>1191</v>
      </c>
      <c r="N141">
        <v>1013</v>
      </c>
      <c r="O141" t="s">
        <v>461</v>
      </c>
      <c r="P141" t="s">
        <v>461</v>
      </c>
      <c r="Q141">
        <v>1</v>
      </c>
      <c r="X141">
        <v>3.09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105</v>
      </c>
      <c r="AG141">
        <v>3.7079999999999997</v>
      </c>
      <c r="AH141">
        <v>2</v>
      </c>
      <c r="AI141">
        <v>57035042</v>
      </c>
      <c r="AJ141">
        <v>109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ROW(Source!A107)</f>
        <v>107</v>
      </c>
      <c r="B142">
        <v>57035046</v>
      </c>
      <c r="C142">
        <v>57035041</v>
      </c>
      <c r="D142">
        <v>55490209</v>
      </c>
      <c r="E142">
        <v>1</v>
      </c>
      <c r="F142">
        <v>1</v>
      </c>
      <c r="G142">
        <v>1081</v>
      </c>
      <c r="H142">
        <v>2</v>
      </c>
      <c r="I142" t="s">
        <v>462</v>
      </c>
      <c r="J142" t="s">
        <v>463</v>
      </c>
      <c r="K142" t="s">
        <v>464</v>
      </c>
      <c r="L142">
        <v>1368</v>
      </c>
      <c r="N142">
        <v>1011</v>
      </c>
      <c r="O142" t="s">
        <v>465</v>
      </c>
      <c r="P142" t="s">
        <v>465</v>
      </c>
      <c r="Q142">
        <v>1</v>
      </c>
      <c r="X142">
        <v>0.32</v>
      </c>
      <c r="Y142">
        <v>0</v>
      </c>
      <c r="Z142">
        <v>83.1</v>
      </c>
      <c r="AA142">
        <v>12.62</v>
      </c>
      <c r="AB142">
        <v>0</v>
      </c>
      <c r="AC142">
        <v>0</v>
      </c>
      <c r="AD142">
        <v>1</v>
      </c>
      <c r="AE142">
        <v>0</v>
      </c>
      <c r="AF142" t="s">
        <v>105</v>
      </c>
      <c r="AG142">
        <v>0.38400000000000001</v>
      </c>
      <c r="AH142">
        <v>2</v>
      </c>
      <c r="AI142">
        <v>57035043</v>
      </c>
      <c r="AJ142">
        <v>110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ROW(Source!A107)</f>
        <v>107</v>
      </c>
      <c r="B143">
        <v>57035047</v>
      </c>
      <c r="C143">
        <v>57035041</v>
      </c>
      <c r="D143">
        <v>55440932</v>
      </c>
      <c r="E143">
        <v>1081</v>
      </c>
      <c r="F143">
        <v>1</v>
      </c>
      <c r="G143">
        <v>1081</v>
      </c>
      <c r="H143">
        <v>3</v>
      </c>
      <c r="I143" t="s">
        <v>569</v>
      </c>
      <c r="J143" t="s">
        <v>3</v>
      </c>
      <c r="K143" t="s">
        <v>570</v>
      </c>
      <c r="L143">
        <v>1354</v>
      </c>
      <c r="N143">
        <v>1010</v>
      </c>
      <c r="O143" t="s">
        <v>177</v>
      </c>
      <c r="P143" t="s">
        <v>177</v>
      </c>
      <c r="Q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104</v>
      </c>
      <c r="AG143">
        <v>1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ROW(Source!A108)</f>
        <v>108</v>
      </c>
      <c r="B144">
        <v>57035045</v>
      </c>
      <c r="C144">
        <v>57035041</v>
      </c>
      <c r="D144">
        <v>55424304</v>
      </c>
      <c r="E144">
        <v>1081</v>
      </c>
      <c r="F144">
        <v>1</v>
      </c>
      <c r="G144">
        <v>1081</v>
      </c>
      <c r="H144">
        <v>1</v>
      </c>
      <c r="I144" t="s">
        <v>459</v>
      </c>
      <c r="J144" t="s">
        <v>3</v>
      </c>
      <c r="K144" t="s">
        <v>460</v>
      </c>
      <c r="L144">
        <v>1191</v>
      </c>
      <c r="N144">
        <v>1013</v>
      </c>
      <c r="O144" t="s">
        <v>461</v>
      </c>
      <c r="P144" t="s">
        <v>461</v>
      </c>
      <c r="Q144">
        <v>1</v>
      </c>
      <c r="X144">
        <v>3.09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 t="s">
        <v>105</v>
      </c>
      <c r="AG144">
        <v>3.7079999999999997</v>
      </c>
      <c r="AH144">
        <v>2</v>
      </c>
      <c r="AI144">
        <v>57035042</v>
      </c>
      <c r="AJ144">
        <v>112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ROW(Source!A108)</f>
        <v>108</v>
      </c>
      <c r="B145">
        <v>57035046</v>
      </c>
      <c r="C145">
        <v>57035041</v>
      </c>
      <c r="D145">
        <v>55490209</v>
      </c>
      <c r="E145">
        <v>1</v>
      </c>
      <c r="F145">
        <v>1</v>
      </c>
      <c r="G145">
        <v>1081</v>
      </c>
      <c r="H145">
        <v>2</v>
      </c>
      <c r="I145" t="s">
        <v>462</v>
      </c>
      <c r="J145" t="s">
        <v>463</v>
      </c>
      <c r="K145" t="s">
        <v>464</v>
      </c>
      <c r="L145">
        <v>1368</v>
      </c>
      <c r="N145">
        <v>1011</v>
      </c>
      <c r="O145" t="s">
        <v>465</v>
      </c>
      <c r="P145" t="s">
        <v>465</v>
      </c>
      <c r="Q145">
        <v>1</v>
      </c>
      <c r="X145">
        <v>0.32</v>
      </c>
      <c r="Y145">
        <v>0</v>
      </c>
      <c r="Z145">
        <v>83.1</v>
      </c>
      <c r="AA145">
        <v>12.62</v>
      </c>
      <c r="AB145">
        <v>0</v>
      </c>
      <c r="AC145">
        <v>0</v>
      </c>
      <c r="AD145">
        <v>1</v>
      </c>
      <c r="AE145">
        <v>0</v>
      </c>
      <c r="AF145" t="s">
        <v>105</v>
      </c>
      <c r="AG145">
        <v>0.38400000000000001</v>
      </c>
      <c r="AH145">
        <v>2</v>
      </c>
      <c r="AI145">
        <v>57035043</v>
      </c>
      <c r="AJ145">
        <v>113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ROW(Source!A108)</f>
        <v>108</v>
      </c>
      <c r="B146">
        <v>57035047</v>
      </c>
      <c r="C146">
        <v>57035041</v>
      </c>
      <c r="D146">
        <v>55440932</v>
      </c>
      <c r="E146">
        <v>1081</v>
      </c>
      <c r="F146">
        <v>1</v>
      </c>
      <c r="G146">
        <v>1081</v>
      </c>
      <c r="H146">
        <v>3</v>
      </c>
      <c r="I146" t="s">
        <v>569</v>
      </c>
      <c r="J146" t="s">
        <v>3</v>
      </c>
      <c r="K146" t="s">
        <v>570</v>
      </c>
      <c r="L146">
        <v>1354</v>
      </c>
      <c r="N146">
        <v>1010</v>
      </c>
      <c r="O146" t="s">
        <v>177</v>
      </c>
      <c r="P146" t="s">
        <v>177</v>
      </c>
      <c r="Q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104</v>
      </c>
      <c r="AG146">
        <v>1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ROW(Source!A146)</f>
        <v>146</v>
      </c>
      <c r="B147">
        <v>57036070</v>
      </c>
      <c r="C147">
        <v>57036069</v>
      </c>
      <c r="D147">
        <v>55424304</v>
      </c>
      <c r="E147">
        <v>1081</v>
      </c>
      <c r="F147">
        <v>1</v>
      </c>
      <c r="G147">
        <v>1081</v>
      </c>
      <c r="H147">
        <v>1</v>
      </c>
      <c r="I147" t="s">
        <v>459</v>
      </c>
      <c r="J147" t="s">
        <v>3</v>
      </c>
      <c r="K147" t="s">
        <v>460</v>
      </c>
      <c r="L147">
        <v>1191</v>
      </c>
      <c r="N147">
        <v>1013</v>
      </c>
      <c r="O147" t="s">
        <v>461</v>
      </c>
      <c r="P147" t="s">
        <v>461</v>
      </c>
      <c r="Q147">
        <v>1</v>
      </c>
      <c r="X147">
        <v>7.2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1</v>
      </c>
      <c r="AF147" t="s">
        <v>105</v>
      </c>
      <c r="AG147">
        <v>8.64</v>
      </c>
      <c r="AH147">
        <v>2</v>
      </c>
      <c r="AI147">
        <v>57036070</v>
      </c>
      <c r="AJ147">
        <v>115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ROW(Source!A147)</f>
        <v>147</v>
      </c>
      <c r="B148">
        <v>57036070</v>
      </c>
      <c r="C148">
        <v>57036069</v>
      </c>
      <c r="D148">
        <v>55424304</v>
      </c>
      <c r="E148">
        <v>1081</v>
      </c>
      <c r="F148">
        <v>1</v>
      </c>
      <c r="G148">
        <v>1081</v>
      </c>
      <c r="H148">
        <v>1</v>
      </c>
      <c r="I148" t="s">
        <v>459</v>
      </c>
      <c r="J148" t="s">
        <v>3</v>
      </c>
      <c r="K148" t="s">
        <v>460</v>
      </c>
      <c r="L148">
        <v>1191</v>
      </c>
      <c r="N148">
        <v>1013</v>
      </c>
      <c r="O148" t="s">
        <v>461</v>
      </c>
      <c r="P148" t="s">
        <v>461</v>
      </c>
      <c r="Q148">
        <v>1</v>
      </c>
      <c r="X148">
        <v>7.2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1</v>
      </c>
      <c r="AF148" t="s">
        <v>105</v>
      </c>
      <c r="AG148">
        <v>8.64</v>
      </c>
      <c r="AH148">
        <v>2</v>
      </c>
      <c r="AI148">
        <v>57036070</v>
      </c>
      <c r="AJ148">
        <v>116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ROW(Source!A150)</f>
        <v>150</v>
      </c>
      <c r="B149">
        <v>57035052</v>
      </c>
      <c r="C149">
        <v>57035049</v>
      </c>
      <c r="D149">
        <v>55424304</v>
      </c>
      <c r="E149">
        <v>1081</v>
      </c>
      <c r="F149">
        <v>1</v>
      </c>
      <c r="G149">
        <v>1081</v>
      </c>
      <c r="H149">
        <v>1</v>
      </c>
      <c r="I149" t="s">
        <v>459</v>
      </c>
      <c r="J149" t="s">
        <v>3</v>
      </c>
      <c r="K149" t="s">
        <v>460</v>
      </c>
      <c r="L149">
        <v>1191</v>
      </c>
      <c r="N149">
        <v>1013</v>
      </c>
      <c r="O149" t="s">
        <v>461</v>
      </c>
      <c r="P149" t="s">
        <v>461</v>
      </c>
      <c r="Q149">
        <v>1</v>
      </c>
      <c r="X149">
        <v>11.7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 t="s">
        <v>105</v>
      </c>
      <c r="AG149">
        <v>14.04</v>
      </c>
      <c r="AH149">
        <v>2</v>
      </c>
      <c r="AI149">
        <v>57035050</v>
      </c>
      <c r="AJ149">
        <v>117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ROW(Source!A151)</f>
        <v>151</v>
      </c>
      <c r="B150">
        <v>57035052</v>
      </c>
      <c r="C150">
        <v>57035049</v>
      </c>
      <c r="D150">
        <v>55424304</v>
      </c>
      <c r="E150">
        <v>1081</v>
      </c>
      <c r="F150">
        <v>1</v>
      </c>
      <c r="G150">
        <v>1081</v>
      </c>
      <c r="H150">
        <v>1</v>
      </c>
      <c r="I150" t="s">
        <v>459</v>
      </c>
      <c r="J150" t="s">
        <v>3</v>
      </c>
      <c r="K150" t="s">
        <v>460</v>
      </c>
      <c r="L150">
        <v>1191</v>
      </c>
      <c r="N150">
        <v>1013</v>
      </c>
      <c r="O150" t="s">
        <v>461</v>
      </c>
      <c r="P150" t="s">
        <v>461</v>
      </c>
      <c r="Q150">
        <v>1</v>
      </c>
      <c r="X150">
        <v>11.7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 t="s">
        <v>105</v>
      </c>
      <c r="AG150">
        <v>14.04</v>
      </c>
      <c r="AH150">
        <v>2</v>
      </c>
      <c r="AI150">
        <v>57035050</v>
      </c>
      <c r="AJ150">
        <v>119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ROW(Source!A154)</f>
        <v>154</v>
      </c>
      <c r="B151">
        <v>57035060</v>
      </c>
      <c r="C151">
        <v>57035054</v>
      </c>
      <c r="D151">
        <v>55424304</v>
      </c>
      <c r="E151">
        <v>1081</v>
      </c>
      <c r="F151">
        <v>1</v>
      </c>
      <c r="G151">
        <v>1081</v>
      </c>
      <c r="H151">
        <v>1</v>
      </c>
      <c r="I151" t="s">
        <v>459</v>
      </c>
      <c r="J151" t="s">
        <v>3</v>
      </c>
      <c r="K151" t="s">
        <v>460</v>
      </c>
      <c r="L151">
        <v>1191</v>
      </c>
      <c r="N151">
        <v>1013</v>
      </c>
      <c r="O151" t="s">
        <v>461</v>
      </c>
      <c r="P151" t="s">
        <v>461</v>
      </c>
      <c r="Q151">
        <v>1</v>
      </c>
      <c r="X151">
        <v>2.65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105</v>
      </c>
      <c r="AG151">
        <v>3.1799999999999997</v>
      </c>
      <c r="AH151">
        <v>2</v>
      </c>
      <c r="AI151">
        <v>57035055</v>
      </c>
      <c r="AJ151">
        <v>121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ROW(Source!A154)</f>
        <v>154</v>
      </c>
      <c r="B152">
        <v>57035061</v>
      </c>
      <c r="C152">
        <v>57035054</v>
      </c>
      <c r="D152">
        <v>55461074</v>
      </c>
      <c r="E152">
        <v>1</v>
      </c>
      <c r="F152">
        <v>1</v>
      </c>
      <c r="G152">
        <v>1081</v>
      </c>
      <c r="H152">
        <v>3</v>
      </c>
      <c r="I152" t="s">
        <v>467</v>
      </c>
      <c r="J152" t="s">
        <v>468</v>
      </c>
      <c r="K152" t="s">
        <v>469</v>
      </c>
      <c r="L152">
        <v>1346</v>
      </c>
      <c r="N152">
        <v>1009</v>
      </c>
      <c r="O152" t="s">
        <v>433</v>
      </c>
      <c r="P152" t="s">
        <v>433</v>
      </c>
      <c r="Q152">
        <v>1</v>
      </c>
      <c r="X152">
        <v>6.2700000000000004E-3</v>
      </c>
      <c r="Y152">
        <v>27.62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104</v>
      </c>
      <c r="AG152">
        <v>6.2700000000000004E-3</v>
      </c>
      <c r="AH152">
        <v>2</v>
      </c>
      <c r="AI152">
        <v>57035056</v>
      </c>
      <c r="AJ152">
        <v>122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ROW(Source!A154)</f>
        <v>154</v>
      </c>
      <c r="B153">
        <v>57035062</v>
      </c>
      <c r="C153">
        <v>57035054</v>
      </c>
      <c r="D153">
        <v>55459793</v>
      </c>
      <c r="E153">
        <v>1</v>
      </c>
      <c r="F153">
        <v>1</v>
      </c>
      <c r="G153">
        <v>1081</v>
      </c>
      <c r="H153">
        <v>3</v>
      </c>
      <c r="I153" t="s">
        <v>470</v>
      </c>
      <c r="J153" t="s">
        <v>471</v>
      </c>
      <c r="K153" t="s">
        <v>472</v>
      </c>
      <c r="L153">
        <v>1348</v>
      </c>
      <c r="N153">
        <v>1009</v>
      </c>
      <c r="O153" t="s">
        <v>299</v>
      </c>
      <c r="P153" t="s">
        <v>299</v>
      </c>
      <c r="Q153">
        <v>1000</v>
      </c>
      <c r="X153">
        <v>1.0000000000000001E-5</v>
      </c>
      <c r="Y153">
        <v>64123.05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104</v>
      </c>
      <c r="AG153">
        <v>1.0000000000000001E-5</v>
      </c>
      <c r="AH153">
        <v>2</v>
      </c>
      <c r="AI153">
        <v>57035057</v>
      </c>
      <c r="AJ153">
        <v>123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ROW(Source!A154)</f>
        <v>154</v>
      </c>
      <c r="B154">
        <v>57035063</v>
      </c>
      <c r="C154">
        <v>57035054</v>
      </c>
      <c r="D154">
        <v>55469253</v>
      </c>
      <c r="E154">
        <v>1</v>
      </c>
      <c r="F154">
        <v>1</v>
      </c>
      <c r="G154">
        <v>1081</v>
      </c>
      <c r="H154">
        <v>3</v>
      </c>
      <c r="I154" t="s">
        <v>473</v>
      </c>
      <c r="J154" t="s">
        <v>474</v>
      </c>
      <c r="K154" t="s">
        <v>475</v>
      </c>
      <c r="L154">
        <v>1354</v>
      </c>
      <c r="N154">
        <v>1010</v>
      </c>
      <c r="O154" t="s">
        <v>177</v>
      </c>
      <c r="P154" t="s">
        <v>177</v>
      </c>
      <c r="Q154">
        <v>1</v>
      </c>
      <c r="X154">
        <v>0.1</v>
      </c>
      <c r="Y154">
        <v>15.25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104</v>
      </c>
      <c r="AG154">
        <v>0.1</v>
      </c>
      <c r="AH154">
        <v>2</v>
      </c>
      <c r="AI154">
        <v>57035058</v>
      </c>
      <c r="AJ154">
        <v>124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ROW(Source!A154)</f>
        <v>154</v>
      </c>
      <c r="B155">
        <v>57035064</v>
      </c>
      <c r="C155">
        <v>57035054</v>
      </c>
      <c r="D155">
        <v>55441122</v>
      </c>
      <c r="E155">
        <v>1081</v>
      </c>
      <c r="F155">
        <v>1</v>
      </c>
      <c r="G155">
        <v>1081</v>
      </c>
      <c r="H155">
        <v>3</v>
      </c>
      <c r="I155" t="s">
        <v>571</v>
      </c>
      <c r="J155" t="s">
        <v>3</v>
      </c>
      <c r="K155" t="s">
        <v>572</v>
      </c>
      <c r="L155">
        <v>1354</v>
      </c>
      <c r="N155">
        <v>1010</v>
      </c>
      <c r="O155" t="s">
        <v>177</v>
      </c>
      <c r="P155" t="s">
        <v>177</v>
      </c>
      <c r="Q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104</v>
      </c>
      <c r="AG155">
        <v>1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ROW(Source!A155)</f>
        <v>155</v>
      </c>
      <c r="B156">
        <v>57035060</v>
      </c>
      <c r="C156">
        <v>57035054</v>
      </c>
      <c r="D156">
        <v>55424304</v>
      </c>
      <c r="E156">
        <v>1081</v>
      </c>
      <c r="F156">
        <v>1</v>
      </c>
      <c r="G156">
        <v>1081</v>
      </c>
      <c r="H156">
        <v>1</v>
      </c>
      <c r="I156" t="s">
        <v>459</v>
      </c>
      <c r="J156" t="s">
        <v>3</v>
      </c>
      <c r="K156" t="s">
        <v>460</v>
      </c>
      <c r="L156">
        <v>1191</v>
      </c>
      <c r="N156">
        <v>1013</v>
      </c>
      <c r="O156" t="s">
        <v>461</v>
      </c>
      <c r="P156" t="s">
        <v>461</v>
      </c>
      <c r="Q156">
        <v>1</v>
      </c>
      <c r="X156">
        <v>2.65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 t="s">
        <v>105</v>
      </c>
      <c r="AG156">
        <v>3.1799999999999997</v>
      </c>
      <c r="AH156">
        <v>2</v>
      </c>
      <c r="AI156">
        <v>57035055</v>
      </c>
      <c r="AJ156">
        <v>126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ROW(Source!A155)</f>
        <v>155</v>
      </c>
      <c r="B157">
        <v>57035061</v>
      </c>
      <c r="C157">
        <v>57035054</v>
      </c>
      <c r="D157">
        <v>55461074</v>
      </c>
      <c r="E157">
        <v>1</v>
      </c>
      <c r="F157">
        <v>1</v>
      </c>
      <c r="G157">
        <v>1081</v>
      </c>
      <c r="H157">
        <v>3</v>
      </c>
      <c r="I157" t="s">
        <v>467</v>
      </c>
      <c r="J157" t="s">
        <v>468</v>
      </c>
      <c r="K157" t="s">
        <v>469</v>
      </c>
      <c r="L157">
        <v>1346</v>
      </c>
      <c r="N157">
        <v>1009</v>
      </c>
      <c r="O157" t="s">
        <v>433</v>
      </c>
      <c r="P157" t="s">
        <v>433</v>
      </c>
      <c r="Q157">
        <v>1</v>
      </c>
      <c r="X157">
        <v>6.2700000000000004E-3</v>
      </c>
      <c r="Y157">
        <v>27.62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104</v>
      </c>
      <c r="AG157">
        <v>6.2700000000000004E-3</v>
      </c>
      <c r="AH157">
        <v>2</v>
      </c>
      <c r="AI157">
        <v>57035056</v>
      </c>
      <c r="AJ157">
        <v>127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ROW(Source!A155)</f>
        <v>155</v>
      </c>
      <c r="B158">
        <v>57035062</v>
      </c>
      <c r="C158">
        <v>57035054</v>
      </c>
      <c r="D158">
        <v>55459793</v>
      </c>
      <c r="E158">
        <v>1</v>
      </c>
      <c r="F158">
        <v>1</v>
      </c>
      <c r="G158">
        <v>1081</v>
      </c>
      <c r="H158">
        <v>3</v>
      </c>
      <c r="I158" t="s">
        <v>470</v>
      </c>
      <c r="J158" t="s">
        <v>471</v>
      </c>
      <c r="K158" t="s">
        <v>472</v>
      </c>
      <c r="L158">
        <v>1348</v>
      </c>
      <c r="N158">
        <v>1009</v>
      </c>
      <c r="O158" t="s">
        <v>299</v>
      </c>
      <c r="P158" t="s">
        <v>299</v>
      </c>
      <c r="Q158">
        <v>1000</v>
      </c>
      <c r="X158">
        <v>1.0000000000000001E-5</v>
      </c>
      <c r="Y158">
        <v>64123.05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104</v>
      </c>
      <c r="AG158">
        <v>1.0000000000000001E-5</v>
      </c>
      <c r="AH158">
        <v>2</v>
      </c>
      <c r="AI158">
        <v>57035057</v>
      </c>
      <c r="AJ158">
        <v>128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ROW(Source!A155)</f>
        <v>155</v>
      </c>
      <c r="B159">
        <v>57035063</v>
      </c>
      <c r="C159">
        <v>57035054</v>
      </c>
      <c r="D159">
        <v>55469253</v>
      </c>
      <c r="E159">
        <v>1</v>
      </c>
      <c r="F159">
        <v>1</v>
      </c>
      <c r="G159">
        <v>1081</v>
      </c>
      <c r="H159">
        <v>3</v>
      </c>
      <c r="I159" t="s">
        <v>473</v>
      </c>
      <c r="J159" t="s">
        <v>474</v>
      </c>
      <c r="K159" t="s">
        <v>475</v>
      </c>
      <c r="L159">
        <v>1354</v>
      </c>
      <c r="N159">
        <v>1010</v>
      </c>
      <c r="O159" t="s">
        <v>177</v>
      </c>
      <c r="P159" t="s">
        <v>177</v>
      </c>
      <c r="Q159">
        <v>1</v>
      </c>
      <c r="X159">
        <v>0.1</v>
      </c>
      <c r="Y159">
        <v>15.25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104</v>
      </c>
      <c r="AG159">
        <v>0.1</v>
      </c>
      <c r="AH159">
        <v>2</v>
      </c>
      <c r="AI159">
        <v>57035058</v>
      </c>
      <c r="AJ159">
        <v>129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ROW(Source!A155)</f>
        <v>155</v>
      </c>
      <c r="B160">
        <v>57035064</v>
      </c>
      <c r="C160">
        <v>57035054</v>
      </c>
      <c r="D160">
        <v>55441122</v>
      </c>
      <c r="E160">
        <v>1081</v>
      </c>
      <c r="F160">
        <v>1</v>
      </c>
      <c r="G160">
        <v>1081</v>
      </c>
      <c r="H160">
        <v>3</v>
      </c>
      <c r="I160" t="s">
        <v>571</v>
      </c>
      <c r="J160" t="s">
        <v>3</v>
      </c>
      <c r="K160" t="s">
        <v>572</v>
      </c>
      <c r="L160">
        <v>1354</v>
      </c>
      <c r="N160">
        <v>1010</v>
      </c>
      <c r="O160" t="s">
        <v>177</v>
      </c>
      <c r="P160" t="s">
        <v>177</v>
      </c>
      <c r="Q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104</v>
      </c>
      <c r="AG160">
        <v>1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ROW(Source!A158)</f>
        <v>158</v>
      </c>
      <c r="B161">
        <v>57035076</v>
      </c>
      <c r="C161">
        <v>57035066</v>
      </c>
      <c r="D161">
        <v>55424304</v>
      </c>
      <c r="E161">
        <v>1081</v>
      </c>
      <c r="F161">
        <v>1</v>
      </c>
      <c r="G161">
        <v>1081</v>
      </c>
      <c r="H161">
        <v>1</v>
      </c>
      <c r="I161" t="s">
        <v>459</v>
      </c>
      <c r="J161" t="s">
        <v>3</v>
      </c>
      <c r="K161" t="s">
        <v>460</v>
      </c>
      <c r="L161">
        <v>1191</v>
      </c>
      <c r="N161">
        <v>1013</v>
      </c>
      <c r="O161" t="s">
        <v>461</v>
      </c>
      <c r="P161" t="s">
        <v>461</v>
      </c>
      <c r="Q161">
        <v>1</v>
      </c>
      <c r="X161">
        <v>1.36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 t="s">
        <v>105</v>
      </c>
      <c r="AG161">
        <v>1.6320000000000001</v>
      </c>
      <c r="AH161">
        <v>2</v>
      </c>
      <c r="AI161">
        <v>57035067</v>
      </c>
      <c r="AJ161">
        <v>131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ROW(Source!A158)</f>
        <v>158</v>
      </c>
      <c r="B162">
        <v>57035077</v>
      </c>
      <c r="C162">
        <v>57035066</v>
      </c>
      <c r="D162">
        <v>55490330</v>
      </c>
      <c r="E162">
        <v>1</v>
      </c>
      <c r="F162">
        <v>1</v>
      </c>
      <c r="G162">
        <v>1081</v>
      </c>
      <c r="H162">
        <v>2</v>
      </c>
      <c r="I162" t="s">
        <v>476</v>
      </c>
      <c r="J162" t="s">
        <v>477</v>
      </c>
      <c r="K162" t="s">
        <v>478</v>
      </c>
      <c r="L162">
        <v>1368</v>
      </c>
      <c r="N162">
        <v>1011</v>
      </c>
      <c r="O162" t="s">
        <v>465</v>
      </c>
      <c r="P162" t="s">
        <v>465</v>
      </c>
      <c r="Q162">
        <v>1</v>
      </c>
      <c r="X162">
        <v>1.7000000000000001E-2</v>
      </c>
      <c r="Y162">
        <v>0</v>
      </c>
      <c r="Z162">
        <v>0.8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105</v>
      </c>
      <c r="AG162">
        <v>2.0400000000000001E-2</v>
      </c>
      <c r="AH162">
        <v>2</v>
      </c>
      <c r="AI162">
        <v>57035068</v>
      </c>
      <c r="AJ162">
        <v>132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ROW(Source!A158)</f>
        <v>158</v>
      </c>
      <c r="B163">
        <v>57035078</v>
      </c>
      <c r="C163">
        <v>57035066</v>
      </c>
      <c r="D163">
        <v>55490296</v>
      </c>
      <c r="E163">
        <v>1</v>
      </c>
      <c r="F163">
        <v>1</v>
      </c>
      <c r="G163">
        <v>1081</v>
      </c>
      <c r="H163">
        <v>2</v>
      </c>
      <c r="I163" t="s">
        <v>479</v>
      </c>
      <c r="J163" t="s">
        <v>480</v>
      </c>
      <c r="K163" t="s">
        <v>481</v>
      </c>
      <c r="L163">
        <v>1368</v>
      </c>
      <c r="N163">
        <v>1011</v>
      </c>
      <c r="O163" t="s">
        <v>465</v>
      </c>
      <c r="P163" t="s">
        <v>465</v>
      </c>
      <c r="Q163">
        <v>1</v>
      </c>
      <c r="X163">
        <v>0.02</v>
      </c>
      <c r="Y163">
        <v>0</v>
      </c>
      <c r="Z163">
        <v>0.47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105</v>
      </c>
      <c r="AG163">
        <v>2.4E-2</v>
      </c>
      <c r="AH163">
        <v>2</v>
      </c>
      <c r="AI163">
        <v>57035069</v>
      </c>
      <c r="AJ163">
        <v>133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ROW(Source!A158)</f>
        <v>158</v>
      </c>
      <c r="B164">
        <v>57035079</v>
      </c>
      <c r="C164">
        <v>57035066</v>
      </c>
      <c r="D164">
        <v>55461074</v>
      </c>
      <c r="E164">
        <v>1</v>
      </c>
      <c r="F164">
        <v>1</v>
      </c>
      <c r="G164">
        <v>1081</v>
      </c>
      <c r="H164">
        <v>3</v>
      </c>
      <c r="I164" t="s">
        <v>467</v>
      </c>
      <c r="J164" t="s">
        <v>468</v>
      </c>
      <c r="K164" t="s">
        <v>469</v>
      </c>
      <c r="L164">
        <v>1346</v>
      </c>
      <c r="N164">
        <v>1009</v>
      </c>
      <c r="O164" t="s">
        <v>433</v>
      </c>
      <c r="P164" t="s">
        <v>433</v>
      </c>
      <c r="Q164">
        <v>1</v>
      </c>
      <c r="X164">
        <v>6.2700000000000004E-3</v>
      </c>
      <c r="Y164">
        <v>27.62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104</v>
      </c>
      <c r="AG164">
        <v>6.2700000000000004E-3</v>
      </c>
      <c r="AH164">
        <v>2</v>
      </c>
      <c r="AI164">
        <v>57035070</v>
      </c>
      <c r="AJ164">
        <v>134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ROW(Source!A158)</f>
        <v>158</v>
      </c>
      <c r="B165">
        <v>57035080</v>
      </c>
      <c r="C165">
        <v>57035066</v>
      </c>
      <c r="D165">
        <v>55459793</v>
      </c>
      <c r="E165">
        <v>1</v>
      </c>
      <c r="F165">
        <v>1</v>
      </c>
      <c r="G165">
        <v>1081</v>
      </c>
      <c r="H165">
        <v>3</v>
      </c>
      <c r="I165" t="s">
        <v>470</v>
      </c>
      <c r="J165" t="s">
        <v>471</v>
      </c>
      <c r="K165" t="s">
        <v>472</v>
      </c>
      <c r="L165">
        <v>1348</v>
      </c>
      <c r="N165">
        <v>1009</v>
      </c>
      <c r="O165" t="s">
        <v>299</v>
      </c>
      <c r="P165" t="s">
        <v>299</v>
      </c>
      <c r="Q165">
        <v>1000</v>
      </c>
      <c r="X165">
        <v>1.0000000000000001E-5</v>
      </c>
      <c r="Y165">
        <v>64123.05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104</v>
      </c>
      <c r="AG165">
        <v>1.0000000000000001E-5</v>
      </c>
      <c r="AH165">
        <v>2</v>
      </c>
      <c r="AI165">
        <v>57035071</v>
      </c>
      <c r="AJ165">
        <v>135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ROW(Source!A158)</f>
        <v>158</v>
      </c>
      <c r="B166">
        <v>57035081</v>
      </c>
      <c r="C166">
        <v>57035066</v>
      </c>
      <c r="D166">
        <v>55469253</v>
      </c>
      <c r="E166">
        <v>1</v>
      </c>
      <c r="F166">
        <v>1</v>
      </c>
      <c r="G166">
        <v>1081</v>
      </c>
      <c r="H166">
        <v>3</v>
      </c>
      <c r="I166" t="s">
        <v>473</v>
      </c>
      <c r="J166" t="s">
        <v>474</v>
      </c>
      <c r="K166" t="s">
        <v>475</v>
      </c>
      <c r="L166">
        <v>1354</v>
      </c>
      <c r="N166">
        <v>1010</v>
      </c>
      <c r="O166" t="s">
        <v>177</v>
      </c>
      <c r="P166" t="s">
        <v>177</v>
      </c>
      <c r="Q166">
        <v>1</v>
      </c>
      <c r="X166">
        <v>0.1</v>
      </c>
      <c r="Y166">
        <v>15.25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104</v>
      </c>
      <c r="AG166">
        <v>0.1</v>
      </c>
      <c r="AH166">
        <v>2</v>
      </c>
      <c r="AI166">
        <v>57035072</v>
      </c>
      <c r="AJ166">
        <v>136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ROW(Source!A158)</f>
        <v>158</v>
      </c>
      <c r="B167">
        <v>57035082</v>
      </c>
      <c r="C167">
        <v>57035066</v>
      </c>
      <c r="D167">
        <v>55441128</v>
      </c>
      <c r="E167">
        <v>1081</v>
      </c>
      <c r="F167">
        <v>1</v>
      </c>
      <c r="G167">
        <v>1081</v>
      </c>
      <c r="H167">
        <v>3</v>
      </c>
      <c r="I167" t="s">
        <v>573</v>
      </c>
      <c r="J167" t="s">
        <v>3</v>
      </c>
      <c r="K167" t="s">
        <v>574</v>
      </c>
      <c r="L167">
        <v>1354</v>
      </c>
      <c r="N167">
        <v>1010</v>
      </c>
      <c r="O167" t="s">
        <v>177</v>
      </c>
      <c r="P167" t="s">
        <v>177</v>
      </c>
      <c r="Q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104</v>
      </c>
      <c r="AG167">
        <v>1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ROW(Source!A159)</f>
        <v>159</v>
      </c>
      <c r="B168">
        <v>57035076</v>
      </c>
      <c r="C168">
        <v>57035066</v>
      </c>
      <c r="D168">
        <v>55424304</v>
      </c>
      <c r="E168">
        <v>1081</v>
      </c>
      <c r="F168">
        <v>1</v>
      </c>
      <c r="G168">
        <v>1081</v>
      </c>
      <c r="H168">
        <v>1</v>
      </c>
      <c r="I168" t="s">
        <v>459</v>
      </c>
      <c r="J168" t="s">
        <v>3</v>
      </c>
      <c r="K168" t="s">
        <v>460</v>
      </c>
      <c r="L168">
        <v>1191</v>
      </c>
      <c r="N168">
        <v>1013</v>
      </c>
      <c r="O168" t="s">
        <v>461</v>
      </c>
      <c r="P168" t="s">
        <v>461</v>
      </c>
      <c r="Q168">
        <v>1</v>
      </c>
      <c r="X168">
        <v>1.36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 t="s">
        <v>105</v>
      </c>
      <c r="AG168">
        <v>1.6320000000000001</v>
      </c>
      <c r="AH168">
        <v>2</v>
      </c>
      <c r="AI168">
        <v>57035067</v>
      </c>
      <c r="AJ168">
        <v>140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ROW(Source!A159)</f>
        <v>159</v>
      </c>
      <c r="B169">
        <v>57035077</v>
      </c>
      <c r="C169">
        <v>57035066</v>
      </c>
      <c r="D169">
        <v>55490330</v>
      </c>
      <c r="E169">
        <v>1</v>
      </c>
      <c r="F169">
        <v>1</v>
      </c>
      <c r="G169">
        <v>1081</v>
      </c>
      <c r="H169">
        <v>2</v>
      </c>
      <c r="I169" t="s">
        <v>476</v>
      </c>
      <c r="J169" t="s">
        <v>477</v>
      </c>
      <c r="K169" t="s">
        <v>478</v>
      </c>
      <c r="L169">
        <v>1368</v>
      </c>
      <c r="N169">
        <v>1011</v>
      </c>
      <c r="O169" t="s">
        <v>465</v>
      </c>
      <c r="P169" t="s">
        <v>465</v>
      </c>
      <c r="Q169">
        <v>1</v>
      </c>
      <c r="X169">
        <v>1.7000000000000001E-2</v>
      </c>
      <c r="Y169">
        <v>0</v>
      </c>
      <c r="Z169">
        <v>0.8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105</v>
      </c>
      <c r="AG169">
        <v>2.0400000000000001E-2</v>
      </c>
      <c r="AH169">
        <v>2</v>
      </c>
      <c r="AI169">
        <v>57035068</v>
      </c>
      <c r="AJ169">
        <v>141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ROW(Source!A159)</f>
        <v>159</v>
      </c>
      <c r="B170">
        <v>57035078</v>
      </c>
      <c r="C170">
        <v>57035066</v>
      </c>
      <c r="D170">
        <v>55490296</v>
      </c>
      <c r="E170">
        <v>1</v>
      </c>
      <c r="F170">
        <v>1</v>
      </c>
      <c r="G170">
        <v>1081</v>
      </c>
      <c r="H170">
        <v>2</v>
      </c>
      <c r="I170" t="s">
        <v>479</v>
      </c>
      <c r="J170" t="s">
        <v>480</v>
      </c>
      <c r="K170" t="s">
        <v>481</v>
      </c>
      <c r="L170">
        <v>1368</v>
      </c>
      <c r="N170">
        <v>1011</v>
      </c>
      <c r="O170" t="s">
        <v>465</v>
      </c>
      <c r="P170" t="s">
        <v>465</v>
      </c>
      <c r="Q170">
        <v>1</v>
      </c>
      <c r="X170">
        <v>0.02</v>
      </c>
      <c r="Y170">
        <v>0</v>
      </c>
      <c r="Z170">
        <v>0.47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105</v>
      </c>
      <c r="AG170">
        <v>2.4E-2</v>
      </c>
      <c r="AH170">
        <v>2</v>
      </c>
      <c r="AI170">
        <v>57035069</v>
      </c>
      <c r="AJ170">
        <v>142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ROW(Source!A159)</f>
        <v>159</v>
      </c>
      <c r="B171">
        <v>57035079</v>
      </c>
      <c r="C171">
        <v>57035066</v>
      </c>
      <c r="D171">
        <v>55461074</v>
      </c>
      <c r="E171">
        <v>1</v>
      </c>
      <c r="F171">
        <v>1</v>
      </c>
      <c r="G171">
        <v>1081</v>
      </c>
      <c r="H171">
        <v>3</v>
      </c>
      <c r="I171" t="s">
        <v>467</v>
      </c>
      <c r="J171" t="s">
        <v>468</v>
      </c>
      <c r="K171" t="s">
        <v>469</v>
      </c>
      <c r="L171">
        <v>1346</v>
      </c>
      <c r="N171">
        <v>1009</v>
      </c>
      <c r="O171" t="s">
        <v>433</v>
      </c>
      <c r="P171" t="s">
        <v>433</v>
      </c>
      <c r="Q171">
        <v>1</v>
      </c>
      <c r="X171">
        <v>6.2700000000000004E-3</v>
      </c>
      <c r="Y171">
        <v>27.62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104</v>
      </c>
      <c r="AG171">
        <v>6.2700000000000004E-3</v>
      </c>
      <c r="AH171">
        <v>2</v>
      </c>
      <c r="AI171">
        <v>57035070</v>
      </c>
      <c r="AJ171">
        <v>143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ROW(Source!A159)</f>
        <v>159</v>
      </c>
      <c r="B172">
        <v>57035080</v>
      </c>
      <c r="C172">
        <v>57035066</v>
      </c>
      <c r="D172">
        <v>55459793</v>
      </c>
      <c r="E172">
        <v>1</v>
      </c>
      <c r="F172">
        <v>1</v>
      </c>
      <c r="G172">
        <v>1081</v>
      </c>
      <c r="H172">
        <v>3</v>
      </c>
      <c r="I172" t="s">
        <v>470</v>
      </c>
      <c r="J172" t="s">
        <v>471</v>
      </c>
      <c r="K172" t="s">
        <v>472</v>
      </c>
      <c r="L172">
        <v>1348</v>
      </c>
      <c r="N172">
        <v>1009</v>
      </c>
      <c r="O172" t="s">
        <v>299</v>
      </c>
      <c r="P172" t="s">
        <v>299</v>
      </c>
      <c r="Q172">
        <v>1000</v>
      </c>
      <c r="X172">
        <v>1.0000000000000001E-5</v>
      </c>
      <c r="Y172">
        <v>64123.05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104</v>
      </c>
      <c r="AG172">
        <v>1.0000000000000001E-5</v>
      </c>
      <c r="AH172">
        <v>2</v>
      </c>
      <c r="AI172">
        <v>57035071</v>
      </c>
      <c r="AJ172">
        <v>144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ROW(Source!A159)</f>
        <v>159</v>
      </c>
      <c r="B173">
        <v>57035081</v>
      </c>
      <c r="C173">
        <v>57035066</v>
      </c>
      <c r="D173">
        <v>55469253</v>
      </c>
      <c r="E173">
        <v>1</v>
      </c>
      <c r="F173">
        <v>1</v>
      </c>
      <c r="G173">
        <v>1081</v>
      </c>
      <c r="H173">
        <v>3</v>
      </c>
      <c r="I173" t="s">
        <v>473</v>
      </c>
      <c r="J173" t="s">
        <v>474</v>
      </c>
      <c r="K173" t="s">
        <v>475</v>
      </c>
      <c r="L173">
        <v>1354</v>
      </c>
      <c r="N173">
        <v>1010</v>
      </c>
      <c r="O173" t="s">
        <v>177</v>
      </c>
      <c r="P173" t="s">
        <v>177</v>
      </c>
      <c r="Q173">
        <v>1</v>
      </c>
      <c r="X173">
        <v>0.1</v>
      </c>
      <c r="Y173">
        <v>15.25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104</v>
      </c>
      <c r="AG173">
        <v>0.1</v>
      </c>
      <c r="AH173">
        <v>2</v>
      </c>
      <c r="AI173">
        <v>57035072</v>
      </c>
      <c r="AJ173">
        <v>145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ROW(Source!A159)</f>
        <v>159</v>
      </c>
      <c r="B174">
        <v>57035082</v>
      </c>
      <c r="C174">
        <v>57035066</v>
      </c>
      <c r="D174">
        <v>55441128</v>
      </c>
      <c r="E174">
        <v>1081</v>
      </c>
      <c r="F174">
        <v>1</v>
      </c>
      <c r="G174">
        <v>1081</v>
      </c>
      <c r="H174">
        <v>3</v>
      </c>
      <c r="I174" t="s">
        <v>573</v>
      </c>
      <c r="J174" t="s">
        <v>3</v>
      </c>
      <c r="K174" t="s">
        <v>574</v>
      </c>
      <c r="L174">
        <v>1354</v>
      </c>
      <c r="N174">
        <v>1010</v>
      </c>
      <c r="O174" t="s">
        <v>177</v>
      </c>
      <c r="P174" t="s">
        <v>177</v>
      </c>
      <c r="Q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104</v>
      </c>
      <c r="AG174">
        <v>1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ROW(Source!A201)</f>
        <v>201</v>
      </c>
      <c r="B175">
        <v>57035090</v>
      </c>
      <c r="C175">
        <v>57035086</v>
      </c>
      <c r="D175">
        <v>55424304</v>
      </c>
      <c r="E175">
        <v>1081</v>
      </c>
      <c r="F175">
        <v>1</v>
      </c>
      <c r="G175">
        <v>1081</v>
      </c>
      <c r="H175">
        <v>1</v>
      </c>
      <c r="I175" t="s">
        <v>459</v>
      </c>
      <c r="J175" t="s">
        <v>3</v>
      </c>
      <c r="K175" t="s">
        <v>460</v>
      </c>
      <c r="L175">
        <v>1191</v>
      </c>
      <c r="N175">
        <v>1013</v>
      </c>
      <c r="O175" t="s">
        <v>461</v>
      </c>
      <c r="P175" t="s">
        <v>461</v>
      </c>
      <c r="Q175">
        <v>1</v>
      </c>
      <c r="X175">
        <v>1.68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105</v>
      </c>
      <c r="AG175">
        <v>2.016</v>
      </c>
      <c r="AH175">
        <v>2</v>
      </c>
      <c r="AI175">
        <v>57035087</v>
      </c>
      <c r="AJ175">
        <v>149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ROW(Source!A202)</f>
        <v>202</v>
      </c>
      <c r="B176">
        <v>57035090</v>
      </c>
      <c r="C176">
        <v>57035086</v>
      </c>
      <c r="D176">
        <v>55424304</v>
      </c>
      <c r="E176">
        <v>1081</v>
      </c>
      <c r="F176">
        <v>1</v>
      </c>
      <c r="G176">
        <v>1081</v>
      </c>
      <c r="H176">
        <v>1</v>
      </c>
      <c r="I176" t="s">
        <v>459</v>
      </c>
      <c r="J176" t="s">
        <v>3</v>
      </c>
      <c r="K176" t="s">
        <v>460</v>
      </c>
      <c r="L176">
        <v>1191</v>
      </c>
      <c r="N176">
        <v>1013</v>
      </c>
      <c r="O176" t="s">
        <v>461</v>
      </c>
      <c r="P176" t="s">
        <v>461</v>
      </c>
      <c r="Q176">
        <v>1</v>
      </c>
      <c r="X176">
        <v>1.68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 t="s">
        <v>105</v>
      </c>
      <c r="AG176">
        <v>2.016</v>
      </c>
      <c r="AH176">
        <v>2</v>
      </c>
      <c r="AI176">
        <v>57035087</v>
      </c>
      <c r="AJ176">
        <v>152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ROW(Source!A207)</f>
        <v>207</v>
      </c>
      <c r="B177">
        <v>57044335</v>
      </c>
      <c r="C177">
        <v>57044331</v>
      </c>
      <c r="D177">
        <v>55424304</v>
      </c>
      <c r="E177">
        <v>1081</v>
      </c>
      <c r="F177">
        <v>1</v>
      </c>
      <c r="G177">
        <v>1081</v>
      </c>
      <c r="H177">
        <v>1</v>
      </c>
      <c r="I177" t="s">
        <v>459</v>
      </c>
      <c r="J177" t="s">
        <v>3</v>
      </c>
      <c r="K177" t="s">
        <v>460</v>
      </c>
      <c r="L177">
        <v>1191</v>
      </c>
      <c r="N177">
        <v>1013</v>
      </c>
      <c r="O177" t="s">
        <v>461</v>
      </c>
      <c r="P177" t="s">
        <v>461</v>
      </c>
      <c r="Q177">
        <v>1</v>
      </c>
      <c r="X177">
        <v>1.68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105</v>
      </c>
      <c r="AG177">
        <v>2.016</v>
      </c>
      <c r="AH177">
        <v>2</v>
      </c>
      <c r="AI177">
        <v>57044332</v>
      </c>
      <c r="AJ177">
        <v>155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ROW(Source!A208)</f>
        <v>208</v>
      </c>
      <c r="B178">
        <v>57044335</v>
      </c>
      <c r="C178">
        <v>57044331</v>
      </c>
      <c r="D178">
        <v>55424304</v>
      </c>
      <c r="E178">
        <v>1081</v>
      </c>
      <c r="F178">
        <v>1</v>
      </c>
      <c r="G178">
        <v>1081</v>
      </c>
      <c r="H178">
        <v>1</v>
      </c>
      <c r="I178" t="s">
        <v>459</v>
      </c>
      <c r="J178" t="s">
        <v>3</v>
      </c>
      <c r="K178" t="s">
        <v>460</v>
      </c>
      <c r="L178">
        <v>1191</v>
      </c>
      <c r="N178">
        <v>1013</v>
      </c>
      <c r="O178" t="s">
        <v>461</v>
      </c>
      <c r="P178" t="s">
        <v>461</v>
      </c>
      <c r="Q178">
        <v>1</v>
      </c>
      <c r="X178">
        <v>1.68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1</v>
      </c>
      <c r="AF178" t="s">
        <v>105</v>
      </c>
      <c r="AG178">
        <v>2.016</v>
      </c>
      <c r="AH178">
        <v>2</v>
      </c>
      <c r="AI178">
        <v>57044332</v>
      </c>
      <c r="AJ178">
        <v>156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ROW(Source!A213)</f>
        <v>213</v>
      </c>
      <c r="B179">
        <v>57035096</v>
      </c>
      <c r="C179">
        <v>57035093</v>
      </c>
      <c r="D179">
        <v>55424304</v>
      </c>
      <c r="E179">
        <v>1081</v>
      </c>
      <c r="F179">
        <v>1</v>
      </c>
      <c r="G179">
        <v>1081</v>
      </c>
      <c r="H179">
        <v>1</v>
      </c>
      <c r="I179" t="s">
        <v>459</v>
      </c>
      <c r="J179" t="s">
        <v>3</v>
      </c>
      <c r="K179" t="s">
        <v>460</v>
      </c>
      <c r="L179">
        <v>1191</v>
      </c>
      <c r="N179">
        <v>1013</v>
      </c>
      <c r="O179" t="s">
        <v>461</v>
      </c>
      <c r="P179" t="s">
        <v>461</v>
      </c>
      <c r="Q179">
        <v>1</v>
      </c>
      <c r="X179">
        <v>0.84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105</v>
      </c>
      <c r="AG179">
        <v>1.008</v>
      </c>
      <c r="AH179">
        <v>2</v>
      </c>
      <c r="AI179">
        <v>57035094</v>
      </c>
      <c r="AJ179">
        <v>157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ROW(Source!A214)</f>
        <v>214</v>
      </c>
      <c r="B180">
        <v>57035096</v>
      </c>
      <c r="C180">
        <v>57035093</v>
      </c>
      <c r="D180">
        <v>55424304</v>
      </c>
      <c r="E180">
        <v>1081</v>
      </c>
      <c r="F180">
        <v>1</v>
      </c>
      <c r="G180">
        <v>1081</v>
      </c>
      <c r="H180">
        <v>1</v>
      </c>
      <c r="I180" t="s">
        <v>459</v>
      </c>
      <c r="J180" t="s">
        <v>3</v>
      </c>
      <c r="K180" t="s">
        <v>460</v>
      </c>
      <c r="L180">
        <v>1191</v>
      </c>
      <c r="N180">
        <v>1013</v>
      </c>
      <c r="O180" t="s">
        <v>461</v>
      </c>
      <c r="P180" t="s">
        <v>461</v>
      </c>
      <c r="Q180">
        <v>1</v>
      </c>
      <c r="X180">
        <v>0.84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105</v>
      </c>
      <c r="AG180">
        <v>1.008</v>
      </c>
      <c r="AH180">
        <v>2</v>
      </c>
      <c r="AI180">
        <v>57035094</v>
      </c>
      <c r="AJ180">
        <v>159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ROW(Source!A217)</f>
        <v>217</v>
      </c>
      <c r="B181">
        <v>57044363</v>
      </c>
      <c r="C181">
        <v>57044360</v>
      </c>
      <c r="D181">
        <v>55424304</v>
      </c>
      <c r="E181">
        <v>1081</v>
      </c>
      <c r="F181">
        <v>1</v>
      </c>
      <c r="G181">
        <v>1081</v>
      </c>
      <c r="H181">
        <v>1</v>
      </c>
      <c r="I181" t="s">
        <v>459</v>
      </c>
      <c r="J181" t="s">
        <v>3</v>
      </c>
      <c r="K181" t="s">
        <v>460</v>
      </c>
      <c r="L181">
        <v>1191</v>
      </c>
      <c r="N181">
        <v>1013</v>
      </c>
      <c r="O181" t="s">
        <v>461</v>
      </c>
      <c r="P181" t="s">
        <v>461</v>
      </c>
      <c r="Q181">
        <v>1</v>
      </c>
      <c r="X181">
        <v>0.84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105</v>
      </c>
      <c r="AG181">
        <v>1.008</v>
      </c>
      <c r="AH181">
        <v>2</v>
      </c>
      <c r="AI181">
        <v>57044361</v>
      </c>
      <c r="AJ181">
        <v>161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ROW(Source!A218)</f>
        <v>218</v>
      </c>
      <c r="B182">
        <v>57044363</v>
      </c>
      <c r="C182">
        <v>57044360</v>
      </c>
      <c r="D182">
        <v>55424304</v>
      </c>
      <c r="E182">
        <v>1081</v>
      </c>
      <c r="F182">
        <v>1</v>
      </c>
      <c r="G182">
        <v>1081</v>
      </c>
      <c r="H182">
        <v>1</v>
      </c>
      <c r="I182" t="s">
        <v>459</v>
      </c>
      <c r="J182" t="s">
        <v>3</v>
      </c>
      <c r="K182" t="s">
        <v>460</v>
      </c>
      <c r="L182">
        <v>1191</v>
      </c>
      <c r="N182">
        <v>1013</v>
      </c>
      <c r="O182" t="s">
        <v>461</v>
      </c>
      <c r="P182" t="s">
        <v>461</v>
      </c>
      <c r="Q182">
        <v>1</v>
      </c>
      <c r="X182">
        <v>0.84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 t="s">
        <v>105</v>
      </c>
      <c r="AG182">
        <v>1.008</v>
      </c>
      <c r="AH182">
        <v>2</v>
      </c>
      <c r="AI182">
        <v>57044361</v>
      </c>
      <c r="AJ182">
        <v>162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ROW(Source!A221)</f>
        <v>221</v>
      </c>
      <c r="B183">
        <v>57035103</v>
      </c>
      <c r="C183">
        <v>57035098</v>
      </c>
      <c r="D183">
        <v>55424304</v>
      </c>
      <c r="E183">
        <v>1081</v>
      </c>
      <c r="F183">
        <v>1</v>
      </c>
      <c r="G183">
        <v>1081</v>
      </c>
      <c r="H183">
        <v>1</v>
      </c>
      <c r="I183" t="s">
        <v>459</v>
      </c>
      <c r="J183" t="s">
        <v>3</v>
      </c>
      <c r="K183" t="s">
        <v>460</v>
      </c>
      <c r="L183">
        <v>1191</v>
      </c>
      <c r="N183">
        <v>1013</v>
      </c>
      <c r="O183" t="s">
        <v>461</v>
      </c>
      <c r="P183" t="s">
        <v>461</v>
      </c>
      <c r="Q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 t="s">
        <v>105</v>
      </c>
      <c r="AG183">
        <v>1.2</v>
      </c>
      <c r="AH183">
        <v>2</v>
      </c>
      <c r="AI183">
        <v>57035099</v>
      </c>
      <c r="AJ183">
        <v>163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ROW(Source!A221)</f>
        <v>221</v>
      </c>
      <c r="B184">
        <v>57035104</v>
      </c>
      <c r="C184">
        <v>57035098</v>
      </c>
      <c r="D184">
        <v>55459793</v>
      </c>
      <c r="E184">
        <v>1</v>
      </c>
      <c r="F184">
        <v>1</v>
      </c>
      <c r="G184">
        <v>1081</v>
      </c>
      <c r="H184">
        <v>3</v>
      </c>
      <c r="I184" t="s">
        <v>470</v>
      </c>
      <c r="J184" t="s">
        <v>471</v>
      </c>
      <c r="K184" t="s">
        <v>472</v>
      </c>
      <c r="L184">
        <v>1348</v>
      </c>
      <c r="N184">
        <v>1009</v>
      </c>
      <c r="O184" t="s">
        <v>299</v>
      </c>
      <c r="P184" t="s">
        <v>299</v>
      </c>
      <c r="Q184">
        <v>1000</v>
      </c>
      <c r="X184">
        <v>1.0000000000000001E-5</v>
      </c>
      <c r="Y184">
        <v>64123.05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104</v>
      </c>
      <c r="AG184">
        <v>1.0000000000000001E-5</v>
      </c>
      <c r="AH184">
        <v>2</v>
      </c>
      <c r="AI184">
        <v>57035100</v>
      </c>
      <c r="AJ184">
        <v>164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ROW(Source!A221)</f>
        <v>221</v>
      </c>
      <c r="B185">
        <v>57035105</v>
      </c>
      <c r="C185">
        <v>57035098</v>
      </c>
      <c r="D185">
        <v>55487942</v>
      </c>
      <c r="E185">
        <v>1</v>
      </c>
      <c r="F185">
        <v>1</v>
      </c>
      <c r="G185">
        <v>1081</v>
      </c>
      <c r="H185">
        <v>3</v>
      </c>
      <c r="I185" t="s">
        <v>482</v>
      </c>
      <c r="J185" t="s">
        <v>483</v>
      </c>
      <c r="K185" t="s">
        <v>484</v>
      </c>
      <c r="L185">
        <v>1303</v>
      </c>
      <c r="N185">
        <v>1003</v>
      </c>
      <c r="O185" t="s">
        <v>485</v>
      </c>
      <c r="P185" t="s">
        <v>485</v>
      </c>
      <c r="Q185">
        <v>1000</v>
      </c>
      <c r="X185">
        <v>2E-3</v>
      </c>
      <c r="Y185">
        <v>516.63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104</v>
      </c>
      <c r="AG185">
        <v>2E-3</v>
      </c>
      <c r="AH185">
        <v>2</v>
      </c>
      <c r="AI185">
        <v>57035101</v>
      </c>
      <c r="AJ185">
        <v>165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ROW(Source!A221)</f>
        <v>221</v>
      </c>
      <c r="B186">
        <v>57035106</v>
      </c>
      <c r="C186">
        <v>57035098</v>
      </c>
      <c r="D186">
        <v>55431425</v>
      </c>
      <c r="E186">
        <v>1081</v>
      </c>
      <c r="F186">
        <v>1</v>
      </c>
      <c r="G186">
        <v>1081</v>
      </c>
      <c r="H186">
        <v>3</v>
      </c>
      <c r="I186" t="s">
        <v>575</v>
      </c>
      <c r="J186" t="s">
        <v>3</v>
      </c>
      <c r="K186" t="s">
        <v>576</v>
      </c>
      <c r="L186">
        <v>1354</v>
      </c>
      <c r="N186">
        <v>1010</v>
      </c>
      <c r="O186" t="s">
        <v>177</v>
      </c>
      <c r="P186" t="s">
        <v>177</v>
      </c>
      <c r="Q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104</v>
      </c>
      <c r="AG186">
        <v>1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ROW(Source!A222)</f>
        <v>222</v>
      </c>
      <c r="B187">
        <v>57035103</v>
      </c>
      <c r="C187">
        <v>57035098</v>
      </c>
      <c r="D187">
        <v>55424304</v>
      </c>
      <c r="E187">
        <v>1081</v>
      </c>
      <c r="F187">
        <v>1</v>
      </c>
      <c r="G187">
        <v>1081</v>
      </c>
      <c r="H187">
        <v>1</v>
      </c>
      <c r="I187" t="s">
        <v>459</v>
      </c>
      <c r="J187" t="s">
        <v>3</v>
      </c>
      <c r="K187" t="s">
        <v>460</v>
      </c>
      <c r="L187">
        <v>1191</v>
      </c>
      <c r="N187">
        <v>1013</v>
      </c>
      <c r="O187" t="s">
        <v>461</v>
      </c>
      <c r="P187" t="s">
        <v>461</v>
      </c>
      <c r="Q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105</v>
      </c>
      <c r="AG187">
        <v>1.2</v>
      </c>
      <c r="AH187">
        <v>2</v>
      </c>
      <c r="AI187">
        <v>57035099</v>
      </c>
      <c r="AJ187">
        <v>167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ROW(Source!A222)</f>
        <v>222</v>
      </c>
      <c r="B188">
        <v>57035104</v>
      </c>
      <c r="C188">
        <v>57035098</v>
      </c>
      <c r="D188">
        <v>55459793</v>
      </c>
      <c r="E188">
        <v>1</v>
      </c>
      <c r="F188">
        <v>1</v>
      </c>
      <c r="G188">
        <v>1081</v>
      </c>
      <c r="H188">
        <v>3</v>
      </c>
      <c r="I188" t="s">
        <v>470</v>
      </c>
      <c r="J188" t="s">
        <v>471</v>
      </c>
      <c r="K188" t="s">
        <v>472</v>
      </c>
      <c r="L188">
        <v>1348</v>
      </c>
      <c r="N188">
        <v>1009</v>
      </c>
      <c r="O188" t="s">
        <v>299</v>
      </c>
      <c r="P188" t="s">
        <v>299</v>
      </c>
      <c r="Q188">
        <v>1000</v>
      </c>
      <c r="X188">
        <v>1.0000000000000001E-5</v>
      </c>
      <c r="Y188">
        <v>64123.05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104</v>
      </c>
      <c r="AG188">
        <v>1.0000000000000001E-5</v>
      </c>
      <c r="AH188">
        <v>2</v>
      </c>
      <c r="AI188">
        <v>57035100</v>
      </c>
      <c r="AJ188">
        <v>168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ROW(Source!A222)</f>
        <v>222</v>
      </c>
      <c r="B189">
        <v>57035105</v>
      </c>
      <c r="C189">
        <v>57035098</v>
      </c>
      <c r="D189">
        <v>55487942</v>
      </c>
      <c r="E189">
        <v>1</v>
      </c>
      <c r="F189">
        <v>1</v>
      </c>
      <c r="G189">
        <v>1081</v>
      </c>
      <c r="H189">
        <v>3</v>
      </c>
      <c r="I189" t="s">
        <v>482</v>
      </c>
      <c r="J189" t="s">
        <v>483</v>
      </c>
      <c r="K189" t="s">
        <v>484</v>
      </c>
      <c r="L189">
        <v>1303</v>
      </c>
      <c r="N189">
        <v>1003</v>
      </c>
      <c r="O189" t="s">
        <v>485</v>
      </c>
      <c r="P189" t="s">
        <v>485</v>
      </c>
      <c r="Q189">
        <v>1000</v>
      </c>
      <c r="X189">
        <v>2E-3</v>
      </c>
      <c r="Y189">
        <v>516.63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104</v>
      </c>
      <c r="AG189">
        <v>2E-3</v>
      </c>
      <c r="AH189">
        <v>2</v>
      </c>
      <c r="AI189">
        <v>57035101</v>
      </c>
      <c r="AJ189">
        <v>169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ROW(Source!A222)</f>
        <v>222</v>
      </c>
      <c r="B190">
        <v>57035106</v>
      </c>
      <c r="C190">
        <v>57035098</v>
      </c>
      <c r="D190">
        <v>55431425</v>
      </c>
      <c r="E190">
        <v>1081</v>
      </c>
      <c r="F190">
        <v>1</v>
      </c>
      <c r="G190">
        <v>1081</v>
      </c>
      <c r="H190">
        <v>3</v>
      </c>
      <c r="I190" t="s">
        <v>575</v>
      </c>
      <c r="J190" t="s">
        <v>3</v>
      </c>
      <c r="K190" t="s">
        <v>576</v>
      </c>
      <c r="L190">
        <v>1354</v>
      </c>
      <c r="N190">
        <v>1010</v>
      </c>
      <c r="O190" t="s">
        <v>177</v>
      </c>
      <c r="P190" t="s">
        <v>177</v>
      </c>
      <c r="Q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104</v>
      </c>
      <c r="AG190">
        <v>1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ROW(Source!A225)</f>
        <v>225</v>
      </c>
      <c r="B191">
        <v>57035111</v>
      </c>
      <c r="C191">
        <v>57035108</v>
      </c>
      <c r="D191">
        <v>55424304</v>
      </c>
      <c r="E191">
        <v>1081</v>
      </c>
      <c r="F191">
        <v>1</v>
      </c>
      <c r="G191">
        <v>1081</v>
      </c>
      <c r="H191">
        <v>1</v>
      </c>
      <c r="I191" t="s">
        <v>459</v>
      </c>
      <c r="J191" t="s">
        <v>3</v>
      </c>
      <c r="K191" t="s">
        <v>460</v>
      </c>
      <c r="L191">
        <v>1191</v>
      </c>
      <c r="N191">
        <v>1013</v>
      </c>
      <c r="O191" t="s">
        <v>461</v>
      </c>
      <c r="P191" t="s">
        <v>461</v>
      </c>
      <c r="Q191">
        <v>1</v>
      </c>
      <c r="X191">
        <v>1.2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 t="s">
        <v>105</v>
      </c>
      <c r="AG191">
        <v>1.44</v>
      </c>
      <c r="AH191">
        <v>2</v>
      </c>
      <c r="AI191">
        <v>57035109</v>
      </c>
      <c r="AJ191">
        <v>171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ROW(Source!A226)</f>
        <v>226</v>
      </c>
      <c r="B192">
        <v>57035111</v>
      </c>
      <c r="C192">
        <v>57035108</v>
      </c>
      <c r="D192">
        <v>55424304</v>
      </c>
      <c r="E192">
        <v>1081</v>
      </c>
      <c r="F192">
        <v>1</v>
      </c>
      <c r="G192">
        <v>1081</v>
      </c>
      <c r="H192">
        <v>1</v>
      </c>
      <c r="I192" t="s">
        <v>459</v>
      </c>
      <c r="J192" t="s">
        <v>3</v>
      </c>
      <c r="K192" t="s">
        <v>460</v>
      </c>
      <c r="L192">
        <v>1191</v>
      </c>
      <c r="N192">
        <v>1013</v>
      </c>
      <c r="O192" t="s">
        <v>461</v>
      </c>
      <c r="P192" t="s">
        <v>461</v>
      </c>
      <c r="Q192">
        <v>1</v>
      </c>
      <c r="X192">
        <v>1.2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 t="s">
        <v>105</v>
      </c>
      <c r="AG192">
        <v>1.44</v>
      </c>
      <c r="AH192">
        <v>2</v>
      </c>
      <c r="AI192">
        <v>57035109</v>
      </c>
      <c r="AJ192">
        <v>173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ROW(Source!A229)</f>
        <v>229</v>
      </c>
      <c r="B193">
        <v>57044370</v>
      </c>
      <c r="C193">
        <v>57044367</v>
      </c>
      <c r="D193">
        <v>55424304</v>
      </c>
      <c r="E193">
        <v>1081</v>
      </c>
      <c r="F193">
        <v>1</v>
      </c>
      <c r="G193">
        <v>1081</v>
      </c>
      <c r="H193">
        <v>1</v>
      </c>
      <c r="I193" t="s">
        <v>459</v>
      </c>
      <c r="J193" t="s">
        <v>3</v>
      </c>
      <c r="K193" t="s">
        <v>460</v>
      </c>
      <c r="L193">
        <v>1191</v>
      </c>
      <c r="N193">
        <v>1013</v>
      </c>
      <c r="O193" t="s">
        <v>461</v>
      </c>
      <c r="P193" t="s">
        <v>461</v>
      </c>
      <c r="Q193">
        <v>1</v>
      </c>
      <c r="X193">
        <v>1.2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 t="s">
        <v>105</v>
      </c>
      <c r="AG193">
        <v>1.44</v>
      </c>
      <c r="AH193">
        <v>2</v>
      </c>
      <c r="AI193">
        <v>57044368</v>
      </c>
      <c r="AJ193">
        <v>175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ROW(Source!A230)</f>
        <v>230</v>
      </c>
      <c r="B194">
        <v>57044370</v>
      </c>
      <c r="C194">
        <v>57044367</v>
      </c>
      <c r="D194">
        <v>55424304</v>
      </c>
      <c r="E194">
        <v>1081</v>
      </c>
      <c r="F194">
        <v>1</v>
      </c>
      <c r="G194">
        <v>1081</v>
      </c>
      <c r="H194">
        <v>1</v>
      </c>
      <c r="I194" t="s">
        <v>459</v>
      </c>
      <c r="J194" t="s">
        <v>3</v>
      </c>
      <c r="K194" t="s">
        <v>460</v>
      </c>
      <c r="L194">
        <v>1191</v>
      </c>
      <c r="N194">
        <v>1013</v>
      </c>
      <c r="O194" t="s">
        <v>461</v>
      </c>
      <c r="P194" t="s">
        <v>461</v>
      </c>
      <c r="Q194">
        <v>1</v>
      </c>
      <c r="X194">
        <v>1.2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 t="s">
        <v>105</v>
      </c>
      <c r="AG194">
        <v>1.44</v>
      </c>
      <c r="AH194">
        <v>2</v>
      </c>
      <c r="AI194">
        <v>57044368</v>
      </c>
      <c r="AJ194">
        <v>176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ROW(Source!A235)</f>
        <v>235</v>
      </c>
      <c r="B195">
        <v>57035116</v>
      </c>
      <c r="C195">
        <v>57035113</v>
      </c>
      <c r="D195">
        <v>55424304</v>
      </c>
      <c r="E195">
        <v>1081</v>
      </c>
      <c r="F195">
        <v>1</v>
      </c>
      <c r="G195">
        <v>1081</v>
      </c>
      <c r="H195">
        <v>1</v>
      </c>
      <c r="I195" t="s">
        <v>459</v>
      </c>
      <c r="J195" t="s">
        <v>3</v>
      </c>
      <c r="K195" t="s">
        <v>460</v>
      </c>
      <c r="L195">
        <v>1191</v>
      </c>
      <c r="N195">
        <v>1013</v>
      </c>
      <c r="O195" t="s">
        <v>461</v>
      </c>
      <c r="P195" t="s">
        <v>461</v>
      </c>
      <c r="Q195">
        <v>1</v>
      </c>
      <c r="X195">
        <v>0.35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 t="s">
        <v>105</v>
      </c>
      <c r="AG195">
        <v>0.42</v>
      </c>
      <c r="AH195">
        <v>2</v>
      </c>
      <c r="AI195">
        <v>57035114</v>
      </c>
      <c r="AJ195">
        <v>177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ROW(Source!A236)</f>
        <v>236</v>
      </c>
      <c r="B196">
        <v>57035116</v>
      </c>
      <c r="C196">
        <v>57035113</v>
      </c>
      <c r="D196">
        <v>55424304</v>
      </c>
      <c r="E196">
        <v>1081</v>
      </c>
      <c r="F196">
        <v>1</v>
      </c>
      <c r="G196">
        <v>1081</v>
      </c>
      <c r="H196">
        <v>1</v>
      </c>
      <c r="I196" t="s">
        <v>459</v>
      </c>
      <c r="J196" t="s">
        <v>3</v>
      </c>
      <c r="K196" t="s">
        <v>460</v>
      </c>
      <c r="L196">
        <v>1191</v>
      </c>
      <c r="N196">
        <v>1013</v>
      </c>
      <c r="O196" t="s">
        <v>461</v>
      </c>
      <c r="P196" t="s">
        <v>461</v>
      </c>
      <c r="Q196">
        <v>1</v>
      </c>
      <c r="X196">
        <v>0.35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</v>
      </c>
      <c r="AF196" t="s">
        <v>105</v>
      </c>
      <c r="AG196">
        <v>0.42</v>
      </c>
      <c r="AH196">
        <v>2</v>
      </c>
      <c r="AI196">
        <v>57035114</v>
      </c>
      <c r="AJ196">
        <v>179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ROW(Source!A315)</f>
        <v>315</v>
      </c>
      <c r="B197">
        <v>57036073</v>
      </c>
      <c r="C197">
        <v>57036072</v>
      </c>
      <c r="D197">
        <v>55424304</v>
      </c>
      <c r="E197">
        <v>1081</v>
      </c>
      <c r="F197">
        <v>1</v>
      </c>
      <c r="G197">
        <v>1081</v>
      </c>
      <c r="H197">
        <v>1</v>
      </c>
      <c r="I197" t="s">
        <v>459</v>
      </c>
      <c r="J197" t="s">
        <v>3</v>
      </c>
      <c r="K197" t="s">
        <v>460</v>
      </c>
      <c r="L197">
        <v>1191</v>
      </c>
      <c r="N197">
        <v>1013</v>
      </c>
      <c r="O197" t="s">
        <v>461</v>
      </c>
      <c r="P197" t="s">
        <v>461</v>
      </c>
      <c r="Q197">
        <v>1</v>
      </c>
      <c r="X197">
        <v>7.2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 t="s">
        <v>105</v>
      </c>
      <c r="AG197">
        <v>8.64</v>
      </c>
      <c r="AH197">
        <v>2</v>
      </c>
      <c r="AI197">
        <v>57036073</v>
      </c>
      <c r="AJ197">
        <v>181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ROW(Source!A316)</f>
        <v>316</v>
      </c>
      <c r="B198">
        <v>57036073</v>
      </c>
      <c r="C198">
        <v>57036072</v>
      </c>
      <c r="D198">
        <v>55424304</v>
      </c>
      <c r="E198">
        <v>1081</v>
      </c>
      <c r="F198">
        <v>1</v>
      </c>
      <c r="G198">
        <v>1081</v>
      </c>
      <c r="H198">
        <v>1</v>
      </c>
      <c r="I198" t="s">
        <v>459</v>
      </c>
      <c r="J198" t="s">
        <v>3</v>
      </c>
      <c r="K198" t="s">
        <v>460</v>
      </c>
      <c r="L198">
        <v>1191</v>
      </c>
      <c r="N198">
        <v>1013</v>
      </c>
      <c r="O198" t="s">
        <v>461</v>
      </c>
      <c r="P198" t="s">
        <v>461</v>
      </c>
      <c r="Q198">
        <v>1</v>
      </c>
      <c r="X198">
        <v>7.2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1</v>
      </c>
      <c r="AF198" t="s">
        <v>105</v>
      </c>
      <c r="AG198">
        <v>8.64</v>
      </c>
      <c r="AH198">
        <v>2</v>
      </c>
      <c r="AI198">
        <v>57036073</v>
      </c>
      <c r="AJ198">
        <v>182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ROW(Source!A319)</f>
        <v>319</v>
      </c>
      <c r="B199">
        <v>57035127</v>
      </c>
      <c r="C199">
        <v>57035124</v>
      </c>
      <c r="D199">
        <v>55424304</v>
      </c>
      <c r="E199">
        <v>1081</v>
      </c>
      <c r="F199">
        <v>1</v>
      </c>
      <c r="G199">
        <v>1081</v>
      </c>
      <c r="H199">
        <v>1</v>
      </c>
      <c r="I199" t="s">
        <v>459</v>
      </c>
      <c r="J199" t="s">
        <v>3</v>
      </c>
      <c r="K199" t="s">
        <v>460</v>
      </c>
      <c r="L199">
        <v>1191</v>
      </c>
      <c r="N199">
        <v>1013</v>
      </c>
      <c r="O199" t="s">
        <v>461</v>
      </c>
      <c r="P199" t="s">
        <v>461</v>
      </c>
      <c r="Q199">
        <v>1</v>
      </c>
      <c r="X199">
        <v>11.7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1</v>
      </c>
      <c r="AF199" t="s">
        <v>105</v>
      </c>
      <c r="AG199">
        <v>14.04</v>
      </c>
      <c r="AH199">
        <v>2</v>
      </c>
      <c r="AI199">
        <v>57035125</v>
      </c>
      <c r="AJ199">
        <v>183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ROW(Source!A320)</f>
        <v>320</v>
      </c>
      <c r="B200">
        <v>57035127</v>
      </c>
      <c r="C200">
        <v>57035124</v>
      </c>
      <c r="D200">
        <v>55424304</v>
      </c>
      <c r="E200">
        <v>1081</v>
      </c>
      <c r="F200">
        <v>1</v>
      </c>
      <c r="G200">
        <v>1081</v>
      </c>
      <c r="H200">
        <v>1</v>
      </c>
      <c r="I200" t="s">
        <v>459</v>
      </c>
      <c r="J200" t="s">
        <v>3</v>
      </c>
      <c r="K200" t="s">
        <v>460</v>
      </c>
      <c r="L200">
        <v>1191</v>
      </c>
      <c r="N200">
        <v>1013</v>
      </c>
      <c r="O200" t="s">
        <v>461</v>
      </c>
      <c r="P200" t="s">
        <v>461</v>
      </c>
      <c r="Q200">
        <v>1</v>
      </c>
      <c r="X200">
        <v>11.7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 t="s">
        <v>105</v>
      </c>
      <c r="AG200">
        <v>14.04</v>
      </c>
      <c r="AH200">
        <v>2</v>
      </c>
      <c r="AI200">
        <v>57035125</v>
      </c>
      <c r="AJ200">
        <v>185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ROW(Source!A323)</f>
        <v>323</v>
      </c>
      <c r="B201">
        <v>57035133</v>
      </c>
      <c r="C201">
        <v>57035129</v>
      </c>
      <c r="D201">
        <v>55424304</v>
      </c>
      <c r="E201">
        <v>1081</v>
      </c>
      <c r="F201">
        <v>1</v>
      </c>
      <c r="G201">
        <v>1081</v>
      </c>
      <c r="H201">
        <v>1</v>
      </c>
      <c r="I201" t="s">
        <v>459</v>
      </c>
      <c r="J201" t="s">
        <v>3</v>
      </c>
      <c r="K201" t="s">
        <v>460</v>
      </c>
      <c r="L201">
        <v>1191</v>
      </c>
      <c r="N201">
        <v>1013</v>
      </c>
      <c r="O201" t="s">
        <v>461</v>
      </c>
      <c r="P201" t="s">
        <v>461</v>
      </c>
      <c r="Q201">
        <v>1</v>
      </c>
      <c r="X201">
        <v>1.2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105</v>
      </c>
      <c r="AG201">
        <v>1.44</v>
      </c>
      <c r="AH201">
        <v>2</v>
      </c>
      <c r="AI201">
        <v>57035130</v>
      </c>
      <c r="AJ201">
        <v>187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ROW(Source!A324)</f>
        <v>324</v>
      </c>
      <c r="B202">
        <v>57035133</v>
      </c>
      <c r="C202">
        <v>57035129</v>
      </c>
      <c r="D202">
        <v>55424304</v>
      </c>
      <c r="E202">
        <v>1081</v>
      </c>
      <c r="F202">
        <v>1</v>
      </c>
      <c r="G202">
        <v>1081</v>
      </c>
      <c r="H202">
        <v>1</v>
      </c>
      <c r="I202" t="s">
        <v>459</v>
      </c>
      <c r="J202" t="s">
        <v>3</v>
      </c>
      <c r="K202" t="s">
        <v>460</v>
      </c>
      <c r="L202">
        <v>1191</v>
      </c>
      <c r="N202">
        <v>1013</v>
      </c>
      <c r="O202" t="s">
        <v>461</v>
      </c>
      <c r="P202" t="s">
        <v>461</v>
      </c>
      <c r="Q202">
        <v>1</v>
      </c>
      <c r="X202">
        <v>1.2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 t="s">
        <v>105</v>
      </c>
      <c r="AG202">
        <v>1.44</v>
      </c>
      <c r="AH202">
        <v>2</v>
      </c>
      <c r="AI202">
        <v>57035130</v>
      </c>
      <c r="AJ202">
        <v>190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ROW(Source!A329)</f>
        <v>329</v>
      </c>
      <c r="B203">
        <v>57035144</v>
      </c>
      <c r="C203">
        <v>57035136</v>
      </c>
      <c r="D203">
        <v>55424304</v>
      </c>
      <c r="E203">
        <v>1081</v>
      </c>
      <c r="F203">
        <v>1</v>
      </c>
      <c r="G203">
        <v>1081</v>
      </c>
      <c r="H203">
        <v>1</v>
      </c>
      <c r="I203" t="s">
        <v>459</v>
      </c>
      <c r="J203" t="s">
        <v>3</v>
      </c>
      <c r="K203" t="s">
        <v>460</v>
      </c>
      <c r="L203">
        <v>1191</v>
      </c>
      <c r="N203">
        <v>1013</v>
      </c>
      <c r="O203" t="s">
        <v>461</v>
      </c>
      <c r="P203" t="s">
        <v>461</v>
      </c>
      <c r="Q203">
        <v>1</v>
      </c>
      <c r="X203">
        <v>1.36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 t="s">
        <v>105</v>
      </c>
      <c r="AG203">
        <v>1.6320000000000001</v>
      </c>
      <c r="AH203">
        <v>2</v>
      </c>
      <c r="AI203">
        <v>57035137</v>
      </c>
      <c r="AJ203">
        <v>193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ROW(Source!A329)</f>
        <v>329</v>
      </c>
      <c r="B204">
        <v>57035145</v>
      </c>
      <c r="C204">
        <v>57035136</v>
      </c>
      <c r="D204">
        <v>55490330</v>
      </c>
      <c r="E204">
        <v>1</v>
      </c>
      <c r="F204">
        <v>1</v>
      </c>
      <c r="G204">
        <v>1081</v>
      </c>
      <c r="H204">
        <v>2</v>
      </c>
      <c r="I204" t="s">
        <v>476</v>
      </c>
      <c r="J204" t="s">
        <v>477</v>
      </c>
      <c r="K204" t="s">
        <v>478</v>
      </c>
      <c r="L204">
        <v>1368</v>
      </c>
      <c r="N204">
        <v>1011</v>
      </c>
      <c r="O204" t="s">
        <v>465</v>
      </c>
      <c r="P204" t="s">
        <v>465</v>
      </c>
      <c r="Q204">
        <v>1</v>
      </c>
      <c r="X204">
        <v>1.7000000000000001E-2</v>
      </c>
      <c r="Y204">
        <v>0</v>
      </c>
      <c r="Z204">
        <v>0.8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105</v>
      </c>
      <c r="AG204">
        <v>2.0400000000000001E-2</v>
      </c>
      <c r="AH204">
        <v>2</v>
      </c>
      <c r="AI204">
        <v>57035138</v>
      </c>
      <c r="AJ204">
        <v>194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ROW(Source!A329)</f>
        <v>329</v>
      </c>
      <c r="B205">
        <v>57035146</v>
      </c>
      <c r="C205">
        <v>57035136</v>
      </c>
      <c r="D205">
        <v>55490296</v>
      </c>
      <c r="E205">
        <v>1</v>
      </c>
      <c r="F205">
        <v>1</v>
      </c>
      <c r="G205">
        <v>1081</v>
      </c>
      <c r="H205">
        <v>2</v>
      </c>
      <c r="I205" t="s">
        <v>479</v>
      </c>
      <c r="J205" t="s">
        <v>480</v>
      </c>
      <c r="K205" t="s">
        <v>481</v>
      </c>
      <c r="L205">
        <v>1368</v>
      </c>
      <c r="N205">
        <v>1011</v>
      </c>
      <c r="O205" t="s">
        <v>465</v>
      </c>
      <c r="P205" t="s">
        <v>465</v>
      </c>
      <c r="Q205">
        <v>1</v>
      </c>
      <c r="X205">
        <v>0.02</v>
      </c>
      <c r="Y205">
        <v>0</v>
      </c>
      <c r="Z205">
        <v>0.47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105</v>
      </c>
      <c r="AG205">
        <v>2.4E-2</v>
      </c>
      <c r="AH205">
        <v>2</v>
      </c>
      <c r="AI205">
        <v>57035139</v>
      </c>
      <c r="AJ205">
        <v>195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ROW(Source!A329)</f>
        <v>329</v>
      </c>
      <c r="B206">
        <v>57035147</v>
      </c>
      <c r="C206">
        <v>57035136</v>
      </c>
      <c r="D206">
        <v>55461074</v>
      </c>
      <c r="E206">
        <v>1</v>
      </c>
      <c r="F206">
        <v>1</v>
      </c>
      <c r="G206">
        <v>1081</v>
      </c>
      <c r="H206">
        <v>3</v>
      </c>
      <c r="I206" t="s">
        <v>467</v>
      </c>
      <c r="J206" t="s">
        <v>468</v>
      </c>
      <c r="K206" t="s">
        <v>469</v>
      </c>
      <c r="L206">
        <v>1346</v>
      </c>
      <c r="N206">
        <v>1009</v>
      </c>
      <c r="O206" t="s">
        <v>433</v>
      </c>
      <c r="P206" t="s">
        <v>433</v>
      </c>
      <c r="Q206">
        <v>1</v>
      </c>
      <c r="X206">
        <v>6.2700000000000004E-3</v>
      </c>
      <c r="Y206">
        <v>27.62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104</v>
      </c>
      <c r="AG206">
        <v>6.2700000000000004E-3</v>
      </c>
      <c r="AH206">
        <v>2</v>
      </c>
      <c r="AI206">
        <v>57035140</v>
      </c>
      <c r="AJ206">
        <v>196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ROW(Source!A329)</f>
        <v>329</v>
      </c>
      <c r="B207">
        <v>57035148</v>
      </c>
      <c r="C207">
        <v>57035136</v>
      </c>
      <c r="D207">
        <v>55459793</v>
      </c>
      <c r="E207">
        <v>1</v>
      </c>
      <c r="F207">
        <v>1</v>
      </c>
      <c r="G207">
        <v>1081</v>
      </c>
      <c r="H207">
        <v>3</v>
      </c>
      <c r="I207" t="s">
        <v>470</v>
      </c>
      <c r="J207" t="s">
        <v>471</v>
      </c>
      <c r="K207" t="s">
        <v>472</v>
      </c>
      <c r="L207">
        <v>1348</v>
      </c>
      <c r="N207">
        <v>1009</v>
      </c>
      <c r="O207" t="s">
        <v>299</v>
      </c>
      <c r="P207" t="s">
        <v>299</v>
      </c>
      <c r="Q207">
        <v>1000</v>
      </c>
      <c r="X207">
        <v>1.0000000000000001E-5</v>
      </c>
      <c r="Y207">
        <v>64123.05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104</v>
      </c>
      <c r="AG207">
        <v>1.0000000000000001E-5</v>
      </c>
      <c r="AH207">
        <v>2</v>
      </c>
      <c r="AI207">
        <v>57035141</v>
      </c>
      <c r="AJ207">
        <v>197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ROW(Source!A329)</f>
        <v>329</v>
      </c>
      <c r="B208">
        <v>57035149</v>
      </c>
      <c r="C208">
        <v>57035136</v>
      </c>
      <c r="D208">
        <v>55469253</v>
      </c>
      <c r="E208">
        <v>1</v>
      </c>
      <c r="F208">
        <v>1</v>
      </c>
      <c r="G208">
        <v>1081</v>
      </c>
      <c r="H208">
        <v>3</v>
      </c>
      <c r="I208" t="s">
        <v>473</v>
      </c>
      <c r="J208" t="s">
        <v>474</v>
      </c>
      <c r="K208" t="s">
        <v>475</v>
      </c>
      <c r="L208">
        <v>1354</v>
      </c>
      <c r="N208">
        <v>1010</v>
      </c>
      <c r="O208" t="s">
        <v>177</v>
      </c>
      <c r="P208" t="s">
        <v>177</v>
      </c>
      <c r="Q208">
        <v>1</v>
      </c>
      <c r="X208">
        <v>0.1</v>
      </c>
      <c r="Y208">
        <v>15.25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104</v>
      </c>
      <c r="AG208">
        <v>0.1</v>
      </c>
      <c r="AH208">
        <v>2</v>
      </c>
      <c r="AI208">
        <v>57035142</v>
      </c>
      <c r="AJ208">
        <v>198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ROW(Source!A329)</f>
        <v>329</v>
      </c>
      <c r="B209">
        <v>57035150</v>
      </c>
      <c r="C209">
        <v>57035136</v>
      </c>
      <c r="D209">
        <v>55441128</v>
      </c>
      <c r="E209">
        <v>1081</v>
      </c>
      <c r="F209">
        <v>1</v>
      </c>
      <c r="G209">
        <v>1081</v>
      </c>
      <c r="H209">
        <v>3</v>
      </c>
      <c r="I209" t="s">
        <v>573</v>
      </c>
      <c r="J209" t="s">
        <v>3</v>
      </c>
      <c r="K209" t="s">
        <v>574</v>
      </c>
      <c r="L209">
        <v>1354</v>
      </c>
      <c r="N209">
        <v>1010</v>
      </c>
      <c r="O209" t="s">
        <v>177</v>
      </c>
      <c r="P209" t="s">
        <v>177</v>
      </c>
      <c r="Q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104</v>
      </c>
      <c r="AG209">
        <v>1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ROW(Source!A330)</f>
        <v>330</v>
      </c>
      <c r="B210">
        <v>57035144</v>
      </c>
      <c r="C210">
        <v>57035136</v>
      </c>
      <c r="D210">
        <v>55424304</v>
      </c>
      <c r="E210">
        <v>1081</v>
      </c>
      <c r="F210">
        <v>1</v>
      </c>
      <c r="G210">
        <v>1081</v>
      </c>
      <c r="H210">
        <v>1</v>
      </c>
      <c r="I210" t="s">
        <v>459</v>
      </c>
      <c r="J210" t="s">
        <v>3</v>
      </c>
      <c r="K210" t="s">
        <v>460</v>
      </c>
      <c r="L210">
        <v>1191</v>
      </c>
      <c r="N210">
        <v>1013</v>
      </c>
      <c r="O210" t="s">
        <v>461</v>
      </c>
      <c r="P210" t="s">
        <v>461</v>
      </c>
      <c r="Q210">
        <v>1</v>
      </c>
      <c r="X210">
        <v>1.36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1</v>
      </c>
      <c r="AF210" t="s">
        <v>105</v>
      </c>
      <c r="AG210">
        <v>1.6320000000000001</v>
      </c>
      <c r="AH210">
        <v>2</v>
      </c>
      <c r="AI210">
        <v>57035137</v>
      </c>
      <c r="AJ210">
        <v>200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ROW(Source!A330)</f>
        <v>330</v>
      </c>
      <c r="B211">
        <v>57035145</v>
      </c>
      <c r="C211">
        <v>57035136</v>
      </c>
      <c r="D211">
        <v>55490330</v>
      </c>
      <c r="E211">
        <v>1</v>
      </c>
      <c r="F211">
        <v>1</v>
      </c>
      <c r="G211">
        <v>1081</v>
      </c>
      <c r="H211">
        <v>2</v>
      </c>
      <c r="I211" t="s">
        <v>476</v>
      </c>
      <c r="J211" t="s">
        <v>477</v>
      </c>
      <c r="K211" t="s">
        <v>478</v>
      </c>
      <c r="L211">
        <v>1368</v>
      </c>
      <c r="N211">
        <v>1011</v>
      </c>
      <c r="O211" t="s">
        <v>465</v>
      </c>
      <c r="P211" t="s">
        <v>465</v>
      </c>
      <c r="Q211">
        <v>1</v>
      </c>
      <c r="X211">
        <v>1.7000000000000001E-2</v>
      </c>
      <c r="Y211">
        <v>0</v>
      </c>
      <c r="Z211">
        <v>0.8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105</v>
      </c>
      <c r="AG211">
        <v>2.0400000000000001E-2</v>
      </c>
      <c r="AH211">
        <v>2</v>
      </c>
      <c r="AI211">
        <v>57035138</v>
      </c>
      <c r="AJ211">
        <v>201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ROW(Source!A330)</f>
        <v>330</v>
      </c>
      <c r="B212">
        <v>57035146</v>
      </c>
      <c r="C212">
        <v>57035136</v>
      </c>
      <c r="D212">
        <v>55490296</v>
      </c>
      <c r="E212">
        <v>1</v>
      </c>
      <c r="F212">
        <v>1</v>
      </c>
      <c r="G212">
        <v>1081</v>
      </c>
      <c r="H212">
        <v>2</v>
      </c>
      <c r="I212" t="s">
        <v>479</v>
      </c>
      <c r="J212" t="s">
        <v>480</v>
      </c>
      <c r="K212" t="s">
        <v>481</v>
      </c>
      <c r="L212">
        <v>1368</v>
      </c>
      <c r="N212">
        <v>1011</v>
      </c>
      <c r="O212" t="s">
        <v>465</v>
      </c>
      <c r="P212" t="s">
        <v>465</v>
      </c>
      <c r="Q212">
        <v>1</v>
      </c>
      <c r="X212">
        <v>0.02</v>
      </c>
      <c r="Y212">
        <v>0</v>
      </c>
      <c r="Z212">
        <v>0.47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105</v>
      </c>
      <c r="AG212">
        <v>2.4E-2</v>
      </c>
      <c r="AH212">
        <v>2</v>
      </c>
      <c r="AI212">
        <v>57035139</v>
      </c>
      <c r="AJ212">
        <v>202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ROW(Source!A330)</f>
        <v>330</v>
      </c>
      <c r="B213">
        <v>57035147</v>
      </c>
      <c r="C213">
        <v>57035136</v>
      </c>
      <c r="D213">
        <v>55461074</v>
      </c>
      <c r="E213">
        <v>1</v>
      </c>
      <c r="F213">
        <v>1</v>
      </c>
      <c r="G213">
        <v>1081</v>
      </c>
      <c r="H213">
        <v>3</v>
      </c>
      <c r="I213" t="s">
        <v>467</v>
      </c>
      <c r="J213" t="s">
        <v>468</v>
      </c>
      <c r="K213" t="s">
        <v>469</v>
      </c>
      <c r="L213">
        <v>1346</v>
      </c>
      <c r="N213">
        <v>1009</v>
      </c>
      <c r="O213" t="s">
        <v>433</v>
      </c>
      <c r="P213" t="s">
        <v>433</v>
      </c>
      <c r="Q213">
        <v>1</v>
      </c>
      <c r="X213">
        <v>6.2700000000000004E-3</v>
      </c>
      <c r="Y213">
        <v>27.62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104</v>
      </c>
      <c r="AG213">
        <v>6.2700000000000004E-3</v>
      </c>
      <c r="AH213">
        <v>2</v>
      </c>
      <c r="AI213">
        <v>57035140</v>
      </c>
      <c r="AJ213">
        <v>203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ROW(Source!A330)</f>
        <v>330</v>
      </c>
      <c r="B214">
        <v>57035148</v>
      </c>
      <c r="C214">
        <v>57035136</v>
      </c>
      <c r="D214">
        <v>55459793</v>
      </c>
      <c r="E214">
        <v>1</v>
      </c>
      <c r="F214">
        <v>1</v>
      </c>
      <c r="G214">
        <v>1081</v>
      </c>
      <c r="H214">
        <v>3</v>
      </c>
      <c r="I214" t="s">
        <v>470</v>
      </c>
      <c r="J214" t="s">
        <v>471</v>
      </c>
      <c r="K214" t="s">
        <v>472</v>
      </c>
      <c r="L214">
        <v>1348</v>
      </c>
      <c r="N214">
        <v>1009</v>
      </c>
      <c r="O214" t="s">
        <v>299</v>
      </c>
      <c r="P214" t="s">
        <v>299</v>
      </c>
      <c r="Q214">
        <v>1000</v>
      </c>
      <c r="X214">
        <v>1.0000000000000001E-5</v>
      </c>
      <c r="Y214">
        <v>64123.05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104</v>
      </c>
      <c r="AG214">
        <v>1.0000000000000001E-5</v>
      </c>
      <c r="AH214">
        <v>2</v>
      </c>
      <c r="AI214">
        <v>57035141</v>
      </c>
      <c r="AJ214">
        <v>204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ROW(Source!A330)</f>
        <v>330</v>
      </c>
      <c r="B215">
        <v>57035149</v>
      </c>
      <c r="C215">
        <v>57035136</v>
      </c>
      <c r="D215">
        <v>55469253</v>
      </c>
      <c r="E215">
        <v>1</v>
      </c>
      <c r="F215">
        <v>1</v>
      </c>
      <c r="G215">
        <v>1081</v>
      </c>
      <c r="H215">
        <v>3</v>
      </c>
      <c r="I215" t="s">
        <v>473</v>
      </c>
      <c r="J215" t="s">
        <v>474</v>
      </c>
      <c r="K215" t="s">
        <v>475</v>
      </c>
      <c r="L215">
        <v>1354</v>
      </c>
      <c r="N215">
        <v>1010</v>
      </c>
      <c r="O215" t="s">
        <v>177</v>
      </c>
      <c r="P215" t="s">
        <v>177</v>
      </c>
      <c r="Q215">
        <v>1</v>
      </c>
      <c r="X215">
        <v>0.1</v>
      </c>
      <c r="Y215">
        <v>15.25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104</v>
      </c>
      <c r="AG215">
        <v>0.1</v>
      </c>
      <c r="AH215">
        <v>2</v>
      </c>
      <c r="AI215">
        <v>57035142</v>
      </c>
      <c r="AJ215">
        <v>205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ROW(Source!A330)</f>
        <v>330</v>
      </c>
      <c r="B216">
        <v>57035150</v>
      </c>
      <c r="C216">
        <v>57035136</v>
      </c>
      <c r="D216">
        <v>55441128</v>
      </c>
      <c r="E216">
        <v>1081</v>
      </c>
      <c r="F216">
        <v>1</v>
      </c>
      <c r="G216">
        <v>1081</v>
      </c>
      <c r="H216">
        <v>3</v>
      </c>
      <c r="I216" t="s">
        <v>573</v>
      </c>
      <c r="J216" t="s">
        <v>3</v>
      </c>
      <c r="K216" t="s">
        <v>574</v>
      </c>
      <c r="L216">
        <v>1354</v>
      </c>
      <c r="N216">
        <v>1010</v>
      </c>
      <c r="O216" t="s">
        <v>177</v>
      </c>
      <c r="P216" t="s">
        <v>177</v>
      </c>
      <c r="Q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104</v>
      </c>
      <c r="AG216">
        <v>1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ROW(Source!A368)</f>
        <v>368</v>
      </c>
      <c r="B217">
        <v>57036082</v>
      </c>
      <c r="C217">
        <v>57036076</v>
      </c>
      <c r="D217">
        <v>55424304</v>
      </c>
      <c r="E217">
        <v>1081</v>
      </c>
      <c r="F217">
        <v>1</v>
      </c>
      <c r="G217">
        <v>1081</v>
      </c>
      <c r="H217">
        <v>1</v>
      </c>
      <c r="I217" t="s">
        <v>459</v>
      </c>
      <c r="J217" t="s">
        <v>3</v>
      </c>
      <c r="K217" t="s">
        <v>460</v>
      </c>
      <c r="L217">
        <v>1191</v>
      </c>
      <c r="N217">
        <v>1013</v>
      </c>
      <c r="O217" t="s">
        <v>461</v>
      </c>
      <c r="P217" t="s">
        <v>461</v>
      </c>
      <c r="Q217">
        <v>1</v>
      </c>
      <c r="X217">
        <v>0.52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 t="s">
        <v>105</v>
      </c>
      <c r="AG217">
        <v>0.624</v>
      </c>
      <c r="AH217">
        <v>2</v>
      </c>
      <c r="AI217">
        <v>57036082</v>
      </c>
      <c r="AJ217">
        <v>207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ROW(Source!A368)</f>
        <v>368</v>
      </c>
      <c r="B218">
        <v>57036083</v>
      </c>
      <c r="C218">
        <v>57036076</v>
      </c>
      <c r="D218">
        <v>55417010</v>
      </c>
      <c r="E218">
        <v>1081</v>
      </c>
      <c r="F218">
        <v>1</v>
      </c>
      <c r="G218">
        <v>1081</v>
      </c>
      <c r="H218">
        <v>3</v>
      </c>
      <c r="I218" t="s">
        <v>577</v>
      </c>
      <c r="J218" t="s">
        <v>3</v>
      </c>
      <c r="K218" t="s">
        <v>578</v>
      </c>
      <c r="L218">
        <v>1346</v>
      </c>
      <c r="N218">
        <v>1009</v>
      </c>
      <c r="O218" t="s">
        <v>433</v>
      </c>
      <c r="P218" t="s">
        <v>433</v>
      </c>
      <c r="Q218">
        <v>1</v>
      </c>
      <c r="X218">
        <v>3.5000000000000003E-2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104</v>
      </c>
      <c r="AG218">
        <v>3.5000000000000003E-2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ROW(Source!A368)</f>
        <v>368</v>
      </c>
      <c r="B219">
        <v>57036084</v>
      </c>
      <c r="C219">
        <v>57036076</v>
      </c>
      <c r="D219">
        <v>55440935</v>
      </c>
      <c r="E219">
        <v>1081</v>
      </c>
      <c r="F219">
        <v>1</v>
      </c>
      <c r="G219">
        <v>1081</v>
      </c>
      <c r="H219">
        <v>3</v>
      </c>
      <c r="I219" t="s">
        <v>569</v>
      </c>
      <c r="J219" t="s">
        <v>3</v>
      </c>
      <c r="K219" t="s">
        <v>595</v>
      </c>
      <c r="L219">
        <v>1354</v>
      </c>
      <c r="N219">
        <v>1010</v>
      </c>
      <c r="O219" t="s">
        <v>177</v>
      </c>
      <c r="P219" t="s">
        <v>177</v>
      </c>
      <c r="Q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104</v>
      </c>
      <c r="AG219">
        <v>1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ROW(Source!A369)</f>
        <v>369</v>
      </c>
      <c r="B220">
        <v>57036082</v>
      </c>
      <c r="C220">
        <v>57036076</v>
      </c>
      <c r="D220">
        <v>55424304</v>
      </c>
      <c r="E220">
        <v>1081</v>
      </c>
      <c r="F220">
        <v>1</v>
      </c>
      <c r="G220">
        <v>1081</v>
      </c>
      <c r="H220">
        <v>1</v>
      </c>
      <c r="I220" t="s">
        <v>459</v>
      </c>
      <c r="J220" t="s">
        <v>3</v>
      </c>
      <c r="K220" t="s">
        <v>460</v>
      </c>
      <c r="L220">
        <v>1191</v>
      </c>
      <c r="N220">
        <v>1013</v>
      </c>
      <c r="O220" t="s">
        <v>461</v>
      </c>
      <c r="P220" t="s">
        <v>461</v>
      </c>
      <c r="Q220">
        <v>1</v>
      </c>
      <c r="X220">
        <v>0.52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 t="s">
        <v>105</v>
      </c>
      <c r="AG220">
        <v>0.624</v>
      </c>
      <c r="AH220">
        <v>2</v>
      </c>
      <c r="AI220">
        <v>57036082</v>
      </c>
      <c r="AJ220">
        <v>209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ROW(Source!A369)</f>
        <v>369</v>
      </c>
      <c r="B221">
        <v>57036083</v>
      </c>
      <c r="C221">
        <v>57036076</v>
      </c>
      <c r="D221">
        <v>55417010</v>
      </c>
      <c r="E221">
        <v>1081</v>
      </c>
      <c r="F221">
        <v>1</v>
      </c>
      <c r="G221">
        <v>1081</v>
      </c>
      <c r="H221">
        <v>3</v>
      </c>
      <c r="I221" t="s">
        <v>577</v>
      </c>
      <c r="J221" t="s">
        <v>3</v>
      </c>
      <c r="K221" t="s">
        <v>578</v>
      </c>
      <c r="L221">
        <v>1346</v>
      </c>
      <c r="N221">
        <v>1009</v>
      </c>
      <c r="O221" t="s">
        <v>433</v>
      </c>
      <c r="P221" t="s">
        <v>433</v>
      </c>
      <c r="Q221">
        <v>1</v>
      </c>
      <c r="X221">
        <v>3.5000000000000003E-2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104</v>
      </c>
      <c r="AG221">
        <v>3.5000000000000003E-2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ROW(Source!A369)</f>
        <v>369</v>
      </c>
      <c r="B222">
        <v>57036084</v>
      </c>
      <c r="C222">
        <v>57036076</v>
      </c>
      <c r="D222">
        <v>55440935</v>
      </c>
      <c r="E222">
        <v>1081</v>
      </c>
      <c r="F222">
        <v>1</v>
      </c>
      <c r="G222">
        <v>1081</v>
      </c>
      <c r="H222">
        <v>3</v>
      </c>
      <c r="I222" t="s">
        <v>569</v>
      </c>
      <c r="J222" t="s">
        <v>3</v>
      </c>
      <c r="K222" t="s">
        <v>595</v>
      </c>
      <c r="L222">
        <v>1354</v>
      </c>
      <c r="N222">
        <v>1010</v>
      </c>
      <c r="O222" t="s">
        <v>177</v>
      </c>
      <c r="P222" t="s">
        <v>177</v>
      </c>
      <c r="Q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104</v>
      </c>
      <c r="AG222">
        <v>1</v>
      </c>
      <c r="AH222">
        <v>3</v>
      </c>
      <c r="AI222">
        <v>-1</v>
      </c>
      <c r="AJ222" t="s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ROW(Source!A374)</f>
        <v>374</v>
      </c>
      <c r="B223">
        <v>57035162</v>
      </c>
      <c r="C223">
        <v>57035158</v>
      </c>
      <c r="D223">
        <v>55424304</v>
      </c>
      <c r="E223">
        <v>1081</v>
      </c>
      <c r="F223">
        <v>1</v>
      </c>
      <c r="G223">
        <v>1081</v>
      </c>
      <c r="H223">
        <v>1</v>
      </c>
      <c r="I223" t="s">
        <v>459</v>
      </c>
      <c r="J223" t="s">
        <v>3</v>
      </c>
      <c r="K223" t="s">
        <v>460</v>
      </c>
      <c r="L223">
        <v>1191</v>
      </c>
      <c r="N223">
        <v>1013</v>
      </c>
      <c r="O223" t="s">
        <v>461</v>
      </c>
      <c r="P223" t="s">
        <v>461</v>
      </c>
      <c r="Q223">
        <v>1</v>
      </c>
      <c r="X223">
        <v>1.03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 t="s">
        <v>105</v>
      </c>
      <c r="AG223">
        <v>1.236</v>
      </c>
      <c r="AH223">
        <v>2</v>
      </c>
      <c r="AI223">
        <v>57035159</v>
      </c>
      <c r="AJ223">
        <v>211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ROW(Source!A374)</f>
        <v>374</v>
      </c>
      <c r="B224">
        <v>57035163</v>
      </c>
      <c r="C224">
        <v>57035158</v>
      </c>
      <c r="D224">
        <v>55490209</v>
      </c>
      <c r="E224">
        <v>1</v>
      </c>
      <c r="F224">
        <v>1</v>
      </c>
      <c r="G224">
        <v>1081</v>
      </c>
      <c r="H224">
        <v>2</v>
      </c>
      <c r="I224" t="s">
        <v>462</v>
      </c>
      <c r="J224" t="s">
        <v>463</v>
      </c>
      <c r="K224" t="s">
        <v>464</v>
      </c>
      <c r="L224">
        <v>1368</v>
      </c>
      <c r="N224">
        <v>1011</v>
      </c>
      <c r="O224" t="s">
        <v>465</v>
      </c>
      <c r="P224" t="s">
        <v>465</v>
      </c>
      <c r="Q224">
        <v>1</v>
      </c>
      <c r="X224">
        <v>0.03</v>
      </c>
      <c r="Y224">
        <v>0</v>
      </c>
      <c r="Z224">
        <v>83.1</v>
      </c>
      <c r="AA224">
        <v>12.62</v>
      </c>
      <c r="AB224">
        <v>0</v>
      </c>
      <c r="AC224">
        <v>0</v>
      </c>
      <c r="AD224">
        <v>1</v>
      </c>
      <c r="AE224">
        <v>0</v>
      </c>
      <c r="AF224" t="s">
        <v>105</v>
      </c>
      <c r="AG224">
        <v>3.5999999999999997E-2</v>
      </c>
      <c r="AH224">
        <v>2</v>
      </c>
      <c r="AI224">
        <v>57035160</v>
      </c>
      <c r="AJ224">
        <v>212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ROW(Source!A374)</f>
        <v>374</v>
      </c>
      <c r="B225">
        <v>57035164</v>
      </c>
      <c r="C225">
        <v>57035158</v>
      </c>
      <c r="D225">
        <v>55416982</v>
      </c>
      <c r="E225">
        <v>1081</v>
      </c>
      <c r="F225">
        <v>1</v>
      </c>
      <c r="G225">
        <v>1081</v>
      </c>
      <c r="H225">
        <v>3</v>
      </c>
      <c r="I225" t="s">
        <v>577</v>
      </c>
      <c r="J225" t="s">
        <v>3</v>
      </c>
      <c r="K225" t="s">
        <v>578</v>
      </c>
      <c r="L225">
        <v>1346</v>
      </c>
      <c r="N225">
        <v>1009</v>
      </c>
      <c r="O225" t="s">
        <v>433</v>
      </c>
      <c r="P225" t="s">
        <v>433</v>
      </c>
      <c r="Q225">
        <v>1</v>
      </c>
      <c r="X225">
        <v>6.3E-2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104</v>
      </c>
      <c r="AG225">
        <v>6.3E-2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ROW(Source!A374)</f>
        <v>374</v>
      </c>
      <c r="B226">
        <v>57035165</v>
      </c>
      <c r="C226">
        <v>57035158</v>
      </c>
      <c r="D226">
        <v>55431407</v>
      </c>
      <c r="E226">
        <v>1081</v>
      </c>
      <c r="F226">
        <v>1</v>
      </c>
      <c r="G226">
        <v>1081</v>
      </c>
      <c r="H226">
        <v>3</v>
      </c>
      <c r="I226" t="s">
        <v>579</v>
      </c>
      <c r="J226" t="s">
        <v>3</v>
      </c>
      <c r="K226" t="s">
        <v>580</v>
      </c>
      <c r="L226">
        <v>1354</v>
      </c>
      <c r="N226">
        <v>1010</v>
      </c>
      <c r="O226" t="s">
        <v>177</v>
      </c>
      <c r="P226" t="s">
        <v>177</v>
      </c>
      <c r="Q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104</v>
      </c>
      <c r="AG226">
        <v>1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ROW(Source!A375)</f>
        <v>375</v>
      </c>
      <c r="B227">
        <v>57035162</v>
      </c>
      <c r="C227">
        <v>57035158</v>
      </c>
      <c r="D227">
        <v>55424304</v>
      </c>
      <c r="E227">
        <v>1081</v>
      </c>
      <c r="F227">
        <v>1</v>
      </c>
      <c r="G227">
        <v>1081</v>
      </c>
      <c r="H227">
        <v>1</v>
      </c>
      <c r="I227" t="s">
        <v>459</v>
      </c>
      <c r="J227" t="s">
        <v>3</v>
      </c>
      <c r="K227" t="s">
        <v>460</v>
      </c>
      <c r="L227">
        <v>1191</v>
      </c>
      <c r="N227">
        <v>1013</v>
      </c>
      <c r="O227" t="s">
        <v>461</v>
      </c>
      <c r="P227" t="s">
        <v>461</v>
      </c>
      <c r="Q227">
        <v>1</v>
      </c>
      <c r="X227">
        <v>1.03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105</v>
      </c>
      <c r="AG227">
        <v>1.236</v>
      </c>
      <c r="AH227">
        <v>2</v>
      </c>
      <c r="AI227">
        <v>57035159</v>
      </c>
      <c r="AJ227">
        <v>214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ROW(Source!A375)</f>
        <v>375</v>
      </c>
      <c r="B228">
        <v>57035163</v>
      </c>
      <c r="C228">
        <v>57035158</v>
      </c>
      <c r="D228">
        <v>55490209</v>
      </c>
      <c r="E228">
        <v>1</v>
      </c>
      <c r="F228">
        <v>1</v>
      </c>
      <c r="G228">
        <v>1081</v>
      </c>
      <c r="H228">
        <v>2</v>
      </c>
      <c r="I228" t="s">
        <v>462</v>
      </c>
      <c r="J228" t="s">
        <v>463</v>
      </c>
      <c r="K228" t="s">
        <v>464</v>
      </c>
      <c r="L228">
        <v>1368</v>
      </c>
      <c r="N228">
        <v>1011</v>
      </c>
      <c r="O228" t="s">
        <v>465</v>
      </c>
      <c r="P228" t="s">
        <v>465</v>
      </c>
      <c r="Q228">
        <v>1</v>
      </c>
      <c r="X228">
        <v>0.03</v>
      </c>
      <c r="Y228">
        <v>0</v>
      </c>
      <c r="Z228">
        <v>83.1</v>
      </c>
      <c r="AA228">
        <v>12.62</v>
      </c>
      <c r="AB228">
        <v>0</v>
      </c>
      <c r="AC228">
        <v>0</v>
      </c>
      <c r="AD228">
        <v>1</v>
      </c>
      <c r="AE228">
        <v>0</v>
      </c>
      <c r="AF228" t="s">
        <v>105</v>
      </c>
      <c r="AG228">
        <v>3.5999999999999997E-2</v>
      </c>
      <c r="AH228">
        <v>2</v>
      </c>
      <c r="AI228">
        <v>57035160</v>
      </c>
      <c r="AJ228">
        <v>215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ROW(Source!A375)</f>
        <v>375</v>
      </c>
      <c r="B229">
        <v>57035164</v>
      </c>
      <c r="C229">
        <v>57035158</v>
      </c>
      <c r="D229">
        <v>55416982</v>
      </c>
      <c r="E229">
        <v>1081</v>
      </c>
      <c r="F229">
        <v>1</v>
      </c>
      <c r="G229">
        <v>1081</v>
      </c>
      <c r="H229">
        <v>3</v>
      </c>
      <c r="I229" t="s">
        <v>577</v>
      </c>
      <c r="J229" t="s">
        <v>3</v>
      </c>
      <c r="K229" t="s">
        <v>578</v>
      </c>
      <c r="L229">
        <v>1346</v>
      </c>
      <c r="N229">
        <v>1009</v>
      </c>
      <c r="O229" t="s">
        <v>433</v>
      </c>
      <c r="P229" t="s">
        <v>433</v>
      </c>
      <c r="Q229">
        <v>1</v>
      </c>
      <c r="X229">
        <v>6.3E-2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104</v>
      </c>
      <c r="AG229">
        <v>6.3E-2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ROW(Source!A375)</f>
        <v>375</v>
      </c>
      <c r="B230">
        <v>57035165</v>
      </c>
      <c r="C230">
        <v>57035158</v>
      </c>
      <c r="D230">
        <v>55431407</v>
      </c>
      <c r="E230">
        <v>1081</v>
      </c>
      <c r="F230">
        <v>1</v>
      </c>
      <c r="G230">
        <v>1081</v>
      </c>
      <c r="H230">
        <v>3</v>
      </c>
      <c r="I230" t="s">
        <v>579</v>
      </c>
      <c r="J230" t="s">
        <v>3</v>
      </c>
      <c r="K230" t="s">
        <v>580</v>
      </c>
      <c r="L230">
        <v>1354</v>
      </c>
      <c r="N230">
        <v>1010</v>
      </c>
      <c r="O230" t="s">
        <v>177</v>
      </c>
      <c r="P230" t="s">
        <v>177</v>
      </c>
      <c r="Q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104</v>
      </c>
      <c r="AG230">
        <v>1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ROW(Source!A378)</f>
        <v>378</v>
      </c>
      <c r="B231">
        <v>57035179</v>
      </c>
      <c r="C231">
        <v>57035174</v>
      </c>
      <c r="D231">
        <v>55424304</v>
      </c>
      <c r="E231">
        <v>1081</v>
      </c>
      <c r="F231">
        <v>1</v>
      </c>
      <c r="G231">
        <v>1081</v>
      </c>
      <c r="H231">
        <v>1</v>
      </c>
      <c r="I231" t="s">
        <v>459</v>
      </c>
      <c r="J231" t="s">
        <v>3</v>
      </c>
      <c r="K231" t="s">
        <v>460</v>
      </c>
      <c r="L231">
        <v>1191</v>
      </c>
      <c r="N231">
        <v>1013</v>
      </c>
      <c r="O231" t="s">
        <v>461</v>
      </c>
      <c r="P231" t="s">
        <v>461</v>
      </c>
      <c r="Q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105</v>
      </c>
      <c r="AG231">
        <v>1.2</v>
      </c>
      <c r="AH231">
        <v>2</v>
      </c>
      <c r="AI231">
        <v>57035175</v>
      </c>
      <c r="AJ231">
        <v>217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ROW(Source!A378)</f>
        <v>378</v>
      </c>
      <c r="B232">
        <v>57035180</v>
      </c>
      <c r="C232">
        <v>57035174</v>
      </c>
      <c r="D232">
        <v>55459793</v>
      </c>
      <c r="E232">
        <v>1</v>
      </c>
      <c r="F232">
        <v>1</v>
      </c>
      <c r="G232">
        <v>1081</v>
      </c>
      <c r="H232">
        <v>3</v>
      </c>
      <c r="I232" t="s">
        <v>470</v>
      </c>
      <c r="J232" t="s">
        <v>471</v>
      </c>
      <c r="K232" t="s">
        <v>472</v>
      </c>
      <c r="L232">
        <v>1348</v>
      </c>
      <c r="N232">
        <v>1009</v>
      </c>
      <c r="O232" t="s">
        <v>299</v>
      </c>
      <c r="P232" t="s">
        <v>299</v>
      </c>
      <c r="Q232">
        <v>1000</v>
      </c>
      <c r="X232">
        <v>1.0000000000000001E-5</v>
      </c>
      <c r="Y232">
        <v>64123.05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104</v>
      </c>
      <c r="AG232">
        <v>1.0000000000000001E-5</v>
      </c>
      <c r="AH232">
        <v>2</v>
      </c>
      <c r="AI232">
        <v>57035176</v>
      </c>
      <c r="AJ232">
        <v>218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ROW(Source!A378)</f>
        <v>378</v>
      </c>
      <c r="B233">
        <v>57035181</v>
      </c>
      <c r="C233">
        <v>57035174</v>
      </c>
      <c r="D233">
        <v>55487942</v>
      </c>
      <c r="E233">
        <v>1</v>
      </c>
      <c r="F233">
        <v>1</v>
      </c>
      <c r="G233">
        <v>1081</v>
      </c>
      <c r="H233">
        <v>3</v>
      </c>
      <c r="I233" t="s">
        <v>482</v>
      </c>
      <c r="J233" t="s">
        <v>483</v>
      </c>
      <c r="K233" t="s">
        <v>484</v>
      </c>
      <c r="L233">
        <v>1303</v>
      </c>
      <c r="N233">
        <v>1003</v>
      </c>
      <c r="O233" t="s">
        <v>485</v>
      </c>
      <c r="P233" t="s">
        <v>485</v>
      </c>
      <c r="Q233">
        <v>1000</v>
      </c>
      <c r="X233">
        <v>2E-3</v>
      </c>
      <c r="Y233">
        <v>516.63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104</v>
      </c>
      <c r="AG233">
        <v>2E-3</v>
      </c>
      <c r="AH233">
        <v>2</v>
      </c>
      <c r="AI233">
        <v>57035177</v>
      </c>
      <c r="AJ233">
        <v>219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ROW(Source!A378)</f>
        <v>378</v>
      </c>
      <c r="B234">
        <v>57035182</v>
      </c>
      <c r="C234">
        <v>57035174</v>
      </c>
      <c r="D234">
        <v>55431425</v>
      </c>
      <c r="E234">
        <v>1081</v>
      </c>
      <c r="F234">
        <v>1</v>
      </c>
      <c r="G234">
        <v>1081</v>
      </c>
      <c r="H234">
        <v>3</v>
      </c>
      <c r="I234" t="s">
        <v>575</v>
      </c>
      <c r="J234" t="s">
        <v>3</v>
      </c>
      <c r="K234" t="s">
        <v>576</v>
      </c>
      <c r="L234">
        <v>1354</v>
      </c>
      <c r="N234">
        <v>1010</v>
      </c>
      <c r="O234" t="s">
        <v>177</v>
      </c>
      <c r="P234" t="s">
        <v>177</v>
      </c>
      <c r="Q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104</v>
      </c>
      <c r="AG234">
        <v>1</v>
      </c>
      <c r="AH234">
        <v>3</v>
      </c>
      <c r="AI234">
        <v>-1</v>
      </c>
      <c r="AJ234" t="s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ROW(Source!A379)</f>
        <v>379</v>
      </c>
      <c r="B235">
        <v>57035179</v>
      </c>
      <c r="C235">
        <v>57035174</v>
      </c>
      <c r="D235">
        <v>55424304</v>
      </c>
      <c r="E235">
        <v>1081</v>
      </c>
      <c r="F235">
        <v>1</v>
      </c>
      <c r="G235">
        <v>1081</v>
      </c>
      <c r="H235">
        <v>1</v>
      </c>
      <c r="I235" t="s">
        <v>459</v>
      </c>
      <c r="J235" t="s">
        <v>3</v>
      </c>
      <c r="K235" t="s">
        <v>460</v>
      </c>
      <c r="L235">
        <v>1191</v>
      </c>
      <c r="N235">
        <v>1013</v>
      </c>
      <c r="O235" t="s">
        <v>461</v>
      </c>
      <c r="P235" t="s">
        <v>461</v>
      </c>
      <c r="Q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1</v>
      </c>
      <c r="AF235" t="s">
        <v>105</v>
      </c>
      <c r="AG235">
        <v>1.2</v>
      </c>
      <c r="AH235">
        <v>2</v>
      </c>
      <c r="AI235">
        <v>57035175</v>
      </c>
      <c r="AJ235">
        <v>221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ROW(Source!A379)</f>
        <v>379</v>
      </c>
      <c r="B236">
        <v>57035180</v>
      </c>
      <c r="C236">
        <v>57035174</v>
      </c>
      <c r="D236">
        <v>55459793</v>
      </c>
      <c r="E236">
        <v>1</v>
      </c>
      <c r="F236">
        <v>1</v>
      </c>
      <c r="G236">
        <v>1081</v>
      </c>
      <c r="H236">
        <v>3</v>
      </c>
      <c r="I236" t="s">
        <v>470</v>
      </c>
      <c r="J236" t="s">
        <v>471</v>
      </c>
      <c r="K236" t="s">
        <v>472</v>
      </c>
      <c r="L236">
        <v>1348</v>
      </c>
      <c r="N236">
        <v>1009</v>
      </c>
      <c r="O236" t="s">
        <v>299</v>
      </c>
      <c r="P236" t="s">
        <v>299</v>
      </c>
      <c r="Q236">
        <v>1000</v>
      </c>
      <c r="X236">
        <v>1.0000000000000001E-5</v>
      </c>
      <c r="Y236">
        <v>64123.05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104</v>
      </c>
      <c r="AG236">
        <v>1.0000000000000001E-5</v>
      </c>
      <c r="AH236">
        <v>2</v>
      </c>
      <c r="AI236">
        <v>57035176</v>
      </c>
      <c r="AJ236">
        <v>222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ROW(Source!A379)</f>
        <v>379</v>
      </c>
      <c r="B237">
        <v>57035181</v>
      </c>
      <c r="C237">
        <v>57035174</v>
      </c>
      <c r="D237">
        <v>55487942</v>
      </c>
      <c r="E237">
        <v>1</v>
      </c>
      <c r="F237">
        <v>1</v>
      </c>
      <c r="G237">
        <v>1081</v>
      </c>
      <c r="H237">
        <v>3</v>
      </c>
      <c r="I237" t="s">
        <v>482</v>
      </c>
      <c r="J237" t="s">
        <v>483</v>
      </c>
      <c r="K237" t="s">
        <v>484</v>
      </c>
      <c r="L237">
        <v>1303</v>
      </c>
      <c r="N237">
        <v>1003</v>
      </c>
      <c r="O237" t="s">
        <v>485</v>
      </c>
      <c r="P237" t="s">
        <v>485</v>
      </c>
      <c r="Q237">
        <v>1000</v>
      </c>
      <c r="X237">
        <v>2E-3</v>
      </c>
      <c r="Y237">
        <v>516.63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104</v>
      </c>
      <c r="AG237">
        <v>2E-3</v>
      </c>
      <c r="AH237">
        <v>2</v>
      </c>
      <c r="AI237">
        <v>57035177</v>
      </c>
      <c r="AJ237">
        <v>223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ROW(Source!A379)</f>
        <v>379</v>
      </c>
      <c r="B238">
        <v>57035182</v>
      </c>
      <c r="C238">
        <v>57035174</v>
      </c>
      <c r="D238">
        <v>55431425</v>
      </c>
      <c r="E238">
        <v>1081</v>
      </c>
      <c r="F238">
        <v>1</v>
      </c>
      <c r="G238">
        <v>1081</v>
      </c>
      <c r="H238">
        <v>3</v>
      </c>
      <c r="I238" t="s">
        <v>575</v>
      </c>
      <c r="J238" t="s">
        <v>3</v>
      </c>
      <c r="K238" t="s">
        <v>576</v>
      </c>
      <c r="L238">
        <v>1354</v>
      </c>
      <c r="N238">
        <v>1010</v>
      </c>
      <c r="O238" t="s">
        <v>177</v>
      </c>
      <c r="P238" t="s">
        <v>177</v>
      </c>
      <c r="Q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104</v>
      </c>
      <c r="AG238">
        <v>1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ROW(Source!A382)</f>
        <v>382</v>
      </c>
      <c r="B239">
        <v>57035188</v>
      </c>
      <c r="C239">
        <v>57035185</v>
      </c>
      <c r="D239">
        <v>55424304</v>
      </c>
      <c r="E239">
        <v>1081</v>
      </c>
      <c r="F239">
        <v>1</v>
      </c>
      <c r="G239">
        <v>1081</v>
      </c>
      <c r="H239">
        <v>1</v>
      </c>
      <c r="I239" t="s">
        <v>459</v>
      </c>
      <c r="J239" t="s">
        <v>3</v>
      </c>
      <c r="K239" t="s">
        <v>460</v>
      </c>
      <c r="L239">
        <v>1191</v>
      </c>
      <c r="N239">
        <v>1013</v>
      </c>
      <c r="O239" t="s">
        <v>461</v>
      </c>
      <c r="P239" t="s">
        <v>461</v>
      </c>
      <c r="Q239">
        <v>1</v>
      </c>
      <c r="X239">
        <v>1.2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1</v>
      </c>
      <c r="AF239" t="s">
        <v>105</v>
      </c>
      <c r="AG239">
        <v>1.44</v>
      </c>
      <c r="AH239">
        <v>2</v>
      </c>
      <c r="AI239">
        <v>57035186</v>
      </c>
      <c r="AJ239">
        <v>225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ROW(Source!A383)</f>
        <v>383</v>
      </c>
      <c r="B240">
        <v>57035188</v>
      </c>
      <c r="C240">
        <v>57035185</v>
      </c>
      <c r="D240">
        <v>55424304</v>
      </c>
      <c r="E240">
        <v>1081</v>
      </c>
      <c r="F240">
        <v>1</v>
      </c>
      <c r="G240">
        <v>1081</v>
      </c>
      <c r="H240">
        <v>1</v>
      </c>
      <c r="I240" t="s">
        <v>459</v>
      </c>
      <c r="J240" t="s">
        <v>3</v>
      </c>
      <c r="K240" t="s">
        <v>460</v>
      </c>
      <c r="L240">
        <v>1191</v>
      </c>
      <c r="N240">
        <v>1013</v>
      </c>
      <c r="O240" t="s">
        <v>461</v>
      </c>
      <c r="P240" t="s">
        <v>461</v>
      </c>
      <c r="Q240">
        <v>1</v>
      </c>
      <c r="X240">
        <v>1.2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1</v>
      </c>
      <c r="AF240" t="s">
        <v>105</v>
      </c>
      <c r="AG240">
        <v>1.44</v>
      </c>
      <c r="AH240">
        <v>2</v>
      </c>
      <c r="AI240">
        <v>57035186</v>
      </c>
      <c r="AJ240">
        <v>227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ROW(Source!A386)</f>
        <v>386</v>
      </c>
      <c r="B241">
        <v>57036092</v>
      </c>
      <c r="C241">
        <v>57036091</v>
      </c>
      <c r="D241">
        <v>55424304</v>
      </c>
      <c r="E241">
        <v>1081</v>
      </c>
      <c r="F241">
        <v>1</v>
      </c>
      <c r="G241">
        <v>1081</v>
      </c>
      <c r="H241">
        <v>1</v>
      </c>
      <c r="I241" t="s">
        <v>459</v>
      </c>
      <c r="J241" t="s">
        <v>3</v>
      </c>
      <c r="K241" t="s">
        <v>460</v>
      </c>
      <c r="L241">
        <v>1191</v>
      </c>
      <c r="N241">
        <v>1013</v>
      </c>
      <c r="O241" t="s">
        <v>461</v>
      </c>
      <c r="P241" t="s">
        <v>461</v>
      </c>
      <c r="Q241">
        <v>1</v>
      </c>
      <c r="X241">
        <v>5.15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 t="s">
        <v>105</v>
      </c>
      <c r="AG241">
        <v>6.1800000000000006</v>
      </c>
      <c r="AH241">
        <v>2</v>
      </c>
      <c r="AI241">
        <v>57036092</v>
      </c>
      <c r="AJ241">
        <v>229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ROW(Source!A386)</f>
        <v>386</v>
      </c>
      <c r="B242">
        <v>57036093</v>
      </c>
      <c r="C242">
        <v>57036091</v>
      </c>
      <c r="D242">
        <v>55489910</v>
      </c>
      <c r="E242">
        <v>1</v>
      </c>
      <c r="F242">
        <v>1</v>
      </c>
      <c r="G242">
        <v>1081</v>
      </c>
      <c r="H242">
        <v>2</v>
      </c>
      <c r="I242" t="s">
        <v>512</v>
      </c>
      <c r="J242" t="s">
        <v>513</v>
      </c>
      <c r="K242" t="s">
        <v>514</v>
      </c>
      <c r="L242">
        <v>1368</v>
      </c>
      <c r="N242">
        <v>1011</v>
      </c>
      <c r="O242" t="s">
        <v>465</v>
      </c>
      <c r="P242" t="s">
        <v>465</v>
      </c>
      <c r="Q242">
        <v>1</v>
      </c>
      <c r="X242">
        <v>0.2</v>
      </c>
      <c r="Y242">
        <v>0</v>
      </c>
      <c r="Z242">
        <v>7.11</v>
      </c>
      <c r="AA242">
        <v>0</v>
      </c>
      <c r="AB242">
        <v>0</v>
      </c>
      <c r="AC242">
        <v>0</v>
      </c>
      <c r="AD242">
        <v>1</v>
      </c>
      <c r="AE242">
        <v>0</v>
      </c>
      <c r="AF242" t="s">
        <v>105</v>
      </c>
      <c r="AG242">
        <v>0.24</v>
      </c>
      <c r="AH242">
        <v>2</v>
      </c>
      <c r="AI242">
        <v>57036093</v>
      </c>
      <c r="AJ242">
        <v>230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ROW(Source!A386)</f>
        <v>386</v>
      </c>
      <c r="B243">
        <v>57036094</v>
      </c>
      <c r="C243">
        <v>57036091</v>
      </c>
      <c r="D243">
        <v>55490209</v>
      </c>
      <c r="E243">
        <v>1</v>
      </c>
      <c r="F243">
        <v>1</v>
      </c>
      <c r="G243">
        <v>1081</v>
      </c>
      <c r="H243">
        <v>2</v>
      </c>
      <c r="I243" t="s">
        <v>462</v>
      </c>
      <c r="J243" t="s">
        <v>463</v>
      </c>
      <c r="K243" t="s">
        <v>464</v>
      </c>
      <c r="L243">
        <v>1368</v>
      </c>
      <c r="N243">
        <v>1011</v>
      </c>
      <c r="O243" t="s">
        <v>465</v>
      </c>
      <c r="P243" t="s">
        <v>465</v>
      </c>
      <c r="Q243">
        <v>1</v>
      </c>
      <c r="X243">
        <v>0.03</v>
      </c>
      <c r="Y243">
        <v>0</v>
      </c>
      <c r="Z243">
        <v>83.1</v>
      </c>
      <c r="AA243">
        <v>12.62</v>
      </c>
      <c r="AB243">
        <v>0</v>
      </c>
      <c r="AC243">
        <v>0</v>
      </c>
      <c r="AD243">
        <v>1</v>
      </c>
      <c r="AE243">
        <v>0</v>
      </c>
      <c r="AF243" t="s">
        <v>105</v>
      </c>
      <c r="AG243">
        <v>3.5999999999999997E-2</v>
      </c>
      <c r="AH243">
        <v>2</v>
      </c>
      <c r="AI243">
        <v>57036094</v>
      </c>
      <c r="AJ243">
        <v>231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ROW(Source!A386)</f>
        <v>386</v>
      </c>
      <c r="B244">
        <v>57036095</v>
      </c>
      <c r="C244">
        <v>57036091</v>
      </c>
      <c r="D244">
        <v>55490285</v>
      </c>
      <c r="E244">
        <v>1</v>
      </c>
      <c r="F244">
        <v>1</v>
      </c>
      <c r="G244">
        <v>1081</v>
      </c>
      <c r="H244">
        <v>2</v>
      </c>
      <c r="I244" t="s">
        <v>515</v>
      </c>
      <c r="J244" t="s">
        <v>516</v>
      </c>
      <c r="K244" t="s">
        <v>517</v>
      </c>
      <c r="L244">
        <v>1368</v>
      </c>
      <c r="N244">
        <v>1011</v>
      </c>
      <c r="O244" t="s">
        <v>465</v>
      </c>
      <c r="P244" t="s">
        <v>465</v>
      </c>
      <c r="Q244">
        <v>1</v>
      </c>
      <c r="X244">
        <v>0.46</v>
      </c>
      <c r="Y244">
        <v>0</v>
      </c>
      <c r="Z244">
        <v>0.78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105</v>
      </c>
      <c r="AG244">
        <v>0.55200000000000005</v>
      </c>
      <c r="AH244">
        <v>2</v>
      </c>
      <c r="AI244">
        <v>57036095</v>
      </c>
      <c r="AJ244">
        <v>232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ROW(Source!A386)</f>
        <v>386</v>
      </c>
      <c r="B245">
        <v>57036096</v>
      </c>
      <c r="C245">
        <v>57036091</v>
      </c>
      <c r="D245">
        <v>55460300</v>
      </c>
      <c r="E245">
        <v>1</v>
      </c>
      <c r="F245">
        <v>1</v>
      </c>
      <c r="G245">
        <v>1081</v>
      </c>
      <c r="H245">
        <v>3</v>
      </c>
      <c r="I245" t="s">
        <v>518</v>
      </c>
      <c r="J245" t="s">
        <v>519</v>
      </c>
      <c r="K245" t="s">
        <v>520</v>
      </c>
      <c r="L245">
        <v>1348</v>
      </c>
      <c r="N245">
        <v>1009</v>
      </c>
      <c r="O245" t="s">
        <v>299</v>
      </c>
      <c r="P245" t="s">
        <v>299</v>
      </c>
      <c r="Q245">
        <v>1000</v>
      </c>
      <c r="X245">
        <v>1.21E-4</v>
      </c>
      <c r="Y245">
        <v>7185.82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104</v>
      </c>
      <c r="AG245">
        <v>1.21E-4</v>
      </c>
      <c r="AH245">
        <v>2</v>
      </c>
      <c r="AI245">
        <v>57036096</v>
      </c>
      <c r="AJ245">
        <v>233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ROW(Source!A386)</f>
        <v>386</v>
      </c>
      <c r="B246">
        <v>57036097</v>
      </c>
      <c r="C246">
        <v>57036091</v>
      </c>
      <c r="D246">
        <v>55460309</v>
      </c>
      <c r="E246">
        <v>1</v>
      </c>
      <c r="F246">
        <v>1</v>
      </c>
      <c r="G246">
        <v>1081</v>
      </c>
      <c r="H246">
        <v>3</v>
      </c>
      <c r="I246" t="s">
        <v>521</v>
      </c>
      <c r="J246" t="s">
        <v>522</v>
      </c>
      <c r="K246" t="s">
        <v>523</v>
      </c>
      <c r="L246">
        <v>1346</v>
      </c>
      <c r="N246">
        <v>1009</v>
      </c>
      <c r="O246" t="s">
        <v>433</v>
      </c>
      <c r="P246" t="s">
        <v>433</v>
      </c>
      <c r="Q246">
        <v>1</v>
      </c>
      <c r="X246">
        <v>2.3E-2</v>
      </c>
      <c r="Y246">
        <v>29.82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104</v>
      </c>
      <c r="AG246">
        <v>2.3E-2</v>
      </c>
      <c r="AH246">
        <v>2</v>
      </c>
      <c r="AI246">
        <v>57036097</v>
      </c>
      <c r="AJ246">
        <v>234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ROW(Source!A386)</f>
        <v>386</v>
      </c>
      <c r="B247">
        <v>57036098</v>
      </c>
      <c r="C247">
        <v>57036091</v>
      </c>
      <c r="D247">
        <v>55459280</v>
      </c>
      <c r="E247">
        <v>1</v>
      </c>
      <c r="F247">
        <v>1</v>
      </c>
      <c r="G247">
        <v>1081</v>
      </c>
      <c r="H247">
        <v>3</v>
      </c>
      <c r="I247" t="s">
        <v>524</v>
      </c>
      <c r="J247" t="s">
        <v>525</v>
      </c>
      <c r="K247" t="s">
        <v>526</v>
      </c>
      <c r="L247">
        <v>1348</v>
      </c>
      <c r="N247">
        <v>1009</v>
      </c>
      <c r="O247" t="s">
        <v>299</v>
      </c>
      <c r="P247" t="s">
        <v>299</v>
      </c>
      <c r="Q247">
        <v>1000</v>
      </c>
      <c r="X247">
        <v>1.8E-5</v>
      </c>
      <c r="Y247">
        <v>18653.07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104</v>
      </c>
      <c r="AG247">
        <v>1.8E-5</v>
      </c>
      <c r="AH247">
        <v>2</v>
      </c>
      <c r="AI247">
        <v>57036098</v>
      </c>
      <c r="AJ247">
        <v>235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ROW(Source!A386)</f>
        <v>386</v>
      </c>
      <c r="B248">
        <v>57036099</v>
      </c>
      <c r="C248">
        <v>57036091</v>
      </c>
      <c r="D248">
        <v>55461069</v>
      </c>
      <c r="E248">
        <v>1</v>
      </c>
      <c r="F248">
        <v>1</v>
      </c>
      <c r="G248">
        <v>1081</v>
      </c>
      <c r="H248">
        <v>3</v>
      </c>
      <c r="I248" t="s">
        <v>527</v>
      </c>
      <c r="J248" t="s">
        <v>528</v>
      </c>
      <c r="K248" t="s">
        <v>529</v>
      </c>
      <c r="L248">
        <v>1348</v>
      </c>
      <c r="N248">
        <v>1009</v>
      </c>
      <c r="O248" t="s">
        <v>299</v>
      </c>
      <c r="P248" t="s">
        <v>299</v>
      </c>
      <c r="Q248">
        <v>1000</v>
      </c>
      <c r="X248">
        <v>2.3780000000000001E-4</v>
      </c>
      <c r="Y248">
        <v>11487.92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104</v>
      </c>
      <c r="AG248">
        <v>2.3780000000000001E-4</v>
      </c>
      <c r="AH248">
        <v>2</v>
      </c>
      <c r="AI248">
        <v>57036099</v>
      </c>
      <c r="AJ248">
        <v>236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ROW(Source!A386)</f>
        <v>386</v>
      </c>
      <c r="B249">
        <v>57036100</v>
      </c>
      <c r="C249">
        <v>57036091</v>
      </c>
      <c r="D249">
        <v>55461632</v>
      </c>
      <c r="E249">
        <v>1</v>
      </c>
      <c r="F249">
        <v>1</v>
      </c>
      <c r="G249">
        <v>1081</v>
      </c>
      <c r="H249">
        <v>3</v>
      </c>
      <c r="I249" t="s">
        <v>530</v>
      </c>
      <c r="J249" t="s">
        <v>531</v>
      </c>
      <c r="K249" t="s">
        <v>532</v>
      </c>
      <c r="L249">
        <v>1348</v>
      </c>
      <c r="N249">
        <v>1009</v>
      </c>
      <c r="O249" t="s">
        <v>299</v>
      </c>
      <c r="P249" t="s">
        <v>299</v>
      </c>
      <c r="Q249">
        <v>1000</v>
      </c>
      <c r="X249">
        <v>7.0000000000000001E-3</v>
      </c>
      <c r="Y249">
        <v>12089.95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104</v>
      </c>
      <c r="AG249">
        <v>7.0000000000000001E-3</v>
      </c>
      <c r="AH249">
        <v>2</v>
      </c>
      <c r="AI249">
        <v>57036100</v>
      </c>
      <c r="AJ249">
        <v>237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ROW(Source!A386)</f>
        <v>386</v>
      </c>
      <c r="B250">
        <v>57036101</v>
      </c>
      <c r="C250">
        <v>57036091</v>
      </c>
      <c r="D250">
        <v>55459831</v>
      </c>
      <c r="E250">
        <v>1</v>
      </c>
      <c r="F250">
        <v>1</v>
      </c>
      <c r="G250">
        <v>1081</v>
      </c>
      <c r="H250">
        <v>3</v>
      </c>
      <c r="I250" t="s">
        <v>533</v>
      </c>
      <c r="J250" t="s">
        <v>534</v>
      </c>
      <c r="K250" t="s">
        <v>535</v>
      </c>
      <c r="L250">
        <v>1348</v>
      </c>
      <c r="N250">
        <v>1009</v>
      </c>
      <c r="O250" t="s">
        <v>299</v>
      </c>
      <c r="P250" t="s">
        <v>299</v>
      </c>
      <c r="Q250">
        <v>1000</v>
      </c>
      <c r="X250">
        <v>1.0000000000000001E-5</v>
      </c>
      <c r="Y250">
        <v>8582.42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104</v>
      </c>
      <c r="AG250">
        <v>1.0000000000000001E-5</v>
      </c>
      <c r="AH250">
        <v>2</v>
      </c>
      <c r="AI250">
        <v>57036101</v>
      </c>
      <c r="AJ250">
        <v>238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ROW(Source!A386)</f>
        <v>386</v>
      </c>
      <c r="B251">
        <v>57036102</v>
      </c>
      <c r="C251">
        <v>57036091</v>
      </c>
      <c r="D251">
        <v>55459835</v>
      </c>
      <c r="E251">
        <v>1</v>
      </c>
      <c r="F251">
        <v>1</v>
      </c>
      <c r="G251">
        <v>1081</v>
      </c>
      <c r="H251">
        <v>3</v>
      </c>
      <c r="I251" t="s">
        <v>536</v>
      </c>
      <c r="J251" t="s">
        <v>537</v>
      </c>
      <c r="K251" t="s">
        <v>538</v>
      </c>
      <c r="L251">
        <v>1348</v>
      </c>
      <c r="N251">
        <v>1009</v>
      </c>
      <c r="O251" t="s">
        <v>299</v>
      </c>
      <c r="P251" t="s">
        <v>299</v>
      </c>
      <c r="Q251">
        <v>1000</v>
      </c>
      <c r="X251">
        <v>1.9999999999999999E-6</v>
      </c>
      <c r="Y251">
        <v>12521.99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104</v>
      </c>
      <c r="AG251">
        <v>1.9999999999999999E-6</v>
      </c>
      <c r="AH251">
        <v>2</v>
      </c>
      <c r="AI251">
        <v>57036102</v>
      </c>
      <c r="AJ251">
        <v>239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ROW(Source!A386)</f>
        <v>386</v>
      </c>
      <c r="B252">
        <v>57036103</v>
      </c>
      <c r="C252">
        <v>57036091</v>
      </c>
      <c r="D252">
        <v>55441091</v>
      </c>
      <c r="E252">
        <v>1081</v>
      </c>
      <c r="F252">
        <v>1</v>
      </c>
      <c r="G252">
        <v>1081</v>
      </c>
      <c r="H252">
        <v>3</v>
      </c>
      <c r="I252" t="s">
        <v>596</v>
      </c>
      <c r="J252" t="s">
        <v>3</v>
      </c>
      <c r="K252" t="s">
        <v>597</v>
      </c>
      <c r="L252">
        <v>1354</v>
      </c>
      <c r="N252">
        <v>1010</v>
      </c>
      <c r="O252" t="s">
        <v>177</v>
      </c>
      <c r="P252" t="s">
        <v>177</v>
      </c>
      <c r="Q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104</v>
      </c>
      <c r="AG252">
        <v>1</v>
      </c>
      <c r="AH252">
        <v>3</v>
      </c>
      <c r="AI252">
        <v>-1</v>
      </c>
      <c r="AJ252" t="s">
        <v>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ROW(Source!A387)</f>
        <v>387</v>
      </c>
      <c r="B253">
        <v>57036092</v>
      </c>
      <c r="C253">
        <v>57036091</v>
      </c>
      <c r="D253">
        <v>55424304</v>
      </c>
      <c r="E253">
        <v>1081</v>
      </c>
      <c r="F253">
        <v>1</v>
      </c>
      <c r="G253">
        <v>1081</v>
      </c>
      <c r="H253">
        <v>1</v>
      </c>
      <c r="I253" t="s">
        <v>459</v>
      </c>
      <c r="J253" t="s">
        <v>3</v>
      </c>
      <c r="K253" t="s">
        <v>460</v>
      </c>
      <c r="L253">
        <v>1191</v>
      </c>
      <c r="N253">
        <v>1013</v>
      </c>
      <c r="O253" t="s">
        <v>461</v>
      </c>
      <c r="P253" t="s">
        <v>461</v>
      </c>
      <c r="Q253">
        <v>1</v>
      </c>
      <c r="X253">
        <v>5.15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 t="s">
        <v>105</v>
      </c>
      <c r="AG253">
        <v>6.1800000000000006</v>
      </c>
      <c r="AH253">
        <v>2</v>
      </c>
      <c r="AI253">
        <v>57036092</v>
      </c>
      <c r="AJ253">
        <v>240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ROW(Source!A387)</f>
        <v>387</v>
      </c>
      <c r="B254">
        <v>57036093</v>
      </c>
      <c r="C254">
        <v>57036091</v>
      </c>
      <c r="D254">
        <v>55489910</v>
      </c>
      <c r="E254">
        <v>1</v>
      </c>
      <c r="F254">
        <v>1</v>
      </c>
      <c r="G254">
        <v>1081</v>
      </c>
      <c r="H254">
        <v>2</v>
      </c>
      <c r="I254" t="s">
        <v>512</v>
      </c>
      <c r="J254" t="s">
        <v>513</v>
      </c>
      <c r="K254" t="s">
        <v>514</v>
      </c>
      <c r="L254">
        <v>1368</v>
      </c>
      <c r="N254">
        <v>1011</v>
      </c>
      <c r="O254" t="s">
        <v>465</v>
      </c>
      <c r="P254" t="s">
        <v>465</v>
      </c>
      <c r="Q254">
        <v>1</v>
      </c>
      <c r="X254">
        <v>0.2</v>
      </c>
      <c r="Y254">
        <v>0</v>
      </c>
      <c r="Z254">
        <v>7.11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105</v>
      </c>
      <c r="AG254">
        <v>0.24</v>
      </c>
      <c r="AH254">
        <v>2</v>
      </c>
      <c r="AI254">
        <v>57036093</v>
      </c>
      <c r="AJ254">
        <v>241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ROW(Source!A387)</f>
        <v>387</v>
      </c>
      <c r="B255">
        <v>57036094</v>
      </c>
      <c r="C255">
        <v>57036091</v>
      </c>
      <c r="D255">
        <v>55490209</v>
      </c>
      <c r="E255">
        <v>1</v>
      </c>
      <c r="F255">
        <v>1</v>
      </c>
      <c r="G255">
        <v>1081</v>
      </c>
      <c r="H255">
        <v>2</v>
      </c>
      <c r="I255" t="s">
        <v>462</v>
      </c>
      <c r="J255" t="s">
        <v>463</v>
      </c>
      <c r="K255" t="s">
        <v>464</v>
      </c>
      <c r="L255">
        <v>1368</v>
      </c>
      <c r="N255">
        <v>1011</v>
      </c>
      <c r="O255" t="s">
        <v>465</v>
      </c>
      <c r="P255" t="s">
        <v>465</v>
      </c>
      <c r="Q255">
        <v>1</v>
      </c>
      <c r="X255">
        <v>0.03</v>
      </c>
      <c r="Y255">
        <v>0</v>
      </c>
      <c r="Z255">
        <v>83.1</v>
      </c>
      <c r="AA255">
        <v>12.62</v>
      </c>
      <c r="AB255">
        <v>0</v>
      </c>
      <c r="AC255">
        <v>0</v>
      </c>
      <c r="AD255">
        <v>1</v>
      </c>
      <c r="AE255">
        <v>0</v>
      </c>
      <c r="AF255" t="s">
        <v>105</v>
      </c>
      <c r="AG255">
        <v>3.5999999999999997E-2</v>
      </c>
      <c r="AH255">
        <v>2</v>
      </c>
      <c r="AI255">
        <v>57036094</v>
      </c>
      <c r="AJ255">
        <v>242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ROW(Source!A387)</f>
        <v>387</v>
      </c>
      <c r="B256">
        <v>57036095</v>
      </c>
      <c r="C256">
        <v>57036091</v>
      </c>
      <c r="D256">
        <v>55490285</v>
      </c>
      <c r="E256">
        <v>1</v>
      </c>
      <c r="F256">
        <v>1</v>
      </c>
      <c r="G256">
        <v>1081</v>
      </c>
      <c r="H256">
        <v>2</v>
      </c>
      <c r="I256" t="s">
        <v>515</v>
      </c>
      <c r="J256" t="s">
        <v>516</v>
      </c>
      <c r="K256" t="s">
        <v>517</v>
      </c>
      <c r="L256">
        <v>1368</v>
      </c>
      <c r="N256">
        <v>1011</v>
      </c>
      <c r="O256" t="s">
        <v>465</v>
      </c>
      <c r="P256" t="s">
        <v>465</v>
      </c>
      <c r="Q256">
        <v>1</v>
      </c>
      <c r="X256">
        <v>0.46</v>
      </c>
      <c r="Y256">
        <v>0</v>
      </c>
      <c r="Z256">
        <v>0.78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105</v>
      </c>
      <c r="AG256">
        <v>0.55200000000000005</v>
      </c>
      <c r="AH256">
        <v>2</v>
      </c>
      <c r="AI256">
        <v>57036095</v>
      </c>
      <c r="AJ256">
        <v>243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ROW(Source!A387)</f>
        <v>387</v>
      </c>
      <c r="B257">
        <v>57036096</v>
      </c>
      <c r="C257">
        <v>57036091</v>
      </c>
      <c r="D257">
        <v>55460300</v>
      </c>
      <c r="E257">
        <v>1</v>
      </c>
      <c r="F257">
        <v>1</v>
      </c>
      <c r="G257">
        <v>1081</v>
      </c>
      <c r="H257">
        <v>3</v>
      </c>
      <c r="I257" t="s">
        <v>518</v>
      </c>
      <c r="J257" t="s">
        <v>519</v>
      </c>
      <c r="K257" t="s">
        <v>520</v>
      </c>
      <c r="L257">
        <v>1348</v>
      </c>
      <c r="N257">
        <v>1009</v>
      </c>
      <c r="O257" t="s">
        <v>299</v>
      </c>
      <c r="P257" t="s">
        <v>299</v>
      </c>
      <c r="Q257">
        <v>1000</v>
      </c>
      <c r="X257">
        <v>1.21E-4</v>
      </c>
      <c r="Y257">
        <v>7185.82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104</v>
      </c>
      <c r="AG257">
        <v>1.21E-4</v>
      </c>
      <c r="AH257">
        <v>2</v>
      </c>
      <c r="AI257">
        <v>57036096</v>
      </c>
      <c r="AJ257">
        <v>244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ROW(Source!A387)</f>
        <v>387</v>
      </c>
      <c r="B258">
        <v>57036097</v>
      </c>
      <c r="C258">
        <v>57036091</v>
      </c>
      <c r="D258">
        <v>55460309</v>
      </c>
      <c r="E258">
        <v>1</v>
      </c>
      <c r="F258">
        <v>1</v>
      </c>
      <c r="G258">
        <v>1081</v>
      </c>
      <c r="H258">
        <v>3</v>
      </c>
      <c r="I258" t="s">
        <v>521</v>
      </c>
      <c r="J258" t="s">
        <v>522</v>
      </c>
      <c r="K258" t="s">
        <v>523</v>
      </c>
      <c r="L258">
        <v>1346</v>
      </c>
      <c r="N258">
        <v>1009</v>
      </c>
      <c r="O258" t="s">
        <v>433</v>
      </c>
      <c r="P258" t="s">
        <v>433</v>
      </c>
      <c r="Q258">
        <v>1</v>
      </c>
      <c r="X258">
        <v>2.3E-2</v>
      </c>
      <c r="Y258">
        <v>29.82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104</v>
      </c>
      <c r="AG258">
        <v>2.3E-2</v>
      </c>
      <c r="AH258">
        <v>2</v>
      </c>
      <c r="AI258">
        <v>57036097</v>
      </c>
      <c r="AJ258">
        <v>245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ROW(Source!A387)</f>
        <v>387</v>
      </c>
      <c r="B259">
        <v>57036098</v>
      </c>
      <c r="C259">
        <v>57036091</v>
      </c>
      <c r="D259">
        <v>55459280</v>
      </c>
      <c r="E259">
        <v>1</v>
      </c>
      <c r="F259">
        <v>1</v>
      </c>
      <c r="G259">
        <v>1081</v>
      </c>
      <c r="H259">
        <v>3</v>
      </c>
      <c r="I259" t="s">
        <v>524</v>
      </c>
      <c r="J259" t="s">
        <v>525</v>
      </c>
      <c r="K259" t="s">
        <v>526</v>
      </c>
      <c r="L259">
        <v>1348</v>
      </c>
      <c r="N259">
        <v>1009</v>
      </c>
      <c r="O259" t="s">
        <v>299</v>
      </c>
      <c r="P259" t="s">
        <v>299</v>
      </c>
      <c r="Q259">
        <v>1000</v>
      </c>
      <c r="X259">
        <v>1.8E-5</v>
      </c>
      <c r="Y259">
        <v>18653.07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104</v>
      </c>
      <c r="AG259">
        <v>1.8E-5</v>
      </c>
      <c r="AH259">
        <v>2</v>
      </c>
      <c r="AI259">
        <v>57036098</v>
      </c>
      <c r="AJ259">
        <v>246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ROW(Source!A387)</f>
        <v>387</v>
      </c>
      <c r="B260">
        <v>57036099</v>
      </c>
      <c r="C260">
        <v>57036091</v>
      </c>
      <c r="D260">
        <v>55461069</v>
      </c>
      <c r="E260">
        <v>1</v>
      </c>
      <c r="F260">
        <v>1</v>
      </c>
      <c r="G260">
        <v>1081</v>
      </c>
      <c r="H260">
        <v>3</v>
      </c>
      <c r="I260" t="s">
        <v>527</v>
      </c>
      <c r="J260" t="s">
        <v>528</v>
      </c>
      <c r="K260" t="s">
        <v>529</v>
      </c>
      <c r="L260">
        <v>1348</v>
      </c>
      <c r="N260">
        <v>1009</v>
      </c>
      <c r="O260" t="s">
        <v>299</v>
      </c>
      <c r="P260" t="s">
        <v>299</v>
      </c>
      <c r="Q260">
        <v>1000</v>
      </c>
      <c r="X260">
        <v>2.3780000000000001E-4</v>
      </c>
      <c r="Y260">
        <v>11487.92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104</v>
      </c>
      <c r="AG260">
        <v>2.3780000000000001E-4</v>
      </c>
      <c r="AH260">
        <v>2</v>
      </c>
      <c r="AI260">
        <v>57036099</v>
      </c>
      <c r="AJ260">
        <v>247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ROW(Source!A387)</f>
        <v>387</v>
      </c>
      <c r="B261">
        <v>57036100</v>
      </c>
      <c r="C261">
        <v>57036091</v>
      </c>
      <c r="D261">
        <v>55461632</v>
      </c>
      <c r="E261">
        <v>1</v>
      </c>
      <c r="F261">
        <v>1</v>
      </c>
      <c r="G261">
        <v>1081</v>
      </c>
      <c r="H261">
        <v>3</v>
      </c>
      <c r="I261" t="s">
        <v>530</v>
      </c>
      <c r="J261" t="s">
        <v>531</v>
      </c>
      <c r="K261" t="s">
        <v>532</v>
      </c>
      <c r="L261">
        <v>1348</v>
      </c>
      <c r="N261">
        <v>1009</v>
      </c>
      <c r="O261" t="s">
        <v>299</v>
      </c>
      <c r="P261" t="s">
        <v>299</v>
      </c>
      <c r="Q261">
        <v>1000</v>
      </c>
      <c r="X261">
        <v>7.0000000000000001E-3</v>
      </c>
      <c r="Y261">
        <v>12089.95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104</v>
      </c>
      <c r="AG261">
        <v>7.0000000000000001E-3</v>
      </c>
      <c r="AH261">
        <v>2</v>
      </c>
      <c r="AI261">
        <v>57036100</v>
      </c>
      <c r="AJ261">
        <v>248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ROW(Source!A387)</f>
        <v>387</v>
      </c>
      <c r="B262">
        <v>57036101</v>
      </c>
      <c r="C262">
        <v>57036091</v>
      </c>
      <c r="D262">
        <v>55459831</v>
      </c>
      <c r="E262">
        <v>1</v>
      </c>
      <c r="F262">
        <v>1</v>
      </c>
      <c r="G262">
        <v>1081</v>
      </c>
      <c r="H262">
        <v>3</v>
      </c>
      <c r="I262" t="s">
        <v>533</v>
      </c>
      <c r="J262" t="s">
        <v>534</v>
      </c>
      <c r="K262" t="s">
        <v>535</v>
      </c>
      <c r="L262">
        <v>1348</v>
      </c>
      <c r="N262">
        <v>1009</v>
      </c>
      <c r="O262" t="s">
        <v>299</v>
      </c>
      <c r="P262" t="s">
        <v>299</v>
      </c>
      <c r="Q262">
        <v>1000</v>
      </c>
      <c r="X262">
        <v>1.0000000000000001E-5</v>
      </c>
      <c r="Y262">
        <v>8582.42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104</v>
      </c>
      <c r="AG262">
        <v>1.0000000000000001E-5</v>
      </c>
      <c r="AH262">
        <v>2</v>
      </c>
      <c r="AI262">
        <v>57036101</v>
      </c>
      <c r="AJ262">
        <v>249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ROW(Source!A387)</f>
        <v>387</v>
      </c>
      <c r="B263">
        <v>57036102</v>
      </c>
      <c r="C263">
        <v>57036091</v>
      </c>
      <c r="D263">
        <v>55459835</v>
      </c>
      <c r="E263">
        <v>1</v>
      </c>
      <c r="F263">
        <v>1</v>
      </c>
      <c r="G263">
        <v>1081</v>
      </c>
      <c r="H263">
        <v>3</v>
      </c>
      <c r="I263" t="s">
        <v>536</v>
      </c>
      <c r="J263" t="s">
        <v>537</v>
      </c>
      <c r="K263" t="s">
        <v>538</v>
      </c>
      <c r="L263">
        <v>1348</v>
      </c>
      <c r="N263">
        <v>1009</v>
      </c>
      <c r="O263" t="s">
        <v>299</v>
      </c>
      <c r="P263" t="s">
        <v>299</v>
      </c>
      <c r="Q263">
        <v>1000</v>
      </c>
      <c r="X263">
        <v>1.9999999999999999E-6</v>
      </c>
      <c r="Y263">
        <v>12521.99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104</v>
      </c>
      <c r="AG263">
        <v>1.9999999999999999E-6</v>
      </c>
      <c r="AH263">
        <v>2</v>
      </c>
      <c r="AI263">
        <v>57036102</v>
      </c>
      <c r="AJ263">
        <v>250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ROW(Source!A387)</f>
        <v>387</v>
      </c>
      <c r="B264">
        <v>57036103</v>
      </c>
      <c r="C264">
        <v>57036091</v>
      </c>
      <c r="D264">
        <v>55441091</v>
      </c>
      <c r="E264">
        <v>1081</v>
      </c>
      <c r="F264">
        <v>1</v>
      </c>
      <c r="G264">
        <v>1081</v>
      </c>
      <c r="H264">
        <v>3</v>
      </c>
      <c r="I264" t="s">
        <v>596</v>
      </c>
      <c r="J264" t="s">
        <v>3</v>
      </c>
      <c r="K264" t="s">
        <v>597</v>
      </c>
      <c r="L264">
        <v>1354</v>
      </c>
      <c r="N264">
        <v>1010</v>
      </c>
      <c r="O264" t="s">
        <v>177</v>
      </c>
      <c r="P264" t="s">
        <v>177</v>
      </c>
      <c r="Q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104</v>
      </c>
      <c r="AG264">
        <v>1</v>
      </c>
      <c r="AH264">
        <v>3</v>
      </c>
      <c r="AI264">
        <v>-1</v>
      </c>
      <c r="AJ264" t="s">
        <v>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ROW(Source!A398)</f>
        <v>398</v>
      </c>
      <c r="B265">
        <v>57035203</v>
      </c>
      <c r="C265">
        <v>57035190</v>
      </c>
      <c r="D265">
        <v>55424304</v>
      </c>
      <c r="E265">
        <v>1081</v>
      </c>
      <c r="F265">
        <v>1</v>
      </c>
      <c r="G265">
        <v>1081</v>
      </c>
      <c r="H265">
        <v>1</v>
      </c>
      <c r="I265" t="s">
        <v>459</v>
      </c>
      <c r="J265" t="s">
        <v>3</v>
      </c>
      <c r="K265" t="s">
        <v>460</v>
      </c>
      <c r="L265">
        <v>1191</v>
      </c>
      <c r="N265">
        <v>1013</v>
      </c>
      <c r="O265" t="s">
        <v>461</v>
      </c>
      <c r="P265" t="s">
        <v>461</v>
      </c>
      <c r="Q265">
        <v>1</v>
      </c>
      <c r="X265">
        <v>13.4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 t="s">
        <v>105</v>
      </c>
      <c r="AG265">
        <v>16.079999999999998</v>
      </c>
      <c r="AH265">
        <v>2</v>
      </c>
      <c r="AI265">
        <v>57035191</v>
      </c>
      <c r="AJ265">
        <v>251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ROW(Source!A398)</f>
        <v>398</v>
      </c>
      <c r="B266">
        <v>57035204</v>
      </c>
      <c r="C266">
        <v>57035190</v>
      </c>
      <c r="D266">
        <v>55490209</v>
      </c>
      <c r="E266">
        <v>1</v>
      </c>
      <c r="F266">
        <v>1</v>
      </c>
      <c r="G266">
        <v>1081</v>
      </c>
      <c r="H266">
        <v>2</v>
      </c>
      <c r="I266" t="s">
        <v>462</v>
      </c>
      <c r="J266" t="s">
        <v>463</v>
      </c>
      <c r="K266" t="s">
        <v>464</v>
      </c>
      <c r="L266">
        <v>1368</v>
      </c>
      <c r="N266">
        <v>1011</v>
      </c>
      <c r="O266" t="s">
        <v>465</v>
      </c>
      <c r="P266" t="s">
        <v>465</v>
      </c>
      <c r="Q266">
        <v>1</v>
      </c>
      <c r="X266">
        <v>0.73</v>
      </c>
      <c r="Y266">
        <v>0</v>
      </c>
      <c r="Z266">
        <v>83.1</v>
      </c>
      <c r="AA266">
        <v>12.62</v>
      </c>
      <c r="AB266">
        <v>0</v>
      </c>
      <c r="AC266">
        <v>0</v>
      </c>
      <c r="AD266">
        <v>1</v>
      </c>
      <c r="AE266">
        <v>0</v>
      </c>
      <c r="AF266" t="s">
        <v>105</v>
      </c>
      <c r="AG266">
        <v>0.876</v>
      </c>
      <c r="AH266">
        <v>2</v>
      </c>
      <c r="AI266">
        <v>57035192</v>
      </c>
      <c r="AJ266">
        <v>252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ROW(Source!A398)</f>
        <v>398</v>
      </c>
      <c r="B267">
        <v>57035205</v>
      </c>
      <c r="C267">
        <v>57035190</v>
      </c>
      <c r="D267">
        <v>55482166</v>
      </c>
      <c r="E267">
        <v>1</v>
      </c>
      <c r="F267">
        <v>1</v>
      </c>
      <c r="G267">
        <v>1081</v>
      </c>
      <c r="H267">
        <v>3</v>
      </c>
      <c r="I267" t="s">
        <v>486</v>
      </c>
      <c r="J267" t="s">
        <v>487</v>
      </c>
      <c r="K267" t="s">
        <v>488</v>
      </c>
      <c r="L267">
        <v>1301</v>
      </c>
      <c r="N267">
        <v>1003</v>
      </c>
      <c r="O267" t="s">
        <v>371</v>
      </c>
      <c r="P267" t="s">
        <v>371</v>
      </c>
      <c r="Q267">
        <v>1</v>
      </c>
      <c r="X267">
        <v>1.18</v>
      </c>
      <c r="Y267">
        <v>0.69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104</v>
      </c>
      <c r="AG267">
        <v>1.18</v>
      </c>
      <c r="AH267">
        <v>2</v>
      </c>
      <c r="AI267">
        <v>57035193</v>
      </c>
      <c r="AJ267">
        <v>253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ROW(Source!A398)</f>
        <v>398</v>
      </c>
      <c r="B268">
        <v>57035206</v>
      </c>
      <c r="C268">
        <v>57035190</v>
      </c>
      <c r="D268">
        <v>55482203</v>
      </c>
      <c r="E268">
        <v>1</v>
      </c>
      <c r="F268">
        <v>1</v>
      </c>
      <c r="G268">
        <v>1081</v>
      </c>
      <c r="H268">
        <v>3</v>
      </c>
      <c r="I268" t="s">
        <v>489</v>
      </c>
      <c r="J268" t="s">
        <v>490</v>
      </c>
      <c r="K268" t="s">
        <v>491</v>
      </c>
      <c r="L268">
        <v>1356</v>
      </c>
      <c r="N268">
        <v>1010</v>
      </c>
      <c r="O268" t="s">
        <v>382</v>
      </c>
      <c r="P268" t="s">
        <v>382</v>
      </c>
      <c r="Q268">
        <v>1000</v>
      </c>
      <c r="X268">
        <v>2E-3</v>
      </c>
      <c r="Y268">
        <v>226.66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104</v>
      </c>
      <c r="AG268">
        <v>2E-3</v>
      </c>
      <c r="AH268">
        <v>2</v>
      </c>
      <c r="AI268">
        <v>57035194</v>
      </c>
      <c r="AJ268">
        <v>254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ROW(Source!A398)</f>
        <v>398</v>
      </c>
      <c r="B269">
        <v>57035207</v>
      </c>
      <c r="C269">
        <v>57035190</v>
      </c>
      <c r="D269">
        <v>55482617</v>
      </c>
      <c r="E269">
        <v>1</v>
      </c>
      <c r="F269">
        <v>1</v>
      </c>
      <c r="G269">
        <v>1081</v>
      </c>
      <c r="H269">
        <v>3</v>
      </c>
      <c r="I269" t="s">
        <v>492</v>
      </c>
      <c r="J269" t="s">
        <v>493</v>
      </c>
      <c r="K269" t="s">
        <v>494</v>
      </c>
      <c r="L269">
        <v>1354</v>
      </c>
      <c r="N269">
        <v>1010</v>
      </c>
      <c r="O269" t="s">
        <v>177</v>
      </c>
      <c r="P269" t="s">
        <v>177</v>
      </c>
      <c r="Q269">
        <v>1</v>
      </c>
      <c r="X269">
        <v>1</v>
      </c>
      <c r="Y269">
        <v>14.99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104</v>
      </c>
      <c r="AG269">
        <v>1</v>
      </c>
      <c r="AH269">
        <v>2</v>
      </c>
      <c r="AI269">
        <v>57035195</v>
      </c>
      <c r="AJ269">
        <v>255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ROW(Source!A398)</f>
        <v>398</v>
      </c>
      <c r="B270">
        <v>57035208</v>
      </c>
      <c r="C270">
        <v>57035190</v>
      </c>
      <c r="D270">
        <v>55481864</v>
      </c>
      <c r="E270">
        <v>1</v>
      </c>
      <c r="F270">
        <v>1</v>
      </c>
      <c r="G270">
        <v>1081</v>
      </c>
      <c r="H270">
        <v>3</v>
      </c>
      <c r="I270" t="s">
        <v>495</v>
      </c>
      <c r="J270" t="s">
        <v>496</v>
      </c>
      <c r="K270" t="s">
        <v>497</v>
      </c>
      <c r="L270">
        <v>1301</v>
      </c>
      <c r="N270">
        <v>1003</v>
      </c>
      <c r="O270" t="s">
        <v>371</v>
      </c>
      <c r="P270" t="s">
        <v>371</v>
      </c>
      <c r="Q270">
        <v>1</v>
      </c>
      <c r="X270">
        <v>0.48</v>
      </c>
      <c r="Y270">
        <v>0.7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104</v>
      </c>
      <c r="AG270">
        <v>0.48</v>
      </c>
      <c r="AH270">
        <v>2</v>
      </c>
      <c r="AI270">
        <v>57035196</v>
      </c>
      <c r="AJ270">
        <v>256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ROW(Source!A398)</f>
        <v>398</v>
      </c>
      <c r="B271">
        <v>57035209</v>
      </c>
      <c r="C271">
        <v>57035190</v>
      </c>
      <c r="D271">
        <v>55481866</v>
      </c>
      <c r="E271">
        <v>1</v>
      </c>
      <c r="F271">
        <v>1</v>
      </c>
      <c r="G271">
        <v>1081</v>
      </c>
      <c r="H271">
        <v>3</v>
      </c>
      <c r="I271" t="s">
        <v>498</v>
      </c>
      <c r="J271" t="s">
        <v>499</v>
      </c>
      <c r="K271" t="s">
        <v>500</v>
      </c>
      <c r="L271">
        <v>1356</v>
      </c>
      <c r="N271">
        <v>1010</v>
      </c>
      <c r="O271" t="s">
        <v>382</v>
      </c>
      <c r="P271" t="s">
        <v>382</v>
      </c>
      <c r="Q271">
        <v>1000</v>
      </c>
      <c r="X271">
        <v>4.1000000000000003E-3</v>
      </c>
      <c r="Y271">
        <v>6.44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104</v>
      </c>
      <c r="AG271">
        <v>4.1000000000000003E-3</v>
      </c>
      <c r="AH271">
        <v>2</v>
      </c>
      <c r="AI271">
        <v>57035197</v>
      </c>
      <c r="AJ271">
        <v>257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ROW(Source!A398)</f>
        <v>398</v>
      </c>
      <c r="B272">
        <v>57035210</v>
      </c>
      <c r="C272">
        <v>57035190</v>
      </c>
      <c r="D272">
        <v>55416982</v>
      </c>
      <c r="E272">
        <v>1081</v>
      </c>
      <c r="F272">
        <v>1</v>
      </c>
      <c r="G272">
        <v>1081</v>
      </c>
      <c r="H272">
        <v>3</v>
      </c>
      <c r="I272" t="s">
        <v>577</v>
      </c>
      <c r="J272" t="s">
        <v>3</v>
      </c>
      <c r="K272" t="s">
        <v>578</v>
      </c>
      <c r="L272">
        <v>1346</v>
      </c>
      <c r="N272">
        <v>1009</v>
      </c>
      <c r="O272" t="s">
        <v>433</v>
      </c>
      <c r="P272" t="s">
        <v>433</v>
      </c>
      <c r="Q272">
        <v>1</v>
      </c>
      <c r="X272">
        <v>0.77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 t="s">
        <v>104</v>
      </c>
      <c r="AG272">
        <v>0.77</v>
      </c>
      <c r="AH272">
        <v>3</v>
      </c>
      <c r="AI272">
        <v>-1</v>
      </c>
      <c r="AJ272" t="s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ROW(Source!A398)</f>
        <v>398</v>
      </c>
      <c r="B273">
        <v>57035211</v>
      </c>
      <c r="C273">
        <v>57035190</v>
      </c>
      <c r="D273">
        <v>55431085</v>
      </c>
      <c r="E273">
        <v>1081</v>
      </c>
      <c r="F273">
        <v>1</v>
      </c>
      <c r="G273">
        <v>1081</v>
      </c>
      <c r="H273">
        <v>3</v>
      </c>
      <c r="I273" t="s">
        <v>581</v>
      </c>
      <c r="J273" t="s">
        <v>3</v>
      </c>
      <c r="K273" t="s">
        <v>582</v>
      </c>
      <c r="L273">
        <v>1354</v>
      </c>
      <c r="N273">
        <v>1010</v>
      </c>
      <c r="O273" t="s">
        <v>177</v>
      </c>
      <c r="P273" t="s">
        <v>177</v>
      </c>
      <c r="Q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104</v>
      </c>
      <c r="AG273">
        <v>1</v>
      </c>
      <c r="AH273">
        <v>3</v>
      </c>
      <c r="AI273">
        <v>-1</v>
      </c>
      <c r="AJ273" t="s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ROW(Source!A398)</f>
        <v>398</v>
      </c>
      <c r="B274">
        <v>57035212</v>
      </c>
      <c r="C274">
        <v>57035190</v>
      </c>
      <c r="D274">
        <v>55432026</v>
      </c>
      <c r="E274">
        <v>1081</v>
      </c>
      <c r="F274">
        <v>1</v>
      </c>
      <c r="G274">
        <v>1081</v>
      </c>
      <c r="H274">
        <v>3</v>
      </c>
      <c r="I274" t="s">
        <v>583</v>
      </c>
      <c r="J274" t="s">
        <v>3</v>
      </c>
      <c r="K274" t="s">
        <v>584</v>
      </c>
      <c r="L274">
        <v>1356</v>
      </c>
      <c r="N274">
        <v>1010</v>
      </c>
      <c r="O274" t="s">
        <v>382</v>
      </c>
      <c r="P274" t="s">
        <v>382</v>
      </c>
      <c r="Q274">
        <v>1000</v>
      </c>
      <c r="X274">
        <v>6.1199999999999997E-2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104</v>
      </c>
      <c r="AG274">
        <v>6.1199999999999997E-2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ROW(Source!A398)</f>
        <v>398</v>
      </c>
      <c r="B275">
        <v>57035213</v>
      </c>
      <c r="C275">
        <v>57035190</v>
      </c>
      <c r="D275">
        <v>55433412</v>
      </c>
      <c r="E275">
        <v>1081</v>
      </c>
      <c r="F275">
        <v>1</v>
      </c>
      <c r="G275">
        <v>1081</v>
      </c>
      <c r="H275">
        <v>3</v>
      </c>
      <c r="I275" t="s">
        <v>585</v>
      </c>
      <c r="J275" t="s">
        <v>3</v>
      </c>
      <c r="K275" t="s">
        <v>586</v>
      </c>
      <c r="L275">
        <v>1354</v>
      </c>
      <c r="N275">
        <v>1010</v>
      </c>
      <c r="O275" t="s">
        <v>177</v>
      </c>
      <c r="P275" t="s">
        <v>177</v>
      </c>
      <c r="Q275">
        <v>1</v>
      </c>
      <c r="X275">
        <v>2.04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104</v>
      </c>
      <c r="AG275">
        <v>2.04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ROW(Source!A399)</f>
        <v>399</v>
      </c>
      <c r="B276">
        <v>57035203</v>
      </c>
      <c r="C276">
        <v>57035190</v>
      </c>
      <c r="D276">
        <v>55424304</v>
      </c>
      <c r="E276">
        <v>1081</v>
      </c>
      <c r="F276">
        <v>1</v>
      </c>
      <c r="G276">
        <v>1081</v>
      </c>
      <c r="H276">
        <v>1</v>
      </c>
      <c r="I276" t="s">
        <v>459</v>
      </c>
      <c r="J276" t="s">
        <v>3</v>
      </c>
      <c r="K276" t="s">
        <v>460</v>
      </c>
      <c r="L276">
        <v>1191</v>
      </c>
      <c r="N276">
        <v>1013</v>
      </c>
      <c r="O276" t="s">
        <v>461</v>
      </c>
      <c r="P276" t="s">
        <v>461</v>
      </c>
      <c r="Q276">
        <v>1</v>
      </c>
      <c r="X276">
        <v>13.4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 t="s">
        <v>105</v>
      </c>
      <c r="AG276">
        <v>16.079999999999998</v>
      </c>
      <c r="AH276">
        <v>2</v>
      </c>
      <c r="AI276">
        <v>57035191</v>
      </c>
      <c r="AJ276">
        <v>263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ROW(Source!A399)</f>
        <v>399</v>
      </c>
      <c r="B277">
        <v>57035204</v>
      </c>
      <c r="C277">
        <v>57035190</v>
      </c>
      <c r="D277">
        <v>55490209</v>
      </c>
      <c r="E277">
        <v>1</v>
      </c>
      <c r="F277">
        <v>1</v>
      </c>
      <c r="G277">
        <v>1081</v>
      </c>
      <c r="H277">
        <v>2</v>
      </c>
      <c r="I277" t="s">
        <v>462</v>
      </c>
      <c r="J277" t="s">
        <v>463</v>
      </c>
      <c r="K277" t="s">
        <v>464</v>
      </c>
      <c r="L277">
        <v>1368</v>
      </c>
      <c r="N277">
        <v>1011</v>
      </c>
      <c r="O277" t="s">
        <v>465</v>
      </c>
      <c r="P277" t="s">
        <v>465</v>
      </c>
      <c r="Q277">
        <v>1</v>
      </c>
      <c r="X277">
        <v>0.73</v>
      </c>
      <c r="Y277">
        <v>0</v>
      </c>
      <c r="Z277">
        <v>83.1</v>
      </c>
      <c r="AA277">
        <v>12.62</v>
      </c>
      <c r="AB277">
        <v>0</v>
      </c>
      <c r="AC277">
        <v>0</v>
      </c>
      <c r="AD277">
        <v>1</v>
      </c>
      <c r="AE277">
        <v>0</v>
      </c>
      <c r="AF277" t="s">
        <v>105</v>
      </c>
      <c r="AG277">
        <v>0.876</v>
      </c>
      <c r="AH277">
        <v>2</v>
      </c>
      <c r="AI277">
        <v>57035192</v>
      </c>
      <c r="AJ277">
        <v>264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ROW(Source!A399)</f>
        <v>399</v>
      </c>
      <c r="B278">
        <v>57035205</v>
      </c>
      <c r="C278">
        <v>57035190</v>
      </c>
      <c r="D278">
        <v>55482166</v>
      </c>
      <c r="E278">
        <v>1</v>
      </c>
      <c r="F278">
        <v>1</v>
      </c>
      <c r="G278">
        <v>1081</v>
      </c>
      <c r="H278">
        <v>3</v>
      </c>
      <c r="I278" t="s">
        <v>486</v>
      </c>
      <c r="J278" t="s">
        <v>487</v>
      </c>
      <c r="K278" t="s">
        <v>488</v>
      </c>
      <c r="L278">
        <v>1301</v>
      </c>
      <c r="N278">
        <v>1003</v>
      </c>
      <c r="O278" t="s">
        <v>371</v>
      </c>
      <c r="P278" t="s">
        <v>371</v>
      </c>
      <c r="Q278">
        <v>1</v>
      </c>
      <c r="X278">
        <v>1.18</v>
      </c>
      <c r="Y278">
        <v>0.69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104</v>
      </c>
      <c r="AG278">
        <v>1.18</v>
      </c>
      <c r="AH278">
        <v>2</v>
      </c>
      <c r="AI278">
        <v>57035193</v>
      </c>
      <c r="AJ278">
        <v>265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ROW(Source!A399)</f>
        <v>399</v>
      </c>
      <c r="B279">
        <v>57035206</v>
      </c>
      <c r="C279">
        <v>57035190</v>
      </c>
      <c r="D279">
        <v>55482203</v>
      </c>
      <c r="E279">
        <v>1</v>
      </c>
      <c r="F279">
        <v>1</v>
      </c>
      <c r="G279">
        <v>1081</v>
      </c>
      <c r="H279">
        <v>3</v>
      </c>
      <c r="I279" t="s">
        <v>489</v>
      </c>
      <c r="J279" t="s">
        <v>490</v>
      </c>
      <c r="K279" t="s">
        <v>491</v>
      </c>
      <c r="L279">
        <v>1356</v>
      </c>
      <c r="N279">
        <v>1010</v>
      </c>
      <c r="O279" t="s">
        <v>382</v>
      </c>
      <c r="P279" t="s">
        <v>382</v>
      </c>
      <c r="Q279">
        <v>1000</v>
      </c>
      <c r="X279">
        <v>2E-3</v>
      </c>
      <c r="Y279">
        <v>226.66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104</v>
      </c>
      <c r="AG279">
        <v>2E-3</v>
      </c>
      <c r="AH279">
        <v>2</v>
      </c>
      <c r="AI279">
        <v>57035194</v>
      </c>
      <c r="AJ279">
        <v>266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ROW(Source!A399)</f>
        <v>399</v>
      </c>
      <c r="B280">
        <v>57035207</v>
      </c>
      <c r="C280">
        <v>57035190</v>
      </c>
      <c r="D280">
        <v>55482617</v>
      </c>
      <c r="E280">
        <v>1</v>
      </c>
      <c r="F280">
        <v>1</v>
      </c>
      <c r="G280">
        <v>1081</v>
      </c>
      <c r="H280">
        <v>3</v>
      </c>
      <c r="I280" t="s">
        <v>492</v>
      </c>
      <c r="J280" t="s">
        <v>493</v>
      </c>
      <c r="K280" t="s">
        <v>494</v>
      </c>
      <c r="L280">
        <v>1354</v>
      </c>
      <c r="N280">
        <v>1010</v>
      </c>
      <c r="O280" t="s">
        <v>177</v>
      </c>
      <c r="P280" t="s">
        <v>177</v>
      </c>
      <c r="Q280">
        <v>1</v>
      </c>
      <c r="X280">
        <v>1</v>
      </c>
      <c r="Y280">
        <v>14.99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104</v>
      </c>
      <c r="AG280">
        <v>1</v>
      </c>
      <c r="AH280">
        <v>2</v>
      </c>
      <c r="AI280">
        <v>57035195</v>
      </c>
      <c r="AJ280">
        <v>267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ROW(Source!A399)</f>
        <v>399</v>
      </c>
      <c r="B281">
        <v>57035208</v>
      </c>
      <c r="C281">
        <v>57035190</v>
      </c>
      <c r="D281">
        <v>55481864</v>
      </c>
      <c r="E281">
        <v>1</v>
      </c>
      <c r="F281">
        <v>1</v>
      </c>
      <c r="G281">
        <v>1081</v>
      </c>
      <c r="H281">
        <v>3</v>
      </c>
      <c r="I281" t="s">
        <v>495</v>
      </c>
      <c r="J281" t="s">
        <v>496</v>
      </c>
      <c r="K281" t="s">
        <v>497</v>
      </c>
      <c r="L281">
        <v>1301</v>
      </c>
      <c r="N281">
        <v>1003</v>
      </c>
      <c r="O281" t="s">
        <v>371</v>
      </c>
      <c r="P281" t="s">
        <v>371</v>
      </c>
      <c r="Q281">
        <v>1</v>
      </c>
      <c r="X281">
        <v>0.48</v>
      </c>
      <c r="Y281">
        <v>0.7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104</v>
      </c>
      <c r="AG281">
        <v>0.48</v>
      </c>
      <c r="AH281">
        <v>2</v>
      </c>
      <c r="AI281">
        <v>57035196</v>
      </c>
      <c r="AJ281">
        <v>268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ROW(Source!A399)</f>
        <v>399</v>
      </c>
      <c r="B282">
        <v>57035209</v>
      </c>
      <c r="C282">
        <v>57035190</v>
      </c>
      <c r="D282">
        <v>55481866</v>
      </c>
      <c r="E282">
        <v>1</v>
      </c>
      <c r="F282">
        <v>1</v>
      </c>
      <c r="G282">
        <v>1081</v>
      </c>
      <c r="H282">
        <v>3</v>
      </c>
      <c r="I282" t="s">
        <v>498</v>
      </c>
      <c r="J282" t="s">
        <v>499</v>
      </c>
      <c r="K282" t="s">
        <v>500</v>
      </c>
      <c r="L282">
        <v>1356</v>
      </c>
      <c r="N282">
        <v>1010</v>
      </c>
      <c r="O282" t="s">
        <v>382</v>
      </c>
      <c r="P282" t="s">
        <v>382</v>
      </c>
      <c r="Q282">
        <v>1000</v>
      </c>
      <c r="X282">
        <v>4.1000000000000003E-3</v>
      </c>
      <c r="Y282">
        <v>6.44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104</v>
      </c>
      <c r="AG282">
        <v>4.1000000000000003E-3</v>
      </c>
      <c r="AH282">
        <v>2</v>
      </c>
      <c r="AI282">
        <v>57035197</v>
      </c>
      <c r="AJ282">
        <v>269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ROW(Source!A399)</f>
        <v>399</v>
      </c>
      <c r="B283">
        <v>57035210</v>
      </c>
      <c r="C283">
        <v>57035190</v>
      </c>
      <c r="D283">
        <v>55416982</v>
      </c>
      <c r="E283">
        <v>1081</v>
      </c>
      <c r="F283">
        <v>1</v>
      </c>
      <c r="G283">
        <v>1081</v>
      </c>
      <c r="H283">
        <v>3</v>
      </c>
      <c r="I283" t="s">
        <v>577</v>
      </c>
      <c r="J283" t="s">
        <v>3</v>
      </c>
      <c r="K283" t="s">
        <v>578</v>
      </c>
      <c r="L283">
        <v>1346</v>
      </c>
      <c r="N283">
        <v>1009</v>
      </c>
      <c r="O283" t="s">
        <v>433</v>
      </c>
      <c r="P283" t="s">
        <v>433</v>
      </c>
      <c r="Q283">
        <v>1</v>
      </c>
      <c r="X283">
        <v>0.77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104</v>
      </c>
      <c r="AG283">
        <v>0.77</v>
      </c>
      <c r="AH283">
        <v>3</v>
      </c>
      <c r="AI283">
        <v>-1</v>
      </c>
      <c r="AJ283" t="s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ROW(Source!A399)</f>
        <v>399</v>
      </c>
      <c r="B284">
        <v>57035211</v>
      </c>
      <c r="C284">
        <v>57035190</v>
      </c>
      <c r="D284">
        <v>55431085</v>
      </c>
      <c r="E284">
        <v>1081</v>
      </c>
      <c r="F284">
        <v>1</v>
      </c>
      <c r="G284">
        <v>1081</v>
      </c>
      <c r="H284">
        <v>3</v>
      </c>
      <c r="I284" t="s">
        <v>581</v>
      </c>
      <c r="J284" t="s">
        <v>3</v>
      </c>
      <c r="K284" t="s">
        <v>582</v>
      </c>
      <c r="L284">
        <v>1354</v>
      </c>
      <c r="N284">
        <v>1010</v>
      </c>
      <c r="O284" t="s">
        <v>177</v>
      </c>
      <c r="P284" t="s">
        <v>177</v>
      </c>
      <c r="Q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104</v>
      </c>
      <c r="AG284">
        <v>1</v>
      </c>
      <c r="AH284">
        <v>3</v>
      </c>
      <c r="AI284">
        <v>-1</v>
      </c>
      <c r="AJ284" t="s">
        <v>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ROW(Source!A399)</f>
        <v>399</v>
      </c>
      <c r="B285">
        <v>57035212</v>
      </c>
      <c r="C285">
        <v>57035190</v>
      </c>
      <c r="D285">
        <v>55432026</v>
      </c>
      <c r="E285">
        <v>1081</v>
      </c>
      <c r="F285">
        <v>1</v>
      </c>
      <c r="G285">
        <v>1081</v>
      </c>
      <c r="H285">
        <v>3</v>
      </c>
      <c r="I285" t="s">
        <v>583</v>
      </c>
      <c r="J285" t="s">
        <v>3</v>
      </c>
      <c r="K285" t="s">
        <v>584</v>
      </c>
      <c r="L285">
        <v>1356</v>
      </c>
      <c r="N285">
        <v>1010</v>
      </c>
      <c r="O285" t="s">
        <v>382</v>
      </c>
      <c r="P285" t="s">
        <v>382</v>
      </c>
      <c r="Q285">
        <v>1000</v>
      </c>
      <c r="X285">
        <v>6.1199999999999997E-2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104</v>
      </c>
      <c r="AG285">
        <v>6.1199999999999997E-2</v>
      </c>
      <c r="AH285">
        <v>3</v>
      </c>
      <c r="AI285">
        <v>-1</v>
      </c>
      <c r="AJ285" t="s">
        <v>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ROW(Source!A399)</f>
        <v>399</v>
      </c>
      <c r="B286">
        <v>57035213</v>
      </c>
      <c r="C286">
        <v>57035190</v>
      </c>
      <c r="D286">
        <v>55433412</v>
      </c>
      <c r="E286">
        <v>1081</v>
      </c>
      <c r="F286">
        <v>1</v>
      </c>
      <c r="G286">
        <v>1081</v>
      </c>
      <c r="H286">
        <v>3</v>
      </c>
      <c r="I286" t="s">
        <v>585</v>
      </c>
      <c r="J286" t="s">
        <v>3</v>
      </c>
      <c r="K286" t="s">
        <v>586</v>
      </c>
      <c r="L286">
        <v>1354</v>
      </c>
      <c r="N286">
        <v>1010</v>
      </c>
      <c r="O286" t="s">
        <v>177</v>
      </c>
      <c r="P286" t="s">
        <v>177</v>
      </c>
      <c r="Q286">
        <v>1</v>
      </c>
      <c r="X286">
        <v>2.04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104</v>
      </c>
      <c r="AG286">
        <v>2.04</v>
      </c>
      <c r="AH286">
        <v>3</v>
      </c>
      <c r="AI286">
        <v>-1</v>
      </c>
      <c r="AJ286" t="s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ROW(Source!A410)</f>
        <v>410</v>
      </c>
      <c r="B287">
        <v>57035223</v>
      </c>
      <c r="C287">
        <v>57035219</v>
      </c>
      <c r="D287">
        <v>55424304</v>
      </c>
      <c r="E287">
        <v>1081</v>
      </c>
      <c r="F287">
        <v>1</v>
      </c>
      <c r="G287">
        <v>1081</v>
      </c>
      <c r="H287">
        <v>1</v>
      </c>
      <c r="I287" t="s">
        <v>459</v>
      </c>
      <c r="J287" t="s">
        <v>3</v>
      </c>
      <c r="K287" t="s">
        <v>460</v>
      </c>
      <c r="L287">
        <v>1191</v>
      </c>
      <c r="N287">
        <v>1013</v>
      </c>
      <c r="O287" t="s">
        <v>461</v>
      </c>
      <c r="P287" t="s">
        <v>461</v>
      </c>
      <c r="Q287">
        <v>1</v>
      </c>
      <c r="X287">
        <v>2.4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1</v>
      </c>
      <c r="AF287" t="s">
        <v>105</v>
      </c>
      <c r="AG287">
        <v>2.88</v>
      </c>
      <c r="AH287">
        <v>2</v>
      </c>
      <c r="AI287">
        <v>57035220</v>
      </c>
      <c r="AJ287">
        <v>275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ROW(Source!A411)</f>
        <v>411</v>
      </c>
      <c r="B288">
        <v>57035223</v>
      </c>
      <c r="C288">
        <v>57035219</v>
      </c>
      <c r="D288">
        <v>55424304</v>
      </c>
      <c r="E288">
        <v>1081</v>
      </c>
      <c r="F288">
        <v>1</v>
      </c>
      <c r="G288">
        <v>1081</v>
      </c>
      <c r="H288">
        <v>1</v>
      </c>
      <c r="I288" t="s">
        <v>459</v>
      </c>
      <c r="J288" t="s">
        <v>3</v>
      </c>
      <c r="K288" t="s">
        <v>460</v>
      </c>
      <c r="L288">
        <v>1191</v>
      </c>
      <c r="N288">
        <v>1013</v>
      </c>
      <c r="O288" t="s">
        <v>461</v>
      </c>
      <c r="P288" t="s">
        <v>461</v>
      </c>
      <c r="Q288">
        <v>1</v>
      </c>
      <c r="X288">
        <v>2.4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1</v>
      </c>
      <c r="AF288" t="s">
        <v>105</v>
      </c>
      <c r="AG288">
        <v>2.88</v>
      </c>
      <c r="AH288">
        <v>2</v>
      </c>
      <c r="AI288">
        <v>57035220</v>
      </c>
      <c r="AJ288">
        <v>278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ROW(Source!A416)</f>
        <v>416</v>
      </c>
      <c r="B289">
        <v>57035230</v>
      </c>
      <c r="C289">
        <v>57035226</v>
      </c>
      <c r="D289">
        <v>55424304</v>
      </c>
      <c r="E289">
        <v>1081</v>
      </c>
      <c r="F289">
        <v>1</v>
      </c>
      <c r="G289">
        <v>1081</v>
      </c>
      <c r="H289">
        <v>1</v>
      </c>
      <c r="I289" t="s">
        <v>459</v>
      </c>
      <c r="J289" t="s">
        <v>3</v>
      </c>
      <c r="K289" t="s">
        <v>460</v>
      </c>
      <c r="L289">
        <v>1191</v>
      </c>
      <c r="N289">
        <v>1013</v>
      </c>
      <c r="O289" t="s">
        <v>461</v>
      </c>
      <c r="P289" t="s">
        <v>461</v>
      </c>
      <c r="Q289">
        <v>1</v>
      </c>
      <c r="X289">
        <v>1.2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 t="s">
        <v>105</v>
      </c>
      <c r="AG289">
        <v>1.44</v>
      </c>
      <c r="AH289">
        <v>2</v>
      </c>
      <c r="AI289">
        <v>57035227</v>
      </c>
      <c r="AJ289">
        <v>281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ROW(Source!A417)</f>
        <v>417</v>
      </c>
      <c r="B290">
        <v>57035230</v>
      </c>
      <c r="C290">
        <v>57035226</v>
      </c>
      <c r="D290">
        <v>55424304</v>
      </c>
      <c r="E290">
        <v>1081</v>
      </c>
      <c r="F290">
        <v>1</v>
      </c>
      <c r="G290">
        <v>1081</v>
      </c>
      <c r="H290">
        <v>1</v>
      </c>
      <c r="I290" t="s">
        <v>459</v>
      </c>
      <c r="J290" t="s">
        <v>3</v>
      </c>
      <c r="K290" t="s">
        <v>460</v>
      </c>
      <c r="L290">
        <v>1191</v>
      </c>
      <c r="N290">
        <v>1013</v>
      </c>
      <c r="O290" t="s">
        <v>461</v>
      </c>
      <c r="P290" t="s">
        <v>461</v>
      </c>
      <c r="Q290">
        <v>1</v>
      </c>
      <c r="X290">
        <v>1.2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105</v>
      </c>
      <c r="AG290">
        <v>1.44</v>
      </c>
      <c r="AH290">
        <v>2</v>
      </c>
      <c r="AI290">
        <v>57035227</v>
      </c>
      <c r="AJ290">
        <v>284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ROW(Source!A496)</f>
        <v>496</v>
      </c>
      <c r="B291">
        <v>57036111</v>
      </c>
      <c r="C291">
        <v>57036110</v>
      </c>
      <c r="D291">
        <v>55424304</v>
      </c>
      <c r="E291">
        <v>1081</v>
      </c>
      <c r="F291">
        <v>1</v>
      </c>
      <c r="G291">
        <v>1081</v>
      </c>
      <c r="H291">
        <v>1</v>
      </c>
      <c r="I291" t="s">
        <v>459</v>
      </c>
      <c r="J291" t="s">
        <v>3</v>
      </c>
      <c r="K291" t="s">
        <v>460</v>
      </c>
      <c r="L291">
        <v>1191</v>
      </c>
      <c r="N291">
        <v>1013</v>
      </c>
      <c r="O291" t="s">
        <v>461</v>
      </c>
      <c r="P291" t="s">
        <v>461</v>
      </c>
      <c r="Q291">
        <v>1</v>
      </c>
      <c r="X291">
        <v>34.61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105</v>
      </c>
      <c r="AG291">
        <v>41.531999999999996</v>
      </c>
      <c r="AH291">
        <v>2</v>
      </c>
      <c r="AI291">
        <v>57036111</v>
      </c>
      <c r="AJ291">
        <v>287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ROW(Source!A496)</f>
        <v>496</v>
      </c>
      <c r="B292">
        <v>57036112</v>
      </c>
      <c r="C292">
        <v>57036110</v>
      </c>
      <c r="D292">
        <v>55490263</v>
      </c>
      <c r="E292">
        <v>1</v>
      </c>
      <c r="F292">
        <v>1</v>
      </c>
      <c r="G292">
        <v>1081</v>
      </c>
      <c r="H292">
        <v>2</v>
      </c>
      <c r="I292" t="s">
        <v>501</v>
      </c>
      <c r="J292" t="s">
        <v>502</v>
      </c>
      <c r="K292" t="s">
        <v>503</v>
      </c>
      <c r="L292">
        <v>1368</v>
      </c>
      <c r="N292">
        <v>1011</v>
      </c>
      <c r="O292" t="s">
        <v>465</v>
      </c>
      <c r="P292" t="s">
        <v>465</v>
      </c>
      <c r="Q292">
        <v>1</v>
      </c>
      <c r="X292">
        <v>4.87</v>
      </c>
      <c r="Y292">
        <v>0</v>
      </c>
      <c r="Z292">
        <v>0.77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105</v>
      </c>
      <c r="AG292">
        <v>5.8440000000000003</v>
      </c>
      <c r="AH292">
        <v>2</v>
      </c>
      <c r="AI292">
        <v>57036112</v>
      </c>
      <c r="AJ292">
        <v>288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ROW(Source!A496)</f>
        <v>496</v>
      </c>
      <c r="B293">
        <v>57036113</v>
      </c>
      <c r="C293">
        <v>57036110</v>
      </c>
      <c r="D293">
        <v>55490296</v>
      </c>
      <c r="E293">
        <v>1</v>
      </c>
      <c r="F293">
        <v>1</v>
      </c>
      <c r="G293">
        <v>1081</v>
      </c>
      <c r="H293">
        <v>2</v>
      </c>
      <c r="I293" t="s">
        <v>479</v>
      </c>
      <c r="J293" t="s">
        <v>480</v>
      </c>
      <c r="K293" t="s">
        <v>481</v>
      </c>
      <c r="L293">
        <v>1368</v>
      </c>
      <c r="N293">
        <v>1011</v>
      </c>
      <c r="O293" t="s">
        <v>465</v>
      </c>
      <c r="P293" t="s">
        <v>465</v>
      </c>
      <c r="Q293">
        <v>1</v>
      </c>
      <c r="X293">
        <v>6.89</v>
      </c>
      <c r="Y293">
        <v>0</v>
      </c>
      <c r="Z293">
        <v>0.47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105</v>
      </c>
      <c r="AG293">
        <v>8.2679999999999989</v>
      </c>
      <c r="AH293">
        <v>2</v>
      </c>
      <c r="AI293">
        <v>57036113</v>
      </c>
      <c r="AJ293">
        <v>289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ROW(Source!A496)</f>
        <v>496</v>
      </c>
      <c r="B294">
        <v>57036114</v>
      </c>
      <c r="C294">
        <v>57036110</v>
      </c>
      <c r="D294">
        <v>55482203</v>
      </c>
      <c r="E294">
        <v>1</v>
      </c>
      <c r="F294">
        <v>1</v>
      </c>
      <c r="G294">
        <v>1081</v>
      </c>
      <c r="H294">
        <v>3</v>
      </c>
      <c r="I294" t="s">
        <v>489</v>
      </c>
      <c r="J294" t="s">
        <v>490</v>
      </c>
      <c r="K294" t="s">
        <v>491</v>
      </c>
      <c r="L294">
        <v>1356</v>
      </c>
      <c r="N294">
        <v>1010</v>
      </c>
      <c r="O294" t="s">
        <v>382</v>
      </c>
      <c r="P294" t="s">
        <v>382</v>
      </c>
      <c r="Q294">
        <v>1000</v>
      </c>
      <c r="X294">
        <v>3.1E-2</v>
      </c>
      <c r="Y294">
        <v>226.66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104</v>
      </c>
      <c r="AG294">
        <v>3.1E-2</v>
      </c>
      <c r="AH294">
        <v>2</v>
      </c>
      <c r="AI294">
        <v>57036114</v>
      </c>
      <c r="AJ294">
        <v>291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ROW(Source!A496)</f>
        <v>496</v>
      </c>
      <c r="B295">
        <v>57036115</v>
      </c>
      <c r="C295">
        <v>57036110</v>
      </c>
      <c r="D295">
        <v>55481977</v>
      </c>
      <c r="E295">
        <v>1</v>
      </c>
      <c r="F295">
        <v>1</v>
      </c>
      <c r="G295">
        <v>1081</v>
      </c>
      <c r="H295">
        <v>3</v>
      </c>
      <c r="I295" t="s">
        <v>504</v>
      </c>
      <c r="J295" t="s">
        <v>505</v>
      </c>
      <c r="K295" t="s">
        <v>506</v>
      </c>
      <c r="L295">
        <v>1355</v>
      </c>
      <c r="N295">
        <v>1010</v>
      </c>
      <c r="O295" t="s">
        <v>414</v>
      </c>
      <c r="P295" t="s">
        <v>414</v>
      </c>
      <c r="Q295">
        <v>100</v>
      </c>
      <c r="X295">
        <v>0.315</v>
      </c>
      <c r="Y295">
        <v>26.71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104</v>
      </c>
      <c r="AG295">
        <v>0.315</v>
      </c>
      <c r="AH295">
        <v>2</v>
      </c>
      <c r="AI295">
        <v>57036115</v>
      </c>
      <c r="AJ295">
        <v>292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ROW(Source!A496)</f>
        <v>496</v>
      </c>
      <c r="B296">
        <v>57036116</v>
      </c>
      <c r="C296">
        <v>57036110</v>
      </c>
      <c r="D296">
        <v>55469263</v>
      </c>
      <c r="E296">
        <v>1</v>
      </c>
      <c r="F296">
        <v>1</v>
      </c>
      <c r="G296">
        <v>1081</v>
      </c>
      <c r="H296">
        <v>3</v>
      </c>
      <c r="I296" t="s">
        <v>507</v>
      </c>
      <c r="J296" t="s">
        <v>508</v>
      </c>
      <c r="K296" t="s">
        <v>509</v>
      </c>
      <c r="L296">
        <v>1354</v>
      </c>
      <c r="N296">
        <v>1010</v>
      </c>
      <c r="O296" t="s">
        <v>177</v>
      </c>
      <c r="P296" t="s">
        <v>177</v>
      </c>
      <c r="Q296">
        <v>1</v>
      </c>
      <c r="X296">
        <v>0.55900000000000005</v>
      </c>
      <c r="Y296">
        <v>14.22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104</v>
      </c>
      <c r="AG296">
        <v>0.55900000000000005</v>
      </c>
      <c r="AH296">
        <v>2</v>
      </c>
      <c r="AI296">
        <v>57036116</v>
      </c>
      <c r="AJ296">
        <v>293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ROW(Source!A496)</f>
        <v>496</v>
      </c>
      <c r="B297">
        <v>57036117</v>
      </c>
      <c r="C297">
        <v>57036110</v>
      </c>
      <c r="D297">
        <v>55428305</v>
      </c>
      <c r="E297">
        <v>1081</v>
      </c>
      <c r="F297">
        <v>1</v>
      </c>
      <c r="G297">
        <v>1081</v>
      </c>
      <c r="H297">
        <v>3</v>
      </c>
      <c r="I297" t="s">
        <v>587</v>
      </c>
      <c r="J297" t="s">
        <v>3</v>
      </c>
      <c r="K297" t="s">
        <v>588</v>
      </c>
      <c r="L297">
        <v>1301</v>
      </c>
      <c r="N297">
        <v>1003</v>
      </c>
      <c r="O297" t="s">
        <v>371</v>
      </c>
      <c r="P297" t="s">
        <v>371</v>
      </c>
      <c r="Q297">
        <v>1</v>
      </c>
      <c r="X297">
        <v>102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104</v>
      </c>
      <c r="AG297">
        <v>102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ROW(Source!A496)</f>
        <v>496</v>
      </c>
      <c r="B298">
        <v>57036118</v>
      </c>
      <c r="C298">
        <v>57036110</v>
      </c>
      <c r="D298">
        <v>55433560</v>
      </c>
      <c r="E298">
        <v>1081</v>
      </c>
      <c r="F298">
        <v>1</v>
      </c>
      <c r="G298">
        <v>1081</v>
      </c>
      <c r="H298">
        <v>3</v>
      </c>
      <c r="I298" t="s">
        <v>589</v>
      </c>
      <c r="J298" t="s">
        <v>3</v>
      </c>
      <c r="K298" t="s">
        <v>590</v>
      </c>
      <c r="L298">
        <v>1356</v>
      </c>
      <c r="N298">
        <v>1010</v>
      </c>
      <c r="O298" t="s">
        <v>382</v>
      </c>
      <c r="P298" t="s">
        <v>382</v>
      </c>
      <c r="Q298">
        <v>1000</v>
      </c>
      <c r="X298">
        <v>0.23799999999999999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104</v>
      </c>
      <c r="AG298">
        <v>0.23799999999999999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ROW(Source!A496)</f>
        <v>496</v>
      </c>
      <c r="B299">
        <v>57036119</v>
      </c>
      <c r="C299">
        <v>57036110</v>
      </c>
      <c r="D299">
        <v>55438947</v>
      </c>
      <c r="E299">
        <v>1081</v>
      </c>
      <c r="F299">
        <v>1</v>
      </c>
      <c r="G299">
        <v>1081</v>
      </c>
      <c r="H299">
        <v>3</v>
      </c>
      <c r="I299" t="s">
        <v>591</v>
      </c>
      <c r="J299" t="s">
        <v>3</v>
      </c>
      <c r="K299" t="s">
        <v>592</v>
      </c>
      <c r="L299">
        <v>1303</v>
      </c>
      <c r="N299">
        <v>1003</v>
      </c>
      <c r="O299" t="s">
        <v>485</v>
      </c>
      <c r="P299" t="s">
        <v>485</v>
      </c>
      <c r="Q299">
        <v>1000</v>
      </c>
      <c r="X299">
        <v>0.10199999999999999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104</v>
      </c>
      <c r="AG299">
        <v>0.10199999999999999</v>
      </c>
      <c r="AH299">
        <v>3</v>
      </c>
      <c r="AI299">
        <v>-1</v>
      </c>
      <c r="AJ299" t="s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ROW(Source!A496)</f>
        <v>496</v>
      </c>
      <c r="B300">
        <v>57036120</v>
      </c>
      <c r="C300">
        <v>57036110</v>
      </c>
      <c r="D300">
        <v>55447804</v>
      </c>
      <c r="E300">
        <v>1081</v>
      </c>
      <c r="F300">
        <v>1</v>
      </c>
      <c r="G300">
        <v>1081</v>
      </c>
      <c r="H300">
        <v>3</v>
      </c>
      <c r="I300" t="s">
        <v>593</v>
      </c>
      <c r="J300" t="s">
        <v>3</v>
      </c>
      <c r="K300" t="s">
        <v>594</v>
      </c>
      <c r="L300">
        <v>1355</v>
      </c>
      <c r="N300">
        <v>1010</v>
      </c>
      <c r="O300" t="s">
        <v>414</v>
      </c>
      <c r="P300" t="s">
        <v>414</v>
      </c>
      <c r="Q300">
        <v>100</v>
      </c>
      <c r="X300">
        <v>4.71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104</v>
      </c>
      <c r="AG300">
        <v>4.71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ROW(Source!A497)</f>
        <v>497</v>
      </c>
      <c r="B301">
        <v>57036111</v>
      </c>
      <c r="C301">
        <v>57036110</v>
      </c>
      <c r="D301">
        <v>55424304</v>
      </c>
      <c r="E301">
        <v>1081</v>
      </c>
      <c r="F301">
        <v>1</v>
      </c>
      <c r="G301">
        <v>1081</v>
      </c>
      <c r="H301">
        <v>1</v>
      </c>
      <c r="I301" t="s">
        <v>459</v>
      </c>
      <c r="J301" t="s">
        <v>3</v>
      </c>
      <c r="K301" t="s">
        <v>460</v>
      </c>
      <c r="L301">
        <v>1191</v>
      </c>
      <c r="N301">
        <v>1013</v>
      </c>
      <c r="O301" t="s">
        <v>461</v>
      </c>
      <c r="P301" t="s">
        <v>461</v>
      </c>
      <c r="Q301">
        <v>1</v>
      </c>
      <c r="X301">
        <v>34.61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 t="s">
        <v>105</v>
      </c>
      <c r="AG301">
        <v>41.531999999999996</v>
      </c>
      <c r="AH301">
        <v>2</v>
      </c>
      <c r="AI301">
        <v>57036111</v>
      </c>
      <c r="AJ301">
        <v>294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ROW(Source!A497)</f>
        <v>497</v>
      </c>
      <c r="B302">
        <v>57036112</v>
      </c>
      <c r="C302">
        <v>57036110</v>
      </c>
      <c r="D302">
        <v>55490263</v>
      </c>
      <c r="E302">
        <v>1</v>
      </c>
      <c r="F302">
        <v>1</v>
      </c>
      <c r="G302">
        <v>1081</v>
      </c>
      <c r="H302">
        <v>2</v>
      </c>
      <c r="I302" t="s">
        <v>501</v>
      </c>
      <c r="J302" t="s">
        <v>502</v>
      </c>
      <c r="K302" t="s">
        <v>503</v>
      </c>
      <c r="L302">
        <v>1368</v>
      </c>
      <c r="N302">
        <v>1011</v>
      </c>
      <c r="O302" t="s">
        <v>465</v>
      </c>
      <c r="P302" t="s">
        <v>465</v>
      </c>
      <c r="Q302">
        <v>1</v>
      </c>
      <c r="X302">
        <v>4.87</v>
      </c>
      <c r="Y302">
        <v>0</v>
      </c>
      <c r="Z302">
        <v>0.77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105</v>
      </c>
      <c r="AG302">
        <v>5.8440000000000003</v>
      </c>
      <c r="AH302">
        <v>2</v>
      </c>
      <c r="AI302">
        <v>57036112</v>
      </c>
      <c r="AJ302">
        <v>295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ROW(Source!A497)</f>
        <v>497</v>
      </c>
      <c r="B303">
        <v>57036113</v>
      </c>
      <c r="C303">
        <v>57036110</v>
      </c>
      <c r="D303">
        <v>55490296</v>
      </c>
      <c r="E303">
        <v>1</v>
      </c>
      <c r="F303">
        <v>1</v>
      </c>
      <c r="G303">
        <v>1081</v>
      </c>
      <c r="H303">
        <v>2</v>
      </c>
      <c r="I303" t="s">
        <v>479</v>
      </c>
      <c r="J303" t="s">
        <v>480</v>
      </c>
      <c r="K303" t="s">
        <v>481</v>
      </c>
      <c r="L303">
        <v>1368</v>
      </c>
      <c r="N303">
        <v>1011</v>
      </c>
      <c r="O303" t="s">
        <v>465</v>
      </c>
      <c r="P303" t="s">
        <v>465</v>
      </c>
      <c r="Q303">
        <v>1</v>
      </c>
      <c r="X303">
        <v>6.89</v>
      </c>
      <c r="Y303">
        <v>0</v>
      </c>
      <c r="Z303">
        <v>0.47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105</v>
      </c>
      <c r="AG303">
        <v>8.2679999999999989</v>
      </c>
      <c r="AH303">
        <v>2</v>
      </c>
      <c r="AI303">
        <v>57036113</v>
      </c>
      <c r="AJ303">
        <v>296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ROW(Source!A497)</f>
        <v>497</v>
      </c>
      <c r="B304">
        <v>57036114</v>
      </c>
      <c r="C304">
        <v>57036110</v>
      </c>
      <c r="D304">
        <v>55482203</v>
      </c>
      <c r="E304">
        <v>1</v>
      </c>
      <c r="F304">
        <v>1</v>
      </c>
      <c r="G304">
        <v>1081</v>
      </c>
      <c r="H304">
        <v>3</v>
      </c>
      <c r="I304" t="s">
        <v>489</v>
      </c>
      <c r="J304" t="s">
        <v>490</v>
      </c>
      <c r="K304" t="s">
        <v>491</v>
      </c>
      <c r="L304">
        <v>1356</v>
      </c>
      <c r="N304">
        <v>1010</v>
      </c>
      <c r="O304" t="s">
        <v>382</v>
      </c>
      <c r="P304" t="s">
        <v>382</v>
      </c>
      <c r="Q304">
        <v>1000</v>
      </c>
      <c r="X304">
        <v>3.1E-2</v>
      </c>
      <c r="Y304">
        <v>226.66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104</v>
      </c>
      <c r="AG304">
        <v>3.1E-2</v>
      </c>
      <c r="AH304">
        <v>2</v>
      </c>
      <c r="AI304">
        <v>57036114</v>
      </c>
      <c r="AJ304">
        <v>298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ROW(Source!A497)</f>
        <v>497</v>
      </c>
      <c r="B305">
        <v>57036115</v>
      </c>
      <c r="C305">
        <v>57036110</v>
      </c>
      <c r="D305">
        <v>55481977</v>
      </c>
      <c r="E305">
        <v>1</v>
      </c>
      <c r="F305">
        <v>1</v>
      </c>
      <c r="G305">
        <v>1081</v>
      </c>
      <c r="H305">
        <v>3</v>
      </c>
      <c r="I305" t="s">
        <v>504</v>
      </c>
      <c r="J305" t="s">
        <v>505</v>
      </c>
      <c r="K305" t="s">
        <v>506</v>
      </c>
      <c r="L305">
        <v>1355</v>
      </c>
      <c r="N305">
        <v>1010</v>
      </c>
      <c r="O305" t="s">
        <v>414</v>
      </c>
      <c r="P305" t="s">
        <v>414</v>
      </c>
      <c r="Q305">
        <v>100</v>
      </c>
      <c r="X305">
        <v>0.315</v>
      </c>
      <c r="Y305">
        <v>26.71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104</v>
      </c>
      <c r="AG305">
        <v>0.315</v>
      </c>
      <c r="AH305">
        <v>2</v>
      </c>
      <c r="AI305">
        <v>57036115</v>
      </c>
      <c r="AJ305">
        <v>299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ROW(Source!A497)</f>
        <v>497</v>
      </c>
      <c r="B306">
        <v>57036116</v>
      </c>
      <c r="C306">
        <v>57036110</v>
      </c>
      <c r="D306">
        <v>55469263</v>
      </c>
      <c r="E306">
        <v>1</v>
      </c>
      <c r="F306">
        <v>1</v>
      </c>
      <c r="G306">
        <v>1081</v>
      </c>
      <c r="H306">
        <v>3</v>
      </c>
      <c r="I306" t="s">
        <v>507</v>
      </c>
      <c r="J306" t="s">
        <v>508</v>
      </c>
      <c r="K306" t="s">
        <v>509</v>
      </c>
      <c r="L306">
        <v>1354</v>
      </c>
      <c r="N306">
        <v>1010</v>
      </c>
      <c r="O306" t="s">
        <v>177</v>
      </c>
      <c r="P306" t="s">
        <v>177</v>
      </c>
      <c r="Q306">
        <v>1</v>
      </c>
      <c r="X306">
        <v>0.55900000000000005</v>
      </c>
      <c r="Y306">
        <v>14.22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104</v>
      </c>
      <c r="AG306">
        <v>0.55900000000000005</v>
      </c>
      <c r="AH306">
        <v>2</v>
      </c>
      <c r="AI306">
        <v>57036116</v>
      </c>
      <c r="AJ306">
        <v>300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ROW(Source!A497)</f>
        <v>497</v>
      </c>
      <c r="B307">
        <v>57036117</v>
      </c>
      <c r="C307">
        <v>57036110</v>
      </c>
      <c r="D307">
        <v>55428305</v>
      </c>
      <c r="E307">
        <v>1081</v>
      </c>
      <c r="F307">
        <v>1</v>
      </c>
      <c r="G307">
        <v>1081</v>
      </c>
      <c r="H307">
        <v>3</v>
      </c>
      <c r="I307" t="s">
        <v>587</v>
      </c>
      <c r="J307" t="s">
        <v>3</v>
      </c>
      <c r="K307" t="s">
        <v>588</v>
      </c>
      <c r="L307">
        <v>1301</v>
      </c>
      <c r="N307">
        <v>1003</v>
      </c>
      <c r="O307" t="s">
        <v>371</v>
      </c>
      <c r="P307" t="s">
        <v>371</v>
      </c>
      <c r="Q307">
        <v>1</v>
      </c>
      <c r="X307">
        <v>102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104</v>
      </c>
      <c r="AG307">
        <v>102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ROW(Source!A497)</f>
        <v>497</v>
      </c>
      <c r="B308">
        <v>57036118</v>
      </c>
      <c r="C308">
        <v>57036110</v>
      </c>
      <c r="D308">
        <v>55433560</v>
      </c>
      <c r="E308">
        <v>1081</v>
      </c>
      <c r="F308">
        <v>1</v>
      </c>
      <c r="G308">
        <v>1081</v>
      </c>
      <c r="H308">
        <v>3</v>
      </c>
      <c r="I308" t="s">
        <v>589</v>
      </c>
      <c r="J308" t="s">
        <v>3</v>
      </c>
      <c r="K308" t="s">
        <v>590</v>
      </c>
      <c r="L308">
        <v>1356</v>
      </c>
      <c r="N308">
        <v>1010</v>
      </c>
      <c r="O308" t="s">
        <v>382</v>
      </c>
      <c r="P308" t="s">
        <v>382</v>
      </c>
      <c r="Q308">
        <v>1000</v>
      </c>
      <c r="X308">
        <v>0.23799999999999999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104</v>
      </c>
      <c r="AG308">
        <v>0.23799999999999999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ROW(Source!A497)</f>
        <v>497</v>
      </c>
      <c r="B309">
        <v>57036119</v>
      </c>
      <c r="C309">
        <v>57036110</v>
      </c>
      <c r="D309">
        <v>55438947</v>
      </c>
      <c r="E309">
        <v>1081</v>
      </c>
      <c r="F309">
        <v>1</v>
      </c>
      <c r="G309">
        <v>1081</v>
      </c>
      <c r="H309">
        <v>3</v>
      </c>
      <c r="I309" t="s">
        <v>591</v>
      </c>
      <c r="J309" t="s">
        <v>3</v>
      </c>
      <c r="K309" t="s">
        <v>592</v>
      </c>
      <c r="L309">
        <v>1303</v>
      </c>
      <c r="N309">
        <v>1003</v>
      </c>
      <c r="O309" t="s">
        <v>485</v>
      </c>
      <c r="P309" t="s">
        <v>485</v>
      </c>
      <c r="Q309">
        <v>1000</v>
      </c>
      <c r="X309">
        <v>0.10199999999999999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104</v>
      </c>
      <c r="AG309">
        <v>0.10199999999999999</v>
      </c>
      <c r="AH309">
        <v>3</v>
      </c>
      <c r="AI309">
        <v>-1</v>
      </c>
      <c r="AJ309" t="s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ROW(Source!A497)</f>
        <v>497</v>
      </c>
      <c r="B310">
        <v>57036120</v>
      </c>
      <c r="C310">
        <v>57036110</v>
      </c>
      <c r="D310">
        <v>55447804</v>
      </c>
      <c r="E310">
        <v>1081</v>
      </c>
      <c r="F310">
        <v>1</v>
      </c>
      <c r="G310">
        <v>1081</v>
      </c>
      <c r="H310">
        <v>3</v>
      </c>
      <c r="I310" t="s">
        <v>593</v>
      </c>
      <c r="J310" t="s">
        <v>3</v>
      </c>
      <c r="K310" t="s">
        <v>594</v>
      </c>
      <c r="L310">
        <v>1355</v>
      </c>
      <c r="N310">
        <v>1010</v>
      </c>
      <c r="O310" t="s">
        <v>414</v>
      </c>
      <c r="P310" t="s">
        <v>414</v>
      </c>
      <c r="Q310">
        <v>100</v>
      </c>
      <c r="X310">
        <v>4.71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104</v>
      </c>
      <c r="AG310">
        <v>4.71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ROW(Source!A516)</f>
        <v>516</v>
      </c>
      <c r="B311">
        <v>57035239</v>
      </c>
      <c r="C311">
        <v>57035235</v>
      </c>
      <c r="D311">
        <v>55424304</v>
      </c>
      <c r="E311">
        <v>1081</v>
      </c>
      <c r="F311">
        <v>1</v>
      </c>
      <c r="G311">
        <v>1081</v>
      </c>
      <c r="H311">
        <v>1</v>
      </c>
      <c r="I311" t="s">
        <v>459</v>
      </c>
      <c r="J311" t="s">
        <v>3</v>
      </c>
      <c r="K311" t="s">
        <v>460</v>
      </c>
      <c r="L311">
        <v>1191</v>
      </c>
      <c r="N311">
        <v>1013</v>
      </c>
      <c r="O311" t="s">
        <v>461</v>
      </c>
      <c r="P311" t="s">
        <v>461</v>
      </c>
      <c r="Q311">
        <v>1</v>
      </c>
      <c r="X311">
        <v>15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105</v>
      </c>
      <c r="AG311">
        <v>18</v>
      </c>
      <c r="AH311">
        <v>2</v>
      </c>
      <c r="AI311">
        <v>57035236</v>
      </c>
      <c r="AJ311">
        <v>301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ROW(Source!A516)</f>
        <v>516</v>
      </c>
      <c r="B312">
        <v>57035240</v>
      </c>
      <c r="C312">
        <v>57035235</v>
      </c>
      <c r="D312">
        <v>55428300</v>
      </c>
      <c r="E312">
        <v>1081</v>
      </c>
      <c r="F312">
        <v>1</v>
      </c>
      <c r="G312">
        <v>1081</v>
      </c>
      <c r="H312">
        <v>3</v>
      </c>
      <c r="I312" t="s">
        <v>587</v>
      </c>
      <c r="J312" t="s">
        <v>3</v>
      </c>
      <c r="K312" t="s">
        <v>598</v>
      </c>
      <c r="L312">
        <v>1301</v>
      </c>
      <c r="N312">
        <v>1003</v>
      </c>
      <c r="O312" t="s">
        <v>371</v>
      </c>
      <c r="P312" t="s">
        <v>371</v>
      </c>
      <c r="Q312">
        <v>1</v>
      </c>
      <c r="X312">
        <v>102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104</v>
      </c>
      <c r="AG312">
        <v>102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ROW(Source!A516)</f>
        <v>516</v>
      </c>
      <c r="B313">
        <v>57035241</v>
      </c>
      <c r="C313">
        <v>57035235</v>
      </c>
      <c r="D313">
        <v>55431527</v>
      </c>
      <c r="E313">
        <v>1081</v>
      </c>
      <c r="F313">
        <v>1</v>
      </c>
      <c r="G313">
        <v>1081</v>
      </c>
      <c r="H313">
        <v>3</v>
      </c>
      <c r="I313" t="s">
        <v>599</v>
      </c>
      <c r="J313" t="s">
        <v>3</v>
      </c>
      <c r="K313" t="s">
        <v>600</v>
      </c>
      <c r="L313">
        <v>1354</v>
      </c>
      <c r="N313">
        <v>1010</v>
      </c>
      <c r="O313" t="s">
        <v>177</v>
      </c>
      <c r="P313" t="s">
        <v>177</v>
      </c>
      <c r="Q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104</v>
      </c>
      <c r="AG313">
        <v>0</v>
      </c>
      <c r="AH313">
        <v>3</v>
      </c>
      <c r="AI313">
        <v>-1</v>
      </c>
      <c r="AJ313" t="s">
        <v>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ROW(Source!A516)</f>
        <v>516</v>
      </c>
      <c r="B314">
        <v>57035242</v>
      </c>
      <c r="C314">
        <v>57035235</v>
      </c>
      <c r="D314">
        <v>55432095</v>
      </c>
      <c r="E314">
        <v>1081</v>
      </c>
      <c r="F314">
        <v>1</v>
      </c>
      <c r="G314">
        <v>1081</v>
      </c>
      <c r="H314">
        <v>3</v>
      </c>
      <c r="I314" t="s">
        <v>601</v>
      </c>
      <c r="J314" t="s">
        <v>3</v>
      </c>
      <c r="K314" t="s">
        <v>602</v>
      </c>
      <c r="L314">
        <v>1354</v>
      </c>
      <c r="N314">
        <v>1010</v>
      </c>
      <c r="O314" t="s">
        <v>177</v>
      </c>
      <c r="P314" t="s">
        <v>177</v>
      </c>
      <c r="Q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104</v>
      </c>
      <c r="AG314">
        <v>0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ROW(Source!A517)</f>
        <v>517</v>
      </c>
      <c r="B315">
        <v>57035239</v>
      </c>
      <c r="C315">
        <v>57035235</v>
      </c>
      <c r="D315">
        <v>55424304</v>
      </c>
      <c r="E315">
        <v>1081</v>
      </c>
      <c r="F315">
        <v>1</v>
      </c>
      <c r="G315">
        <v>1081</v>
      </c>
      <c r="H315">
        <v>1</v>
      </c>
      <c r="I315" t="s">
        <v>459</v>
      </c>
      <c r="J315" t="s">
        <v>3</v>
      </c>
      <c r="K315" t="s">
        <v>460</v>
      </c>
      <c r="L315">
        <v>1191</v>
      </c>
      <c r="N315">
        <v>1013</v>
      </c>
      <c r="O315" t="s">
        <v>461</v>
      </c>
      <c r="P315" t="s">
        <v>461</v>
      </c>
      <c r="Q315">
        <v>1</v>
      </c>
      <c r="X315">
        <v>15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 t="s">
        <v>105</v>
      </c>
      <c r="AG315">
        <v>18</v>
      </c>
      <c r="AH315">
        <v>2</v>
      </c>
      <c r="AI315">
        <v>57035236</v>
      </c>
      <c r="AJ315">
        <v>304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ROW(Source!A517)</f>
        <v>517</v>
      </c>
      <c r="B316">
        <v>57035240</v>
      </c>
      <c r="C316">
        <v>57035235</v>
      </c>
      <c r="D316">
        <v>55428300</v>
      </c>
      <c r="E316">
        <v>1081</v>
      </c>
      <c r="F316">
        <v>1</v>
      </c>
      <c r="G316">
        <v>1081</v>
      </c>
      <c r="H316">
        <v>3</v>
      </c>
      <c r="I316" t="s">
        <v>587</v>
      </c>
      <c r="J316" t="s">
        <v>3</v>
      </c>
      <c r="K316" t="s">
        <v>598</v>
      </c>
      <c r="L316">
        <v>1301</v>
      </c>
      <c r="N316">
        <v>1003</v>
      </c>
      <c r="O316" t="s">
        <v>371</v>
      </c>
      <c r="P316" t="s">
        <v>371</v>
      </c>
      <c r="Q316">
        <v>1</v>
      </c>
      <c r="X316">
        <v>102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104</v>
      </c>
      <c r="AG316">
        <v>102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ROW(Source!A517)</f>
        <v>517</v>
      </c>
      <c r="B317">
        <v>57035241</v>
      </c>
      <c r="C317">
        <v>57035235</v>
      </c>
      <c r="D317">
        <v>55431527</v>
      </c>
      <c r="E317">
        <v>1081</v>
      </c>
      <c r="F317">
        <v>1</v>
      </c>
      <c r="G317">
        <v>1081</v>
      </c>
      <c r="H317">
        <v>3</v>
      </c>
      <c r="I317" t="s">
        <v>599</v>
      </c>
      <c r="J317" t="s">
        <v>3</v>
      </c>
      <c r="K317" t="s">
        <v>600</v>
      </c>
      <c r="L317">
        <v>1354</v>
      </c>
      <c r="N317">
        <v>1010</v>
      </c>
      <c r="O317" t="s">
        <v>177</v>
      </c>
      <c r="P317" t="s">
        <v>177</v>
      </c>
      <c r="Q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104</v>
      </c>
      <c r="AG317">
        <v>0</v>
      </c>
      <c r="AH317">
        <v>3</v>
      </c>
      <c r="AI317">
        <v>-1</v>
      </c>
      <c r="AJ317" t="s">
        <v>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ROW(Source!A517)</f>
        <v>517</v>
      </c>
      <c r="B318">
        <v>57035242</v>
      </c>
      <c r="C318">
        <v>57035235</v>
      </c>
      <c r="D318">
        <v>55432095</v>
      </c>
      <c r="E318">
        <v>1081</v>
      </c>
      <c r="F318">
        <v>1</v>
      </c>
      <c r="G318">
        <v>1081</v>
      </c>
      <c r="H318">
        <v>3</v>
      </c>
      <c r="I318" t="s">
        <v>601</v>
      </c>
      <c r="J318" t="s">
        <v>3</v>
      </c>
      <c r="K318" t="s">
        <v>602</v>
      </c>
      <c r="L318">
        <v>1354</v>
      </c>
      <c r="N318">
        <v>1010</v>
      </c>
      <c r="O318" t="s">
        <v>177</v>
      </c>
      <c r="P318" t="s">
        <v>177</v>
      </c>
      <c r="Q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104</v>
      </c>
      <c r="AG318">
        <v>0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ROW(Source!A522)</f>
        <v>522</v>
      </c>
      <c r="B319">
        <v>57035257</v>
      </c>
      <c r="C319">
        <v>57035245</v>
      </c>
      <c r="D319">
        <v>55424304</v>
      </c>
      <c r="E319">
        <v>1081</v>
      </c>
      <c r="F319">
        <v>1</v>
      </c>
      <c r="G319">
        <v>1081</v>
      </c>
      <c r="H319">
        <v>1</v>
      </c>
      <c r="I319" t="s">
        <v>459</v>
      </c>
      <c r="J319" t="s">
        <v>3</v>
      </c>
      <c r="K319" t="s">
        <v>460</v>
      </c>
      <c r="L319">
        <v>1191</v>
      </c>
      <c r="N319">
        <v>1013</v>
      </c>
      <c r="O319" t="s">
        <v>461</v>
      </c>
      <c r="P319" t="s">
        <v>461</v>
      </c>
      <c r="Q319">
        <v>1</v>
      </c>
      <c r="X319">
        <v>4.49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 t="s">
        <v>105</v>
      </c>
      <c r="AG319">
        <v>5.3879999999999999</v>
      </c>
      <c r="AH319">
        <v>2</v>
      </c>
      <c r="AI319">
        <v>57035246</v>
      </c>
      <c r="AJ319">
        <v>307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ROW(Source!A522)</f>
        <v>522</v>
      </c>
      <c r="B320">
        <v>57035258</v>
      </c>
      <c r="C320">
        <v>57035245</v>
      </c>
      <c r="D320">
        <v>55490209</v>
      </c>
      <c r="E320">
        <v>1</v>
      </c>
      <c r="F320">
        <v>1</v>
      </c>
      <c r="G320">
        <v>1081</v>
      </c>
      <c r="H320">
        <v>2</v>
      </c>
      <c r="I320" t="s">
        <v>462</v>
      </c>
      <c r="J320" t="s">
        <v>463</v>
      </c>
      <c r="K320" t="s">
        <v>464</v>
      </c>
      <c r="L320">
        <v>1368</v>
      </c>
      <c r="N320">
        <v>1011</v>
      </c>
      <c r="O320" t="s">
        <v>465</v>
      </c>
      <c r="P320" t="s">
        <v>465</v>
      </c>
      <c r="Q320">
        <v>1</v>
      </c>
      <c r="X320">
        <v>0.01</v>
      </c>
      <c r="Y320">
        <v>0</v>
      </c>
      <c r="Z320">
        <v>83.1</v>
      </c>
      <c r="AA320">
        <v>12.62</v>
      </c>
      <c r="AB320">
        <v>0</v>
      </c>
      <c r="AC320">
        <v>0</v>
      </c>
      <c r="AD320">
        <v>1</v>
      </c>
      <c r="AE320">
        <v>0</v>
      </c>
      <c r="AF320" t="s">
        <v>105</v>
      </c>
      <c r="AG320">
        <v>1.2E-2</v>
      </c>
      <c r="AH320">
        <v>2</v>
      </c>
      <c r="AI320">
        <v>57035247</v>
      </c>
      <c r="AJ320">
        <v>308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ROW(Source!A522)</f>
        <v>522</v>
      </c>
      <c r="B321">
        <v>57035259</v>
      </c>
      <c r="C321">
        <v>57035245</v>
      </c>
      <c r="D321">
        <v>55489443</v>
      </c>
      <c r="E321">
        <v>1</v>
      </c>
      <c r="F321">
        <v>1</v>
      </c>
      <c r="G321">
        <v>1081</v>
      </c>
      <c r="H321">
        <v>2</v>
      </c>
      <c r="I321" t="s">
        <v>539</v>
      </c>
      <c r="J321" t="s">
        <v>540</v>
      </c>
      <c r="K321" t="s">
        <v>541</v>
      </c>
      <c r="L321">
        <v>1368</v>
      </c>
      <c r="N321">
        <v>1011</v>
      </c>
      <c r="O321" t="s">
        <v>465</v>
      </c>
      <c r="P321" t="s">
        <v>465</v>
      </c>
      <c r="Q321">
        <v>1</v>
      </c>
      <c r="X321">
        <v>0.01</v>
      </c>
      <c r="Y321">
        <v>0</v>
      </c>
      <c r="Z321">
        <v>179.17</v>
      </c>
      <c r="AA321">
        <v>16.93</v>
      </c>
      <c r="AB321">
        <v>0</v>
      </c>
      <c r="AC321">
        <v>0</v>
      </c>
      <c r="AD321">
        <v>1</v>
      </c>
      <c r="AE321">
        <v>0</v>
      </c>
      <c r="AF321" t="s">
        <v>105</v>
      </c>
      <c r="AG321">
        <v>1.2E-2</v>
      </c>
      <c r="AH321">
        <v>2</v>
      </c>
      <c r="AI321">
        <v>57035248</v>
      </c>
      <c r="AJ321">
        <v>309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ROW(Source!A522)</f>
        <v>522</v>
      </c>
      <c r="B322">
        <v>57035260</v>
      </c>
      <c r="C322">
        <v>57035245</v>
      </c>
      <c r="D322">
        <v>55460033</v>
      </c>
      <c r="E322">
        <v>1</v>
      </c>
      <c r="F322">
        <v>1</v>
      </c>
      <c r="G322">
        <v>1081</v>
      </c>
      <c r="H322">
        <v>3</v>
      </c>
      <c r="I322" t="s">
        <v>542</v>
      </c>
      <c r="J322" t="s">
        <v>543</v>
      </c>
      <c r="K322" t="s">
        <v>544</v>
      </c>
      <c r="L322">
        <v>1346</v>
      </c>
      <c r="N322">
        <v>1009</v>
      </c>
      <c r="O322" t="s">
        <v>433</v>
      </c>
      <c r="P322" t="s">
        <v>433</v>
      </c>
      <c r="Q322">
        <v>1</v>
      </c>
      <c r="X322">
        <v>0.43</v>
      </c>
      <c r="Y322">
        <v>1.38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104</v>
      </c>
      <c r="AG322">
        <v>0.43</v>
      </c>
      <c r="AH322">
        <v>2</v>
      </c>
      <c r="AI322">
        <v>57035249</v>
      </c>
      <c r="AJ322">
        <v>310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ROW(Source!A522)</f>
        <v>522</v>
      </c>
      <c r="B323">
        <v>57035261</v>
      </c>
      <c r="C323">
        <v>57035245</v>
      </c>
      <c r="D323">
        <v>55460424</v>
      </c>
      <c r="E323">
        <v>1</v>
      </c>
      <c r="F323">
        <v>1</v>
      </c>
      <c r="G323">
        <v>1081</v>
      </c>
      <c r="H323">
        <v>3</v>
      </c>
      <c r="I323" t="s">
        <v>545</v>
      </c>
      <c r="J323" t="s">
        <v>546</v>
      </c>
      <c r="K323" t="s">
        <v>547</v>
      </c>
      <c r="L323">
        <v>1346</v>
      </c>
      <c r="N323">
        <v>1009</v>
      </c>
      <c r="O323" t="s">
        <v>433</v>
      </c>
      <c r="P323" t="s">
        <v>433</v>
      </c>
      <c r="Q323">
        <v>1</v>
      </c>
      <c r="X323">
        <v>0.16</v>
      </c>
      <c r="Y323">
        <v>159.06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104</v>
      </c>
      <c r="AG323">
        <v>0.16</v>
      </c>
      <c r="AH323">
        <v>2</v>
      </c>
      <c r="AI323">
        <v>57035250</v>
      </c>
      <c r="AJ323">
        <v>311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ROW(Source!A522)</f>
        <v>522</v>
      </c>
      <c r="B324">
        <v>57035262</v>
      </c>
      <c r="C324">
        <v>57035245</v>
      </c>
      <c r="D324">
        <v>55482505</v>
      </c>
      <c r="E324">
        <v>1</v>
      </c>
      <c r="F324">
        <v>1</v>
      </c>
      <c r="G324">
        <v>1081</v>
      </c>
      <c r="H324">
        <v>3</v>
      </c>
      <c r="I324" t="s">
        <v>548</v>
      </c>
      <c r="J324" t="s">
        <v>549</v>
      </c>
      <c r="K324" t="s">
        <v>550</v>
      </c>
      <c r="L324">
        <v>1355</v>
      </c>
      <c r="N324">
        <v>1010</v>
      </c>
      <c r="O324" t="s">
        <v>414</v>
      </c>
      <c r="P324" t="s">
        <v>414</v>
      </c>
      <c r="Q324">
        <v>100</v>
      </c>
      <c r="X324">
        <v>0.05</v>
      </c>
      <c r="Y324">
        <v>68.819999999999993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104</v>
      </c>
      <c r="AG324">
        <v>0.05</v>
      </c>
      <c r="AH324">
        <v>2</v>
      </c>
      <c r="AI324">
        <v>57035251</v>
      </c>
      <c r="AJ324">
        <v>312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ROW(Source!A522)</f>
        <v>522</v>
      </c>
      <c r="B325">
        <v>57035263</v>
      </c>
      <c r="C325">
        <v>57035245</v>
      </c>
      <c r="D325">
        <v>55482516</v>
      </c>
      <c r="E325">
        <v>1</v>
      </c>
      <c r="F325">
        <v>1</v>
      </c>
      <c r="G325">
        <v>1081</v>
      </c>
      <c r="H325">
        <v>3</v>
      </c>
      <c r="I325" t="s">
        <v>551</v>
      </c>
      <c r="J325" t="s">
        <v>552</v>
      </c>
      <c r="K325" t="s">
        <v>553</v>
      </c>
      <c r="L325">
        <v>1356</v>
      </c>
      <c r="N325">
        <v>1010</v>
      </c>
      <c r="O325" t="s">
        <v>382</v>
      </c>
      <c r="P325" t="s">
        <v>382</v>
      </c>
      <c r="Q325">
        <v>1000</v>
      </c>
      <c r="X325">
        <v>1.2200000000000001E-2</v>
      </c>
      <c r="Y325">
        <v>183.4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104</v>
      </c>
      <c r="AG325">
        <v>1.2200000000000001E-2</v>
      </c>
      <c r="AH325">
        <v>2</v>
      </c>
      <c r="AI325">
        <v>57035252</v>
      </c>
      <c r="AJ325">
        <v>313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ROW(Source!A522)</f>
        <v>522</v>
      </c>
      <c r="B326">
        <v>57035264</v>
      </c>
      <c r="C326">
        <v>57035245</v>
      </c>
      <c r="D326">
        <v>55481842</v>
      </c>
      <c r="E326">
        <v>1</v>
      </c>
      <c r="F326">
        <v>1</v>
      </c>
      <c r="G326">
        <v>1081</v>
      </c>
      <c r="H326">
        <v>3</v>
      </c>
      <c r="I326" t="s">
        <v>554</v>
      </c>
      <c r="J326" t="s">
        <v>555</v>
      </c>
      <c r="K326" t="s">
        <v>556</v>
      </c>
      <c r="L326">
        <v>1354</v>
      </c>
      <c r="N326">
        <v>1010</v>
      </c>
      <c r="O326" t="s">
        <v>177</v>
      </c>
      <c r="P326" t="s">
        <v>177</v>
      </c>
      <c r="Q326">
        <v>1</v>
      </c>
      <c r="X326">
        <v>3.1</v>
      </c>
      <c r="Y326">
        <v>6.94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104</v>
      </c>
      <c r="AG326">
        <v>3.1</v>
      </c>
      <c r="AH326">
        <v>2</v>
      </c>
      <c r="AI326">
        <v>57035253</v>
      </c>
      <c r="AJ326">
        <v>314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ROW(Source!A522)</f>
        <v>522</v>
      </c>
      <c r="B327">
        <v>57035265</v>
      </c>
      <c r="C327">
        <v>57035245</v>
      </c>
      <c r="D327">
        <v>55481849</v>
      </c>
      <c r="E327">
        <v>1</v>
      </c>
      <c r="F327">
        <v>1</v>
      </c>
      <c r="G327">
        <v>1081</v>
      </c>
      <c r="H327">
        <v>3</v>
      </c>
      <c r="I327" t="s">
        <v>557</v>
      </c>
      <c r="J327" t="s">
        <v>558</v>
      </c>
      <c r="K327" t="s">
        <v>559</v>
      </c>
      <c r="L327">
        <v>1356</v>
      </c>
      <c r="N327">
        <v>1010</v>
      </c>
      <c r="O327" t="s">
        <v>382</v>
      </c>
      <c r="P327" t="s">
        <v>382</v>
      </c>
      <c r="Q327">
        <v>1000</v>
      </c>
      <c r="X327">
        <v>8.0000000000000002E-3</v>
      </c>
      <c r="Y327">
        <v>614.09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104</v>
      </c>
      <c r="AG327">
        <v>8.0000000000000002E-3</v>
      </c>
      <c r="AH327">
        <v>2</v>
      </c>
      <c r="AI327">
        <v>57035254</v>
      </c>
      <c r="AJ327">
        <v>315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ROW(Source!A522)</f>
        <v>522</v>
      </c>
      <c r="B328">
        <v>57035266</v>
      </c>
      <c r="C328">
        <v>57035245</v>
      </c>
      <c r="D328">
        <v>55434495</v>
      </c>
      <c r="E328">
        <v>1081</v>
      </c>
      <c r="F328">
        <v>1</v>
      </c>
      <c r="G328">
        <v>1081</v>
      </c>
      <c r="H328">
        <v>3</v>
      </c>
      <c r="I328" t="s">
        <v>603</v>
      </c>
      <c r="J328" t="s">
        <v>3</v>
      </c>
      <c r="K328" t="s">
        <v>604</v>
      </c>
      <c r="L328">
        <v>1303</v>
      </c>
      <c r="N328">
        <v>1003</v>
      </c>
      <c r="O328" t="s">
        <v>485</v>
      </c>
      <c r="P328" t="s">
        <v>485</v>
      </c>
      <c r="Q328">
        <v>1000</v>
      </c>
      <c r="X328">
        <v>0.10299999999999999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104</v>
      </c>
      <c r="AG328">
        <v>0.10299999999999999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ROW(Source!A523)</f>
        <v>523</v>
      </c>
      <c r="B329">
        <v>57035257</v>
      </c>
      <c r="C329">
        <v>57035245</v>
      </c>
      <c r="D329">
        <v>55424304</v>
      </c>
      <c r="E329">
        <v>1081</v>
      </c>
      <c r="F329">
        <v>1</v>
      </c>
      <c r="G329">
        <v>1081</v>
      </c>
      <c r="H329">
        <v>1</v>
      </c>
      <c r="I329" t="s">
        <v>459</v>
      </c>
      <c r="J329" t="s">
        <v>3</v>
      </c>
      <c r="K329" t="s">
        <v>460</v>
      </c>
      <c r="L329">
        <v>1191</v>
      </c>
      <c r="N329">
        <v>1013</v>
      </c>
      <c r="O329" t="s">
        <v>461</v>
      </c>
      <c r="P329" t="s">
        <v>461</v>
      </c>
      <c r="Q329">
        <v>1</v>
      </c>
      <c r="X329">
        <v>4.49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105</v>
      </c>
      <c r="AG329">
        <v>5.3879999999999999</v>
      </c>
      <c r="AH329">
        <v>2</v>
      </c>
      <c r="AI329">
        <v>57035246</v>
      </c>
      <c r="AJ329">
        <v>318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ROW(Source!A523)</f>
        <v>523</v>
      </c>
      <c r="B330">
        <v>57035258</v>
      </c>
      <c r="C330">
        <v>57035245</v>
      </c>
      <c r="D330">
        <v>55490209</v>
      </c>
      <c r="E330">
        <v>1</v>
      </c>
      <c r="F330">
        <v>1</v>
      </c>
      <c r="G330">
        <v>1081</v>
      </c>
      <c r="H330">
        <v>2</v>
      </c>
      <c r="I330" t="s">
        <v>462</v>
      </c>
      <c r="J330" t="s">
        <v>463</v>
      </c>
      <c r="K330" t="s">
        <v>464</v>
      </c>
      <c r="L330">
        <v>1368</v>
      </c>
      <c r="N330">
        <v>1011</v>
      </c>
      <c r="O330" t="s">
        <v>465</v>
      </c>
      <c r="P330" t="s">
        <v>465</v>
      </c>
      <c r="Q330">
        <v>1</v>
      </c>
      <c r="X330">
        <v>0.01</v>
      </c>
      <c r="Y330">
        <v>0</v>
      </c>
      <c r="Z330">
        <v>83.1</v>
      </c>
      <c r="AA330">
        <v>12.62</v>
      </c>
      <c r="AB330">
        <v>0</v>
      </c>
      <c r="AC330">
        <v>0</v>
      </c>
      <c r="AD330">
        <v>1</v>
      </c>
      <c r="AE330">
        <v>0</v>
      </c>
      <c r="AF330" t="s">
        <v>105</v>
      </c>
      <c r="AG330">
        <v>1.2E-2</v>
      </c>
      <c r="AH330">
        <v>2</v>
      </c>
      <c r="AI330">
        <v>57035247</v>
      </c>
      <c r="AJ330">
        <v>319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ROW(Source!A523)</f>
        <v>523</v>
      </c>
      <c r="B331">
        <v>57035259</v>
      </c>
      <c r="C331">
        <v>57035245</v>
      </c>
      <c r="D331">
        <v>55489443</v>
      </c>
      <c r="E331">
        <v>1</v>
      </c>
      <c r="F331">
        <v>1</v>
      </c>
      <c r="G331">
        <v>1081</v>
      </c>
      <c r="H331">
        <v>2</v>
      </c>
      <c r="I331" t="s">
        <v>539</v>
      </c>
      <c r="J331" t="s">
        <v>540</v>
      </c>
      <c r="K331" t="s">
        <v>541</v>
      </c>
      <c r="L331">
        <v>1368</v>
      </c>
      <c r="N331">
        <v>1011</v>
      </c>
      <c r="O331" t="s">
        <v>465</v>
      </c>
      <c r="P331" t="s">
        <v>465</v>
      </c>
      <c r="Q331">
        <v>1</v>
      </c>
      <c r="X331">
        <v>0.01</v>
      </c>
      <c r="Y331">
        <v>0</v>
      </c>
      <c r="Z331">
        <v>179.17</v>
      </c>
      <c r="AA331">
        <v>16.93</v>
      </c>
      <c r="AB331">
        <v>0</v>
      </c>
      <c r="AC331">
        <v>0</v>
      </c>
      <c r="AD331">
        <v>1</v>
      </c>
      <c r="AE331">
        <v>0</v>
      </c>
      <c r="AF331" t="s">
        <v>105</v>
      </c>
      <c r="AG331">
        <v>1.2E-2</v>
      </c>
      <c r="AH331">
        <v>2</v>
      </c>
      <c r="AI331">
        <v>57035248</v>
      </c>
      <c r="AJ331">
        <v>320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ROW(Source!A523)</f>
        <v>523</v>
      </c>
      <c r="B332">
        <v>57035260</v>
      </c>
      <c r="C332">
        <v>57035245</v>
      </c>
      <c r="D332">
        <v>55460033</v>
      </c>
      <c r="E332">
        <v>1</v>
      </c>
      <c r="F332">
        <v>1</v>
      </c>
      <c r="G332">
        <v>1081</v>
      </c>
      <c r="H332">
        <v>3</v>
      </c>
      <c r="I332" t="s">
        <v>542</v>
      </c>
      <c r="J332" t="s">
        <v>543</v>
      </c>
      <c r="K332" t="s">
        <v>544</v>
      </c>
      <c r="L332">
        <v>1346</v>
      </c>
      <c r="N332">
        <v>1009</v>
      </c>
      <c r="O332" t="s">
        <v>433</v>
      </c>
      <c r="P332" t="s">
        <v>433</v>
      </c>
      <c r="Q332">
        <v>1</v>
      </c>
      <c r="X332">
        <v>0.43</v>
      </c>
      <c r="Y332">
        <v>1.38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104</v>
      </c>
      <c r="AG332">
        <v>0.43</v>
      </c>
      <c r="AH332">
        <v>2</v>
      </c>
      <c r="AI332">
        <v>57035249</v>
      </c>
      <c r="AJ332">
        <v>321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ROW(Source!A523)</f>
        <v>523</v>
      </c>
      <c r="B333">
        <v>57035261</v>
      </c>
      <c r="C333">
        <v>57035245</v>
      </c>
      <c r="D333">
        <v>55460424</v>
      </c>
      <c r="E333">
        <v>1</v>
      </c>
      <c r="F333">
        <v>1</v>
      </c>
      <c r="G333">
        <v>1081</v>
      </c>
      <c r="H333">
        <v>3</v>
      </c>
      <c r="I333" t="s">
        <v>545</v>
      </c>
      <c r="J333" t="s">
        <v>546</v>
      </c>
      <c r="K333" t="s">
        <v>547</v>
      </c>
      <c r="L333">
        <v>1346</v>
      </c>
      <c r="N333">
        <v>1009</v>
      </c>
      <c r="O333" t="s">
        <v>433</v>
      </c>
      <c r="P333" t="s">
        <v>433</v>
      </c>
      <c r="Q333">
        <v>1</v>
      </c>
      <c r="X333">
        <v>0.16</v>
      </c>
      <c r="Y333">
        <v>159.06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104</v>
      </c>
      <c r="AG333">
        <v>0.16</v>
      </c>
      <c r="AH333">
        <v>2</v>
      </c>
      <c r="AI333">
        <v>57035250</v>
      </c>
      <c r="AJ333">
        <v>322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ROW(Source!A523)</f>
        <v>523</v>
      </c>
      <c r="B334">
        <v>57035262</v>
      </c>
      <c r="C334">
        <v>57035245</v>
      </c>
      <c r="D334">
        <v>55482505</v>
      </c>
      <c r="E334">
        <v>1</v>
      </c>
      <c r="F334">
        <v>1</v>
      </c>
      <c r="G334">
        <v>1081</v>
      </c>
      <c r="H334">
        <v>3</v>
      </c>
      <c r="I334" t="s">
        <v>548</v>
      </c>
      <c r="J334" t="s">
        <v>549</v>
      </c>
      <c r="K334" t="s">
        <v>550</v>
      </c>
      <c r="L334">
        <v>1355</v>
      </c>
      <c r="N334">
        <v>1010</v>
      </c>
      <c r="O334" t="s">
        <v>414</v>
      </c>
      <c r="P334" t="s">
        <v>414</v>
      </c>
      <c r="Q334">
        <v>100</v>
      </c>
      <c r="X334">
        <v>0.05</v>
      </c>
      <c r="Y334">
        <v>68.819999999999993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104</v>
      </c>
      <c r="AG334">
        <v>0.05</v>
      </c>
      <c r="AH334">
        <v>2</v>
      </c>
      <c r="AI334">
        <v>57035251</v>
      </c>
      <c r="AJ334">
        <v>323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ROW(Source!A523)</f>
        <v>523</v>
      </c>
      <c r="B335">
        <v>57035263</v>
      </c>
      <c r="C335">
        <v>57035245</v>
      </c>
      <c r="D335">
        <v>55482516</v>
      </c>
      <c r="E335">
        <v>1</v>
      </c>
      <c r="F335">
        <v>1</v>
      </c>
      <c r="G335">
        <v>1081</v>
      </c>
      <c r="H335">
        <v>3</v>
      </c>
      <c r="I335" t="s">
        <v>551</v>
      </c>
      <c r="J335" t="s">
        <v>552</v>
      </c>
      <c r="K335" t="s">
        <v>553</v>
      </c>
      <c r="L335">
        <v>1356</v>
      </c>
      <c r="N335">
        <v>1010</v>
      </c>
      <c r="O335" t="s">
        <v>382</v>
      </c>
      <c r="P335" t="s">
        <v>382</v>
      </c>
      <c r="Q335">
        <v>1000</v>
      </c>
      <c r="X335">
        <v>1.2200000000000001E-2</v>
      </c>
      <c r="Y335">
        <v>183.4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104</v>
      </c>
      <c r="AG335">
        <v>1.2200000000000001E-2</v>
      </c>
      <c r="AH335">
        <v>2</v>
      </c>
      <c r="AI335">
        <v>57035252</v>
      </c>
      <c r="AJ335">
        <v>324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ROW(Source!A523)</f>
        <v>523</v>
      </c>
      <c r="B336">
        <v>57035264</v>
      </c>
      <c r="C336">
        <v>57035245</v>
      </c>
      <c r="D336">
        <v>55481842</v>
      </c>
      <c r="E336">
        <v>1</v>
      </c>
      <c r="F336">
        <v>1</v>
      </c>
      <c r="G336">
        <v>1081</v>
      </c>
      <c r="H336">
        <v>3</v>
      </c>
      <c r="I336" t="s">
        <v>554</v>
      </c>
      <c r="J336" t="s">
        <v>555</v>
      </c>
      <c r="K336" t="s">
        <v>556</v>
      </c>
      <c r="L336">
        <v>1354</v>
      </c>
      <c r="N336">
        <v>1010</v>
      </c>
      <c r="O336" t="s">
        <v>177</v>
      </c>
      <c r="P336" t="s">
        <v>177</v>
      </c>
      <c r="Q336">
        <v>1</v>
      </c>
      <c r="X336">
        <v>3.1</v>
      </c>
      <c r="Y336">
        <v>6.94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104</v>
      </c>
      <c r="AG336">
        <v>3.1</v>
      </c>
      <c r="AH336">
        <v>2</v>
      </c>
      <c r="AI336">
        <v>57035253</v>
      </c>
      <c r="AJ336">
        <v>325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ROW(Source!A523)</f>
        <v>523</v>
      </c>
      <c r="B337">
        <v>57035265</v>
      </c>
      <c r="C337">
        <v>57035245</v>
      </c>
      <c r="D337">
        <v>55481849</v>
      </c>
      <c r="E337">
        <v>1</v>
      </c>
      <c r="F337">
        <v>1</v>
      </c>
      <c r="G337">
        <v>1081</v>
      </c>
      <c r="H337">
        <v>3</v>
      </c>
      <c r="I337" t="s">
        <v>557</v>
      </c>
      <c r="J337" t="s">
        <v>558</v>
      </c>
      <c r="K337" t="s">
        <v>559</v>
      </c>
      <c r="L337">
        <v>1356</v>
      </c>
      <c r="N337">
        <v>1010</v>
      </c>
      <c r="O337" t="s">
        <v>382</v>
      </c>
      <c r="P337" t="s">
        <v>382</v>
      </c>
      <c r="Q337">
        <v>1000</v>
      </c>
      <c r="X337">
        <v>8.0000000000000002E-3</v>
      </c>
      <c r="Y337">
        <v>614.09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104</v>
      </c>
      <c r="AG337">
        <v>8.0000000000000002E-3</v>
      </c>
      <c r="AH337">
        <v>2</v>
      </c>
      <c r="AI337">
        <v>57035254</v>
      </c>
      <c r="AJ337">
        <v>326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ROW(Source!A523)</f>
        <v>523</v>
      </c>
      <c r="B338">
        <v>57035266</v>
      </c>
      <c r="C338">
        <v>57035245</v>
      </c>
      <c r="D338">
        <v>55434495</v>
      </c>
      <c r="E338">
        <v>1081</v>
      </c>
      <c r="F338">
        <v>1</v>
      </c>
      <c r="G338">
        <v>1081</v>
      </c>
      <c r="H338">
        <v>3</v>
      </c>
      <c r="I338" t="s">
        <v>603</v>
      </c>
      <c r="J338" t="s">
        <v>3</v>
      </c>
      <c r="K338" t="s">
        <v>604</v>
      </c>
      <c r="L338">
        <v>1303</v>
      </c>
      <c r="N338">
        <v>1003</v>
      </c>
      <c r="O338" t="s">
        <v>485</v>
      </c>
      <c r="P338" t="s">
        <v>485</v>
      </c>
      <c r="Q338">
        <v>1000</v>
      </c>
      <c r="X338">
        <v>0.10299999999999999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104</v>
      </c>
      <c r="AG338">
        <v>0.10299999999999999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ROW(Source!A528)</f>
        <v>528</v>
      </c>
      <c r="B339">
        <v>57035282</v>
      </c>
      <c r="C339">
        <v>57035269</v>
      </c>
      <c r="D339">
        <v>55424304</v>
      </c>
      <c r="E339">
        <v>1081</v>
      </c>
      <c r="F339">
        <v>1</v>
      </c>
      <c r="G339">
        <v>1081</v>
      </c>
      <c r="H339">
        <v>1</v>
      </c>
      <c r="I339" t="s">
        <v>459</v>
      </c>
      <c r="J339" t="s">
        <v>3</v>
      </c>
      <c r="K339" t="s">
        <v>460</v>
      </c>
      <c r="L339">
        <v>1191</v>
      </c>
      <c r="N339">
        <v>1013</v>
      </c>
      <c r="O339" t="s">
        <v>461</v>
      </c>
      <c r="P339" t="s">
        <v>461</v>
      </c>
      <c r="Q339">
        <v>1</v>
      </c>
      <c r="X339">
        <v>5.39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 t="s">
        <v>105</v>
      </c>
      <c r="AG339">
        <v>6.4679999999999991</v>
      </c>
      <c r="AH339">
        <v>2</v>
      </c>
      <c r="AI339">
        <v>57035270</v>
      </c>
      <c r="AJ339">
        <v>329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ROW(Source!A528)</f>
        <v>528</v>
      </c>
      <c r="B340">
        <v>57035283</v>
      </c>
      <c r="C340">
        <v>57035269</v>
      </c>
      <c r="D340">
        <v>55490209</v>
      </c>
      <c r="E340">
        <v>1</v>
      </c>
      <c r="F340">
        <v>1</v>
      </c>
      <c r="G340">
        <v>1081</v>
      </c>
      <c r="H340">
        <v>2</v>
      </c>
      <c r="I340" t="s">
        <v>462</v>
      </c>
      <c r="J340" t="s">
        <v>463</v>
      </c>
      <c r="K340" t="s">
        <v>464</v>
      </c>
      <c r="L340">
        <v>1368</v>
      </c>
      <c r="N340">
        <v>1011</v>
      </c>
      <c r="O340" t="s">
        <v>465</v>
      </c>
      <c r="P340" t="s">
        <v>465</v>
      </c>
      <c r="Q340">
        <v>1</v>
      </c>
      <c r="X340">
        <v>0.02</v>
      </c>
      <c r="Y340">
        <v>0</v>
      </c>
      <c r="Z340">
        <v>83.1</v>
      </c>
      <c r="AA340">
        <v>12.62</v>
      </c>
      <c r="AB340">
        <v>0</v>
      </c>
      <c r="AC340">
        <v>0</v>
      </c>
      <c r="AD340">
        <v>1</v>
      </c>
      <c r="AE340">
        <v>0</v>
      </c>
      <c r="AF340" t="s">
        <v>105</v>
      </c>
      <c r="AG340">
        <v>2.4E-2</v>
      </c>
      <c r="AH340">
        <v>2</v>
      </c>
      <c r="AI340">
        <v>57035271</v>
      </c>
      <c r="AJ340">
        <v>330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ROW(Source!A528)</f>
        <v>528</v>
      </c>
      <c r="B341">
        <v>57035284</v>
      </c>
      <c r="C341">
        <v>57035269</v>
      </c>
      <c r="D341">
        <v>55489443</v>
      </c>
      <c r="E341">
        <v>1</v>
      </c>
      <c r="F341">
        <v>1</v>
      </c>
      <c r="G341">
        <v>1081</v>
      </c>
      <c r="H341">
        <v>2</v>
      </c>
      <c r="I341" t="s">
        <v>539</v>
      </c>
      <c r="J341" t="s">
        <v>540</v>
      </c>
      <c r="K341" t="s">
        <v>541</v>
      </c>
      <c r="L341">
        <v>1368</v>
      </c>
      <c r="N341">
        <v>1011</v>
      </c>
      <c r="O341" t="s">
        <v>465</v>
      </c>
      <c r="P341" t="s">
        <v>465</v>
      </c>
      <c r="Q341">
        <v>1</v>
      </c>
      <c r="X341">
        <v>0.02</v>
      </c>
      <c r="Y341">
        <v>0</v>
      </c>
      <c r="Z341">
        <v>179.17</v>
      </c>
      <c r="AA341">
        <v>16.93</v>
      </c>
      <c r="AB341">
        <v>0</v>
      </c>
      <c r="AC341">
        <v>0</v>
      </c>
      <c r="AD341">
        <v>1</v>
      </c>
      <c r="AE341">
        <v>0</v>
      </c>
      <c r="AF341" t="s">
        <v>105</v>
      </c>
      <c r="AG341">
        <v>2.4E-2</v>
      </c>
      <c r="AH341">
        <v>2</v>
      </c>
      <c r="AI341">
        <v>57035272</v>
      </c>
      <c r="AJ341">
        <v>331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ROW(Source!A528)</f>
        <v>528</v>
      </c>
      <c r="B342">
        <v>57035285</v>
      </c>
      <c r="C342">
        <v>57035269</v>
      </c>
      <c r="D342">
        <v>55460033</v>
      </c>
      <c r="E342">
        <v>1</v>
      </c>
      <c r="F342">
        <v>1</v>
      </c>
      <c r="G342">
        <v>1081</v>
      </c>
      <c r="H342">
        <v>3</v>
      </c>
      <c r="I342" t="s">
        <v>542</v>
      </c>
      <c r="J342" t="s">
        <v>543</v>
      </c>
      <c r="K342" t="s">
        <v>544</v>
      </c>
      <c r="L342">
        <v>1346</v>
      </c>
      <c r="N342">
        <v>1009</v>
      </c>
      <c r="O342" t="s">
        <v>433</v>
      </c>
      <c r="P342" t="s">
        <v>433</v>
      </c>
      <c r="Q342">
        <v>1</v>
      </c>
      <c r="X342">
        <v>0.6</v>
      </c>
      <c r="Y342">
        <v>1.38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104</v>
      </c>
      <c r="AG342">
        <v>0.6</v>
      </c>
      <c r="AH342">
        <v>2</v>
      </c>
      <c r="AI342">
        <v>57035273</v>
      </c>
      <c r="AJ342">
        <v>332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ROW(Source!A528)</f>
        <v>528</v>
      </c>
      <c r="B343">
        <v>57035286</v>
      </c>
      <c r="C343">
        <v>57035269</v>
      </c>
      <c r="D343">
        <v>55460424</v>
      </c>
      <c r="E343">
        <v>1</v>
      </c>
      <c r="F343">
        <v>1</v>
      </c>
      <c r="G343">
        <v>1081</v>
      </c>
      <c r="H343">
        <v>3</v>
      </c>
      <c r="I343" t="s">
        <v>545</v>
      </c>
      <c r="J343" t="s">
        <v>546</v>
      </c>
      <c r="K343" t="s">
        <v>547</v>
      </c>
      <c r="L343">
        <v>1346</v>
      </c>
      <c r="N343">
        <v>1009</v>
      </c>
      <c r="O343" t="s">
        <v>433</v>
      </c>
      <c r="P343" t="s">
        <v>433</v>
      </c>
      <c r="Q343">
        <v>1</v>
      </c>
      <c r="X343">
        <v>0.16</v>
      </c>
      <c r="Y343">
        <v>159.06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104</v>
      </c>
      <c r="AG343">
        <v>0.16</v>
      </c>
      <c r="AH343">
        <v>2</v>
      </c>
      <c r="AI343">
        <v>57035274</v>
      </c>
      <c r="AJ343">
        <v>333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ROW(Source!A528)</f>
        <v>528</v>
      </c>
      <c r="B344">
        <v>57035287</v>
      </c>
      <c r="C344">
        <v>57035269</v>
      </c>
      <c r="D344">
        <v>55482506</v>
      </c>
      <c r="E344">
        <v>1</v>
      </c>
      <c r="F344">
        <v>1</v>
      </c>
      <c r="G344">
        <v>1081</v>
      </c>
      <c r="H344">
        <v>3</v>
      </c>
      <c r="I344" t="s">
        <v>560</v>
      </c>
      <c r="J344" t="s">
        <v>561</v>
      </c>
      <c r="K344" t="s">
        <v>562</v>
      </c>
      <c r="L344">
        <v>1355</v>
      </c>
      <c r="N344">
        <v>1010</v>
      </c>
      <c r="O344" t="s">
        <v>414</v>
      </c>
      <c r="P344" t="s">
        <v>414</v>
      </c>
      <c r="Q344">
        <v>100</v>
      </c>
      <c r="X344">
        <v>0.05</v>
      </c>
      <c r="Y344">
        <v>130.15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104</v>
      </c>
      <c r="AG344">
        <v>0.05</v>
      </c>
      <c r="AH344">
        <v>2</v>
      </c>
      <c r="AI344">
        <v>57035275</v>
      </c>
      <c r="AJ344">
        <v>334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ROW(Source!A528)</f>
        <v>528</v>
      </c>
      <c r="B345">
        <v>57035288</v>
      </c>
      <c r="C345">
        <v>57035269</v>
      </c>
      <c r="D345">
        <v>55482517</v>
      </c>
      <c r="E345">
        <v>1</v>
      </c>
      <c r="F345">
        <v>1</v>
      </c>
      <c r="G345">
        <v>1081</v>
      </c>
      <c r="H345">
        <v>3</v>
      </c>
      <c r="I345" t="s">
        <v>563</v>
      </c>
      <c r="J345" t="s">
        <v>564</v>
      </c>
      <c r="K345" t="s">
        <v>565</v>
      </c>
      <c r="L345">
        <v>1356</v>
      </c>
      <c r="N345">
        <v>1010</v>
      </c>
      <c r="O345" t="s">
        <v>382</v>
      </c>
      <c r="P345" t="s">
        <v>382</v>
      </c>
      <c r="Q345">
        <v>1000</v>
      </c>
      <c r="X345">
        <v>1.2200000000000001E-2</v>
      </c>
      <c r="Y345">
        <v>226.86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104</v>
      </c>
      <c r="AG345">
        <v>1.2200000000000001E-2</v>
      </c>
      <c r="AH345">
        <v>2</v>
      </c>
      <c r="AI345">
        <v>57035276</v>
      </c>
      <c r="AJ345">
        <v>335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ROW(Source!A528)</f>
        <v>528</v>
      </c>
      <c r="B346">
        <v>57035289</v>
      </c>
      <c r="C346">
        <v>57035269</v>
      </c>
      <c r="D346">
        <v>55481842</v>
      </c>
      <c r="E346">
        <v>1</v>
      </c>
      <c r="F346">
        <v>1</v>
      </c>
      <c r="G346">
        <v>1081</v>
      </c>
      <c r="H346">
        <v>3</v>
      </c>
      <c r="I346" t="s">
        <v>554</v>
      </c>
      <c r="J346" t="s">
        <v>555</v>
      </c>
      <c r="K346" t="s">
        <v>556</v>
      </c>
      <c r="L346">
        <v>1354</v>
      </c>
      <c r="N346">
        <v>1010</v>
      </c>
      <c r="O346" t="s">
        <v>177</v>
      </c>
      <c r="P346" t="s">
        <v>177</v>
      </c>
      <c r="Q346">
        <v>1</v>
      </c>
      <c r="X346">
        <v>3.1</v>
      </c>
      <c r="Y346">
        <v>6.94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104</v>
      </c>
      <c r="AG346">
        <v>3.1</v>
      </c>
      <c r="AH346">
        <v>2</v>
      </c>
      <c r="AI346">
        <v>57035277</v>
      </c>
      <c r="AJ346">
        <v>336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ROW(Source!A528)</f>
        <v>528</v>
      </c>
      <c r="B347">
        <v>57035290</v>
      </c>
      <c r="C347">
        <v>57035269</v>
      </c>
      <c r="D347">
        <v>55481850</v>
      </c>
      <c r="E347">
        <v>1</v>
      </c>
      <c r="F347">
        <v>1</v>
      </c>
      <c r="G347">
        <v>1081</v>
      </c>
      <c r="H347">
        <v>3</v>
      </c>
      <c r="I347" t="s">
        <v>566</v>
      </c>
      <c r="J347" t="s">
        <v>567</v>
      </c>
      <c r="K347" t="s">
        <v>568</v>
      </c>
      <c r="L347">
        <v>1356</v>
      </c>
      <c r="N347">
        <v>1010</v>
      </c>
      <c r="O347" t="s">
        <v>382</v>
      </c>
      <c r="P347" t="s">
        <v>382</v>
      </c>
      <c r="Q347">
        <v>1000</v>
      </c>
      <c r="X347">
        <v>8.0000000000000002E-3</v>
      </c>
      <c r="Y347">
        <v>614.09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104</v>
      </c>
      <c r="AG347">
        <v>8.0000000000000002E-3</v>
      </c>
      <c r="AH347">
        <v>2</v>
      </c>
      <c r="AI347">
        <v>57035278</v>
      </c>
      <c r="AJ347">
        <v>337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ROW(Source!A528)</f>
        <v>528</v>
      </c>
      <c r="B348">
        <v>57035291</v>
      </c>
      <c r="C348">
        <v>57035269</v>
      </c>
      <c r="D348">
        <v>55434495</v>
      </c>
      <c r="E348">
        <v>1081</v>
      </c>
      <c r="F348">
        <v>1</v>
      </c>
      <c r="G348">
        <v>1081</v>
      </c>
      <c r="H348">
        <v>3</v>
      </c>
      <c r="I348" t="s">
        <v>603</v>
      </c>
      <c r="J348" t="s">
        <v>3</v>
      </c>
      <c r="K348" t="s">
        <v>604</v>
      </c>
      <c r="L348">
        <v>1303</v>
      </c>
      <c r="N348">
        <v>1003</v>
      </c>
      <c r="O348" t="s">
        <v>485</v>
      </c>
      <c r="P348" t="s">
        <v>485</v>
      </c>
      <c r="Q348">
        <v>1000</v>
      </c>
      <c r="X348">
        <v>0.10299999999999999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104</v>
      </c>
      <c r="AG348">
        <v>0.10299999999999999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ROW(Source!A529)</f>
        <v>529</v>
      </c>
      <c r="B349">
        <v>57035282</v>
      </c>
      <c r="C349">
        <v>57035269</v>
      </c>
      <c r="D349">
        <v>55424304</v>
      </c>
      <c r="E349">
        <v>1081</v>
      </c>
      <c r="F349">
        <v>1</v>
      </c>
      <c r="G349">
        <v>1081</v>
      </c>
      <c r="H349">
        <v>1</v>
      </c>
      <c r="I349" t="s">
        <v>459</v>
      </c>
      <c r="J349" t="s">
        <v>3</v>
      </c>
      <c r="K349" t="s">
        <v>460</v>
      </c>
      <c r="L349">
        <v>1191</v>
      </c>
      <c r="N349">
        <v>1013</v>
      </c>
      <c r="O349" t="s">
        <v>461</v>
      </c>
      <c r="P349" t="s">
        <v>461</v>
      </c>
      <c r="Q349">
        <v>1</v>
      </c>
      <c r="X349">
        <v>5.39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1</v>
      </c>
      <c r="AF349" t="s">
        <v>105</v>
      </c>
      <c r="AG349">
        <v>6.4679999999999991</v>
      </c>
      <c r="AH349">
        <v>2</v>
      </c>
      <c r="AI349">
        <v>57035270</v>
      </c>
      <c r="AJ349">
        <v>341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ROW(Source!A529)</f>
        <v>529</v>
      </c>
      <c r="B350">
        <v>57035283</v>
      </c>
      <c r="C350">
        <v>57035269</v>
      </c>
      <c r="D350">
        <v>55490209</v>
      </c>
      <c r="E350">
        <v>1</v>
      </c>
      <c r="F350">
        <v>1</v>
      </c>
      <c r="G350">
        <v>1081</v>
      </c>
      <c r="H350">
        <v>2</v>
      </c>
      <c r="I350" t="s">
        <v>462</v>
      </c>
      <c r="J350" t="s">
        <v>463</v>
      </c>
      <c r="K350" t="s">
        <v>464</v>
      </c>
      <c r="L350">
        <v>1368</v>
      </c>
      <c r="N350">
        <v>1011</v>
      </c>
      <c r="O350" t="s">
        <v>465</v>
      </c>
      <c r="P350" t="s">
        <v>465</v>
      </c>
      <c r="Q350">
        <v>1</v>
      </c>
      <c r="X350">
        <v>0.02</v>
      </c>
      <c r="Y350">
        <v>0</v>
      </c>
      <c r="Z350">
        <v>83.1</v>
      </c>
      <c r="AA350">
        <v>12.62</v>
      </c>
      <c r="AB350">
        <v>0</v>
      </c>
      <c r="AC350">
        <v>0</v>
      </c>
      <c r="AD350">
        <v>1</v>
      </c>
      <c r="AE350">
        <v>0</v>
      </c>
      <c r="AF350" t="s">
        <v>105</v>
      </c>
      <c r="AG350">
        <v>2.4E-2</v>
      </c>
      <c r="AH350">
        <v>2</v>
      </c>
      <c r="AI350">
        <v>57035271</v>
      </c>
      <c r="AJ350">
        <v>342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ROW(Source!A529)</f>
        <v>529</v>
      </c>
      <c r="B351">
        <v>57035284</v>
      </c>
      <c r="C351">
        <v>57035269</v>
      </c>
      <c r="D351">
        <v>55489443</v>
      </c>
      <c r="E351">
        <v>1</v>
      </c>
      <c r="F351">
        <v>1</v>
      </c>
      <c r="G351">
        <v>1081</v>
      </c>
      <c r="H351">
        <v>2</v>
      </c>
      <c r="I351" t="s">
        <v>539</v>
      </c>
      <c r="J351" t="s">
        <v>540</v>
      </c>
      <c r="K351" t="s">
        <v>541</v>
      </c>
      <c r="L351">
        <v>1368</v>
      </c>
      <c r="N351">
        <v>1011</v>
      </c>
      <c r="O351" t="s">
        <v>465</v>
      </c>
      <c r="P351" t="s">
        <v>465</v>
      </c>
      <c r="Q351">
        <v>1</v>
      </c>
      <c r="X351">
        <v>0.02</v>
      </c>
      <c r="Y351">
        <v>0</v>
      </c>
      <c r="Z351">
        <v>179.17</v>
      </c>
      <c r="AA351">
        <v>16.93</v>
      </c>
      <c r="AB351">
        <v>0</v>
      </c>
      <c r="AC351">
        <v>0</v>
      </c>
      <c r="AD351">
        <v>1</v>
      </c>
      <c r="AE351">
        <v>0</v>
      </c>
      <c r="AF351" t="s">
        <v>105</v>
      </c>
      <c r="AG351">
        <v>2.4E-2</v>
      </c>
      <c r="AH351">
        <v>2</v>
      </c>
      <c r="AI351">
        <v>57035272</v>
      </c>
      <c r="AJ351">
        <v>343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ROW(Source!A529)</f>
        <v>529</v>
      </c>
      <c r="B352">
        <v>57035285</v>
      </c>
      <c r="C352">
        <v>57035269</v>
      </c>
      <c r="D352">
        <v>55460033</v>
      </c>
      <c r="E352">
        <v>1</v>
      </c>
      <c r="F352">
        <v>1</v>
      </c>
      <c r="G352">
        <v>1081</v>
      </c>
      <c r="H352">
        <v>3</v>
      </c>
      <c r="I352" t="s">
        <v>542</v>
      </c>
      <c r="J352" t="s">
        <v>543</v>
      </c>
      <c r="K352" t="s">
        <v>544</v>
      </c>
      <c r="L352">
        <v>1346</v>
      </c>
      <c r="N352">
        <v>1009</v>
      </c>
      <c r="O352" t="s">
        <v>433</v>
      </c>
      <c r="P352" t="s">
        <v>433</v>
      </c>
      <c r="Q352">
        <v>1</v>
      </c>
      <c r="X352">
        <v>0.6</v>
      </c>
      <c r="Y352">
        <v>1.38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104</v>
      </c>
      <c r="AG352">
        <v>0.6</v>
      </c>
      <c r="AH352">
        <v>2</v>
      </c>
      <c r="AI352">
        <v>57035273</v>
      </c>
      <c r="AJ352">
        <v>344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ROW(Source!A529)</f>
        <v>529</v>
      </c>
      <c r="B353">
        <v>57035286</v>
      </c>
      <c r="C353">
        <v>57035269</v>
      </c>
      <c r="D353">
        <v>55460424</v>
      </c>
      <c r="E353">
        <v>1</v>
      </c>
      <c r="F353">
        <v>1</v>
      </c>
      <c r="G353">
        <v>1081</v>
      </c>
      <c r="H353">
        <v>3</v>
      </c>
      <c r="I353" t="s">
        <v>545</v>
      </c>
      <c r="J353" t="s">
        <v>546</v>
      </c>
      <c r="K353" t="s">
        <v>547</v>
      </c>
      <c r="L353">
        <v>1346</v>
      </c>
      <c r="N353">
        <v>1009</v>
      </c>
      <c r="O353" t="s">
        <v>433</v>
      </c>
      <c r="P353" t="s">
        <v>433</v>
      </c>
      <c r="Q353">
        <v>1</v>
      </c>
      <c r="X353">
        <v>0.16</v>
      </c>
      <c r="Y353">
        <v>159.06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104</v>
      </c>
      <c r="AG353">
        <v>0.16</v>
      </c>
      <c r="AH353">
        <v>2</v>
      </c>
      <c r="AI353">
        <v>57035274</v>
      </c>
      <c r="AJ353">
        <v>345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ROW(Source!A529)</f>
        <v>529</v>
      </c>
      <c r="B354">
        <v>57035287</v>
      </c>
      <c r="C354">
        <v>57035269</v>
      </c>
      <c r="D354">
        <v>55482506</v>
      </c>
      <c r="E354">
        <v>1</v>
      </c>
      <c r="F354">
        <v>1</v>
      </c>
      <c r="G354">
        <v>1081</v>
      </c>
      <c r="H354">
        <v>3</v>
      </c>
      <c r="I354" t="s">
        <v>560</v>
      </c>
      <c r="J354" t="s">
        <v>561</v>
      </c>
      <c r="K354" t="s">
        <v>562</v>
      </c>
      <c r="L354">
        <v>1355</v>
      </c>
      <c r="N354">
        <v>1010</v>
      </c>
      <c r="O354" t="s">
        <v>414</v>
      </c>
      <c r="P354" t="s">
        <v>414</v>
      </c>
      <c r="Q354">
        <v>100</v>
      </c>
      <c r="X354">
        <v>0.05</v>
      </c>
      <c r="Y354">
        <v>130.15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104</v>
      </c>
      <c r="AG354">
        <v>0.05</v>
      </c>
      <c r="AH354">
        <v>2</v>
      </c>
      <c r="AI354">
        <v>57035275</v>
      </c>
      <c r="AJ354">
        <v>346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ROW(Source!A529)</f>
        <v>529</v>
      </c>
      <c r="B355">
        <v>57035288</v>
      </c>
      <c r="C355">
        <v>57035269</v>
      </c>
      <c r="D355">
        <v>55482517</v>
      </c>
      <c r="E355">
        <v>1</v>
      </c>
      <c r="F355">
        <v>1</v>
      </c>
      <c r="G355">
        <v>1081</v>
      </c>
      <c r="H355">
        <v>3</v>
      </c>
      <c r="I355" t="s">
        <v>563</v>
      </c>
      <c r="J355" t="s">
        <v>564</v>
      </c>
      <c r="K355" t="s">
        <v>565</v>
      </c>
      <c r="L355">
        <v>1356</v>
      </c>
      <c r="N355">
        <v>1010</v>
      </c>
      <c r="O355" t="s">
        <v>382</v>
      </c>
      <c r="P355" t="s">
        <v>382</v>
      </c>
      <c r="Q355">
        <v>1000</v>
      </c>
      <c r="X355">
        <v>1.2200000000000001E-2</v>
      </c>
      <c r="Y355">
        <v>226.86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104</v>
      </c>
      <c r="AG355">
        <v>1.2200000000000001E-2</v>
      </c>
      <c r="AH355">
        <v>2</v>
      </c>
      <c r="AI355">
        <v>57035276</v>
      </c>
      <c r="AJ355">
        <v>347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ROW(Source!A529)</f>
        <v>529</v>
      </c>
      <c r="B356">
        <v>57035289</v>
      </c>
      <c r="C356">
        <v>57035269</v>
      </c>
      <c r="D356">
        <v>55481842</v>
      </c>
      <c r="E356">
        <v>1</v>
      </c>
      <c r="F356">
        <v>1</v>
      </c>
      <c r="G356">
        <v>1081</v>
      </c>
      <c r="H356">
        <v>3</v>
      </c>
      <c r="I356" t="s">
        <v>554</v>
      </c>
      <c r="J356" t="s">
        <v>555</v>
      </c>
      <c r="K356" t="s">
        <v>556</v>
      </c>
      <c r="L356">
        <v>1354</v>
      </c>
      <c r="N356">
        <v>1010</v>
      </c>
      <c r="O356" t="s">
        <v>177</v>
      </c>
      <c r="P356" t="s">
        <v>177</v>
      </c>
      <c r="Q356">
        <v>1</v>
      </c>
      <c r="X356">
        <v>3.1</v>
      </c>
      <c r="Y356">
        <v>6.94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104</v>
      </c>
      <c r="AG356">
        <v>3.1</v>
      </c>
      <c r="AH356">
        <v>2</v>
      </c>
      <c r="AI356">
        <v>57035277</v>
      </c>
      <c r="AJ356">
        <v>348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ROW(Source!A529)</f>
        <v>529</v>
      </c>
      <c r="B357">
        <v>57035290</v>
      </c>
      <c r="C357">
        <v>57035269</v>
      </c>
      <c r="D357">
        <v>55481850</v>
      </c>
      <c r="E357">
        <v>1</v>
      </c>
      <c r="F357">
        <v>1</v>
      </c>
      <c r="G357">
        <v>1081</v>
      </c>
      <c r="H357">
        <v>3</v>
      </c>
      <c r="I357" t="s">
        <v>566</v>
      </c>
      <c r="J357" t="s">
        <v>567</v>
      </c>
      <c r="K357" t="s">
        <v>568</v>
      </c>
      <c r="L357">
        <v>1356</v>
      </c>
      <c r="N357">
        <v>1010</v>
      </c>
      <c r="O357" t="s">
        <v>382</v>
      </c>
      <c r="P357" t="s">
        <v>382</v>
      </c>
      <c r="Q357">
        <v>1000</v>
      </c>
      <c r="X357">
        <v>8.0000000000000002E-3</v>
      </c>
      <c r="Y357">
        <v>614.09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104</v>
      </c>
      <c r="AG357">
        <v>8.0000000000000002E-3</v>
      </c>
      <c r="AH357">
        <v>2</v>
      </c>
      <c r="AI357">
        <v>57035278</v>
      </c>
      <c r="AJ357">
        <v>349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ROW(Source!A529)</f>
        <v>529</v>
      </c>
      <c r="B358">
        <v>57035291</v>
      </c>
      <c r="C358">
        <v>57035269</v>
      </c>
      <c r="D358">
        <v>55434495</v>
      </c>
      <c r="E358">
        <v>1081</v>
      </c>
      <c r="F358">
        <v>1</v>
      </c>
      <c r="G358">
        <v>1081</v>
      </c>
      <c r="H358">
        <v>3</v>
      </c>
      <c r="I358" t="s">
        <v>603</v>
      </c>
      <c r="J358" t="s">
        <v>3</v>
      </c>
      <c r="K358" t="s">
        <v>604</v>
      </c>
      <c r="L358">
        <v>1303</v>
      </c>
      <c r="N358">
        <v>1003</v>
      </c>
      <c r="O358" t="s">
        <v>485</v>
      </c>
      <c r="P358" t="s">
        <v>485</v>
      </c>
      <c r="Q358">
        <v>1000</v>
      </c>
      <c r="X358">
        <v>0.10299999999999999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104</v>
      </c>
      <c r="AG358">
        <v>0.10299999999999999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ROW(Source!A536)</f>
        <v>536</v>
      </c>
      <c r="B359">
        <v>57035305</v>
      </c>
      <c r="C359">
        <v>57035295</v>
      </c>
      <c r="D359">
        <v>55424304</v>
      </c>
      <c r="E359">
        <v>1081</v>
      </c>
      <c r="F359">
        <v>1</v>
      </c>
      <c r="G359">
        <v>1081</v>
      </c>
      <c r="H359">
        <v>1</v>
      </c>
      <c r="I359" t="s">
        <v>459</v>
      </c>
      <c r="J359" t="s">
        <v>3</v>
      </c>
      <c r="K359" t="s">
        <v>460</v>
      </c>
      <c r="L359">
        <v>1191</v>
      </c>
      <c r="N359">
        <v>1013</v>
      </c>
      <c r="O359" t="s">
        <v>461</v>
      </c>
      <c r="P359" t="s">
        <v>461</v>
      </c>
      <c r="Q359">
        <v>1</v>
      </c>
      <c r="X359">
        <v>1.83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1</v>
      </c>
      <c r="AF359" t="s">
        <v>105</v>
      </c>
      <c r="AG359">
        <v>2.1960000000000002</v>
      </c>
      <c r="AH359">
        <v>2</v>
      </c>
      <c r="AI359">
        <v>57035296</v>
      </c>
      <c r="AJ359">
        <v>353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ROW(Source!A536)</f>
        <v>536</v>
      </c>
      <c r="B360">
        <v>57035306</v>
      </c>
      <c r="C360">
        <v>57035295</v>
      </c>
      <c r="D360">
        <v>55490209</v>
      </c>
      <c r="E360">
        <v>1</v>
      </c>
      <c r="F360">
        <v>1</v>
      </c>
      <c r="G360">
        <v>1081</v>
      </c>
      <c r="H360">
        <v>2</v>
      </c>
      <c r="I360" t="s">
        <v>462</v>
      </c>
      <c r="J360" t="s">
        <v>463</v>
      </c>
      <c r="K360" t="s">
        <v>464</v>
      </c>
      <c r="L360">
        <v>1368</v>
      </c>
      <c r="N360">
        <v>1011</v>
      </c>
      <c r="O360" t="s">
        <v>465</v>
      </c>
      <c r="P360" t="s">
        <v>465</v>
      </c>
      <c r="Q360">
        <v>1</v>
      </c>
      <c r="X360">
        <v>0.01</v>
      </c>
      <c r="Y360">
        <v>0</v>
      </c>
      <c r="Z360">
        <v>83.1</v>
      </c>
      <c r="AA360">
        <v>12.62</v>
      </c>
      <c r="AB360">
        <v>0</v>
      </c>
      <c r="AC360">
        <v>0</v>
      </c>
      <c r="AD360">
        <v>1</v>
      </c>
      <c r="AE360">
        <v>0</v>
      </c>
      <c r="AF360" t="s">
        <v>105</v>
      </c>
      <c r="AG360">
        <v>1.2E-2</v>
      </c>
      <c r="AH360">
        <v>2</v>
      </c>
      <c r="AI360">
        <v>57035297</v>
      </c>
      <c r="AJ360">
        <v>354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ROW(Source!A536)</f>
        <v>536</v>
      </c>
      <c r="B361">
        <v>57035307</v>
      </c>
      <c r="C361">
        <v>57035295</v>
      </c>
      <c r="D361">
        <v>55489443</v>
      </c>
      <c r="E361">
        <v>1</v>
      </c>
      <c r="F361">
        <v>1</v>
      </c>
      <c r="G361">
        <v>1081</v>
      </c>
      <c r="H361">
        <v>2</v>
      </c>
      <c r="I361" t="s">
        <v>539</v>
      </c>
      <c r="J361" t="s">
        <v>540</v>
      </c>
      <c r="K361" t="s">
        <v>541</v>
      </c>
      <c r="L361">
        <v>1368</v>
      </c>
      <c r="N361">
        <v>1011</v>
      </c>
      <c r="O361" t="s">
        <v>465</v>
      </c>
      <c r="P361" t="s">
        <v>465</v>
      </c>
      <c r="Q361">
        <v>1</v>
      </c>
      <c r="X361">
        <v>0.01</v>
      </c>
      <c r="Y361">
        <v>0</v>
      </c>
      <c r="Z361">
        <v>179.17</v>
      </c>
      <c r="AA361">
        <v>16.93</v>
      </c>
      <c r="AB361">
        <v>0</v>
      </c>
      <c r="AC361">
        <v>0</v>
      </c>
      <c r="AD361">
        <v>1</v>
      </c>
      <c r="AE361">
        <v>0</v>
      </c>
      <c r="AF361" t="s">
        <v>105</v>
      </c>
      <c r="AG361">
        <v>1.2E-2</v>
      </c>
      <c r="AH361">
        <v>2</v>
      </c>
      <c r="AI361">
        <v>57035298</v>
      </c>
      <c r="AJ361">
        <v>355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ROW(Source!A536)</f>
        <v>536</v>
      </c>
      <c r="B362">
        <v>57035308</v>
      </c>
      <c r="C362">
        <v>57035295</v>
      </c>
      <c r="D362">
        <v>55460033</v>
      </c>
      <c r="E362">
        <v>1</v>
      </c>
      <c r="F362">
        <v>1</v>
      </c>
      <c r="G362">
        <v>1081</v>
      </c>
      <c r="H362">
        <v>3</v>
      </c>
      <c r="I362" t="s">
        <v>542</v>
      </c>
      <c r="J362" t="s">
        <v>543</v>
      </c>
      <c r="K362" t="s">
        <v>544</v>
      </c>
      <c r="L362">
        <v>1346</v>
      </c>
      <c r="N362">
        <v>1009</v>
      </c>
      <c r="O362" t="s">
        <v>433</v>
      </c>
      <c r="P362" t="s">
        <v>433</v>
      </c>
      <c r="Q362">
        <v>1</v>
      </c>
      <c r="X362">
        <v>0.6</v>
      </c>
      <c r="Y362">
        <v>1.38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104</v>
      </c>
      <c r="AG362">
        <v>0.6</v>
      </c>
      <c r="AH362">
        <v>2</v>
      </c>
      <c r="AI362">
        <v>57035299</v>
      </c>
      <c r="AJ362">
        <v>356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ROW(Source!A536)</f>
        <v>536</v>
      </c>
      <c r="B363">
        <v>57035309</v>
      </c>
      <c r="C363">
        <v>57035295</v>
      </c>
      <c r="D363">
        <v>55460424</v>
      </c>
      <c r="E363">
        <v>1</v>
      </c>
      <c r="F363">
        <v>1</v>
      </c>
      <c r="G363">
        <v>1081</v>
      </c>
      <c r="H363">
        <v>3</v>
      </c>
      <c r="I363" t="s">
        <v>545</v>
      </c>
      <c r="J363" t="s">
        <v>546</v>
      </c>
      <c r="K363" t="s">
        <v>547</v>
      </c>
      <c r="L363">
        <v>1346</v>
      </c>
      <c r="N363">
        <v>1009</v>
      </c>
      <c r="O363" t="s">
        <v>433</v>
      </c>
      <c r="P363" t="s">
        <v>433</v>
      </c>
      <c r="Q363">
        <v>1</v>
      </c>
      <c r="X363">
        <v>0.16</v>
      </c>
      <c r="Y363">
        <v>159.06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104</v>
      </c>
      <c r="AG363">
        <v>0.16</v>
      </c>
      <c r="AH363">
        <v>2</v>
      </c>
      <c r="AI363">
        <v>57035300</v>
      </c>
      <c r="AJ363">
        <v>357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ROW(Source!A536)</f>
        <v>536</v>
      </c>
      <c r="B364">
        <v>57035310</v>
      </c>
      <c r="C364">
        <v>57035295</v>
      </c>
      <c r="D364">
        <v>55482517</v>
      </c>
      <c r="E364">
        <v>1</v>
      </c>
      <c r="F364">
        <v>1</v>
      </c>
      <c r="G364">
        <v>1081</v>
      </c>
      <c r="H364">
        <v>3</v>
      </c>
      <c r="I364" t="s">
        <v>563</v>
      </c>
      <c r="J364" t="s">
        <v>564</v>
      </c>
      <c r="K364" t="s">
        <v>565</v>
      </c>
      <c r="L364">
        <v>1356</v>
      </c>
      <c r="N364">
        <v>1010</v>
      </c>
      <c r="O364" t="s">
        <v>382</v>
      </c>
      <c r="P364" t="s">
        <v>382</v>
      </c>
      <c r="Q364">
        <v>1000</v>
      </c>
      <c r="X364">
        <v>1.2200000000000001E-2</v>
      </c>
      <c r="Y364">
        <v>226.86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104</v>
      </c>
      <c r="AG364">
        <v>1.2200000000000001E-2</v>
      </c>
      <c r="AH364">
        <v>2</v>
      </c>
      <c r="AI364">
        <v>57035301</v>
      </c>
      <c r="AJ364">
        <v>358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ROW(Source!A536)</f>
        <v>536</v>
      </c>
      <c r="B365">
        <v>57035311</v>
      </c>
      <c r="C365">
        <v>57035295</v>
      </c>
      <c r="D365">
        <v>55481842</v>
      </c>
      <c r="E365">
        <v>1</v>
      </c>
      <c r="F365">
        <v>1</v>
      </c>
      <c r="G365">
        <v>1081</v>
      </c>
      <c r="H365">
        <v>3</v>
      </c>
      <c r="I365" t="s">
        <v>554</v>
      </c>
      <c r="J365" t="s">
        <v>555</v>
      </c>
      <c r="K365" t="s">
        <v>556</v>
      </c>
      <c r="L365">
        <v>1354</v>
      </c>
      <c r="N365">
        <v>1010</v>
      </c>
      <c r="O365" t="s">
        <v>177</v>
      </c>
      <c r="P365" t="s">
        <v>177</v>
      </c>
      <c r="Q365">
        <v>1</v>
      </c>
      <c r="X365">
        <v>3.1</v>
      </c>
      <c r="Y365">
        <v>6.94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104</v>
      </c>
      <c r="AG365">
        <v>3.1</v>
      </c>
      <c r="AH365">
        <v>2</v>
      </c>
      <c r="AI365">
        <v>57035302</v>
      </c>
      <c r="AJ365">
        <v>359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ROW(Source!A536)</f>
        <v>536</v>
      </c>
      <c r="B366">
        <v>57035312</v>
      </c>
      <c r="C366">
        <v>57035295</v>
      </c>
      <c r="D366">
        <v>55481850</v>
      </c>
      <c r="E366">
        <v>1</v>
      </c>
      <c r="F366">
        <v>1</v>
      </c>
      <c r="G366">
        <v>1081</v>
      </c>
      <c r="H366">
        <v>3</v>
      </c>
      <c r="I366" t="s">
        <v>566</v>
      </c>
      <c r="J366" t="s">
        <v>567</v>
      </c>
      <c r="K366" t="s">
        <v>568</v>
      </c>
      <c r="L366">
        <v>1356</v>
      </c>
      <c r="N366">
        <v>1010</v>
      </c>
      <c r="O366" t="s">
        <v>382</v>
      </c>
      <c r="P366" t="s">
        <v>382</v>
      </c>
      <c r="Q366">
        <v>1000</v>
      </c>
      <c r="X366">
        <v>8.0000000000000002E-3</v>
      </c>
      <c r="Y366">
        <v>614.09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104</v>
      </c>
      <c r="AG366">
        <v>8.0000000000000002E-3</v>
      </c>
      <c r="AH366">
        <v>2</v>
      </c>
      <c r="AI366">
        <v>57035303</v>
      </c>
      <c r="AJ366">
        <v>360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ROW(Source!A536)</f>
        <v>536</v>
      </c>
      <c r="B367">
        <v>57035313</v>
      </c>
      <c r="C367">
        <v>57035295</v>
      </c>
      <c r="D367">
        <v>55434495</v>
      </c>
      <c r="E367">
        <v>1081</v>
      </c>
      <c r="F367">
        <v>1</v>
      </c>
      <c r="G367">
        <v>1081</v>
      </c>
      <c r="H367">
        <v>3</v>
      </c>
      <c r="I367" t="s">
        <v>603</v>
      </c>
      <c r="J367" t="s">
        <v>3</v>
      </c>
      <c r="K367" t="s">
        <v>604</v>
      </c>
      <c r="L367">
        <v>1303</v>
      </c>
      <c r="N367">
        <v>1003</v>
      </c>
      <c r="O367" t="s">
        <v>485</v>
      </c>
      <c r="P367" t="s">
        <v>485</v>
      </c>
      <c r="Q367">
        <v>1000</v>
      </c>
      <c r="X367">
        <v>0.10299999999999999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104</v>
      </c>
      <c r="AG367">
        <v>0.10299999999999999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ROW(Source!A537)</f>
        <v>537</v>
      </c>
      <c r="B368">
        <v>57035305</v>
      </c>
      <c r="C368">
        <v>57035295</v>
      </c>
      <c r="D368">
        <v>55424304</v>
      </c>
      <c r="E368">
        <v>1081</v>
      </c>
      <c r="F368">
        <v>1</v>
      </c>
      <c r="G368">
        <v>1081</v>
      </c>
      <c r="H368">
        <v>1</v>
      </c>
      <c r="I368" t="s">
        <v>459</v>
      </c>
      <c r="J368" t="s">
        <v>3</v>
      </c>
      <c r="K368" t="s">
        <v>460</v>
      </c>
      <c r="L368">
        <v>1191</v>
      </c>
      <c r="N368">
        <v>1013</v>
      </c>
      <c r="O368" t="s">
        <v>461</v>
      </c>
      <c r="P368" t="s">
        <v>461</v>
      </c>
      <c r="Q368">
        <v>1</v>
      </c>
      <c r="X368">
        <v>1.83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 t="s">
        <v>105</v>
      </c>
      <c r="AG368">
        <v>2.1960000000000002</v>
      </c>
      <c r="AH368">
        <v>2</v>
      </c>
      <c r="AI368">
        <v>57035296</v>
      </c>
      <c r="AJ368">
        <v>362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ROW(Source!A537)</f>
        <v>537</v>
      </c>
      <c r="B369">
        <v>57035306</v>
      </c>
      <c r="C369">
        <v>57035295</v>
      </c>
      <c r="D369">
        <v>55490209</v>
      </c>
      <c r="E369">
        <v>1</v>
      </c>
      <c r="F369">
        <v>1</v>
      </c>
      <c r="G369">
        <v>1081</v>
      </c>
      <c r="H369">
        <v>2</v>
      </c>
      <c r="I369" t="s">
        <v>462</v>
      </c>
      <c r="J369" t="s">
        <v>463</v>
      </c>
      <c r="K369" t="s">
        <v>464</v>
      </c>
      <c r="L369">
        <v>1368</v>
      </c>
      <c r="N369">
        <v>1011</v>
      </c>
      <c r="O369" t="s">
        <v>465</v>
      </c>
      <c r="P369" t="s">
        <v>465</v>
      </c>
      <c r="Q369">
        <v>1</v>
      </c>
      <c r="X369">
        <v>0.01</v>
      </c>
      <c r="Y369">
        <v>0</v>
      </c>
      <c r="Z369">
        <v>83.1</v>
      </c>
      <c r="AA369">
        <v>12.62</v>
      </c>
      <c r="AB369">
        <v>0</v>
      </c>
      <c r="AC369">
        <v>0</v>
      </c>
      <c r="AD369">
        <v>1</v>
      </c>
      <c r="AE369">
        <v>0</v>
      </c>
      <c r="AF369" t="s">
        <v>105</v>
      </c>
      <c r="AG369">
        <v>1.2E-2</v>
      </c>
      <c r="AH369">
        <v>2</v>
      </c>
      <c r="AI369">
        <v>57035297</v>
      </c>
      <c r="AJ369">
        <v>363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ROW(Source!A537)</f>
        <v>537</v>
      </c>
      <c r="B370">
        <v>57035307</v>
      </c>
      <c r="C370">
        <v>57035295</v>
      </c>
      <c r="D370">
        <v>55489443</v>
      </c>
      <c r="E370">
        <v>1</v>
      </c>
      <c r="F370">
        <v>1</v>
      </c>
      <c r="G370">
        <v>1081</v>
      </c>
      <c r="H370">
        <v>2</v>
      </c>
      <c r="I370" t="s">
        <v>539</v>
      </c>
      <c r="J370" t="s">
        <v>540</v>
      </c>
      <c r="K370" t="s">
        <v>541</v>
      </c>
      <c r="L370">
        <v>1368</v>
      </c>
      <c r="N370">
        <v>1011</v>
      </c>
      <c r="O370" t="s">
        <v>465</v>
      </c>
      <c r="P370" t="s">
        <v>465</v>
      </c>
      <c r="Q370">
        <v>1</v>
      </c>
      <c r="X370">
        <v>0.01</v>
      </c>
      <c r="Y370">
        <v>0</v>
      </c>
      <c r="Z370">
        <v>179.17</v>
      </c>
      <c r="AA370">
        <v>16.93</v>
      </c>
      <c r="AB370">
        <v>0</v>
      </c>
      <c r="AC370">
        <v>0</v>
      </c>
      <c r="AD370">
        <v>1</v>
      </c>
      <c r="AE370">
        <v>0</v>
      </c>
      <c r="AF370" t="s">
        <v>105</v>
      </c>
      <c r="AG370">
        <v>1.2E-2</v>
      </c>
      <c r="AH370">
        <v>2</v>
      </c>
      <c r="AI370">
        <v>57035298</v>
      </c>
      <c r="AJ370">
        <v>364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ROW(Source!A537)</f>
        <v>537</v>
      </c>
      <c r="B371">
        <v>57035308</v>
      </c>
      <c r="C371">
        <v>57035295</v>
      </c>
      <c r="D371">
        <v>55460033</v>
      </c>
      <c r="E371">
        <v>1</v>
      </c>
      <c r="F371">
        <v>1</v>
      </c>
      <c r="G371">
        <v>1081</v>
      </c>
      <c r="H371">
        <v>3</v>
      </c>
      <c r="I371" t="s">
        <v>542</v>
      </c>
      <c r="J371" t="s">
        <v>543</v>
      </c>
      <c r="K371" t="s">
        <v>544</v>
      </c>
      <c r="L371">
        <v>1346</v>
      </c>
      <c r="N371">
        <v>1009</v>
      </c>
      <c r="O371" t="s">
        <v>433</v>
      </c>
      <c r="P371" t="s">
        <v>433</v>
      </c>
      <c r="Q371">
        <v>1</v>
      </c>
      <c r="X371">
        <v>0.6</v>
      </c>
      <c r="Y371">
        <v>1.38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104</v>
      </c>
      <c r="AG371">
        <v>0.6</v>
      </c>
      <c r="AH371">
        <v>2</v>
      </c>
      <c r="AI371">
        <v>57035299</v>
      </c>
      <c r="AJ371">
        <v>365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ROW(Source!A537)</f>
        <v>537</v>
      </c>
      <c r="B372">
        <v>57035309</v>
      </c>
      <c r="C372">
        <v>57035295</v>
      </c>
      <c r="D372">
        <v>55460424</v>
      </c>
      <c r="E372">
        <v>1</v>
      </c>
      <c r="F372">
        <v>1</v>
      </c>
      <c r="G372">
        <v>1081</v>
      </c>
      <c r="H372">
        <v>3</v>
      </c>
      <c r="I372" t="s">
        <v>545</v>
      </c>
      <c r="J372" t="s">
        <v>546</v>
      </c>
      <c r="K372" t="s">
        <v>547</v>
      </c>
      <c r="L372">
        <v>1346</v>
      </c>
      <c r="N372">
        <v>1009</v>
      </c>
      <c r="O372" t="s">
        <v>433</v>
      </c>
      <c r="P372" t="s">
        <v>433</v>
      </c>
      <c r="Q372">
        <v>1</v>
      </c>
      <c r="X372">
        <v>0.16</v>
      </c>
      <c r="Y372">
        <v>159.06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104</v>
      </c>
      <c r="AG372">
        <v>0.16</v>
      </c>
      <c r="AH372">
        <v>2</v>
      </c>
      <c r="AI372">
        <v>57035300</v>
      </c>
      <c r="AJ372">
        <v>366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ROW(Source!A537)</f>
        <v>537</v>
      </c>
      <c r="B373">
        <v>57035310</v>
      </c>
      <c r="C373">
        <v>57035295</v>
      </c>
      <c r="D373">
        <v>55482517</v>
      </c>
      <c r="E373">
        <v>1</v>
      </c>
      <c r="F373">
        <v>1</v>
      </c>
      <c r="G373">
        <v>1081</v>
      </c>
      <c r="H373">
        <v>3</v>
      </c>
      <c r="I373" t="s">
        <v>563</v>
      </c>
      <c r="J373" t="s">
        <v>564</v>
      </c>
      <c r="K373" t="s">
        <v>565</v>
      </c>
      <c r="L373">
        <v>1356</v>
      </c>
      <c r="N373">
        <v>1010</v>
      </c>
      <c r="O373" t="s">
        <v>382</v>
      </c>
      <c r="P373" t="s">
        <v>382</v>
      </c>
      <c r="Q373">
        <v>1000</v>
      </c>
      <c r="X373">
        <v>1.2200000000000001E-2</v>
      </c>
      <c r="Y373">
        <v>226.86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104</v>
      </c>
      <c r="AG373">
        <v>1.2200000000000001E-2</v>
      </c>
      <c r="AH373">
        <v>2</v>
      </c>
      <c r="AI373">
        <v>57035301</v>
      </c>
      <c r="AJ373">
        <v>367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ROW(Source!A537)</f>
        <v>537</v>
      </c>
      <c r="B374">
        <v>57035311</v>
      </c>
      <c r="C374">
        <v>57035295</v>
      </c>
      <c r="D374">
        <v>55481842</v>
      </c>
      <c r="E374">
        <v>1</v>
      </c>
      <c r="F374">
        <v>1</v>
      </c>
      <c r="G374">
        <v>1081</v>
      </c>
      <c r="H374">
        <v>3</v>
      </c>
      <c r="I374" t="s">
        <v>554</v>
      </c>
      <c r="J374" t="s">
        <v>555</v>
      </c>
      <c r="K374" t="s">
        <v>556</v>
      </c>
      <c r="L374">
        <v>1354</v>
      </c>
      <c r="N374">
        <v>1010</v>
      </c>
      <c r="O374" t="s">
        <v>177</v>
      </c>
      <c r="P374" t="s">
        <v>177</v>
      </c>
      <c r="Q374">
        <v>1</v>
      </c>
      <c r="X374">
        <v>3.1</v>
      </c>
      <c r="Y374">
        <v>6.94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104</v>
      </c>
      <c r="AG374">
        <v>3.1</v>
      </c>
      <c r="AH374">
        <v>2</v>
      </c>
      <c r="AI374">
        <v>57035302</v>
      </c>
      <c r="AJ374">
        <v>368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>
        <f>ROW(Source!A537)</f>
        <v>537</v>
      </c>
      <c r="B375">
        <v>57035312</v>
      </c>
      <c r="C375">
        <v>57035295</v>
      </c>
      <c r="D375">
        <v>55481850</v>
      </c>
      <c r="E375">
        <v>1</v>
      </c>
      <c r="F375">
        <v>1</v>
      </c>
      <c r="G375">
        <v>1081</v>
      </c>
      <c r="H375">
        <v>3</v>
      </c>
      <c r="I375" t="s">
        <v>566</v>
      </c>
      <c r="J375" t="s">
        <v>567</v>
      </c>
      <c r="K375" t="s">
        <v>568</v>
      </c>
      <c r="L375">
        <v>1356</v>
      </c>
      <c r="N375">
        <v>1010</v>
      </c>
      <c r="O375" t="s">
        <v>382</v>
      </c>
      <c r="P375" t="s">
        <v>382</v>
      </c>
      <c r="Q375">
        <v>1000</v>
      </c>
      <c r="X375">
        <v>8.0000000000000002E-3</v>
      </c>
      <c r="Y375">
        <v>614.09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104</v>
      </c>
      <c r="AG375">
        <v>8.0000000000000002E-3</v>
      </c>
      <c r="AH375">
        <v>2</v>
      </c>
      <c r="AI375">
        <v>57035303</v>
      </c>
      <c r="AJ375">
        <v>369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f>ROW(Source!A537)</f>
        <v>537</v>
      </c>
      <c r="B376">
        <v>57035313</v>
      </c>
      <c r="C376">
        <v>57035295</v>
      </c>
      <c r="D376">
        <v>55434495</v>
      </c>
      <c r="E376">
        <v>1081</v>
      </c>
      <c r="F376">
        <v>1</v>
      </c>
      <c r="G376">
        <v>1081</v>
      </c>
      <c r="H376">
        <v>3</v>
      </c>
      <c r="I376" t="s">
        <v>603</v>
      </c>
      <c r="J376" t="s">
        <v>3</v>
      </c>
      <c r="K376" t="s">
        <v>604</v>
      </c>
      <c r="L376">
        <v>1303</v>
      </c>
      <c r="N376">
        <v>1003</v>
      </c>
      <c r="O376" t="s">
        <v>485</v>
      </c>
      <c r="P376" t="s">
        <v>485</v>
      </c>
      <c r="Q376">
        <v>1000</v>
      </c>
      <c r="X376">
        <v>0.10299999999999999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104</v>
      </c>
      <c r="AG376">
        <v>0.10299999999999999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f>ROW(Source!A540)</f>
        <v>540</v>
      </c>
      <c r="B377">
        <v>57035319</v>
      </c>
      <c r="C377">
        <v>57035315</v>
      </c>
      <c r="D377">
        <v>55424304</v>
      </c>
      <c r="E377">
        <v>1081</v>
      </c>
      <c r="F377">
        <v>1</v>
      </c>
      <c r="G377">
        <v>1081</v>
      </c>
      <c r="H377">
        <v>1</v>
      </c>
      <c r="I377" t="s">
        <v>459</v>
      </c>
      <c r="J377" t="s">
        <v>3</v>
      </c>
      <c r="K377" t="s">
        <v>460</v>
      </c>
      <c r="L377">
        <v>1191</v>
      </c>
      <c r="N377">
        <v>1013</v>
      </c>
      <c r="O377" t="s">
        <v>461</v>
      </c>
      <c r="P377" t="s">
        <v>461</v>
      </c>
      <c r="Q377">
        <v>1</v>
      </c>
      <c r="X377">
        <v>1.26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1</v>
      </c>
      <c r="AF377" t="s">
        <v>105</v>
      </c>
      <c r="AG377">
        <v>1.512</v>
      </c>
      <c r="AH377">
        <v>2</v>
      </c>
      <c r="AI377">
        <v>57035316</v>
      </c>
      <c r="AJ377">
        <v>371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>
        <f>ROW(Source!A540)</f>
        <v>540</v>
      </c>
      <c r="B378">
        <v>57035320</v>
      </c>
      <c r="C378">
        <v>57035315</v>
      </c>
      <c r="D378">
        <v>55465987</v>
      </c>
      <c r="E378">
        <v>1</v>
      </c>
      <c r="F378">
        <v>1</v>
      </c>
      <c r="G378">
        <v>1081</v>
      </c>
      <c r="H378">
        <v>3</v>
      </c>
      <c r="I378" t="s">
        <v>429</v>
      </c>
      <c r="J378" t="s">
        <v>431</v>
      </c>
      <c r="K378" t="s">
        <v>430</v>
      </c>
      <c r="L378">
        <v>1348</v>
      </c>
      <c r="N378">
        <v>1009</v>
      </c>
      <c r="O378" t="s">
        <v>299</v>
      </c>
      <c r="P378" t="s">
        <v>299</v>
      </c>
      <c r="Q378">
        <v>1000</v>
      </c>
      <c r="X378">
        <v>3.0000000000000001E-5</v>
      </c>
      <c r="Y378">
        <v>18995.22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104</v>
      </c>
      <c r="AG378">
        <v>3.0000000000000001E-5</v>
      </c>
      <c r="AH378">
        <v>2</v>
      </c>
      <c r="AI378">
        <v>57035317</v>
      </c>
      <c r="AJ378">
        <v>372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f>ROW(Source!A541)</f>
        <v>541</v>
      </c>
      <c r="B379">
        <v>57035319</v>
      </c>
      <c r="C379">
        <v>57035315</v>
      </c>
      <c r="D379">
        <v>55424304</v>
      </c>
      <c r="E379">
        <v>1081</v>
      </c>
      <c r="F379">
        <v>1</v>
      </c>
      <c r="G379">
        <v>1081</v>
      </c>
      <c r="H379">
        <v>1</v>
      </c>
      <c r="I379" t="s">
        <v>459</v>
      </c>
      <c r="J379" t="s">
        <v>3</v>
      </c>
      <c r="K379" t="s">
        <v>460</v>
      </c>
      <c r="L379">
        <v>1191</v>
      </c>
      <c r="N379">
        <v>1013</v>
      </c>
      <c r="O379" t="s">
        <v>461</v>
      </c>
      <c r="P379" t="s">
        <v>461</v>
      </c>
      <c r="Q379">
        <v>1</v>
      </c>
      <c r="X379">
        <v>1.26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1</v>
      </c>
      <c r="AF379" t="s">
        <v>105</v>
      </c>
      <c r="AG379">
        <v>1.512</v>
      </c>
      <c r="AH379">
        <v>2</v>
      </c>
      <c r="AI379">
        <v>57035316</v>
      </c>
      <c r="AJ379">
        <v>374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>
        <f>ROW(Source!A541)</f>
        <v>541</v>
      </c>
      <c r="B380">
        <v>57035320</v>
      </c>
      <c r="C380">
        <v>57035315</v>
      </c>
      <c r="D380">
        <v>55465987</v>
      </c>
      <c r="E380">
        <v>1</v>
      </c>
      <c r="F380">
        <v>1</v>
      </c>
      <c r="G380">
        <v>1081</v>
      </c>
      <c r="H380">
        <v>3</v>
      </c>
      <c r="I380" t="s">
        <v>429</v>
      </c>
      <c r="J380" t="s">
        <v>431</v>
      </c>
      <c r="K380" t="s">
        <v>430</v>
      </c>
      <c r="L380">
        <v>1348</v>
      </c>
      <c r="N380">
        <v>1009</v>
      </c>
      <c r="O380" t="s">
        <v>299</v>
      </c>
      <c r="P380" t="s">
        <v>299</v>
      </c>
      <c r="Q380">
        <v>1000</v>
      </c>
      <c r="X380">
        <v>3.0000000000000001E-5</v>
      </c>
      <c r="Y380">
        <v>18995.22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104</v>
      </c>
      <c r="AG380">
        <v>3.0000000000000001E-5</v>
      </c>
      <c r="AH380">
        <v>2</v>
      </c>
      <c r="AI380">
        <v>57035317</v>
      </c>
      <c r="AJ380">
        <v>375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44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104</v>
      </c>
      <c r="E1" t="s">
        <v>105</v>
      </c>
      <c r="F1" t="s">
        <v>105</v>
      </c>
      <c r="G1" t="s">
        <v>105</v>
      </c>
      <c r="H1" t="s">
        <v>3</v>
      </c>
      <c r="I1" t="s">
        <v>105</v>
      </c>
      <c r="J1" t="s">
        <v>105</v>
      </c>
      <c r="K1" t="s">
        <v>3</v>
      </c>
      <c r="L1" t="s">
        <v>3</v>
      </c>
      <c r="M1" t="s">
        <v>3</v>
      </c>
      <c r="N1" t="s">
        <v>104</v>
      </c>
      <c r="O1" t="s">
        <v>105</v>
      </c>
      <c r="P1" t="s">
        <v>3</v>
      </c>
      <c r="Q1" t="s">
        <v>3</v>
      </c>
      <c r="R1" t="s">
        <v>3</v>
      </c>
      <c r="S1" t="s">
        <v>605</v>
      </c>
      <c r="T1" t="s">
        <v>606</v>
      </c>
      <c r="U1" t="s">
        <v>607</v>
      </c>
    </row>
    <row r="2" spans="1:21" x14ac:dyDescent="0.25">
      <c r="A2">
        <v>28</v>
      </c>
      <c r="B2">
        <v>1</v>
      </c>
      <c r="C2" t="s">
        <v>3</v>
      </c>
      <c r="D2" t="s">
        <v>608</v>
      </c>
      <c r="E2" t="s">
        <v>609</v>
      </c>
      <c r="F2" t="s">
        <v>609</v>
      </c>
      <c r="G2" t="s">
        <v>609</v>
      </c>
      <c r="H2" t="s">
        <v>3</v>
      </c>
      <c r="I2" t="s">
        <v>609</v>
      </c>
      <c r="J2" t="s">
        <v>609</v>
      </c>
      <c r="K2" t="s">
        <v>3</v>
      </c>
      <c r="L2" t="s">
        <v>3</v>
      </c>
      <c r="M2" t="s">
        <v>3</v>
      </c>
      <c r="N2" t="s">
        <v>608</v>
      </c>
      <c r="O2" t="s">
        <v>609</v>
      </c>
      <c r="P2" t="s">
        <v>3</v>
      </c>
      <c r="Q2" t="s">
        <v>3</v>
      </c>
      <c r="R2" t="s">
        <v>3</v>
      </c>
      <c r="S2" t="s">
        <v>610</v>
      </c>
      <c r="T2" t="s">
        <v>611</v>
      </c>
      <c r="U2" t="s">
        <v>612</v>
      </c>
    </row>
    <row r="3" spans="1:21" x14ac:dyDescent="0.25">
      <c r="A3">
        <v>29</v>
      </c>
      <c r="B3">
        <v>1</v>
      </c>
      <c r="C3" t="s">
        <v>3</v>
      </c>
      <c r="D3" t="s">
        <v>104</v>
      </c>
      <c r="E3" t="s">
        <v>105</v>
      </c>
      <c r="F3" t="s">
        <v>105</v>
      </c>
      <c r="G3" t="s">
        <v>105</v>
      </c>
      <c r="H3" t="s">
        <v>3</v>
      </c>
      <c r="I3" t="s">
        <v>105</v>
      </c>
      <c r="J3" t="s">
        <v>105</v>
      </c>
      <c r="K3" t="s">
        <v>3</v>
      </c>
      <c r="L3" t="s">
        <v>3</v>
      </c>
      <c r="M3" t="s">
        <v>3</v>
      </c>
      <c r="N3" t="s">
        <v>104</v>
      </c>
      <c r="O3" t="s">
        <v>105</v>
      </c>
      <c r="P3" t="s">
        <v>3</v>
      </c>
      <c r="Q3" t="s">
        <v>3</v>
      </c>
      <c r="R3" t="s">
        <v>3</v>
      </c>
      <c r="S3" t="s">
        <v>605</v>
      </c>
      <c r="T3" t="s">
        <v>606</v>
      </c>
      <c r="U3" t="s">
        <v>607</v>
      </c>
    </row>
    <row r="4" spans="1:21" x14ac:dyDescent="0.25">
      <c r="A4">
        <v>29</v>
      </c>
      <c r="B4">
        <v>1</v>
      </c>
      <c r="C4" t="s">
        <v>3</v>
      </c>
      <c r="D4" t="s">
        <v>608</v>
      </c>
      <c r="E4" t="s">
        <v>609</v>
      </c>
      <c r="F4" t="s">
        <v>609</v>
      </c>
      <c r="G4" t="s">
        <v>609</v>
      </c>
      <c r="H4" t="s">
        <v>3</v>
      </c>
      <c r="I4" t="s">
        <v>609</v>
      </c>
      <c r="J4" t="s">
        <v>609</v>
      </c>
      <c r="K4" t="s">
        <v>3</v>
      </c>
      <c r="L4" t="s">
        <v>3</v>
      </c>
      <c r="M4" t="s">
        <v>3</v>
      </c>
      <c r="N4" t="s">
        <v>608</v>
      </c>
      <c r="O4" t="s">
        <v>609</v>
      </c>
      <c r="P4" t="s">
        <v>3</v>
      </c>
      <c r="Q4" t="s">
        <v>3</v>
      </c>
      <c r="R4" t="s">
        <v>3</v>
      </c>
      <c r="S4" t="s">
        <v>610</v>
      </c>
      <c r="T4" t="s">
        <v>611</v>
      </c>
      <c r="U4" t="s">
        <v>612</v>
      </c>
    </row>
    <row r="5" spans="1:21" x14ac:dyDescent="0.25">
      <c r="A5">
        <v>30</v>
      </c>
      <c r="B5">
        <v>1</v>
      </c>
      <c r="C5" t="s">
        <v>3</v>
      </c>
      <c r="D5" t="s">
        <v>104</v>
      </c>
      <c r="E5" t="s">
        <v>105</v>
      </c>
      <c r="F5" t="s">
        <v>105</v>
      </c>
      <c r="G5" t="s">
        <v>105</v>
      </c>
      <c r="H5" t="s">
        <v>3</v>
      </c>
      <c r="I5" t="s">
        <v>105</v>
      </c>
      <c r="J5" t="s">
        <v>105</v>
      </c>
      <c r="K5" t="s">
        <v>3</v>
      </c>
      <c r="L5" t="s">
        <v>3</v>
      </c>
      <c r="M5" t="s">
        <v>3</v>
      </c>
      <c r="N5" t="s">
        <v>104</v>
      </c>
      <c r="O5" t="s">
        <v>105</v>
      </c>
      <c r="P5" t="s">
        <v>3</v>
      </c>
      <c r="Q5" t="s">
        <v>3</v>
      </c>
      <c r="R5" t="s">
        <v>3</v>
      </c>
      <c r="S5" t="s">
        <v>605</v>
      </c>
      <c r="T5" t="s">
        <v>606</v>
      </c>
      <c r="U5" t="s">
        <v>607</v>
      </c>
    </row>
    <row r="6" spans="1:21" x14ac:dyDescent="0.25">
      <c r="A6">
        <v>30</v>
      </c>
      <c r="B6">
        <v>1</v>
      </c>
      <c r="C6" t="s">
        <v>3</v>
      </c>
      <c r="D6" t="s">
        <v>608</v>
      </c>
      <c r="E6" t="s">
        <v>609</v>
      </c>
      <c r="F6" t="s">
        <v>609</v>
      </c>
      <c r="G6" t="s">
        <v>609</v>
      </c>
      <c r="H6" t="s">
        <v>3</v>
      </c>
      <c r="I6" t="s">
        <v>609</v>
      </c>
      <c r="J6" t="s">
        <v>609</v>
      </c>
      <c r="K6" t="s">
        <v>3</v>
      </c>
      <c r="L6" t="s">
        <v>3</v>
      </c>
      <c r="M6" t="s">
        <v>3</v>
      </c>
      <c r="N6" t="s">
        <v>608</v>
      </c>
      <c r="O6" t="s">
        <v>609</v>
      </c>
      <c r="P6" t="s">
        <v>3</v>
      </c>
      <c r="Q6" t="s">
        <v>3</v>
      </c>
      <c r="R6" t="s">
        <v>3</v>
      </c>
      <c r="S6" t="s">
        <v>610</v>
      </c>
      <c r="T6" t="s">
        <v>611</v>
      </c>
      <c r="U6" t="s">
        <v>612</v>
      </c>
    </row>
    <row r="7" spans="1:21" x14ac:dyDescent="0.25">
      <c r="A7">
        <v>31</v>
      </c>
      <c r="B7">
        <v>1</v>
      </c>
      <c r="C7" t="s">
        <v>3</v>
      </c>
      <c r="D7" t="s">
        <v>104</v>
      </c>
      <c r="E7" t="s">
        <v>105</v>
      </c>
      <c r="F7" t="s">
        <v>105</v>
      </c>
      <c r="G7" t="s">
        <v>105</v>
      </c>
      <c r="H7" t="s">
        <v>3</v>
      </c>
      <c r="I7" t="s">
        <v>105</v>
      </c>
      <c r="J7" t="s">
        <v>105</v>
      </c>
      <c r="K7" t="s">
        <v>3</v>
      </c>
      <c r="L7" t="s">
        <v>3</v>
      </c>
      <c r="M7" t="s">
        <v>3</v>
      </c>
      <c r="N7" t="s">
        <v>104</v>
      </c>
      <c r="O7" t="s">
        <v>105</v>
      </c>
      <c r="P7" t="s">
        <v>3</v>
      </c>
      <c r="Q7" t="s">
        <v>3</v>
      </c>
      <c r="R7" t="s">
        <v>3</v>
      </c>
      <c r="S7" t="s">
        <v>605</v>
      </c>
      <c r="T7" t="s">
        <v>606</v>
      </c>
      <c r="U7" t="s">
        <v>607</v>
      </c>
    </row>
    <row r="8" spans="1:21" x14ac:dyDescent="0.25">
      <c r="A8">
        <v>31</v>
      </c>
      <c r="B8">
        <v>1</v>
      </c>
      <c r="C8" t="s">
        <v>3</v>
      </c>
      <c r="D8" t="s">
        <v>608</v>
      </c>
      <c r="E8" t="s">
        <v>609</v>
      </c>
      <c r="F8" t="s">
        <v>609</v>
      </c>
      <c r="G8" t="s">
        <v>609</v>
      </c>
      <c r="H8" t="s">
        <v>3</v>
      </c>
      <c r="I8" t="s">
        <v>609</v>
      </c>
      <c r="J8" t="s">
        <v>609</v>
      </c>
      <c r="K8" t="s">
        <v>3</v>
      </c>
      <c r="L8" t="s">
        <v>3</v>
      </c>
      <c r="M8" t="s">
        <v>3</v>
      </c>
      <c r="N8" t="s">
        <v>608</v>
      </c>
      <c r="O8" t="s">
        <v>609</v>
      </c>
      <c r="P8" t="s">
        <v>3</v>
      </c>
      <c r="Q8" t="s">
        <v>3</v>
      </c>
      <c r="R8" t="s">
        <v>3</v>
      </c>
      <c r="S8" t="s">
        <v>610</v>
      </c>
      <c r="T8" t="s">
        <v>611</v>
      </c>
      <c r="U8" t="s">
        <v>612</v>
      </c>
    </row>
    <row r="9" spans="1:21" x14ac:dyDescent="0.25">
      <c r="A9">
        <v>32</v>
      </c>
      <c r="B9">
        <v>1</v>
      </c>
      <c r="C9" t="s">
        <v>3</v>
      </c>
      <c r="D9" t="s">
        <v>104</v>
      </c>
      <c r="E9" t="s">
        <v>105</v>
      </c>
      <c r="F9" t="s">
        <v>105</v>
      </c>
      <c r="G9" t="s">
        <v>105</v>
      </c>
      <c r="H9" t="s">
        <v>3</v>
      </c>
      <c r="I9" t="s">
        <v>105</v>
      </c>
      <c r="J9" t="s">
        <v>105</v>
      </c>
      <c r="K9" t="s">
        <v>3</v>
      </c>
      <c r="L9" t="s">
        <v>3</v>
      </c>
      <c r="M9" t="s">
        <v>3</v>
      </c>
      <c r="N9" t="s">
        <v>104</v>
      </c>
      <c r="O9" t="s">
        <v>105</v>
      </c>
      <c r="P9" t="s">
        <v>3</v>
      </c>
      <c r="Q9" t="s">
        <v>3</v>
      </c>
      <c r="R9" t="s">
        <v>3</v>
      </c>
      <c r="S9" t="s">
        <v>605</v>
      </c>
      <c r="T9" t="s">
        <v>606</v>
      </c>
      <c r="U9" t="s">
        <v>607</v>
      </c>
    </row>
    <row r="10" spans="1:21" x14ac:dyDescent="0.25">
      <c r="A10">
        <v>32</v>
      </c>
      <c r="B10">
        <v>1</v>
      </c>
      <c r="C10" t="s">
        <v>3</v>
      </c>
      <c r="D10" t="s">
        <v>608</v>
      </c>
      <c r="E10" t="s">
        <v>609</v>
      </c>
      <c r="F10" t="s">
        <v>609</v>
      </c>
      <c r="G10" t="s">
        <v>609</v>
      </c>
      <c r="H10" t="s">
        <v>3</v>
      </c>
      <c r="I10" t="s">
        <v>609</v>
      </c>
      <c r="J10" t="s">
        <v>609</v>
      </c>
      <c r="K10" t="s">
        <v>3</v>
      </c>
      <c r="L10" t="s">
        <v>3</v>
      </c>
      <c r="M10" t="s">
        <v>3</v>
      </c>
      <c r="N10" t="s">
        <v>608</v>
      </c>
      <c r="O10" t="s">
        <v>609</v>
      </c>
      <c r="P10" t="s">
        <v>3</v>
      </c>
      <c r="Q10" t="s">
        <v>3</v>
      </c>
      <c r="R10" t="s">
        <v>3</v>
      </c>
      <c r="S10" t="s">
        <v>610</v>
      </c>
      <c r="T10" t="s">
        <v>611</v>
      </c>
      <c r="U10" t="s">
        <v>612</v>
      </c>
    </row>
    <row r="11" spans="1:21" x14ac:dyDescent="0.25">
      <c r="A11">
        <v>33</v>
      </c>
      <c r="B11">
        <v>1</v>
      </c>
      <c r="C11" t="s">
        <v>3</v>
      </c>
      <c r="D11" t="s">
        <v>104</v>
      </c>
      <c r="E11" t="s">
        <v>105</v>
      </c>
      <c r="F11" t="s">
        <v>105</v>
      </c>
      <c r="G11" t="s">
        <v>105</v>
      </c>
      <c r="H11" t="s">
        <v>3</v>
      </c>
      <c r="I11" t="s">
        <v>105</v>
      </c>
      <c r="J11" t="s">
        <v>105</v>
      </c>
      <c r="K11" t="s">
        <v>3</v>
      </c>
      <c r="L11" t="s">
        <v>3</v>
      </c>
      <c r="M11" t="s">
        <v>3</v>
      </c>
      <c r="N11" t="s">
        <v>104</v>
      </c>
      <c r="O11" t="s">
        <v>105</v>
      </c>
      <c r="P11" t="s">
        <v>3</v>
      </c>
      <c r="Q11" t="s">
        <v>3</v>
      </c>
      <c r="R11" t="s">
        <v>3</v>
      </c>
      <c r="S11" t="s">
        <v>605</v>
      </c>
      <c r="T11" t="s">
        <v>606</v>
      </c>
      <c r="U11" t="s">
        <v>607</v>
      </c>
    </row>
    <row r="12" spans="1:21" x14ac:dyDescent="0.25">
      <c r="A12">
        <v>33</v>
      </c>
      <c r="B12">
        <v>1</v>
      </c>
      <c r="C12" t="s">
        <v>3</v>
      </c>
      <c r="D12" t="s">
        <v>608</v>
      </c>
      <c r="E12" t="s">
        <v>609</v>
      </c>
      <c r="F12" t="s">
        <v>609</v>
      </c>
      <c r="G12" t="s">
        <v>609</v>
      </c>
      <c r="H12" t="s">
        <v>3</v>
      </c>
      <c r="I12" t="s">
        <v>609</v>
      </c>
      <c r="J12" t="s">
        <v>609</v>
      </c>
      <c r="K12" t="s">
        <v>3</v>
      </c>
      <c r="L12" t="s">
        <v>3</v>
      </c>
      <c r="M12" t="s">
        <v>3</v>
      </c>
      <c r="N12" t="s">
        <v>608</v>
      </c>
      <c r="O12" t="s">
        <v>609</v>
      </c>
      <c r="P12" t="s">
        <v>3</v>
      </c>
      <c r="Q12" t="s">
        <v>3</v>
      </c>
      <c r="R12" t="s">
        <v>3</v>
      </c>
      <c r="S12" t="s">
        <v>610</v>
      </c>
      <c r="T12" t="s">
        <v>611</v>
      </c>
      <c r="U12" t="s">
        <v>612</v>
      </c>
    </row>
    <row r="13" spans="1:21" x14ac:dyDescent="0.25">
      <c r="A13">
        <v>34</v>
      </c>
      <c r="B13">
        <v>1</v>
      </c>
      <c r="C13" t="s">
        <v>3</v>
      </c>
      <c r="D13" t="s">
        <v>104</v>
      </c>
      <c r="E13" t="s">
        <v>105</v>
      </c>
      <c r="F13" t="s">
        <v>105</v>
      </c>
      <c r="G13" t="s">
        <v>105</v>
      </c>
      <c r="H13" t="s">
        <v>3</v>
      </c>
      <c r="I13" t="s">
        <v>105</v>
      </c>
      <c r="J13" t="s">
        <v>105</v>
      </c>
      <c r="K13" t="s">
        <v>3</v>
      </c>
      <c r="L13" t="s">
        <v>3</v>
      </c>
      <c r="M13" t="s">
        <v>3</v>
      </c>
      <c r="N13" t="s">
        <v>104</v>
      </c>
      <c r="O13" t="s">
        <v>105</v>
      </c>
      <c r="P13" t="s">
        <v>3</v>
      </c>
      <c r="Q13" t="s">
        <v>3</v>
      </c>
      <c r="R13" t="s">
        <v>3</v>
      </c>
      <c r="S13" t="s">
        <v>605</v>
      </c>
      <c r="T13" t="s">
        <v>606</v>
      </c>
      <c r="U13" t="s">
        <v>607</v>
      </c>
    </row>
    <row r="14" spans="1:21" x14ac:dyDescent="0.25">
      <c r="A14">
        <v>34</v>
      </c>
      <c r="B14">
        <v>1</v>
      </c>
      <c r="C14" t="s">
        <v>3</v>
      </c>
      <c r="D14" t="s">
        <v>608</v>
      </c>
      <c r="E14" t="s">
        <v>609</v>
      </c>
      <c r="F14" t="s">
        <v>609</v>
      </c>
      <c r="G14" t="s">
        <v>609</v>
      </c>
      <c r="H14" t="s">
        <v>3</v>
      </c>
      <c r="I14" t="s">
        <v>609</v>
      </c>
      <c r="J14" t="s">
        <v>609</v>
      </c>
      <c r="K14" t="s">
        <v>3</v>
      </c>
      <c r="L14" t="s">
        <v>3</v>
      </c>
      <c r="M14" t="s">
        <v>3</v>
      </c>
      <c r="N14" t="s">
        <v>608</v>
      </c>
      <c r="O14" t="s">
        <v>609</v>
      </c>
      <c r="P14" t="s">
        <v>3</v>
      </c>
      <c r="Q14" t="s">
        <v>3</v>
      </c>
      <c r="R14" t="s">
        <v>3</v>
      </c>
      <c r="S14" t="s">
        <v>610</v>
      </c>
      <c r="T14" t="s">
        <v>611</v>
      </c>
      <c r="U14" t="s">
        <v>612</v>
      </c>
    </row>
    <row r="15" spans="1:21" x14ac:dyDescent="0.25">
      <c r="A15">
        <v>35</v>
      </c>
      <c r="B15">
        <v>1</v>
      </c>
      <c r="C15" t="s">
        <v>3</v>
      </c>
      <c r="D15" t="s">
        <v>104</v>
      </c>
      <c r="E15" t="s">
        <v>105</v>
      </c>
      <c r="F15" t="s">
        <v>105</v>
      </c>
      <c r="G15" t="s">
        <v>105</v>
      </c>
      <c r="H15" t="s">
        <v>3</v>
      </c>
      <c r="I15" t="s">
        <v>105</v>
      </c>
      <c r="J15" t="s">
        <v>105</v>
      </c>
      <c r="K15" t="s">
        <v>3</v>
      </c>
      <c r="L15" t="s">
        <v>3</v>
      </c>
      <c r="M15" t="s">
        <v>3</v>
      </c>
      <c r="N15" t="s">
        <v>104</v>
      </c>
      <c r="O15" t="s">
        <v>105</v>
      </c>
      <c r="P15" t="s">
        <v>3</v>
      </c>
      <c r="Q15" t="s">
        <v>3</v>
      </c>
      <c r="R15" t="s">
        <v>3</v>
      </c>
      <c r="S15" t="s">
        <v>605</v>
      </c>
      <c r="T15" t="s">
        <v>606</v>
      </c>
      <c r="U15" t="s">
        <v>607</v>
      </c>
    </row>
    <row r="16" spans="1:21" x14ac:dyDescent="0.25">
      <c r="A16">
        <v>35</v>
      </c>
      <c r="B16">
        <v>1</v>
      </c>
      <c r="C16" t="s">
        <v>3</v>
      </c>
      <c r="D16" t="s">
        <v>608</v>
      </c>
      <c r="E16" t="s">
        <v>609</v>
      </c>
      <c r="F16" t="s">
        <v>609</v>
      </c>
      <c r="G16" t="s">
        <v>609</v>
      </c>
      <c r="H16" t="s">
        <v>3</v>
      </c>
      <c r="I16" t="s">
        <v>609</v>
      </c>
      <c r="J16" t="s">
        <v>609</v>
      </c>
      <c r="K16" t="s">
        <v>3</v>
      </c>
      <c r="L16" t="s">
        <v>3</v>
      </c>
      <c r="M16" t="s">
        <v>3</v>
      </c>
      <c r="N16" t="s">
        <v>608</v>
      </c>
      <c r="O16" t="s">
        <v>609</v>
      </c>
      <c r="P16" t="s">
        <v>3</v>
      </c>
      <c r="Q16" t="s">
        <v>3</v>
      </c>
      <c r="R16" t="s">
        <v>3</v>
      </c>
      <c r="S16" t="s">
        <v>610</v>
      </c>
      <c r="T16" t="s">
        <v>611</v>
      </c>
      <c r="U16" t="s">
        <v>612</v>
      </c>
    </row>
    <row r="17" spans="1:21" x14ac:dyDescent="0.25">
      <c r="A17">
        <v>36</v>
      </c>
      <c r="B17">
        <v>1</v>
      </c>
      <c r="C17" t="s">
        <v>3</v>
      </c>
      <c r="D17" t="s">
        <v>104</v>
      </c>
      <c r="E17" t="s">
        <v>105</v>
      </c>
      <c r="F17" t="s">
        <v>105</v>
      </c>
      <c r="G17" t="s">
        <v>105</v>
      </c>
      <c r="H17" t="s">
        <v>3</v>
      </c>
      <c r="I17" t="s">
        <v>105</v>
      </c>
      <c r="J17" t="s">
        <v>105</v>
      </c>
      <c r="K17" t="s">
        <v>3</v>
      </c>
      <c r="L17" t="s">
        <v>3</v>
      </c>
      <c r="M17" t="s">
        <v>3</v>
      </c>
      <c r="N17" t="s">
        <v>104</v>
      </c>
      <c r="O17" t="s">
        <v>105</v>
      </c>
      <c r="P17" t="s">
        <v>3</v>
      </c>
      <c r="Q17" t="s">
        <v>3</v>
      </c>
      <c r="R17" t="s">
        <v>3</v>
      </c>
      <c r="S17" t="s">
        <v>605</v>
      </c>
      <c r="T17" t="s">
        <v>606</v>
      </c>
      <c r="U17" t="s">
        <v>607</v>
      </c>
    </row>
    <row r="18" spans="1:21" x14ac:dyDescent="0.25">
      <c r="A18">
        <v>36</v>
      </c>
      <c r="B18">
        <v>1</v>
      </c>
      <c r="C18" t="s">
        <v>3</v>
      </c>
      <c r="D18" t="s">
        <v>608</v>
      </c>
      <c r="E18" t="s">
        <v>609</v>
      </c>
      <c r="F18" t="s">
        <v>609</v>
      </c>
      <c r="G18" t="s">
        <v>609</v>
      </c>
      <c r="H18" t="s">
        <v>3</v>
      </c>
      <c r="I18" t="s">
        <v>609</v>
      </c>
      <c r="J18" t="s">
        <v>609</v>
      </c>
      <c r="K18" t="s">
        <v>3</v>
      </c>
      <c r="L18" t="s">
        <v>3</v>
      </c>
      <c r="M18" t="s">
        <v>3</v>
      </c>
      <c r="N18" t="s">
        <v>608</v>
      </c>
      <c r="O18" t="s">
        <v>609</v>
      </c>
      <c r="P18" t="s">
        <v>3</v>
      </c>
      <c r="Q18" t="s">
        <v>3</v>
      </c>
      <c r="R18" t="s">
        <v>3</v>
      </c>
      <c r="S18" t="s">
        <v>610</v>
      </c>
      <c r="T18" t="s">
        <v>611</v>
      </c>
      <c r="U18" t="s">
        <v>612</v>
      </c>
    </row>
    <row r="19" spans="1:21" x14ac:dyDescent="0.25">
      <c r="A19">
        <v>37</v>
      </c>
      <c r="B19">
        <v>1</v>
      </c>
      <c r="C19" t="s">
        <v>3</v>
      </c>
      <c r="D19" t="s">
        <v>104</v>
      </c>
      <c r="E19" t="s">
        <v>105</v>
      </c>
      <c r="F19" t="s">
        <v>105</v>
      </c>
      <c r="G19" t="s">
        <v>105</v>
      </c>
      <c r="H19" t="s">
        <v>3</v>
      </c>
      <c r="I19" t="s">
        <v>105</v>
      </c>
      <c r="J19" t="s">
        <v>105</v>
      </c>
      <c r="K19" t="s">
        <v>3</v>
      </c>
      <c r="L19" t="s">
        <v>3</v>
      </c>
      <c r="M19" t="s">
        <v>3</v>
      </c>
      <c r="N19" t="s">
        <v>104</v>
      </c>
      <c r="O19" t="s">
        <v>105</v>
      </c>
      <c r="P19" t="s">
        <v>3</v>
      </c>
      <c r="Q19" t="s">
        <v>3</v>
      </c>
      <c r="R19" t="s">
        <v>3</v>
      </c>
      <c r="S19" t="s">
        <v>605</v>
      </c>
      <c r="T19" t="s">
        <v>606</v>
      </c>
      <c r="U19" t="s">
        <v>607</v>
      </c>
    </row>
    <row r="20" spans="1:21" x14ac:dyDescent="0.25">
      <c r="A20">
        <v>37</v>
      </c>
      <c r="B20">
        <v>1</v>
      </c>
      <c r="C20" t="s">
        <v>3</v>
      </c>
      <c r="D20" t="s">
        <v>608</v>
      </c>
      <c r="E20" t="s">
        <v>609</v>
      </c>
      <c r="F20" t="s">
        <v>609</v>
      </c>
      <c r="G20" t="s">
        <v>609</v>
      </c>
      <c r="H20" t="s">
        <v>3</v>
      </c>
      <c r="I20" t="s">
        <v>609</v>
      </c>
      <c r="J20" t="s">
        <v>609</v>
      </c>
      <c r="K20" t="s">
        <v>3</v>
      </c>
      <c r="L20" t="s">
        <v>3</v>
      </c>
      <c r="M20" t="s">
        <v>3</v>
      </c>
      <c r="N20" t="s">
        <v>608</v>
      </c>
      <c r="O20" t="s">
        <v>609</v>
      </c>
      <c r="P20" t="s">
        <v>3</v>
      </c>
      <c r="Q20" t="s">
        <v>3</v>
      </c>
      <c r="R20" t="s">
        <v>3</v>
      </c>
      <c r="S20" t="s">
        <v>610</v>
      </c>
      <c r="T20" t="s">
        <v>611</v>
      </c>
      <c r="U20" t="s">
        <v>612</v>
      </c>
    </row>
    <row r="21" spans="1:21" x14ac:dyDescent="0.25">
      <c r="A21">
        <v>38</v>
      </c>
      <c r="B21">
        <v>1</v>
      </c>
      <c r="C21" t="s">
        <v>3</v>
      </c>
      <c r="D21" t="s">
        <v>104</v>
      </c>
      <c r="E21" t="s">
        <v>105</v>
      </c>
      <c r="F21" t="s">
        <v>105</v>
      </c>
      <c r="G21" t="s">
        <v>105</v>
      </c>
      <c r="H21" t="s">
        <v>3</v>
      </c>
      <c r="I21" t="s">
        <v>105</v>
      </c>
      <c r="J21" t="s">
        <v>105</v>
      </c>
      <c r="K21" t="s">
        <v>3</v>
      </c>
      <c r="L21" t="s">
        <v>3</v>
      </c>
      <c r="M21" t="s">
        <v>3</v>
      </c>
      <c r="N21" t="s">
        <v>104</v>
      </c>
      <c r="O21" t="s">
        <v>105</v>
      </c>
      <c r="P21" t="s">
        <v>3</v>
      </c>
      <c r="Q21" t="s">
        <v>3</v>
      </c>
      <c r="R21" t="s">
        <v>3</v>
      </c>
      <c r="S21" t="s">
        <v>605</v>
      </c>
      <c r="T21" t="s">
        <v>606</v>
      </c>
      <c r="U21" t="s">
        <v>607</v>
      </c>
    </row>
    <row r="22" spans="1:21" x14ac:dyDescent="0.25">
      <c r="A22">
        <v>38</v>
      </c>
      <c r="B22">
        <v>1</v>
      </c>
      <c r="C22" t="s">
        <v>3</v>
      </c>
      <c r="D22" t="s">
        <v>608</v>
      </c>
      <c r="E22" t="s">
        <v>609</v>
      </c>
      <c r="F22" t="s">
        <v>609</v>
      </c>
      <c r="G22" t="s">
        <v>609</v>
      </c>
      <c r="H22" t="s">
        <v>3</v>
      </c>
      <c r="I22" t="s">
        <v>609</v>
      </c>
      <c r="J22" t="s">
        <v>609</v>
      </c>
      <c r="K22" t="s">
        <v>3</v>
      </c>
      <c r="L22" t="s">
        <v>3</v>
      </c>
      <c r="M22" t="s">
        <v>3</v>
      </c>
      <c r="N22" t="s">
        <v>608</v>
      </c>
      <c r="O22" t="s">
        <v>609</v>
      </c>
      <c r="P22" t="s">
        <v>3</v>
      </c>
      <c r="Q22" t="s">
        <v>3</v>
      </c>
      <c r="R22" t="s">
        <v>3</v>
      </c>
      <c r="S22" t="s">
        <v>610</v>
      </c>
      <c r="T22" t="s">
        <v>611</v>
      </c>
      <c r="U22" t="s">
        <v>612</v>
      </c>
    </row>
    <row r="23" spans="1:21" x14ac:dyDescent="0.25">
      <c r="A23">
        <v>39</v>
      </c>
      <c r="B23">
        <v>1</v>
      </c>
      <c r="C23" t="s">
        <v>3</v>
      </c>
      <c r="D23" t="s">
        <v>104</v>
      </c>
      <c r="E23" t="s">
        <v>105</v>
      </c>
      <c r="F23" t="s">
        <v>105</v>
      </c>
      <c r="G23" t="s">
        <v>105</v>
      </c>
      <c r="H23" t="s">
        <v>3</v>
      </c>
      <c r="I23" t="s">
        <v>105</v>
      </c>
      <c r="J23" t="s">
        <v>105</v>
      </c>
      <c r="K23" t="s">
        <v>3</v>
      </c>
      <c r="L23" t="s">
        <v>3</v>
      </c>
      <c r="M23" t="s">
        <v>3</v>
      </c>
      <c r="N23" t="s">
        <v>104</v>
      </c>
      <c r="O23" t="s">
        <v>105</v>
      </c>
      <c r="P23" t="s">
        <v>3</v>
      </c>
      <c r="Q23" t="s">
        <v>3</v>
      </c>
      <c r="R23" t="s">
        <v>3</v>
      </c>
      <c r="S23" t="s">
        <v>605</v>
      </c>
      <c r="T23" t="s">
        <v>606</v>
      </c>
      <c r="U23" t="s">
        <v>607</v>
      </c>
    </row>
    <row r="24" spans="1:21" x14ac:dyDescent="0.25">
      <c r="A24">
        <v>39</v>
      </c>
      <c r="B24">
        <v>1</v>
      </c>
      <c r="C24" t="s">
        <v>3</v>
      </c>
      <c r="D24" t="s">
        <v>608</v>
      </c>
      <c r="E24" t="s">
        <v>609</v>
      </c>
      <c r="F24" t="s">
        <v>609</v>
      </c>
      <c r="G24" t="s">
        <v>609</v>
      </c>
      <c r="H24" t="s">
        <v>3</v>
      </c>
      <c r="I24" t="s">
        <v>609</v>
      </c>
      <c r="J24" t="s">
        <v>609</v>
      </c>
      <c r="K24" t="s">
        <v>3</v>
      </c>
      <c r="L24" t="s">
        <v>3</v>
      </c>
      <c r="M24" t="s">
        <v>3</v>
      </c>
      <c r="N24" t="s">
        <v>608</v>
      </c>
      <c r="O24" t="s">
        <v>609</v>
      </c>
      <c r="P24" t="s">
        <v>3</v>
      </c>
      <c r="Q24" t="s">
        <v>3</v>
      </c>
      <c r="R24" t="s">
        <v>3</v>
      </c>
      <c r="S24" t="s">
        <v>610</v>
      </c>
      <c r="T24" t="s">
        <v>611</v>
      </c>
      <c r="U24" t="s">
        <v>612</v>
      </c>
    </row>
    <row r="25" spans="1:21" x14ac:dyDescent="0.25">
      <c r="A25">
        <v>40</v>
      </c>
      <c r="B25">
        <v>1</v>
      </c>
      <c r="C25" t="s">
        <v>3</v>
      </c>
      <c r="D25" t="s">
        <v>104</v>
      </c>
      <c r="E25" t="s">
        <v>105</v>
      </c>
      <c r="F25" t="s">
        <v>105</v>
      </c>
      <c r="G25" t="s">
        <v>105</v>
      </c>
      <c r="H25" t="s">
        <v>3</v>
      </c>
      <c r="I25" t="s">
        <v>105</v>
      </c>
      <c r="J25" t="s">
        <v>105</v>
      </c>
      <c r="K25" t="s">
        <v>3</v>
      </c>
      <c r="L25" t="s">
        <v>3</v>
      </c>
      <c r="M25" t="s">
        <v>3</v>
      </c>
      <c r="N25" t="s">
        <v>104</v>
      </c>
      <c r="O25" t="s">
        <v>105</v>
      </c>
      <c r="P25" t="s">
        <v>3</v>
      </c>
      <c r="Q25" t="s">
        <v>3</v>
      </c>
      <c r="R25" t="s">
        <v>3</v>
      </c>
      <c r="S25" t="s">
        <v>605</v>
      </c>
      <c r="T25" t="s">
        <v>606</v>
      </c>
      <c r="U25" t="s">
        <v>607</v>
      </c>
    </row>
    <row r="26" spans="1:21" x14ac:dyDescent="0.25">
      <c r="A26">
        <v>40</v>
      </c>
      <c r="B26">
        <v>1</v>
      </c>
      <c r="C26" t="s">
        <v>3</v>
      </c>
      <c r="D26" t="s">
        <v>608</v>
      </c>
      <c r="E26" t="s">
        <v>609</v>
      </c>
      <c r="F26" t="s">
        <v>609</v>
      </c>
      <c r="G26" t="s">
        <v>609</v>
      </c>
      <c r="H26" t="s">
        <v>3</v>
      </c>
      <c r="I26" t="s">
        <v>609</v>
      </c>
      <c r="J26" t="s">
        <v>609</v>
      </c>
      <c r="K26" t="s">
        <v>3</v>
      </c>
      <c r="L26" t="s">
        <v>3</v>
      </c>
      <c r="M26" t="s">
        <v>3</v>
      </c>
      <c r="N26" t="s">
        <v>608</v>
      </c>
      <c r="O26" t="s">
        <v>609</v>
      </c>
      <c r="P26" t="s">
        <v>3</v>
      </c>
      <c r="Q26" t="s">
        <v>3</v>
      </c>
      <c r="R26" t="s">
        <v>3</v>
      </c>
      <c r="S26" t="s">
        <v>610</v>
      </c>
      <c r="T26" t="s">
        <v>611</v>
      </c>
      <c r="U26" t="s">
        <v>612</v>
      </c>
    </row>
    <row r="27" spans="1:21" x14ac:dyDescent="0.25">
      <c r="A27">
        <v>41</v>
      </c>
      <c r="B27">
        <v>1</v>
      </c>
      <c r="C27" t="s">
        <v>3</v>
      </c>
      <c r="D27" t="s">
        <v>104</v>
      </c>
      <c r="E27" t="s">
        <v>105</v>
      </c>
      <c r="F27" t="s">
        <v>105</v>
      </c>
      <c r="G27" t="s">
        <v>105</v>
      </c>
      <c r="H27" t="s">
        <v>3</v>
      </c>
      <c r="I27" t="s">
        <v>105</v>
      </c>
      <c r="J27" t="s">
        <v>105</v>
      </c>
      <c r="K27" t="s">
        <v>3</v>
      </c>
      <c r="L27" t="s">
        <v>3</v>
      </c>
      <c r="M27" t="s">
        <v>3</v>
      </c>
      <c r="N27" t="s">
        <v>104</v>
      </c>
      <c r="O27" t="s">
        <v>105</v>
      </c>
      <c r="P27" t="s">
        <v>3</v>
      </c>
      <c r="Q27" t="s">
        <v>3</v>
      </c>
      <c r="R27" t="s">
        <v>3</v>
      </c>
      <c r="S27" t="s">
        <v>605</v>
      </c>
      <c r="T27" t="s">
        <v>606</v>
      </c>
      <c r="U27" t="s">
        <v>607</v>
      </c>
    </row>
    <row r="28" spans="1:21" x14ac:dyDescent="0.25">
      <c r="A28">
        <v>41</v>
      </c>
      <c r="B28">
        <v>1</v>
      </c>
      <c r="C28" t="s">
        <v>3</v>
      </c>
      <c r="D28" t="s">
        <v>608</v>
      </c>
      <c r="E28" t="s">
        <v>609</v>
      </c>
      <c r="F28" t="s">
        <v>609</v>
      </c>
      <c r="G28" t="s">
        <v>609</v>
      </c>
      <c r="H28" t="s">
        <v>3</v>
      </c>
      <c r="I28" t="s">
        <v>609</v>
      </c>
      <c r="J28" t="s">
        <v>609</v>
      </c>
      <c r="K28" t="s">
        <v>3</v>
      </c>
      <c r="L28" t="s">
        <v>3</v>
      </c>
      <c r="M28" t="s">
        <v>3</v>
      </c>
      <c r="N28" t="s">
        <v>608</v>
      </c>
      <c r="O28" t="s">
        <v>609</v>
      </c>
      <c r="P28" t="s">
        <v>3</v>
      </c>
      <c r="Q28" t="s">
        <v>3</v>
      </c>
      <c r="R28" t="s">
        <v>3</v>
      </c>
      <c r="S28" t="s">
        <v>610</v>
      </c>
      <c r="T28" t="s">
        <v>611</v>
      </c>
      <c r="U28" t="s">
        <v>612</v>
      </c>
    </row>
    <row r="29" spans="1:21" x14ac:dyDescent="0.25">
      <c r="A29">
        <v>42</v>
      </c>
      <c r="B29">
        <v>1</v>
      </c>
      <c r="C29" t="s">
        <v>3</v>
      </c>
      <c r="D29" t="s">
        <v>104</v>
      </c>
      <c r="E29" t="s">
        <v>105</v>
      </c>
      <c r="F29" t="s">
        <v>105</v>
      </c>
      <c r="G29" t="s">
        <v>105</v>
      </c>
      <c r="H29" t="s">
        <v>3</v>
      </c>
      <c r="I29" t="s">
        <v>105</v>
      </c>
      <c r="J29" t="s">
        <v>105</v>
      </c>
      <c r="K29" t="s">
        <v>3</v>
      </c>
      <c r="L29" t="s">
        <v>3</v>
      </c>
      <c r="M29" t="s">
        <v>3</v>
      </c>
      <c r="N29" t="s">
        <v>104</v>
      </c>
      <c r="O29" t="s">
        <v>105</v>
      </c>
      <c r="P29" t="s">
        <v>3</v>
      </c>
      <c r="Q29" t="s">
        <v>3</v>
      </c>
      <c r="R29" t="s">
        <v>3</v>
      </c>
      <c r="S29" t="s">
        <v>605</v>
      </c>
      <c r="T29" t="s">
        <v>606</v>
      </c>
      <c r="U29" t="s">
        <v>607</v>
      </c>
    </row>
    <row r="30" spans="1:21" x14ac:dyDescent="0.25">
      <c r="A30">
        <v>42</v>
      </c>
      <c r="B30">
        <v>1</v>
      </c>
      <c r="C30" t="s">
        <v>3</v>
      </c>
      <c r="D30" t="s">
        <v>608</v>
      </c>
      <c r="E30" t="s">
        <v>609</v>
      </c>
      <c r="F30" t="s">
        <v>609</v>
      </c>
      <c r="G30" t="s">
        <v>609</v>
      </c>
      <c r="H30" t="s">
        <v>3</v>
      </c>
      <c r="I30" t="s">
        <v>609</v>
      </c>
      <c r="J30" t="s">
        <v>609</v>
      </c>
      <c r="K30" t="s">
        <v>3</v>
      </c>
      <c r="L30" t="s">
        <v>3</v>
      </c>
      <c r="M30" t="s">
        <v>3</v>
      </c>
      <c r="N30" t="s">
        <v>608</v>
      </c>
      <c r="O30" t="s">
        <v>609</v>
      </c>
      <c r="P30" t="s">
        <v>3</v>
      </c>
      <c r="Q30" t="s">
        <v>3</v>
      </c>
      <c r="R30" t="s">
        <v>3</v>
      </c>
      <c r="S30" t="s">
        <v>610</v>
      </c>
      <c r="T30" t="s">
        <v>611</v>
      </c>
      <c r="U30" t="s">
        <v>612</v>
      </c>
    </row>
    <row r="31" spans="1:21" x14ac:dyDescent="0.25">
      <c r="A31">
        <v>43</v>
      </c>
      <c r="B31">
        <v>1</v>
      </c>
      <c r="C31" t="s">
        <v>3</v>
      </c>
      <c r="D31" t="s">
        <v>104</v>
      </c>
      <c r="E31" t="s">
        <v>105</v>
      </c>
      <c r="F31" t="s">
        <v>105</v>
      </c>
      <c r="G31" t="s">
        <v>105</v>
      </c>
      <c r="H31" t="s">
        <v>3</v>
      </c>
      <c r="I31" t="s">
        <v>105</v>
      </c>
      <c r="J31" t="s">
        <v>105</v>
      </c>
      <c r="K31" t="s">
        <v>3</v>
      </c>
      <c r="L31" t="s">
        <v>3</v>
      </c>
      <c r="M31" t="s">
        <v>3</v>
      </c>
      <c r="N31" t="s">
        <v>104</v>
      </c>
      <c r="O31" t="s">
        <v>105</v>
      </c>
      <c r="P31" t="s">
        <v>3</v>
      </c>
      <c r="Q31" t="s">
        <v>3</v>
      </c>
      <c r="R31" t="s">
        <v>3</v>
      </c>
      <c r="S31" t="s">
        <v>605</v>
      </c>
      <c r="T31" t="s">
        <v>606</v>
      </c>
      <c r="U31" t="s">
        <v>607</v>
      </c>
    </row>
    <row r="32" spans="1:21" x14ac:dyDescent="0.25">
      <c r="A32">
        <v>43</v>
      </c>
      <c r="B32">
        <v>1</v>
      </c>
      <c r="C32" t="s">
        <v>3</v>
      </c>
      <c r="D32" t="s">
        <v>608</v>
      </c>
      <c r="E32" t="s">
        <v>609</v>
      </c>
      <c r="F32" t="s">
        <v>609</v>
      </c>
      <c r="G32" t="s">
        <v>609</v>
      </c>
      <c r="H32" t="s">
        <v>3</v>
      </c>
      <c r="I32" t="s">
        <v>609</v>
      </c>
      <c r="J32" t="s">
        <v>609</v>
      </c>
      <c r="K32" t="s">
        <v>3</v>
      </c>
      <c r="L32" t="s">
        <v>3</v>
      </c>
      <c r="M32" t="s">
        <v>3</v>
      </c>
      <c r="N32" t="s">
        <v>608</v>
      </c>
      <c r="O32" t="s">
        <v>609</v>
      </c>
      <c r="P32" t="s">
        <v>3</v>
      </c>
      <c r="Q32" t="s">
        <v>3</v>
      </c>
      <c r="R32" t="s">
        <v>3</v>
      </c>
      <c r="S32" t="s">
        <v>610</v>
      </c>
      <c r="T32" t="s">
        <v>611</v>
      </c>
      <c r="U32" t="s">
        <v>612</v>
      </c>
    </row>
    <row r="33" spans="1:21" x14ac:dyDescent="0.25">
      <c r="A33">
        <v>44</v>
      </c>
      <c r="B33">
        <v>1</v>
      </c>
      <c r="C33" t="s">
        <v>3</v>
      </c>
      <c r="D33" t="s">
        <v>104</v>
      </c>
      <c r="E33" t="s">
        <v>105</v>
      </c>
      <c r="F33" t="s">
        <v>105</v>
      </c>
      <c r="G33" t="s">
        <v>105</v>
      </c>
      <c r="H33" t="s">
        <v>3</v>
      </c>
      <c r="I33" t="s">
        <v>105</v>
      </c>
      <c r="J33" t="s">
        <v>105</v>
      </c>
      <c r="K33" t="s">
        <v>3</v>
      </c>
      <c r="L33" t="s">
        <v>3</v>
      </c>
      <c r="M33" t="s">
        <v>3</v>
      </c>
      <c r="N33" t="s">
        <v>104</v>
      </c>
      <c r="O33" t="s">
        <v>105</v>
      </c>
      <c r="P33" t="s">
        <v>3</v>
      </c>
      <c r="Q33" t="s">
        <v>3</v>
      </c>
      <c r="R33" t="s">
        <v>3</v>
      </c>
      <c r="S33" t="s">
        <v>605</v>
      </c>
      <c r="T33" t="s">
        <v>606</v>
      </c>
      <c r="U33" t="s">
        <v>607</v>
      </c>
    </row>
    <row r="34" spans="1:21" x14ac:dyDescent="0.25">
      <c r="A34">
        <v>44</v>
      </c>
      <c r="B34">
        <v>1</v>
      </c>
      <c r="C34" t="s">
        <v>3</v>
      </c>
      <c r="D34" t="s">
        <v>608</v>
      </c>
      <c r="E34" t="s">
        <v>609</v>
      </c>
      <c r="F34" t="s">
        <v>609</v>
      </c>
      <c r="G34" t="s">
        <v>609</v>
      </c>
      <c r="H34" t="s">
        <v>3</v>
      </c>
      <c r="I34" t="s">
        <v>609</v>
      </c>
      <c r="J34" t="s">
        <v>609</v>
      </c>
      <c r="K34" t="s">
        <v>3</v>
      </c>
      <c r="L34" t="s">
        <v>3</v>
      </c>
      <c r="M34" t="s">
        <v>3</v>
      </c>
      <c r="N34" t="s">
        <v>608</v>
      </c>
      <c r="O34" t="s">
        <v>609</v>
      </c>
      <c r="P34" t="s">
        <v>3</v>
      </c>
      <c r="Q34" t="s">
        <v>3</v>
      </c>
      <c r="R34" t="s">
        <v>3</v>
      </c>
      <c r="S34" t="s">
        <v>610</v>
      </c>
      <c r="T34" t="s">
        <v>611</v>
      </c>
      <c r="U34" t="s">
        <v>612</v>
      </c>
    </row>
    <row r="35" spans="1:21" x14ac:dyDescent="0.25">
      <c r="A35">
        <v>45</v>
      </c>
      <c r="B35">
        <v>1</v>
      </c>
      <c r="C35" t="s">
        <v>3</v>
      </c>
      <c r="D35" t="s">
        <v>104</v>
      </c>
      <c r="E35" t="s">
        <v>105</v>
      </c>
      <c r="F35" t="s">
        <v>105</v>
      </c>
      <c r="G35" t="s">
        <v>105</v>
      </c>
      <c r="H35" t="s">
        <v>3</v>
      </c>
      <c r="I35" t="s">
        <v>105</v>
      </c>
      <c r="J35" t="s">
        <v>105</v>
      </c>
      <c r="K35" t="s">
        <v>3</v>
      </c>
      <c r="L35" t="s">
        <v>3</v>
      </c>
      <c r="M35" t="s">
        <v>3</v>
      </c>
      <c r="N35" t="s">
        <v>104</v>
      </c>
      <c r="O35" t="s">
        <v>105</v>
      </c>
      <c r="P35" t="s">
        <v>3</v>
      </c>
      <c r="Q35" t="s">
        <v>3</v>
      </c>
      <c r="R35" t="s">
        <v>3</v>
      </c>
      <c r="S35" t="s">
        <v>605</v>
      </c>
      <c r="T35" t="s">
        <v>606</v>
      </c>
      <c r="U35" t="s">
        <v>607</v>
      </c>
    </row>
    <row r="36" spans="1:21" x14ac:dyDescent="0.25">
      <c r="A36">
        <v>45</v>
      </c>
      <c r="B36">
        <v>1</v>
      </c>
      <c r="C36" t="s">
        <v>3</v>
      </c>
      <c r="D36" t="s">
        <v>608</v>
      </c>
      <c r="E36" t="s">
        <v>609</v>
      </c>
      <c r="F36" t="s">
        <v>609</v>
      </c>
      <c r="G36" t="s">
        <v>609</v>
      </c>
      <c r="H36" t="s">
        <v>3</v>
      </c>
      <c r="I36" t="s">
        <v>609</v>
      </c>
      <c r="J36" t="s">
        <v>609</v>
      </c>
      <c r="K36" t="s">
        <v>3</v>
      </c>
      <c r="L36" t="s">
        <v>3</v>
      </c>
      <c r="M36" t="s">
        <v>3</v>
      </c>
      <c r="N36" t="s">
        <v>608</v>
      </c>
      <c r="O36" t="s">
        <v>609</v>
      </c>
      <c r="P36" t="s">
        <v>3</v>
      </c>
      <c r="Q36" t="s">
        <v>3</v>
      </c>
      <c r="R36" t="s">
        <v>3</v>
      </c>
      <c r="S36" t="s">
        <v>610</v>
      </c>
      <c r="T36" t="s">
        <v>611</v>
      </c>
      <c r="U36" t="s">
        <v>612</v>
      </c>
    </row>
    <row r="37" spans="1:21" x14ac:dyDescent="0.25">
      <c r="A37">
        <v>46</v>
      </c>
      <c r="B37">
        <v>1</v>
      </c>
      <c r="C37" t="s">
        <v>3</v>
      </c>
      <c r="D37" t="s">
        <v>104</v>
      </c>
      <c r="E37" t="s">
        <v>105</v>
      </c>
      <c r="F37" t="s">
        <v>105</v>
      </c>
      <c r="G37" t="s">
        <v>105</v>
      </c>
      <c r="H37" t="s">
        <v>3</v>
      </c>
      <c r="I37" t="s">
        <v>105</v>
      </c>
      <c r="J37" t="s">
        <v>105</v>
      </c>
      <c r="K37" t="s">
        <v>3</v>
      </c>
      <c r="L37" t="s">
        <v>3</v>
      </c>
      <c r="M37" t="s">
        <v>3</v>
      </c>
      <c r="N37" t="s">
        <v>104</v>
      </c>
      <c r="O37" t="s">
        <v>105</v>
      </c>
      <c r="P37" t="s">
        <v>3</v>
      </c>
      <c r="Q37" t="s">
        <v>3</v>
      </c>
      <c r="R37" t="s">
        <v>3</v>
      </c>
      <c r="S37" t="s">
        <v>605</v>
      </c>
      <c r="T37" t="s">
        <v>606</v>
      </c>
      <c r="U37" t="s">
        <v>607</v>
      </c>
    </row>
    <row r="38" spans="1:21" x14ac:dyDescent="0.25">
      <c r="A38">
        <v>46</v>
      </c>
      <c r="B38">
        <v>1</v>
      </c>
      <c r="C38" t="s">
        <v>3</v>
      </c>
      <c r="D38" t="s">
        <v>608</v>
      </c>
      <c r="E38" t="s">
        <v>609</v>
      </c>
      <c r="F38" t="s">
        <v>609</v>
      </c>
      <c r="G38" t="s">
        <v>609</v>
      </c>
      <c r="H38" t="s">
        <v>3</v>
      </c>
      <c r="I38" t="s">
        <v>609</v>
      </c>
      <c r="J38" t="s">
        <v>609</v>
      </c>
      <c r="K38" t="s">
        <v>3</v>
      </c>
      <c r="L38" t="s">
        <v>3</v>
      </c>
      <c r="M38" t="s">
        <v>3</v>
      </c>
      <c r="N38" t="s">
        <v>608</v>
      </c>
      <c r="O38" t="s">
        <v>609</v>
      </c>
      <c r="P38" t="s">
        <v>3</v>
      </c>
      <c r="Q38" t="s">
        <v>3</v>
      </c>
      <c r="R38" t="s">
        <v>3</v>
      </c>
      <c r="S38" t="s">
        <v>610</v>
      </c>
      <c r="T38" t="s">
        <v>611</v>
      </c>
      <c r="U38" t="s">
        <v>612</v>
      </c>
    </row>
    <row r="39" spans="1:21" x14ac:dyDescent="0.25">
      <c r="A39">
        <v>47</v>
      </c>
      <c r="B39">
        <v>1</v>
      </c>
      <c r="C39" t="s">
        <v>3</v>
      </c>
      <c r="D39" t="s">
        <v>104</v>
      </c>
      <c r="E39" t="s">
        <v>105</v>
      </c>
      <c r="F39" t="s">
        <v>105</v>
      </c>
      <c r="G39" t="s">
        <v>105</v>
      </c>
      <c r="H39" t="s">
        <v>3</v>
      </c>
      <c r="I39" t="s">
        <v>105</v>
      </c>
      <c r="J39" t="s">
        <v>105</v>
      </c>
      <c r="K39" t="s">
        <v>3</v>
      </c>
      <c r="L39" t="s">
        <v>3</v>
      </c>
      <c r="M39" t="s">
        <v>3</v>
      </c>
      <c r="N39" t="s">
        <v>104</v>
      </c>
      <c r="O39" t="s">
        <v>105</v>
      </c>
      <c r="P39" t="s">
        <v>3</v>
      </c>
      <c r="Q39" t="s">
        <v>3</v>
      </c>
      <c r="R39" t="s">
        <v>3</v>
      </c>
      <c r="S39" t="s">
        <v>605</v>
      </c>
      <c r="T39" t="s">
        <v>606</v>
      </c>
      <c r="U39" t="s">
        <v>607</v>
      </c>
    </row>
    <row r="40" spans="1:21" x14ac:dyDescent="0.25">
      <c r="A40">
        <v>47</v>
      </c>
      <c r="B40">
        <v>1</v>
      </c>
      <c r="C40" t="s">
        <v>3</v>
      </c>
      <c r="D40" t="s">
        <v>608</v>
      </c>
      <c r="E40" t="s">
        <v>609</v>
      </c>
      <c r="F40" t="s">
        <v>609</v>
      </c>
      <c r="G40" t="s">
        <v>609</v>
      </c>
      <c r="H40" t="s">
        <v>3</v>
      </c>
      <c r="I40" t="s">
        <v>609</v>
      </c>
      <c r="J40" t="s">
        <v>609</v>
      </c>
      <c r="K40" t="s">
        <v>3</v>
      </c>
      <c r="L40" t="s">
        <v>3</v>
      </c>
      <c r="M40" t="s">
        <v>3</v>
      </c>
      <c r="N40" t="s">
        <v>608</v>
      </c>
      <c r="O40" t="s">
        <v>609</v>
      </c>
      <c r="P40" t="s">
        <v>3</v>
      </c>
      <c r="Q40" t="s">
        <v>3</v>
      </c>
      <c r="R40" t="s">
        <v>3</v>
      </c>
      <c r="S40" t="s">
        <v>610</v>
      </c>
      <c r="T40" t="s">
        <v>611</v>
      </c>
      <c r="U40" t="s">
        <v>612</v>
      </c>
    </row>
    <row r="41" spans="1:21" x14ac:dyDescent="0.25">
      <c r="A41">
        <v>48</v>
      </c>
      <c r="B41">
        <v>1</v>
      </c>
      <c r="C41" t="s">
        <v>3</v>
      </c>
      <c r="D41" t="s">
        <v>104</v>
      </c>
      <c r="E41" t="s">
        <v>105</v>
      </c>
      <c r="F41" t="s">
        <v>105</v>
      </c>
      <c r="G41" t="s">
        <v>105</v>
      </c>
      <c r="H41" t="s">
        <v>3</v>
      </c>
      <c r="I41" t="s">
        <v>105</v>
      </c>
      <c r="J41" t="s">
        <v>105</v>
      </c>
      <c r="K41" t="s">
        <v>3</v>
      </c>
      <c r="L41" t="s">
        <v>3</v>
      </c>
      <c r="M41" t="s">
        <v>3</v>
      </c>
      <c r="N41" t="s">
        <v>104</v>
      </c>
      <c r="O41" t="s">
        <v>105</v>
      </c>
      <c r="P41" t="s">
        <v>3</v>
      </c>
      <c r="Q41" t="s">
        <v>3</v>
      </c>
      <c r="R41" t="s">
        <v>3</v>
      </c>
      <c r="S41" t="s">
        <v>605</v>
      </c>
      <c r="T41" t="s">
        <v>606</v>
      </c>
      <c r="U41" t="s">
        <v>607</v>
      </c>
    </row>
    <row r="42" spans="1:21" x14ac:dyDescent="0.25">
      <c r="A42">
        <v>48</v>
      </c>
      <c r="B42">
        <v>1</v>
      </c>
      <c r="C42" t="s">
        <v>3</v>
      </c>
      <c r="D42" t="s">
        <v>608</v>
      </c>
      <c r="E42" t="s">
        <v>609</v>
      </c>
      <c r="F42" t="s">
        <v>609</v>
      </c>
      <c r="G42" t="s">
        <v>609</v>
      </c>
      <c r="H42" t="s">
        <v>3</v>
      </c>
      <c r="I42" t="s">
        <v>609</v>
      </c>
      <c r="J42" t="s">
        <v>609</v>
      </c>
      <c r="K42" t="s">
        <v>3</v>
      </c>
      <c r="L42" t="s">
        <v>3</v>
      </c>
      <c r="M42" t="s">
        <v>3</v>
      </c>
      <c r="N42" t="s">
        <v>608</v>
      </c>
      <c r="O42" t="s">
        <v>609</v>
      </c>
      <c r="P42" t="s">
        <v>3</v>
      </c>
      <c r="Q42" t="s">
        <v>3</v>
      </c>
      <c r="R42" t="s">
        <v>3</v>
      </c>
      <c r="S42" t="s">
        <v>610</v>
      </c>
      <c r="T42" t="s">
        <v>611</v>
      </c>
      <c r="U42" t="s">
        <v>612</v>
      </c>
    </row>
    <row r="43" spans="1:21" x14ac:dyDescent="0.25">
      <c r="A43">
        <v>49</v>
      </c>
      <c r="B43">
        <v>1</v>
      </c>
      <c r="C43" t="s">
        <v>3</v>
      </c>
      <c r="D43" t="s">
        <v>104</v>
      </c>
      <c r="E43" t="s">
        <v>105</v>
      </c>
      <c r="F43" t="s">
        <v>105</v>
      </c>
      <c r="G43" t="s">
        <v>105</v>
      </c>
      <c r="H43" t="s">
        <v>3</v>
      </c>
      <c r="I43" t="s">
        <v>105</v>
      </c>
      <c r="J43" t="s">
        <v>105</v>
      </c>
      <c r="K43" t="s">
        <v>3</v>
      </c>
      <c r="L43" t="s">
        <v>3</v>
      </c>
      <c r="M43" t="s">
        <v>3</v>
      </c>
      <c r="N43" t="s">
        <v>104</v>
      </c>
      <c r="O43" t="s">
        <v>105</v>
      </c>
      <c r="P43" t="s">
        <v>3</v>
      </c>
      <c r="Q43" t="s">
        <v>3</v>
      </c>
      <c r="R43" t="s">
        <v>3</v>
      </c>
      <c r="S43" t="s">
        <v>605</v>
      </c>
      <c r="T43" t="s">
        <v>606</v>
      </c>
      <c r="U43" t="s">
        <v>607</v>
      </c>
    </row>
    <row r="44" spans="1:21" x14ac:dyDescent="0.25">
      <c r="A44">
        <v>49</v>
      </c>
      <c r="B44">
        <v>1</v>
      </c>
      <c r="C44" t="s">
        <v>3</v>
      </c>
      <c r="D44" t="s">
        <v>608</v>
      </c>
      <c r="E44" t="s">
        <v>609</v>
      </c>
      <c r="F44" t="s">
        <v>609</v>
      </c>
      <c r="G44" t="s">
        <v>609</v>
      </c>
      <c r="H44" t="s">
        <v>3</v>
      </c>
      <c r="I44" t="s">
        <v>609</v>
      </c>
      <c r="J44" t="s">
        <v>609</v>
      </c>
      <c r="K44" t="s">
        <v>3</v>
      </c>
      <c r="L44" t="s">
        <v>3</v>
      </c>
      <c r="M44" t="s">
        <v>3</v>
      </c>
      <c r="N44" t="s">
        <v>608</v>
      </c>
      <c r="O44" t="s">
        <v>609</v>
      </c>
      <c r="P44" t="s">
        <v>3</v>
      </c>
      <c r="Q44" t="s">
        <v>3</v>
      </c>
      <c r="R44" t="s">
        <v>3</v>
      </c>
      <c r="S44" t="s">
        <v>610</v>
      </c>
      <c r="T44" t="s">
        <v>611</v>
      </c>
      <c r="U44" t="s">
        <v>612</v>
      </c>
    </row>
    <row r="45" spans="1:21" x14ac:dyDescent="0.25">
      <c r="A45">
        <v>50</v>
      </c>
      <c r="B45">
        <v>1</v>
      </c>
      <c r="C45" t="s">
        <v>3</v>
      </c>
      <c r="D45" t="s">
        <v>104</v>
      </c>
      <c r="E45" t="s">
        <v>105</v>
      </c>
      <c r="F45" t="s">
        <v>105</v>
      </c>
      <c r="G45" t="s">
        <v>105</v>
      </c>
      <c r="H45" t="s">
        <v>3</v>
      </c>
      <c r="I45" t="s">
        <v>105</v>
      </c>
      <c r="J45" t="s">
        <v>105</v>
      </c>
      <c r="K45" t="s">
        <v>3</v>
      </c>
      <c r="L45" t="s">
        <v>3</v>
      </c>
      <c r="M45" t="s">
        <v>3</v>
      </c>
      <c r="N45" t="s">
        <v>104</v>
      </c>
      <c r="O45" t="s">
        <v>105</v>
      </c>
      <c r="P45" t="s">
        <v>3</v>
      </c>
      <c r="Q45" t="s">
        <v>3</v>
      </c>
      <c r="R45" t="s">
        <v>3</v>
      </c>
      <c r="S45" t="s">
        <v>605</v>
      </c>
      <c r="T45" t="s">
        <v>606</v>
      </c>
      <c r="U45" t="s">
        <v>607</v>
      </c>
    </row>
    <row r="46" spans="1:21" x14ac:dyDescent="0.25">
      <c r="A46">
        <v>50</v>
      </c>
      <c r="B46">
        <v>1</v>
      </c>
      <c r="C46" t="s">
        <v>3</v>
      </c>
      <c r="D46" t="s">
        <v>608</v>
      </c>
      <c r="E46" t="s">
        <v>609</v>
      </c>
      <c r="F46" t="s">
        <v>609</v>
      </c>
      <c r="G46" t="s">
        <v>609</v>
      </c>
      <c r="H46" t="s">
        <v>3</v>
      </c>
      <c r="I46" t="s">
        <v>609</v>
      </c>
      <c r="J46" t="s">
        <v>609</v>
      </c>
      <c r="K46" t="s">
        <v>3</v>
      </c>
      <c r="L46" t="s">
        <v>3</v>
      </c>
      <c r="M46" t="s">
        <v>3</v>
      </c>
      <c r="N46" t="s">
        <v>608</v>
      </c>
      <c r="O46" t="s">
        <v>609</v>
      </c>
      <c r="P46" t="s">
        <v>3</v>
      </c>
      <c r="Q46" t="s">
        <v>3</v>
      </c>
      <c r="R46" t="s">
        <v>3</v>
      </c>
      <c r="S46" t="s">
        <v>610</v>
      </c>
      <c r="T46" t="s">
        <v>611</v>
      </c>
      <c r="U46" t="s">
        <v>612</v>
      </c>
    </row>
    <row r="47" spans="1:21" x14ac:dyDescent="0.25">
      <c r="A47">
        <v>51</v>
      </c>
      <c r="B47">
        <v>1</v>
      </c>
      <c r="C47" t="s">
        <v>3</v>
      </c>
      <c r="D47" t="s">
        <v>104</v>
      </c>
      <c r="E47" t="s">
        <v>105</v>
      </c>
      <c r="F47" t="s">
        <v>105</v>
      </c>
      <c r="G47" t="s">
        <v>105</v>
      </c>
      <c r="H47" t="s">
        <v>3</v>
      </c>
      <c r="I47" t="s">
        <v>105</v>
      </c>
      <c r="J47" t="s">
        <v>105</v>
      </c>
      <c r="K47" t="s">
        <v>3</v>
      </c>
      <c r="L47" t="s">
        <v>3</v>
      </c>
      <c r="M47" t="s">
        <v>3</v>
      </c>
      <c r="N47" t="s">
        <v>104</v>
      </c>
      <c r="O47" t="s">
        <v>105</v>
      </c>
      <c r="P47" t="s">
        <v>3</v>
      </c>
      <c r="Q47" t="s">
        <v>3</v>
      </c>
      <c r="R47" t="s">
        <v>3</v>
      </c>
      <c r="S47" t="s">
        <v>605</v>
      </c>
      <c r="T47" t="s">
        <v>606</v>
      </c>
      <c r="U47" t="s">
        <v>607</v>
      </c>
    </row>
    <row r="48" spans="1:21" x14ac:dyDescent="0.25">
      <c r="A48">
        <v>51</v>
      </c>
      <c r="B48">
        <v>1</v>
      </c>
      <c r="C48" t="s">
        <v>3</v>
      </c>
      <c r="D48" t="s">
        <v>608</v>
      </c>
      <c r="E48" t="s">
        <v>609</v>
      </c>
      <c r="F48" t="s">
        <v>609</v>
      </c>
      <c r="G48" t="s">
        <v>609</v>
      </c>
      <c r="H48" t="s">
        <v>3</v>
      </c>
      <c r="I48" t="s">
        <v>609</v>
      </c>
      <c r="J48" t="s">
        <v>609</v>
      </c>
      <c r="K48" t="s">
        <v>3</v>
      </c>
      <c r="L48" t="s">
        <v>3</v>
      </c>
      <c r="M48" t="s">
        <v>3</v>
      </c>
      <c r="N48" t="s">
        <v>608</v>
      </c>
      <c r="O48" t="s">
        <v>609</v>
      </c>
      <c r="P48" t="s">
        <v>3</v>
      </c>
      <c r="Q48" t="s">
        <v>3</v>
      </c>
      <c r="R48" t="s">
        <v>3</v>
      </c>
      <c r="S48" t="s">
        <v>610</v>
      </c>
      <c r="T48" t="s">
        <v>611</v>
      </c>
      <c r="U48" t="s">
        <v>612</v>
      </c>
    </row>
    <row r="49" spans="1:21" x14ac:dyDescent="0.25">
      <c r="A49">
        <v>52</v>
      </c>
      <c r="B49">
        <v>1</v>
      </c>
      <c r="C49" t="s">
        <v>3</v>
      </c>
      <c r="D49" t="s">
        <v>104</v>
      </c>
      <c r="E49" t="s">
        <v>105</v>
      </c>
      <c r="F49" t="s">
        <v>105</v>
      </c>
      <c r="G49" t="s">
        <v>105</v>
      </c>
      <c r="H49" t="s">
        <v>3</v>
      </c>
      <c r="I49" t="s">
        <v>105</v>
      </c>
      <c r="J49" t="s">
        <v>105</v>
      </c>
      <c r="K49" t="s">
        <v>3</v>
      </c>
      <c r="L49" t="s">
        <v>3</v>
      </c>
      <c r="M49" t="s">
        <v>3</v>
      </c>
      <c r="N49" t="s">
        <v>104</v>
      </c>
      <c r="O49" t="s">
        <v>105</v>
      </c>
      <c r="P49" t="s">
        <v>3</v>
      </c>
      <c r="Q49" t="s">
        <v>3</v>
      </c>
      <c r="R49" t="s">
        <v>3</v>
      </c>
      <c r="S49" t="s">
        <v>605</v>
      </c>
      <c r="T49" t="s">
        <v>606</v>
      </c>
      <c r="U49" t="s">
        <v>607</v>
      </c>
    </row>
    <row r="50" spans="1:21" x14ac:dyDescent="0.25">
      <c r="A50">
        <v>52</v>
      </c>
      <c r="B50">
        <v>1</v>
      </c>
      <c r="C50" t="s">
        <v>3</v>
      </c>
      <c r="D50" t="s">
        <v>608</v>
      </c>
      <c r="E50" t="s">
        <v>609</v>
      </c>
      <c r="F50" t="s">
        <v>609</v>
      </c>
      <c r="G50" t="s">
        <v>609</v>
      </c>
      <c r="H50" t="s">
        <v>3</v>
      </c>
      <c r="I50" t="s">
        <v>609</v>
      </c>
      <c r="J50" t="s">
        <v>609</v>
      </c>
      <c r="K50" t="s">
        <v>3</v>
      </c>
      <c r="L50" t="s">
        <v>3</v>
      </c>
      <c r="M50" t="s">
        <v>3</v>
      </c>
      <c r="N50" t="s">
        <v>608</v>
      </c>
      <c r="O50" t="s">
        <v>609</v>
      </c>
      <c r="P50" t="s">
        <v>3</v>
      </c>
      <c r="Q50" t="s">
        <v>3</v>
      </c>
      <c r="R50" t="s">
        <v>3</v>
      </c>
      <c r="S50" t="s">
        <v>610</v>
      </c>
      <c r="T50" t="s">
        <v>611</v>
      </c>
      <c r="U50" t="s">
        <v>612</v>
      </c>
    </row>
    <row r="51" spans="1:21" x14ac:dyDescent="0.25">
      <c r="A51">
        <v>53</v>
      </c>
      <c r="B51">
        <v>1</v>
      </c>
      <c r="C51" t="s">
        <v>3</v>
      </c>
      <c r="D51" t="s">
        <v>104</v>
      </c>
      <c r="E51" t="s">
        <v>105</v>
      </c>
      <c r="F51" t="s">
        <v>105</v>
      </c>
      <c r="G51" t="s">
        <v>105</v>
      </c>
      <c r="H51" t="s">
        <v>3</v>
      </c>
      <c r="I51" t="s">
        <v>105</v>
      </c>
      <c r="J51" t="s">
        <v>105</v>
      </c>
      <c r="K51" t="s">
        <v>3</v>
      </c>
      <c r="L51" t="s">
        <v>3</v>
      </c>
      <c r="M51" t="s">
        <v>3</v>
      </c>
      <c r="N51" t="s">
        <v>104</v>
      </c>
      <c r="O51" t="s">
        <v>105</v>
      </c>
      <c r="P51" t="s">
        <v>3</v>
      </c>
      <c r="Q51" t="s">
        <v>3</v>
      </c>
      <c r="R51" t="s">
        <v>3</v>
      </c>
      <c r="S51" t="s">
        <v>605</v>
      </c>
      <c r="T51" t="s">
        <v>606</v>
      </c>
      <c r="U51" t="s">
        <v>607</v>
      </c>
    </row>
    <row r="52" spans="1:21" x14ac:dyDescent="0.25">
      <c r="A52">
        <v>53</v>
      </c>
      <c r="B52">
        <v>1</v>
      </c>
      <c r="C52" t="s">
        <v>3</v>
      </c>
      <c r="D52" t="s">
        <v>608</v>
      </c>
      <c r="E52" t="s">
        <v>609</v>
      </c>
      <c r="F52" t="s">
        <v>609</v>
      </c>
      <c r="G52" t="s">
        <v>609</v>
      </c>
      <c r="H52" t="s">
        <v>3</v>
      </c>
      <c r="I52" t="s">
        <v>609</v>
      </c>
      <c r="J52" t="s">
        <v>609</v>
      </c>
      <c r="K52" t="s">
        <v>3</v>
      </c>
      <c r="L52" t="s">
        <v>3</v>
      </c>
      <c r="M52" t="s">
        <v>3</v>
      </c>
      <c r="N52" t="s">
        <v>608</v>
      </c>
      <c r="O52" t="s">
        <v>609</v>
      </c>
      <c r="P52" t="s">
        <v>3</v>
      </c>
      <c r="Q52" t="s">
        <v>3</v>
      </c>
      <c r="R52" t="s">
        <v>3</v>
      </c>
      <c r="S52" t="s">
        <v>610</v>
      </c>
      <c r="T52" t="s">
        <v>611</v>
      </c>
      <c r="U52" t="s">
        <v>612</v>
      </c>
    </row>
    <row r="53" spans="1:21" x14ac:dyDescent="0.25">
      <c r="A53">
        <v>54</v>
      </c>
      <c r="B53">
        <v>1</v>
      </c>
      <c r="C53" t="s">
        <v>3</v>
      </c>
      <c r="D53" t="s">
        <v>104</v>
      </c>
      <c r="E53" t="s">
        <v>105</v>
      </c>
      <c r="F53" t="s">
        <v>105</v>
      </c>
      <c r="G53" t="s">
        <v>105</v>
      </c>
      <c r="H53" t="s">
        <v>3</v>
      </c>
      <c r="I53" t="s">
        <v>105</v>
      </c>
      <c r="J53" t="s">
        <v>105</v>
      </c>
      <c r="K53" t="s">
        <v>3</v>
      </c>
      <c r="L53" t="s">
        <v>3</v>
      </c>
      <c r="M53" t="s">
        <v>3</v>
      </c>
      <c r="N53" t="s">
        <v>104</v>
      </c>
      <c r="O53" t="s">
        <v>105</v>
      </c>
      <c r="P53" t="s">
        <v>3</v>
      </c>
      <c r="Q53" t="s">
        <v>3</v>
      </c>
      <c r="R53" t="s">
        <v>3</v>
      </c>
      <c r="S53" t="s">
        <v>605</v>
      </c>
      <c r="T53" t="s">
        <v>606</v>
      </c>
      <c r="U53" t="s">
        <v>607</v>
      </c>
    </row>
    <row r="54" spans="1:21" x14ac:dyDescent="0.25">
      <c r="A54">
        <v>54</v>
      </c>
      <c r="B54">
        <v>1</v>
      </c>
      <c r="C54" t="s">
        <v>3</v>
      </c>
      <c r="D54" t="s">
        <v>608</v>
      </c>
      <c r="E54" t="s">
        <v>609</v>
      </c>
      <c r="F54" t="s">
        <v>609</v>
      </c>
      <c r="G54" t="s">
        <v>609</v>
      </c>
      <c r="H54" t="s">
        <v>3</v>
      </c>
      <c r="I54" t="s">
        <v>609</v>
      </c>
      <c r="J54" t="s">
        <v>609</v>
      </c>
      <c r="K54" t="s">
        <v>3</v>
      </c>
      <c r="L54" t="s">
        <v>3</v>
      </c>
      <c r="M54" t="s">
        <v>3</v>
      </c>
      <c r="N54" t="s">
        <v>608</v>
      </c>
      <c r="O54" t="s">
        <v>609</v>
      </c>
      <c r="P54" t="s">
        <v>3</v>
      </c>
      <c r="Q54" t="s">
        <v>3</v>
      </c>
      <c r="R54" t="s">
        <v>3</v>
      </c>
      <c r="S54" t="s">
        <v>610</v>
      </c>
      <c r="T54" t="s">
        <v>611</v>
      </c>
      <c r="U54" t="s">
        <v>612</v>
      </c>
    </row>
    <row r="55" spans="1:21" x14ac:dyDescent="0.25">
      <c r="A55">
        <v>55</v>
      </c>
      <c r="B55">
        <v>1</v>
      </c>
      <c r="C55" t="s">
        <v>3</v>
      </c>
      <c r="D55" t="s">
        <v>104</v>
      </c>
      <c r="E55" t="s">
        <v>105</v>
      </c>
      <c r="F55" t="s">
        <v>105</v>
      </c>
      <c r="G55" t="s">
        <v>105</v>
      </c>
      <c r="H55" t="s">
        <v>3</v>
      </c>
      <c r="I55" t="s">
        <v>105</v>
      </c>
      <c r="J55" t="s">
        <v>105</v>
      </c>
      <c r="K55" t="s">
        <v>3</v>
      </c>
      <c r="L55" t="s">
        <v>3</v>
      </c>
      <c r="M55" t="s">
        <v>3</v>
      </c>
      <c r="N55" t="s">
        <v>104</v>
      </c>
      <c r="O55" t="s">
        <v>105</v>
      </c>
      <c r="P55" t="s">
        <v>3</v>
      </c>
      <c r="Q55" t="s">
        <v>3</v>
      </c>
      <c r="R55" t="s">
        <v>3</v>
      </c>
      <c r="S55" t="s">
        <v>605</v>
      </c>
      <c r="T55" t="s">
        <v>606</v>
      </c>
      <c r="U55" t="s">
        <v>607</v>
      </c>
    </row>
    <row r="56" spans="1:21" x14ac:dyDescent="0.25">
      <c r="A56">
        <v>55</v>
      </c>
      <c r="B56">
        <v>1</v>
      </c>
      <c r="C56" t="s">
        <v>3</v>
      </c>
      <c r="D56" t="s">
        <v>608</v>
      </c>
      <c r="E56" t="s">
        <v>609</v>
      </c>
      <c r="F56" t="s">
        <v>609</v>
      </c>
      <c r="G56" t="s">
        <v>609</v>
      </c>
      <c r="H56" t="s">
        <v>3</v>
      </c>
      <c r="I56" t="s">
        <v>609</v>
      </c>
      <c r="J56" t="s">
        <v>609</v>
      </c>
      <c r="K56" t="s">
        <v>3</v>
      </c>
      <c r="L56" t="s">
        <v>3</v>
      </c>
      <c r="M56" t="s">
        <v>3</v>
      </c>
      <c r="N56" t="s">
        <v>608</v>
      </c>
      <c r="O56" t="s">
        <v>609</v>
      </c>
      <c r="P56" t="s">
        <v>3</v>
      </c>
      <c r="Q56" t="s">
        <v>3</v>
      </c>
      <c r="R56" t="s">
        <v>3</v>
      </c>
      <c r="S56" t="s">
        <v>610</v>
      </c>
      <c r="T56" t="s">
        <v>611</v>
      </c>
      <c r="U56" t="s">
        <v>612</v>
      </c>
    </row>
    <row r="57" spans="1:21" x14ac:dyDescent="0.25">
      <c r="A57">
        <v>56</v>
      </c>
      <c r="B57">
        <v>1</v>
      </c>
      <c r="C57" t="s">
        <v>3</v>
      </c>
      <c r="D57" t="s">
        <v>104</v>
      </c>
      <c r="E57" t="s">
        <v>105</v>
      </c>
      <c r="F57" t="s">
        <v>105</v>
      </c>
      <c r="G57" t="s">
        <v>105</v>
      </c>
      <c r="H57" t="s">
        <v>3</v>
      </c>
      <c r="I57" t="s">
        <v>105</v>
      </c>
      <c r="J57" t="s">
        <v>105</v>
      </c>
      <c r="K57" t="s">
        <v>3</v>
      </c>
      <c r="L57" t="s">
        <v>3</v>
      </c>
      <c r="M57" t="s">
        <v>3</v>
      </c>
      <c r="N57" t="s">
        <v>104</v>
      </c>
      <c r="O57" t="s">
        <v>105</v>
      </c>
      <c r="P57" t="s">
        <v>3</v>
      </c>
      <c r="Q57" t="s">
        <v>3</v>
      </c>
      <c r="R57" t="s">
        <v>3</v>
      </c>
      <c r="S57" t="s">
        <v>605</v>
      </c>
      <c r="T57" t="s">
        <v>606</v>
      </c>
      <c r="U57" t="s">
        <v>607</v>
      </c>
    </row>
    <row r="58" spans="1:21" x14ac:dyDescent="0.25">
      <c r="A58">
        <v>56</v>
      </c>
      <c r="B58">
        <v>1</v>
      </c>
      <c r="C58" t="s">
        <v>3</v>
      </c>
      <c r="D58" t="s">
        <v>608</v>
      </c>
      <c r="E58" t="s">
        <v>609</v>
      </c>
      <c r="F58" t="s">
        <v>609</v>
      </c>
      <c r="G58" t="s">
        <v>609</v>
      </c>
      <c r="H58" t="s">
        <v>3</v>
      </c>
      <c r="I58" t="s">
        <v>609</v>
      </c>
      <c r="J58" t="s">
        <v>609</v>
      </c>
      <c r="K58" t="s">
        <v>3</v>
      </c>
      <c r="L58" t="s">
        <v>3</v>
      </c>
      <c r="M58" t="s">
        <v>3</v>
      </c>
      <c r="N58" t="s">
        <v>608</v>
      </c>
      <c r="O58" t="s">
        <v>609</v>
      </c>
      <c r="P58" t="s">
        <v>3</v>
      </c>
      <c r="Q58" t="s">
        <v>3</v>
      </c>
      <c r="R58" t="s">
        <v>3</v>
      </c>
      <c r="S58" t="s">
        <v>610</v>
      </c>
      <c r="T58" t="s">
        <v>611</v>
      </c>
      <c r="U58" t="s">
        <v>612</v>
      </c>
    </row>
    <row r="59" spans="1:21" x14ac:dyDescent="0.25">
      <c r="A59">
        <v>57</v>
      </c>
      <c r="B59">
        <v>1</v>
      </c>
      <c r="C59" t="s">
        <v>3</v>
      </c>
      <c r="D59" t="s">
        <v>104</v>
      </c>
      <c r="E59" t="s">
        <v>105</v>
      </c>
      <c r="F59" t="s">
        <v>105</v>
      </c>
      <c r="G59" t="s">
        <v>105</v>
      </c>
      <c r="H59" t="s">
        <v>3</v>
      </c>
      <c r="I59" t="s">
        <v>105</v>
      </c>
      <c r="J59" t="s">
        <v>105</v>
      </c>
      <c r="K59" t="s">
        <v>3</v>
      </c>
      <c r="L59" t="s">
        <v>3</v>
      </c>
      <c r="M59" t="s">
        <v>3</v>
      </c>
      <c r="N59" t="s">
        <v>104</v>
      </c>
      <c r="O59" t="s">
        <v>105</v>
      </c>
      <c r="P59" t="s">
        <v>3</v>
      </c>
      <c r="Q59" t="s">
        <v>3</v>
      </c>
      <c r="R59" t="s">
        <v>3</v>
      </c>
      <c r="S59" t="s">
        <v>605</v>
      </c>
      <c r="T59" t="s">
        <v>606</v>
      </c>
      <c r="U59" t="s">
        <v>607</v>
      </c>
    </row>
    <row r="60" spans="1:21" x14ac:dyDescent="0.25">
      <c r="A60">
        <v>57</v>
      </c>
      <c r="B60">
        <v>1</v>
      </c>
      <c r="C60" t="s">
        <v>3</v>
      </c>
      <c r="D60" t="s">
        <v>608</v>
      </c>
      <c r="E60" t="s">
        <v>609</v>
      </c>
      <c r="F60" t="s">
        <v>609</v>
      </c>
      <c r="G60" t="s">
        <v>609</v>
      </c>
      <c r="H60" t="s">
        <v>3</v>
      </c>
      <c r="I60" t="s">
        <v>609</v>
      </c>
      <c r="J60" t="s">
        <v>609</v>
      </c>
      <c r="K60" t="s">
        <v>3</v>
      </c>
      <c r="L60" t="s">
        <v>3</v>
      </c>
      <c r="M60" t="s">
        <v>3</v>
      </c>
      <c r="N60" t="s">
        <v>608</v>
      </c>
      <c r="O60" t="s">
        <v>609</v>
      </c>
      <c r="P60" t="s">
        <v>3</v>
      </c>
      <c r="Q60" t="s">
        <v>3</v>
      </c>
      <c r="R60" t="s">
        <v>3</v>
      </c>
      <c r="S60" t="s">
        <v>610</v>
      </c>
      <c r="T60" t="s">
        <v>611</v>
      </c>
      <c r="U60" t="s">
        <v>612</v>
      </c>
    </row>
    <row r="61" spans="1:21" x14ac:dyDescent="0.25">
      <c r="A61">
        <v>58</v>
      </c>
      <c r="B61">
        <v>1</v>
      </c>
      <c r="C61" t="s">
        <v>3</v>
      </c>
      <c r="D61" t="s">
        <v>104</v>
      </c>
      <c r="E61" t="s">
        <v>105</v>
      </c>
      <c r="F61" t="s">
        <v>105</v>
      </c>
      <c r="G61" t="s">
        <v>105</v>
      </c>
      <c r="H61" t="s">
        <v>3</v>
      </c>
      <c r="I61" t="s">
        <v>105</v>
      </c>
      <c r="J61" t="s">
        <v>105</v>
      </c>
      <c r="K61" t="s">
        <v>3</v>
      </c>
      <c r="L61" t="s">
        <v>3</v>
      </c>
      <c r="M61" t="s">
        <v>3</v>
      </c>
      <c r="N61" t="s">
        <v>104</v>
      </c>
      <c r="O61" t="s">
        <v>105</v>
      </c>
      <c r="P61" t="s">
        <v>3</v>
      </c>
      <c r="Q61" t="s">
        <v>3</v>
      </c>
      <c r="R61" t="s">
        <v>3</v>
      </c>
      <c r="S61" t="s">
        <v>605</v>
      </c>
      <c r="T61" t="s">
        <v>606</v>
      </c>
      <c r="U61" t="s">
        <v>607</v>
      </c>
    </row>
    <row r="62" spans="1:21" x14ac:dyDescent="0.25">
      <c r="A62">
        <v>58</v>
      </c>
      <c r="B62">
        <v>1</v>
      </c>
      <c r="C62" t="s">
        <v>3</v>
      </c>
      <c r="D62" t="s">
        <v>608</v>
      </c>
      <c r="E62" t="s">
        <v>609</v>
      </c>
      <c r="F62" t="s">
        <v>609</v>
      </c>
      <c r="G62" t="s">
        <v>609</v>
      </c>
      <c r="H62" t="s">
        <v>3</v>
      </c>
      <c r="I62" t="s">
        <v>609</v>
      </c>
      <c r="J62" t="s">
        <v>609</v>
      </c>
      <c r="K62" t="s">
        <v>3</v>
      </c>
      <c r="L62" t="s">
        <v>3</v>
      </c>
      <c r="M62" t="s">
        <v>3</v>
      </c>
      <c r="N62" t="s">
        <v>608</v>
      </c>
      <c r="O62" t="s">
        <v>609</v>
      </c>
      <c r="P62" t="s">
        <v>3</v>
      </c>
      <c r="Q62" t="s">
        <v>3</v>
      </c>
      <c r="R62" t="s">
        <v>3</v>
      </c>
      <c r="S62" t="s">
        <v>610</v>
      </c>
      <c r="T62" t="s">
        <v>611</v>
      </c>
      <c r="U62" t="s">
        <v>612</v>
      </c>
    </row>
    <row r="63" spans="1:21" x14ac:dyDescent="0.25">
      <c r="A63">
        <v>59</v>
      </c>
      <c r="B63">
        <v>1</v>
      </c>
      <c r="C63" t="s">
        <v>3</v>
      </c>
      <c r="D63" t="s">
        <v>104</v>
      </c>
      <c r="E63" t="s">
        <v>105</v>
      </c>
      <c r="F63" t="s">
        <v>105</v>
      </c>
      <c r="G63" t="s">
        <v>105</v>
      </c>
      <c r="H63" t="s">
        <v>3</v>
      </c>
      <c r="I63" t="s">
        <v>105</v>
      </c>
      <c r="J63" t="s">
        <v>105</v>
      </c>
      <c r="K63" t="s">
        <v>3</v>
      </c>
      <c r="L63" t="s">
        <v>3</v>
      </c>
      <c r="M63" t="s">
        <v>3</v>
      </c>
      <c r="N63" t="s">
        <v>104</v>
      </c>
      <c r="O63" t="s">
        <v>105</v>
      </c>
      <c r="P63" t="s">
        <v>3</v>
      </c>
      <c r="Q63" t="s">
        <v>3</v>
      </c>
      <c r="R63" t="s">
        <v>3</v>
      </c>
      <c r="S63" t="s">
        <v>605</v>
      </c>
      <c r="T63" t="s">
        <v>606</v>
      </c>
      <c r="U63" t="s">
        <v>607</v>
      </c>
    </row>
    <row r="64" spans="1:21" x14ac:dyDescent="0.25">
      <c r="A64">
        <v>59</v>
      </c>
      <c r="B64">
        <v>1</v>
      </c>
      <c r="C64" t="s">
        <v>3</v>
      </c>
      <c r="D64" t="s">
        <v>608</v>
      </c>
      <c r="E64" t="s">
        <v>609</v>
      </c>
      <c r="F64" t="s">
        <v>609</v>
      </c>
      <c r="G64" t="s">
        <v>609</v>
      </c>
      <c r="H64" t="s">
        <v>3</v>
      </c>
      <c r="I64" t="s">
        <v>609</v>
      </c>
      <c r="J64" t="s">
        <v>609</v>
      </c>
      <c r="K64" t="s">
        <v>3</v>
      </c>
      <c r="L64" t="s">
        <v>3</v>
      </c>
      <c r="M64" t="s">
        <v>3</v>
      </c>
      <c r="N64" t="s">
        <v>608</v>
      </c>
      <c r="O64" t="s">
        <v>609</v>
      </c>
      <c r="P64" t="s">
        <v>3</v>
      </c>
      <c r="Q64" t="s">
        <v>3</v>
      </c>
      <c r="R64" t="s">
        <v>3</v>
      </c>
      <c r="S64" t="s">
        <v>610</v>
      </c>
      <c r="T64" t="s">
        <v>611</v>
      </c>
      <c r="U64" t="s">
        <v>612</v>
      </c>
    </row>
    <row r="65" spans="1:21" x14ac:dyDescent="0.25">
      <c r="A65">
        <v>60</v>
      </c>
      <c r="B65">
        <v>1</v>
      </c>
      <c r="C65" t="s">
        <v>3</v>
      </c>
      <c r="D65" t="s">
        <v>104</v>
      </c>
      <c r="E65" t="s">
        <v>105</v>
      </c>
      <c r="F65" t="s">
        <v>105</v>
      </c>
      <c r="G65" t="s">
        <v>105</v>
      </c>
      <c r="H65" t="s">
        <v>3</v>
      </c>
      <c r="I65" t="s">
        <v>105</v>
      </c>
      <c r="J65" t="s">
        <v>105</v>
      </c>
      <c r="K65" t="s">
        <v>3</v>
      </c>
      <c r="L65" t="s">
        <v>3</v>
      </c>
      <c r="M65" t="s">
        <v>3</v>
      </c>
      <c r="N65" t="s">
        <v>104</v>
      </c>
      <c r="O65" t="s">
        <v>105</v>
      </c>
      <c r="P65" t="s">
        <v>3</v>
      </c>
      <c r="Q65" t="s">
        <v>3</v>
      </c>
      <c r="R65" t="s">
        <v>3</v>
      </c>
      <c r="S65" t="s">
        <v>605</v>
      </c>
      <c r="T65" t="s">
        <v>606</v>
      </c>
      <c r="U65" t="s">
        <v>607</v>
      </c>
    </row>
    <row r="66" spans="1:21" x14ac:dyDescent="0.25">
      <c r="A66">
        <v>60</v>
      </c>
      <c r="B66">
        <v>1</v>
      </c>
      <c r="C66" t="s">
        <v>3</v>
      </c>
      <c r="D66" t="s">
        <v>608</v>
      </c>
      <c r="E66" t="s">
        <v>609</v>
      </c>
      <c r="F66" t="s">
        <v>609</v>
      </c>
      <c r="G66" t="s">
        <v>609</v>
      </c>
      <c r="H66" t="s">
        <v>3</v>
      </c>
      <c r="I66" t="s">
        <v>609</v>
      </c>
      <c r="J66" t="s">
        <v>609</v>
      </c>
      <c r="K66" t="s">
        <v>3</v>
      </c>
      <c r="L66" t="s">
        <v>3</v>
      </c>
      <c r="M66" t="s">
        <v>3</v>
      </c>
      <c r="N66" t="s">
        <v>608</v>
      </c>
      <c r="O66" t="s">
        <v>609</v>
      </c>
      <c r="P66" t="s">
        <v>3</v>
      </c>
      <c r="Q66" t="s">
        <v>3</v>
      </c>
      <c r="R66" t="s">
        <v>3</v>
      </c>
      <c r="S66" t="s">
        <v>610</v>
      </c>
      <c r="T66" t="s">
        <v>611</v>
      </c>
      <c r="U66" t="s">
        <v>612</v>
      </c>
    </row>
    <row r="67" spans="1:21" x14ac:dyDescent="0.25">
      <c r="A67">
        <v>61</v>
      </c>
      <c r="B67">
        <v>1</v>
      </c>
      <c r="C67" t="s">
        <v>3</v>
      </c>
      <c r="D67" t="s">
        <v>104</v>
      </c>
      <c r="E67" t="s">
        <v>105</v>
      </c>
      <c r="F67" t="s">
        <v>105</v>
      </c>
      <c r="G67" t="s">
        <v>105</v>
      </c>
      <c r="H67" t="s">
        <v>3</v>
      </c>
      <c r="I67" t="s">
        <v>105</v>
      </c>
      <c r="J67" t="s">
        <v>105</v>
      </c>
      <c r="K67" t="s">
        <v>3</v>
      </c>
      <c r="L67" t="s">
        <v>3</v>
      </c>
      <c r="M67" t="s">
        <v>3</v>
      </c>
      <c r="N67" t="s">
        <v>104</v>
      </c>
      <c r="O67" t="s">
        <v>105</v>
      </c>
      <c r="P67" t="s">
        <v>3</v>
      </c>
      <c r="Q67" t="s">
        <v>3</v>
      </c>
      <c r="R67" t="s">
        <v>3</v>
      </c>
      <c r="S67" t="s">
        <v>605</v>
      </c>
      <c r="T67" t="s">
        <v>606</v>
      </c>
      <c r="U67" t="s">
        <v>607</v>
      </c>
    </row>
    <row r="68" spans="1:21" x14ac:dyDescent="0.25">
      <c r="A68">
        <v>61</v>
      </c>
      <c r="B68">
        <v>1</v>
      </c>
      <c r="C68" t="s">
        <v>3</v>
      </c>
      <c r="D68" t="s">
        <v>608</v>
      </c>
      <c r="E68" t="s">
        <v>609</v>
      </c>
      <c r="F68" t="s">
        <v>609</v>
      </c>
      <c r="G68" t="s">
        <v>609</v>
      </c>
      <c r="H68" t="s">
        <v>3</v>
      </c>
      <c r="I68" t="s">
        <v>609</v>
      </c>
      <c r="J68" t="s">
        <v>609</v>
      </c>
      <c r="K68" t="s">
        <v>3</v>
      </c>
      <c r="L68" t="s">
        <v>3</v>
      </c>
      <c r="M68" t="s">
        <v>3</v>
      </c>
      <c r="N68" t="s">
        <v>608</v>
      </c>
      <c r="O68" t="s">
        <v>609</v>
      </c>
      <c r="P68" t="s">
        <v>3</v>
      </c>
      <c r="Q68" t="s">
        <v>3</v>
      </c>
      <c r="R68" t="s">
        <v>3</v>
      </c>
      <c r="S68" t="s">
        <v>610</v>
      </c>
      <c r="T68" t="s">
        <v>611</v>
      </c>
      <c r="U68" t="s">
        <v>612</v>
      </c>
    </row>
    <row r="69" spans="1:21" x14ac:dyDescent="0.25">
      <c r="A69">
        <v>62</v>
      </c>
      <c r="B69">
        <v>1</v>
      </c>
      <c r="C69" t="s">
        <v>3</v>
      </c>
      <c r="D69" t="s">
        <v>104</v>
      </c>
      <c r="E69" t="s">
        <v>105</v>
      </c>
      <c r="F69" t="s">
        <v>105</v>
      </c>
      <c r="G69" t="s">
        <v>105</v>
      </c>
      <c r="H69" t="s">
        <v>3</v>
      </c>
      <c r="I69" t="s">
        <v>105</v>
      </c>
      <c r="J69" t="s">
        <v>105</v>
      </c>
      <c r="K69" t="s">
        <v>3</v>
      </c>
      <c r="L69" t="s">
        <v>3</v>
      </c>
      <c r="M69" t="s">
        <v>3</v>
      </c>
      <c r="N69" t="s">
        <v>104</v>
      </c>
      <c r="O69" t="s">
        <v>105</v>
      </c>
      <c r="P69" t="s">
        <v>3</v>
      </c>
      <c r="Q69" t="s">
        <v>3</v>
      </c>
      <c r="R69" t="s">
        <v>3</v>
      </c>
      <c r="S69" t="s">
        <v>605</v>
      </c>
      <c r="T69" t="s">
        <v>606</v>
      </c>
      <c r="U69" t="s">
        <v>607</v>
      </c>
    </row>
    <row r="70" spans="1:21" x14ac:dyDescent="0.25">
      <c r="A70">
        <v>62</v>
      </c>
      <c r="B70">
        <v>1</v>
      </c>
      <c r="C70" t="s">
        <v>3</v>
      </c>
      <c r="D70" t="s">
        <v>608</v>
      </c>
      <c r="E70" t="s">
        <v>609</v>
      </c>
      <c r="F70" t="s">
        <v>609</v>
      </c>
      <c r="G70" t="s">
        <v>609</v>
      </c>
      <c r="H70" t="s">
        <v>3</v>
      </c>
      <c r="I70" t="s">
        <v>609</v>
      </c>
      <c r="J70" t="s">
        <v>609</v>
      </c>
      <c r="K70" t="s">
        <v>3</v>
      </c>
      <c r="L70" t="s">
        <v>3</v>
      </c>
      <c r="M70" t="s">
        <v>3</v>
      </c>
      <c r="N70" t="s">
        <v>608</v>
      </c>
      <c r="O70" t="s">
        <v>609</v>
      </c>
      <c r="P70" t="s">
        <v>3</v>
      </c>
      <c r="Q70" t="s">
        <v>3</v>
      </c>
      <c r="R70" t="s">
        <v>3</v>
      </c>
      <c r="S70" t="s">
        <v>610</v>
      </c>
      <c r="T70" t="s">
        <v>611</v>
      </c>
      <c r="U70" t="s">
        <v>612</v>
      </c>
    </row>
    <row r="71" spans="1:21" x14ac:dyDescent="0.25">
      <c r="A71">
        <v>63</v>
      </c>
      <c r="B71">
        <v>1</v>
      </c>
      <c r="C71" t="s">
        <v>3</v>
      </c>
      <c r="D71" t="s">
        <v>104</v>
      </c>
      <c r="E71" t="s">
        <v>105</v>
      </c>
      <c r="F71" t="s">
        <v>105</v>
      </c>
      <c r="G71" t="s">
        <v>105</v>
      </c>
      <c r="H71" t="s">
        <v>3</v>
      </c>
      <c r="I71" t="s">
        <v>105</v>
      </c>
      <c r="J71" t="s">
        <v>105</v>
      </c>
      <c r="K71" t="s">
        <v>3</v>
      </c>
      <c r="L71" t="s">
        <v>3</v>
      </c>
      <c r="M71" t="s">
        <v>3</v>
      </c>
      <c r="N71" t="s">
        <v>104</v>
      </c>
      <c r="O71" t="s">
        <v>105</v>
      </c>
      <c r="P71" t="s">
        <v>3</v>
      </c>
      <c r="Q71" t="s">
        <v>3</v>
      </c>
      <c r="R71" t="s">
        <v>3</v>
      </c>
      <c r="S71" t="s">
        <v>605</v>
      </c>
      <c r="T71" t="s">
        <v>606</v>
      </c>
      <c r="U71" t="s">
        <v>607</v>
      </c>
    </row>
    <row r="72" spans="1:21" x14ac:dyDescent="0.25">
      <c r="A72">
        <v>63</v>
      </c>
      <c r="B72">
        <v>1</v>
      </c>
      <c r="C72" t="s">
        <v>3</v>
      </c>
      <c r="D72" t="s">
        <v>608</v>
      </c>
      <c r="E72" t="s">
        <v>609</v>
      </c>
      <c r="F72" t="s">
        <v>609</v>
      </c>
      <c r="G72" t="s">
        <v>609</v>
      </c>
      <c r="H72" t="s">
        <v>3</v>
      </c>
      <c r="I72" t="s">
        <v>609</v>
      </c>
      <c r="J72" t="s">
        <v>609</v>
      </c>
      <c r="K72" t="s">
        <v>3</v>
      </c>
      <c r="L72" t="s">
        <v>3</v>
      </c>
      <c r="M72" t="s">
        <v>3</v>
      </c>
      <c r="N72" t="s">
        <v>608</v>
      </c>
      <c r="O72" t="s">
        <v>609</v>
      </c>
      <c r="P72" t="s">
        <v>3</v>
      </c>
      <c r="Q72" t="s">
        <v>3</v>
      </c>
      <c r="R72" t="s">
        <v>3</v>
      </c>
      <c r="S72" t="s">
        <v>610</v>
      </c>
      <c r="T72" t="s">
        <v>611</v>
      </c>
      <c r="U72" t="s">
        <v>612</v>
      </c>
    </row>
    <row r="73" spans="1:21" x14ac:dyDescent="0.25">
      <c r="A73">
        <v>64</v>
      </c>
      <c r="B73">
        <v>1</v>
      </c>
      <c r="C73" t="s">
        <v>3</v>
      </c>
      <c r="D73" t="s">
        <v>104</v>
      </c>
      <c r="E73" t="s">
        <v>105</v>
      </c>
      <c r="F73" t="s">
        <v>105</v>
      </c>
      <c r="G73" t="s">
        <v>105</v>
      </c>
      <c r="H73" t="s">
        <v>3</v>
      </c>
      <c r="I73" t="s">
        <v>105</v>
      </c>
      <c r="J73" t="s">
        <v>105</v>
      </c>
      <c r="K73" t="s">
        <v>3</v>
      </c>
      <c r="L73" t="s">
        <v>3</v>
      </c>
      <c r="M73" t="s">
        <v>3</v>
      </c>
      <c r="N73" t="s">
        <v>104</v>
      </c>
      <c r="O73" t="s">
        <v>105</v>
      </c>
      <c r="P73" t="s">
        <v>3</v>
      </c>
      <c r="Q73" t="s">
        <v>3</v>
      </c>
      <c r="R73" t="s">
        <v>3</v>
      </c>
      <c r="S73" t="s">
        <v>605</v>
      </c>
      <c r="T73" t="s">
        <v>606</v>
      </c>
      <c r="U73" t="s">
        <v>607</v>
      </c>
    </row>
    <row r="74" spans="1:21" x14ac:dyDescent="0.25">
      <c r="A74">
        <v>64</v>
      </c>
      <c r="B74">
        <v>1</v>
      </c>
      <c r="C74" t="s">
        <v>3</v>
      </c>
      <c r="D74" t="s">
        <v>608</v>
      </c>
      <c r="E74" t="s">
        <v>609</v>
      </c>
      <c r="F74" t="s">
        <v>609</v>
      </c>
      <c r="G74" t="s">
        <v>609</v>
      </c>
      <c r="H74" t="s">
        <v>3</v>
      </c>
      <c r="I74" t="s">
        <v>609</v>
      </c>
      <c r="J74" t="s">
        <v>609</v>
      </c>
      <c r="K74" t="s">
        <v>3</v>
      </c>
      <c r="L74" t="s">
        <v>3</v>
      </c>
      <c r="M74" t="s">
        <v>3</v>
      </c>
      <c r="N74" t="s">
        <v>608</v>
      </c>
      <c r="O74" t="s">
        <v>609</v>
      </c>
      <c r="P74" t="s">
        <v>3</v>
      </c>
      <c r="Q74" t="s">
        <v>3</v>
      </c>
      <c r="R74" t="s">
        <v>3</v>
      </c>
      <c r="S74" t="s">
        <v>610</v>
      </c>
      <c r="T74" t="s">
        <v>611</v>
      </c>
      <c r="U74" t="s">
        <v>612</v>
      </c>
    </row>
    <row r="75" spans="1:21" x14ac:dyDescent="0.25">
      <c r="A75">
        <v>65</v>
      </c>
      <c r="B75">
        <v>1</v>
      </c>
      <c r="C75" t="s">
        <v>3</v>
      </c>
      <c r="D75" t="s">
        <v>104</v>
      </c>
      <c r="E75" t="s">
        <v>105</v>
      </c>
      <c r="F75" t="s">
        <v>105</v>
      </c>
      <c r="G75" t="s">
        <v>105</v>
      </c>
      <c r="H75" t="s">
        <v>3</v>
      </c>
      <c r="I75" t="s">
        <v>105</v>
      </c>
      <c r="J75" t="s">
        <v>105</v>
      </c>
      <c r="K75" t="s">
        <v>3</v>
      </c>
      <c r="L75" t="s">
        <v>3</v>
      </c>
      <c r="M75" t="s">
        <v>3</v>
      </c>
      <c r="N75" t="s">
        <v>104</v>
      </c>
      <c r="O75" t="s">
        <v>105</v>
      </c>
      <c r="P75" t="s">
        <v>3</v>
      </c>
      <c r="Q75" t="s">
        <v>3</v>
      </c>
      <c r="R75" t="s">
        <v>3</v>
      </c>
      <c r="S75" t="s">
        <v>605</v>
      </c>
      <c r="T75" t="s">
        <v>606</v>
      </c>
      <c r="U75" t="s">
        <v>607</v>
      </c>
    </row>
    <row r="76" spans="1:21" x14ac:dyDescent="0.25">
      <c r="A76">
        <v>65</v>
      </c>
      <c r="B76">
        <v>1</v>
      </c>
      <c r="C76" t="s">
        <v>3</v>
      </c>
      <c r="D76" t="s">
        <v>608</v>
      </c>
      <c r="E76" t="s">
        <v>609</v>
      </c>
      <c r="F76" t="s">
        <v>609</v>
      </c>
      <c r="G76" t="s">
        <v>609</v>
      </c>
      <c r="H76" t="s">
        <v>3</v>
      </c>
      <c r="I76" t="s">
        <v>609</v>
      </c>
      <c r="J76" t="s">
        <v>609</v>
      </c>
      <c r="K76" t="s">
        <v>3</v>
      </c>
      <c r="L76" t="s">
        <v>3</v>
      </c>
      <c r="M76" t="s">
        <v>3</v>
      </c>
      <c r="N76" t="s">
        <v>608</v>
      </c>
      <c r="O76" t="s">
        <v>609</v>
      </c>
      <c r="P76" t="s">
        <v>3</v>
      </c>
      <c r="Q76" t="s">
        <v>3</v>
      </c>
      <c r="R76" t="s">
        <v>3</v>
      </c>
      <c r="S76" t="s">
        <v>610</v>
      </c>
      <c r="T76" t="s">
        <v>611</v>
      </c>
      <c r="U76" t="s">
        <v>612</v>
      </c>
    </row>
    <row r="77" spans="1:21" x14ac:dyDescent="0.25">
      <c r="A77">
        <v>66</v>
      </c>
      <c r="B77">
        <v>1</v>
      </c>
      <c r="C77" t="s">
        <v>3</v>
      </c>
      <c r="D77" t="s">
        <v>104</v>
      </c>
      <c r="E77" t="s">
        <v>105</v>
      </c>
      <c r="F77" t="s">
        <v>105</v>
      </c>
      <c r="G77" t="s">
        <v>105</v>
      </c>
      <c r="H77" t="s">
        <v>3</v>
      </c>
      <c r="I77" t="s">
        <v>105</v>
      </c>
      <c r="J77" t="s">
        <v>105</v>
      </c>
      <c r="K77" t="s">
        <v>3</v>
      </c>
      <c r="L77" t="s">
        <v>3</v>
      </c>
      <c r="M77" t="s">
        <v>3</v>
      </c>
      <c r="N77" t="s">
        <v>104</v>
      </c>
      <c r="O77" t="s">
        <v>105</v>
      </c>
      <c r="P77" t="s">
        <v>3</v>
      </c>
      <c r="Q77" t="s">
        <v>3</v>
      </c>
      <c r="R77" t="s">
        <v>3</v>
      </c>
      <c r="S77" t="s">
        <v>605</v>
      </c>
      <c r="T77" t="s">
        <v>606</v>
      </c>
      <c r="U77" t="s">
        <v>607</v>
      </c>
    </row>
    <row r="78" spans="1:21" x14ac:dyDescent="0.25">
      <c r="A78">
        <v>67</v>
      </c>
      <c r="B78">
        <v>1</v>
      </c>
      <c r="C78" t="s">
        <v>3</v>
      </c>
      <c r="D78" t="s">
        <v>104</v>
      </c>
      <c r="E78" t="s">
        <v>105</v>
      </c>
      <c r="F78" t="s">
        <v>105</v>
      </c>
      <c r="G78" t="s">
        <v>105</v>
      </c>
      <c r="H78" t="s">
        <v>3</v>
      </c>
      <c r="I78" t="s">
        <v>105</v>
      </c>
      <c r="J78" t="s">
        <v>105</v>
      </c>
      <c r="K78" t="s">
        <v>3</v>
      </c>
      <c r="L78" t="s">
        <v>3</v>
      </c>
      <c r="M78" t="s">
        <v>3</v>
      </c>
      <c r="N78" t="s">
        <v>104</v>
      </c>
      <c r="O78" t="s">
        <v>105</v>
      </c>
      <c r="P78" t="s">
        <v>3</v>
      </c>
      <c r="Q78" t="s">
        <v>3</v>
      </c>
      <c r="R78" t="s">
        <v>3</v>
      </c>
      <c r="S78" t="s">
        <v>605</v>
      </c>
      <c r="T78" t="s">
        <v>606</v>
      </c>
      <c r="U78" t="s">
        <v>607</v>
      </c>
    </row>
    <row r="79" spans="1:21" x14ac:dyDescent="0.25">
      <c r="A79">
        <v>68</v>
      </c>
      <c r="B79">
        <v>1</v>
      </c>
      <c r="C79" t="s">
        <v>3</v>
      </c>
      <c r="D79" t="s">
        <v>104</v>
      </c>
      <c r="E79" t="s">
        <v>105</v>
      </c>
      <c r="F79" t="s">
        <v>105</v>
      </c>
      <c r="G79" t="s">
        <v>105</v>
      </c>
      <c r="H79" t="s">
        <v>3</v>
      </c>
      <c r="I79" t="s">
        <v>105</v>
      </c>
      <c r="J79" t="s">
        <v>105</v>
      </c>
      <c r="K79" t="s">
        <v>3</v>
      </c>
      <c r="L79" t="s">
        <v>3</v>
      </c>
      <c r="M79" t="s">
        <v>3</v>
      </c>
      <c r="N79" t="s">
        <v>104</v>
      </c>
      <c r="O79" t="s">
        <v>105</v>
      </c>
      <c r="P79" t="s">
        <v>3</v>
      </c>
      <c r="Q79" t="s">
        <v>3</v>
      </c>
      <c r="R79" t="s">
        <v>3</v>
      </c>
      <c r="S79" t="s">
        <v>605</v>
      </c>
      <c r="T79" t="s">
        <v>606</v>
      </c>
      <c r="U79" t="s">
        <v>607</v>
      </c>
    </row>
    <row r="80" spans="1:21" x14ac:dyDescent="0.25">
      <c r="A80">
        <v>69</v>
      </c>
      <c r="B80">
        <v>1</v>
      </c>
      <c r="C80" t="s">
        <v>3</v>
      </c>
      <c r="D80" t="s">
        <v>104</v>
      </c>
      <c r="E80" t="s">
        <v>105</v>
      </c>
      <c r="F80" t="s">
        <v>105</v>
      </c>
      <c r="G80" t="s">
        <v>105</v>
      </c>
      <c r="H80" t="s">
        <v>3</v>
      </c>
      <c r="I80" t="s">
        <v>105</v>
      </c>
      <c r="J80" t="s">
        <v>105</v>
      </c>
      <c r="K80" t="s">
        <v>3</v>
      </c>
      <c r="L80" t="s">
        <v>3</v>
      </c>
      <c r="M80" t="s">
        <v>3</v>
      </c>
      <c r="N80" t="s">
        <v>104</v>
      </c>
      <c r="O80" t="s">
        <v>105</v>
      </c>
      <c r="P80" t="s">
        <v>3</v>
      </c>
      <c r="Q80" t="s">
        <v>3</v>
      </c>
      <c r="R80" t="s">
        <v>3</v>
      </c>
      <c r="S80" t="s">
        <v>605</v>
      </c>
      <c r="T80" t="s">
        <v>606</v>
      </c>
      <c r="U80" t="s">
        <v>607</v>
      </c>
    </row>
    <row r="81" spans="1:21" x14ac:dyDescent="0.25">
      <c r="A81">
        <v>70</v>
      </c>
      <c r="B81">
        <v>1</v>
      </c>
      <c r="C81" t="s">
        <v>3</v>
      </c>
      <c r="D81" t="s">
        <v>104</v>
      </c>
      <c r="E81" t="s">
        <v>105</v>
      </c>
      <c r="F81" t="s">
        <v>105</v>
      </c>
      <c r="G81" t="s">
        <v>105</v>
      </c>
      <c r="H81" t="s">
        <v>3</v>
      </c>
      <c r="I81" t="s">
        <v>105</v>
      </c>
      <c r="J81" t="s">
        <v>105</v>
      </c>
      <c r="K81" t="s">
        <v>3</v>
      </c>
      <c r="L81" t="s">
        <v>3</v>
      </c>
      <c r="M81" t="s">
        <v>3</v>
      </c>
      <c r="N81" t="s">
        <v>104</v>
      </c>
      <c r="O81" t="s">
        <v>105</v>
      </c>
      <c r="P81" t="s">
        <v>3</v>
      </c>
      <c r="Q81" t="s">
        <v>3</v>
      </c>
      <c r="R81" t="s">
        <v>3</v>
      </c>
      <c r="S81" t="s">
        <v>605</v>
      </c>
      <c r="T81" t="s">
        <v>606</v>
      </c>
      <c r="U81" t="s">
        <v>607</v>
      </c>
    </row>
    <row r="82" spans="1:21" x14ac:dyDescent="0.25">
      <c r="A82">
        <v>71</v>
      </c>
      <c r="B82">
        <v>1</v>
      </c>
      <c r="C82" t="s">
        <v>3</v>
      </c>
      <c r="D82" t="s">
        <v>104</v>
      </c>
      <c r="E82" t="s">
        <v>105</v>
      </c>
      <c r="F82" t="s">
        <v>105</v>
      </c>
      <c r="G82" t="s">
        <v>105</v>
      </c>
      <c r="H82" t="s">
        <v>3</v>
      </c>
      <c r="I82" t="s">
        <v>105</v>
      </c>
      <c r="J82" t="s">
        <v>105</v>
      </c>
      <c r="K82" t="s">
        <v>3</v>
      </c>
      <c r="L82" t="s">
        <v>3</v>
      </c>
      <c r="M82" t="s">
        <v>3</v>
      </c>
      <c r="N82" t="s">
        <v>104</v>
      </c>
      <c r="O82" t="s">
        <v>105</v>
      </c>
      <c r="P82" t="s">
        <v>3</v>
      </c>
      <c r="Q82" t="s">
        <v>3</v>
      </c>
      <c r="R82" t="s">
        <v>3</v>
      </c>
      <c r="S82" t="s">
        <v>605</v>
      </c>
      <c r="T82" t="s">
        <v>606</v>
      </c>
      <c r="U82" t="s">
        <v>607</v>
      </c>
    </row>
    <row r="83" spans="1:21" x14ac:dyDescent="0.25">
      <c r="A83">
        <v>107</v>
      </c>
      <c r="B83">
        <v>1</v>
      </c>
      <c r="C83" t="s">
        <v>3</v>
      </c>
      <c r="D83" t="s">
        <v>104</v>
      </c>
      <c r="E83" t="s">
        <v>105</v>
      </c>
      <c r="F83" t="s">
        <v>105</v>
      </c>
      <c r="G83" t="s">
        <v>105</v>
      </c>
      <c r="H83" t="s">
        <v>3</v>
      </c>
      <c r="I83" t="s">
        <v>105</v>
      </c>
      <c r="J83" t="s">
        <v>105</v>
      </c>
      <c r="K83" t="s">
        <v>3</v>
      </c>
      <c r="L83" t="s">
        <v>3</v>
      </c>
      <c r="M83" t="s">
        <v>3</v>
      </c>
      <c r="N83" t="s">
        <v>104</v>
      </c>
      <c r="O83" t="s">
        <v>105</v>
      </c>
      <c r="P83" t="s">
        <v>3</v>
      </c>
      <c r="Q83" t="s">
        <v>3</v>
      </c>
      <c r="R83" t="s">
        <v>3</v>
      </c>
      <c r="S83" t="s">
        <v>605</v>
      </c>
      <c r="T83" t="s">
        <v>606</v>
      </c>
      <c r="U83" t="s">
        <v>607</v>
      </c>
    </row>
    <row r="84" spans="1:21" x14ac:dyDescent="0.25">
      <c r="A84">
        <v>108</v>
      </c>
      <c r="B84">
        <v>1</v>
      </c>
      <c r="C84" t="s">
        <v>3</v>
      </c>
      <c r="D84" t="s">
        <v>104</v>
      </c>
      <c r="E84" t="s">
        <v>105</v>
      </c>
      <c r="F84" t="s">
        <v>105</v>
      </c>
      <c r="G84" t="s">
        <v>105</v>
      </c>
      <c r="H84" t="s">
        <v>3</v>
      </c>
      <c r="I84" t="s">
        <v>105</v>
      </c>
      <c r="J84" t="s">
        <v>105</v>
      </c>
      <c r="K84" t="s">
        <v>3</v>
      </c>
      <c r="L84" t="s">
        <v>3</v>
      </c>
      <c r="M84" t="s">
        <v>3</v>
      </c>
      <c r="N84" t="s">
        <v>104</v>
      </c>
      <c r="O84" t="s">
        <v>105</v>
      </c>
      <c r="P84" t="s">
        <v>3</v>
      </c>
      <c r="Q84" t="s">
        <v>3</v>
      </c>
      <c r="R84" t="s">
        <v>3</v>
      </c>
      <c r="S84" t="s">
        <v>605</v>
      </c>
      <c r="T84" t="s">
        <v>606</v>
      </c>
      <c r="U84" t="s">
        <v>607</v>
      </c>
    </row>
    <row r="85" spans="1:21" x14ac:dyDescent="0.25">
      <c r="A85">
        <v>146</v>
      </c>
      <c r="B85">
        <v>1</v>
      </c>
      <c r="C85" t="s">
        <v>3</v>
      </c>
      <c r="D85" t="s">
        <v>104</v>
      </c>
      <c r="E85" t="s">
        <v>105</v>
      </c>
      <c r="F85" t="s">
        <v>105</v>
      </c>
      <c r="G85" t="s">
        <v>105</v>
      </c>
      <c r="H85" t="s">
        <v>3</v>
      </c>
      <c r="I85" t="s">
        <v>105</v>
      </c>
      <c r="J85" t="s">
        <v>105</v>
      </c>
      <c r="K85" t="s">
        <v>3</v>
      </c>
      <c r="L85" t="s">
        <v>3</v>
      </c>
      <c r="M85" t="s">
        <v>3</v>
      </c>
      <c r="N85" t="s">
        <v>104</v>
      </c>
      <c r="O85" t="s">
        <v>105</v>
      </c>
      <c r="P85" t="s">
        <v>3</v>
      </c>
      <c r="Q85" t="s">
        <v>3</v>
      </c>
      <c r="R85" t="s">
        <v>3</v>
      </c>
      <c r="S85" t="s">
        <v>605</v>
      </c>
      <c r="T85" t="s">
        <v>606</v>
      </c>
      <c r="U85" t="s">
        <v>607</v>
      </c>
    </row>
    <row r="86" spans="1:21" x14ac:dyDescent="0.25">
      <c r="A86">
        <v>147</v>
      </c>
      <c r="B86">
        <v>1</v>
      </c>
      <c r="C86" t="s">
        <v>3</v>
      </c>
      <c r="D86" t="s">
        <v>104</v>
      </c>
      <c r="E86" t="s">
        <v>105</v>
      </c>
      <c r="F86" t="s">
        <v>105</v>
      </c>
      <c r="G86" t="s">
        <v>105</v>
      </c>
      <c r="H86" t="s">
        <v>3</v>
      </c>
      <c r="I86" t="s">
        <v>105</v>
      </c>
      <c r="J86" t="s">
        <v>105</v>
      </c>
      <c r="K86" t="s">
        <v>3</v>
      </c>
      <c r="L86" t="s">
        <v>3</v>
      </c>
      <c r="M86" t="s">
        <v>3</v>
      </c>
      <c r="N86" t="s">
        <v>104</v>
      </c>
      <c r="O86" t="s">
        <v>105</v>
      </c>
      <c r="P86" t="s">
        <v>3</v>
      </c>
      <c r="Q86" t="s">
        <v>3</v>
      </c>
      <c r="R86" t="s">
        <v>3</v>
      </c>
      <c r="S86" t="s">
        <v>605</v>
      </c>
      <c r="T86" t="s">
        <v>606</v>
      </c>
      <c r="U86" t="s">
        <v>607</v>
      </c>
    </row>
    <row r="87" spans="1:21" x14ac:dyDescent="0.25">
      <c r="A87">
        <v>150</v>
      </c>
      <c r="B87">
        <v>1</v>
      </c>
      <c r="C87" t="s">
        <v>3</v>
      </c>
      <c r="D87" t="s">
        <v>104</v>
      </c>
      <c r="E87" t="s">
        <v>105</v>
      </c>
      <c r="F87" t="s">
        <v>105</v>
      </c>
      <c r="G87" t="s">
        <v>105</v>
      </c>
      <c r="H87" t="s">
        <v>3</v>
      </c>
      <c r="I87" t="s">
        <v>105</v>
      </c>
      <c r="J87" t="s">
        <v>105</v>
      </c>
      <c r="K87" t="s">
        <v>3</v>
      </c>
      <c r="L87" t="s">
        <v>3</v>
      </c>
      <c r="M87" t="s">
        <v>3</v>
      </c>
      <c r="N87" t="s">
        <v>104</v>
      </c>
      <c r="O87" t="s">
        <v>105</v>
      </c>
      <c r="P87" t="s">
        <v>3</v>
      </c>
      <c r="Q87" t="s">
        <v>3</v>
      </c>
      <c r="R87" t="s">
        <v>3</v>
      </c>
      <c r="S87" t="s">
        <v>605</v>
      </c>
      <c r="T87" t="s">
        <v>606</v>
      </c>
      <c r="U87" t="s">
        <v>607</v>
      </c>
    </row>
    <row r="88" spans="1:21" x14ac:dyDescent="0.25">
      <c r="A88">
        <v>151</v>
      </c>
      <c r="B88">
        <v>1</v>
      </c>
      <c r="C88" t="s">
        <v>3</v>
      </c>
      <c r="D88" t="s">
        <v>104</v>
      </c>
      <c r="E88" t="s">
        <v>105</v>
      </c>
      <c r="F88" t="s">
        <v>105</v>
      </c>
      <c r="G88" t="s">
        <v>105</v>
      </c>
      <c r="H88" t="s">
        <v>3</v>
      </c>
      <c r="I88" t="s">
        <v>105</v>
      </c>
      <c r="J88" t="s">
        <v>105</v>
      </c>
      <c r="K88" t="s">
        <v>3</v>
      </c>
      <c r="L88" t="s">
        <v>3</v>
      </c>
      <c r="M88" t="s">
        <v>3</v>
      </c>
      <c r="N88" t="s">
        <v>104</v>
      </c>
      <c r="O88" t="s">
        <v>105</v>
      </c>
      <c r="P88" t="s">
        <v>3</v>
      </c>
      <c r="Q88" t="s">
        <v>3</v>
      </c>
      <c r="R88" t="s">
        <v>3</v>
      </c>
      <c r="S88" t="s">
        <v>605</v>
      </c>
      <c r="T88" t="s">
        <v>606</v>
      </c>
      <c r="U88" t="s">
        <v>607</v>
      </c>
    </row>
    <row r="89" spans="1:21" x14ac:dyDescent="0.25">
      <c r="A89">
        <v>154</v>
      </c>
      <c r="B89">
        <v>1</v>
      </c>
      <c r="C89" t="s">
        <v>3</v>
      </c>
      <c r="D89" t="s">
        <v>104</v>
      </c>
      <c r="E89" t="s">
        <v>105</v>
      </c>
      <c r="F89" t="s">
        <v>105</v>
      </c>
      <c r="G89" t="s">
        <v>105</v>
      </c>
      <c r="H89" t="s">
        <v>3</v>
      </c>
      <c r="I89" t="s">
        <v>105</v>
      </c>
      <c r="J89" t="s">
        <v>105</v>
      </c>
      <c r="K89" t="s">
        <v>3</v>
      </c>
      <c r="L89" t="s">
        <v>3</v>
      </c>
      <c r="M89" t="s">
        <v>3</v>
      </c>
      <c r="N89" t="s">
        <v>104</v>
      </c>
      <c r="O89" t="s">
        <v>105</v>
      </c>
      <c r="P89" t="s">
        <v>3</v>
      </c>
      <c r="Q89" t="s">
        <v>3</v>
      </c>
      <c r="R89" t="s">
        <v>3</v>
      </c>
      <c r="S89" t="s">
        <v>605</v>
      </c>
      <c r="T89" t="s">
        <v>606</v>
      </c>
      <c r="U89" t="s">
        <v>607</v>
      </c>
    </row>
    <row r="90" spans="1:21" x14ac:dyDescent="0.25">
      <c r="A90">
        <v>155</v>
      </c>
      <c r="B90">
        <v>1</v>
      </c>
      <c r="C90" t="s">
        <v>3</v>
      </c>
      <c r="D90" t="s">
        <v>104</v>
      </c>
      <c r="E90" t="s">
        <v>105</v>
      </c>
      <c r="F90" t="s">
        <v>105</v>
      </c>
      <c r="G90" t="s">
        <v>105</v>
      </c>
      <c r="H90" t="s">
        <v>3</v>
      </c>
      <c r="I90" t="s">
        <v>105</v>
      </c>
      <c r="J90" t="s">
        <v>105</v>
      </c>
      <c r="K90" t="s">
        <v>3</v>
      </c>
      <c r="L90" t="s">
        <v>3</v>
      </c>
      <c r="M90" t="s">
        <v>3</v>
      </c>
      <c r="N90" t="s">
        <v>104</v>
      </c>
      <c r="O90" t="s">
        <v>105</v>
      </c>
      <c r="P90" t="s">
        <v>3</v>
      </c>
      <c r="Q90" t="s">
        <v>3</v>
      </c>
      <c r="R90" t="s">
        <v>3</v>
      </c>
      <c r="S90" t="s">
        <v>605</v>
      </c>
      <c r="T90" t="s">
        <v>606</v>
      </c>
      <c r="U90" t="s">
        <v>607</v>
      </c>
    </row>
    <row r="91" spans="1:21" x14ac:dyDescent="0.25">
      <c r="A91">
        <v>158</v>
      </c>
      <c r="B91">
        <v>1</v>
      </c>
      <c r="C91" t="s">
        <v>3</v>
      </c>
      <c r="D91" t="s">
        <v>104</v>
      </c>
      <c r="E91" t="s">
        <v>105</v>
      </c>
      <c r="F91" t="s">
        <v>105</v>
      </c>
      <c r="G91" t="s">
        <v>105</v>
      </c>
      <c r="H91" t="s">
        <v>3</v>
      </c>
      <c r="I91" t="s">
        <v>105</v>
      </c>
      <c r="J91" t="s">
        <v>105</v>
      </c>
      <c r="K91" t="s">
        <v>3</v>
      </c>
      <c r="L91" t="s">
        <v>3</v>
      </c>
      <c r="M91" t="s">
        <v>3</v>
      </c>
      <c r="N91" t="s">
        <v>104</v>
      </c>
      <c r="O91" t="s">
        <v>105</v>
      </c>
      <c r="P91" t="s">
        <v>3</v>
      </c>
      <c r="Q91" t="s">
        <v>3</v>
      </c>
      <c r="R91" t="s">
        <v>3</v>
      </c>
      <c r="S91" t="s">
        <v>605</v>
      </c>
      <c r="T91" t="s">
        <v>606</v>
      </c>
      <c r="U91" t="s">
        <v>607</v>
      </c>
    </row>
    <row r="92" spans="1:21" x14ac:dyDescent="0.25">
      <c r="A92">
        <v>159</v>
      </c>
      <c r="B92">
        <v>1</v>
      </c>
      <c r="C92" t="s">
        <v>3</v>
      </c>
      <c r="D92" t="s">
        <v>104</v>
      </c>
      <c r="E92" t="s">
        <v>105</v>
      </c>
      <c r="F92" t="s">
        <v>105</v>
      </c>
      <c r="G92" t="s">
        <v>105</v>
      </c>
      <c r="H92" t="s">
        <v>3</v>
      </c>
      <c r="I92" t="s">
        <v>105</v>
      </c>
      <c r="J92" t="s">
        <v>105</v>
      </c>
      <c r="K92" t="s">
        <v>3</v>
      </c>
      <c r="L92" t="s">
        <v>3</v>
      </c>
      <c r="M92" t="s">
        <v>3</v>
      </c>
      <c r="N92" t="s">
        <v>104</v>
      </c>
      <c r="O92" t="s">
        <v>105</v>
      </c>
      <c r="P92" t="s">
        <v>3</v>
      </c>
      <c r="Q92" t="s">
        <v>3</v>
      </c>
      <c r="R92" t="s">
        <v>3</v>
      </c>
      <c r="S92" t="s">
        <v>605</v>
      </c>
      <c r="T92" t="s">
        <v>606</v>
      </c>
      <c r="U92" t="s">
        <v>607</v>
      </c>
    </row>
    <row r="93" spans="1:21" x14ac:dyDescent="0.25">
      <c r="A93">
        <v>201</v>
      </c>
      <c r="B93">
        <v>1</v>
      </c>
      <c r="C93" t="s">
        <v>3</v>
      </c>
      <c r="D93" t="s">
        <v>104</v>
      </c>
      <c r="E93" t="s">
        <v>105</v>
      </c>
      <c r="F93" t="s">
        <v>105</v>
      </c>
      <c r="G93" t="s">
        <v>105</v>
      </c>
      <c r="H93" t="s">
        <v>3</v>
      </c>
      <c r="I93" t="s">
        <v>105</v>
      </c>
      <c r="J93" t="s">
        <v>105</v>
      </c>
      <c r="K93" t="s">
        <v>3</v>
      </c>
      <c r="L93" t="s">
        <v>3</v>
      </c>
      <c r="M93" t="s">
        <v>3</v>
      </c>
      <c r="N93" t="s">
        <v>104</v>
      </c>
      <c r="O93" t="s">
        <v>105</v>
      </c>
      <c r="P93" t="s">
        <v>3</v>
      </c>
      <c r="Q93" t="s">
        <v>3</v>
      </c>
      <c r="R93" t="s">
        <v>3</v>
      </c>
      <c r="S93" t="s">
        <v>605</v>
      </c>
      <c r="T93" t="s">
        <v>606</v>
      </c>
      <c r="U93" t="s">
        <v>607</v>
      </c>
    </row>
    <row r="94" spans="1:21" x14ac:dyDescent="0.25">
      <c r="A94">
        <v>202</v>
      </c>
      <c r="B94">
        <v>1</v>
      </c>
      <c r="C94" t="s">
        <v>3</v>
      </c>
      <c r="D94" t="s">
        <v>104</v>
      </c>
      <c r="E94" t="s">
        <v>105</v>
      </c>
      <c r="F94" t="s">
        <v>105</v>
      </c>
      <c r="G94" t="s">
        <v>105</v>
      </c>
      <c r="H94" t="s">
        <v>3</v>
      </c>
      <c r="I94" t="s">
        <v>105</v>
      </c>
      <c r="J94" t="s">
        <v>105</v>
      </c>
      <c r="K94" t="s">
        <v>3</v>
      </c>
      <c r="L94" t="s">
        <v>3</v>
      </c>
      <c r="M94" t="s">
        <v>3</v>
      </c>
      <c r="N94" t="s">
        <v>104</v>
      </c>
      <c r="O94" t="s">
        <v>105</v>
      </c>
      <c r="P94" t="s">
        <v>3</v>
      </c>
      <c r="Q94" t="s">
        <v>3</v>
      </c>
      <c r="R94" t="s">
        <v>3</v>
      </c>
      <c r="S94" t="s">
        <v>605</v>
      </c>
      <c r="T94" t="s">
        <v>606</v>
      </c>
      <c r="U94" t="s">
        <v>607</v>
      </c>
    </row>
    <row r="95" spans="1:21" x14ac:dyDescent="0.25">
      <c r="A95">
        <v>207</v>
      </c>
      <c r="B95">
        <v>1</v>
      </c>
      <c r="C95" t="s">
        <v>3</v>
      </c>
      <c r="D95" t="s">
        <v>104</v>
      </c>
      <c r="E95" t="s">
        <v>105</v>
      </c>
      <c r="F95" t="s">
        <v>105</v>
      </c>
      <c r="G95" t="s">
        <v>105</v>
      </c>
      <c r="H95" t="s">
        <v>3</v>
      </c>
      <c r="I95" t="s">
        <v>105</v>
      </c>
      <c r="J95" t="s">
        <v>105</v>
      </c>
      <c r="K95" t="s">
        <v>3</v>
      </c>
      <c r="L95" t="s">
        <v>3</v>
      </c>
      <c r="M95" t="s">
        <v>3</v>
      </c>
      <c r="N95" t="s">
        <v>104</v>
      </c>
      <c r="O95" t="s">
        <v>105</v>
      </c>
      <c r="P95" t="s">
        <v>3</v>
      </c>
      <c r="Q95" t="s">
        <v>3</v>
      </c>
      <c r="R95" t="s">
        <v>3</v>
      </c>
      <c r="S95" t="s">
        <v>605</v>
      </c>
      <c r="T95" t="s">
        <v>606</v>
      </c>
      <c r="U95" t="s">
        <v>607</v>
      </c>
    </row>
    <row r="96" spans="1:21" x14ac:dyDescent="0.25">
      <c r="A96">
        <v>208</v>
      </c>
      <c r="B96">
        <v>1</v>
      </c>
      <c r="C96" t="s">
        <v>3</v>
      </c>
      <c r="D96" t="s">
        <v>104</v>
      </c>
      <c r="E96" t="s">
        <v>105</v>
      </c>
      <c r="F96" t="s">
        <v>105</v>
      </c>
      <c r="G96" t="s">
        <v>105</v>
      </c>
      <c r="H96" t="s">
        <v>3</v>
      </c>
      <c r="I96" t="s">
        <v>105</v>
      </c>
      <c r="J96" t="s">
        <v>105</v>
      </c>
      <c r="K96" t="s">
        <v>3</v>
      </c>
      <c r="L96" t="s">
        <v>3</v>
      </c>
      <c r="M96" t="s">
        <v>3</v>
      </c>
      <c r="N96" t="s">
        <v>104</v>
      </c>
      <c r="O96" t="s">
        <v>105</v>
      </c>
      <c r="P96" t="s">
        <v>3</v>
      </c>
      <c r="Q96" t="s">
        <v>3</v>
      </c>
      <c r="R96" t="s">
        <v>3</v>
      </c>
      <c r="S96" t="s">
        <v>605</v>
      </c>
      <c r="T96" t="s">
        <v>606</v>
      </c>
      <c r="U96" t="s">
        <v>607</v>
      </c>
    </row>
    <row r="97" spans="1:21" x14ac:dyDescent="0.25">
      <c r="A97">
        <v>213</v>
      </c>
      <c r="B97">
        <v>1</v>
      </c>
      <c r="C97" t="s">
        <v>3</v>
      </c>
      <c r="D97" t="s">
        <v>104</v>
      </c>
      <c r="E97" t="s">
        <v>105</v>
      </c>
      <c r="F97" t="s">
        <v>105</v>
      </c>
      <c r="G97" t="s">
        <v>105</v>
      </c>
      <c r="H97" t="s">
        <v>3</v>
      </c>
      <c r="I97" t="s">
        <v>105</v>
      </c>
      <c r="J97" t="s">
        <v>105</v>
      </c>
      <c r="K97" t="s">
        <v>3</v>
      </c>
      <c r="L97" t="s">
        <v>3</v>
      </c>
      <c r="M97" t="s">
        <v>3</v>
      </c>
      <c r="N97" t="s">
        <v>104</v>
      </c>
      <c r="O97" t="s">
        <v>105</v>
      </c>
      <c r="P97" t="s">
        <v>3</v>
      </c>
      <c r="Q97" t="s">
        <v>3</v>
      </c>
      <c r="R97" t="s">
        <v>3</v>
      </c>
      <c r="S97" t="s">
        <v>605</v>
      </c>
      <c r="T97" t="s">
        <v>606</v>
      </c>
      <c r="U97" t="s">
        <v>607</v>
      </c>
    </row>
    <row r="98" spans="1:21" x14ac:dyDescent="0.25">
      <c r="A98">
        <v>214</v>
      </c>
      <c r="B98">
        <v>1</v>
      </c>
      <c r="C98" t="s">
        <v>3</v>
      </c>
      <c r="D98" t="s">
        <v>104</v>
      </c>
      <c r="E98" t="s">
        <v>105</v>
      </c>
      <c r="F98" t="s">
        <v>105</v>
      </c>
      <c r="G98" t="s">
        <v>105</v>
      </c>
      <c r="H98" t="s">
        <v>3</v>
      </c>
      <c r="I98" t="s">
        <v>105</v>
      </c>
      <c r="J98" t="s">
        <v>105</v>
      </c>
      <c r="K98" t="s">
        <v>3</v>
      </c>
      <c r="L98" t="s">
        <v>3</v>
      </c>
      <c r="M98" t="s">
        <v>3</v>
      </c>
      <c r="N98" t="s">
        <v>104</v>
      </c>
      <c r="O98" t="s">
        <v>105</v>
      </c>
      <c r="P98" t="s">
        <v>3</v>
      </c>
      <c r="Q98" t="s">
        <v>3</v>
      </c>
      <c r="R98" t="s">
        <v>3</v>
      </c>
      <c r="S98" t="s">
        <v>605</v>
      </c>
      <c r="T98" t="s">
        <v>606</v>
      </c>
      <c r="U98" t="s">
        <v>607</v>
      </c>
    </row>
    <row r="99" spans="1:21" x14ac:dyDescent="0.25">
      <c r="A99">
        <v>217</v>
      </c>
      <c r="B99">
        <v>1</v>
      </c>
      <c r="C99" t="s">
        <v>3</v>
      </c>
      <c r="D99" t="s">
        <v>104</v>
      </c>
      <c r="E99" t="s">
        <v>105</v>
      </c>
      <c r="F99" t="s">
        <v>105</v>
      </c>
      <c r="G99" t="s">
        <v>105</v>
      </c>
      <c r="H99" t="s">
        <v>3</v>
      </c>
      <c r="I99" t="s">
        <v>105</v>
      </c>
      <c r="J99" t="s">
        <v>105</v>
      </c>
      <c r="K99" t="s">
        <v>3</v>
      </c>
      <c r="L99" t="s">
        <v>3</v>
      </c>
      <c r="M99" t="s">
        <v>3</v>
      </c>
      <c r="N99" t="s">
        <v>104</v>
      </c>
      <c r="O99" t="s">
        <v>105</v>
      </c>
      <c r="P99" t="s">
        <v>3</v>
      </c>
      <c r="Q99" t="s">
        <v>3</v>
      </c>
      <c r="R99" t="s">
        <v>3</v>
      </c>
      <c r="S99" t="s">
        <v>605</v>
      </c>
      <c r="T99" t="s">
        <v>606</v>
      </c>
      <c r="U99" t="s">
        <v>607</v>
      </c>
    </row>
    <row r="100" spans="1:21" x14ac:dyDescent="0.25">
      <c r="A100">
        <v>218</v>
      </c>
      <c r="B100">
        <v>1</v>
      </c>
      <c r="C100" t="s">
        <v>3</v>
      </c>
      <c r="D100" t="s">
        <v>104</v>
      </c>
      <c r="E100" t="s">
        <v>105</v>
      </c>
      <c r="F100" t="s">
        <v>105</v>
      </c>
      <c r="G100" t="s">
        <v>105</v>
      </c>
      <c r="H100" t="s">
        <v>3</v>
      </c>
      <c r="I100" t="s">
        <v>105</v>
      </c>
      <c r="J100" t="s">
        <v>105</v>
      </c>
      <c r="K100" t="s">
        <v>3</v>
      </c>
      <c r="L100" t="s">
        <v>3</v>
      </c>
      <c r="M100" t="s">
        <v>3</v>
      </c>
      <c r="N100" t="s">
        <v>104</v>
      </c>
      <c r="O100" t="s">
        <v>105</v>
      </c>
      <c r="P100" t="s">
        <v>3</v>
      </c>
      <c r="Q100" t="s">
        <v>3</v>
      </c>
      <c r="R100" t="s">
        <v>3</v>
      </c>
      <c r="S100" t="s">
        <v>605</v>
      </c>
      <c r="T100" t="s">
        <v>606</v>
      </c>
      <c r="U100" t="s">
        <v>607</v>
      </c>
    </row>
    <row r="101" spans="1:21" x14ac:dyDescent="0.25">
      <c r="A101">
        <v>221</v>
      </c>
      <c r="B101">
        <v>1</v>
      </c>
      <c r="C101" t="s">
        <v>3</v>
      </c>
      <c r="D101" t="s">
        <v>104</v>
      </c>
      <c r="E101" t="s">
        <v>105</v>
      </c>
      <c r="F101" t="s">
        <v>105</v>
      </c>
      <c r="G101" t="s">
        <v>105</v>
      </c>
      <c r="H101" t="s">
        <v>3</v>
      </c>
      <c r="I101" t="s">
        <v>105</v>
      </c>
      <c r="J101" t="s">
        <v>105</v>
      </c>
      <c r="K101" t="s">
        <v>3</v>
      </c>
      <c r="L101" t="s">
        <v>3</v>
      </c>
      <c r="M101" t="s">
        <v>3</v>
      </c>
      <c r="N101" t="s">
        <v>104</v>
      </c>
      <c r="O101" t="s">
        <v>105</v>
      </c>
      <c r="P101" t="s">
        <v>3</v>
      </c>
      <c r="Q101" t="s">
        <v>3</v>
      </c>
      <c r="R101" t="s">
        <v>3</v>
      </c>
      <c r="S101" t="s">
        <v>605</v>
      </c>
      <c r="T101" t="s">
        <v>606</v>
      </c>
      <c r="U101" t="s">
        <v>607</v>
      </c>
    </row>
    <row r="102" spans="1:21" x14ac:dyDescent="0.25">
      <c r="A102">
        <v>222</v>
      </c>
      <c r="B102">
        <v>1</v>
      </c>
      <c r="C102" t="s">
        <v>3</v>
      </c>
      <c r="D102" t="s">
        <v>104</v>
      </c>
      <c r="E102" t="s">
        <v>105</v>
      </c>
      <c r="F102" t="s">
        <v>105</v>
      </c>
      <c r="G102" t="s">
        <v>105</v>
      </c>
      <c r="H102" t="s">
        <v>3</v>
      </c>
      <c r="I102" t="s">
        <v>105</v>
      </c>
      <c r="J102" t="s">
        <v>105</v>
      </c>
      <c r="K102" t="s">
        <v>3</v>
      </c>
      <c r="L102" t="s">
        <v>3</v>
      </c>
      <c r="M102" t="s">
        <v>3</v>
      </c>
      <c r="N102" t="s">
        <v>104</v>
      </c>
      <c r="O102" t="s">
        <v>105</v>
      </c>
      <c r="P102" t="s">
        <v>3</v>
      </c>
      <c r="Q102" t="s">
        <v>3</v>
      </c>
      <c r="R102" t="s">
        <v>3</v>
      </c>
      <c r="S102" t="s">
        <v>605</v>
      </c>
      <c r="T102" t="s">
        <v>606</v>
      </c>
      <c r="U102" t="s">
        <v>607</v>
      </c>
    </row>
    <row r="103" spans="1:21" x14ac:dyDescent="0.25">
      <c r="A103">
        <v>225</v>
      </c>
      <c r="B103">
        <v>1</v>
      </c>
      <c r="C103" t="s">
        <v>3</v>
      </c>
      <c r="D103" t="s">
        <v>104</v>
      </c>
      <c r="E103" t="s">
        <v>105</v>
      </c>
      <c r="F103" t="s">
        <v>105</v>
      </c>
      <c r="G103" t="s">
        <v>105</v>
      </c>
      <c r="H103" t="s">
        <v>3</v>
      </c>
      <c r="I103" t="s">
        <v>105</v>
      </c>
      <c r="J103" t="s">
        <v>105</v>
      </c>
      <c r="K103" t="s">
        <v>3</v>
      </c>
      <c r="L103" t="s">
        <v>3</v>
      </c>
      <c r="M103" t="s">
        <v>3</v>
      </c>
      <c r="N103" t="s">
        <v>104</v>
      </c>
      <c r="O103" t="s">
        <v>105</v>
      </c>
      <c r="P103" t="s">
        <v>3</v>
      </c>
      <c r="Q103" t="s">
        <v>3</v>
      </c>
      <c r="R103" t="s">
        <v>3</v>
      </c>
      <c r="S103" t="s">
        <v>605</v>
      </c>
      <c r="T103" t="s">
        <v>606</v>
      </c>
      <c r="U103" t="s">
        <v>607</v>
      </c>
    </row>
    <row r="104" spans="1:21" x14ac:dyDescent="0.25">
      <c r="A104">
        <v>226</v>
      </c>
      <c r="B104">
        <v>1</v>
      </c>
      <c r="C104" t="s">
        <v>3</v>
      </c>
      <c r="D104" t="s">
        <v>104</v>
      </c>
      <c r="E104" t="s">
        <v>105</v>
      </c>
      <c r="F104" t="s">
        <v>105</v>
      </c>
      <c r="G104" t="s">
        <v>105</v>
      </c>
      <c r="H104" t="s">
        <v>3</v>
      </c>
      <c r="I104" t="s">
        <v>105</v>
      </c>
      <c r="J104" t="s">
        <v>105</v>
      </c>
      <c r="K104" t="s">
        <v>3</v>
      </c>
      <c r="L104" t="s">
        <v>3</v>
      </c>
      <c r="M104" t="s">
        <v>3</v>
      </c>
      <c r="N104" t="s">
        <v>104</v>
      </c>
      <c r="O104" t="s">
        <v>105</v>
      </c>
      <c r="P104" t="s">
        <v>3</v>
      </c>
      <c r="Q104" t="s">
        <v>3</v>
      </c>
      <c r="R104" t="s">
        <v>3</v>
      </c>
      <c r="S104" t="s">
        <v>605</v>
      </c>
      <c r="T104" t="s">
        <v>606</v>
      </c>
      <c r="U104" t="s">
        <v>607</v>
      </c>
    </row>
    <row r="105" spans="1:21" x14ac:dyDescent="0.25">
      <c r="A105">
        <v>229</v>
      </c>
      <c r="B105">
        <v>1</v>
      </c>
      <c r="C105" t="s">
        <v>3</v>
      </c>
      <c r="D105" t="s">
        <v>104</v>
      </c>
      <c r="E105" t="s">
        <v>105</v>
      </c>
      <c r="F105" t="s">
        <v>105</v>
      </c>
      <c r="G105" t="s">
        <v>105</v>
      </c>
      <c r="H105" t="s">
        <v>3</v>
      </c>
      <c r="I105" t="s">
        <v>105</v>
      </c>
      <c r="J105" t="s">
        <v>105</v>
      </c>
      <c r="K105" t="s">
        <v>3</v>
      </c>
      <c r="L105" t="s">
        <v>3</v>
      </c>
      <c r="M105" t="s">
        <v>3</v>
      </c>
      <c r="N105" t="s">
        <v>104</v>
      </c>
      <c r="O105" t="s">
        <v>105</v>
      </c>
      <c r="P105" t="s">
        <v>3</v>
      </c>
      <c r="Q105" t="s">
        <v>3</v>
      </c>
      <c r="R105" t="s">
        <v>3</v>
      </c>
      <c r="S105" t="s">
        <v>605</v>
      </c>
      <c r="T105" t="s">
        <v>606</v>
      </c>
      <c r="U105" t="s">
        <v>607</v>
      </c>
    </row>
    <row r="106" spans="1:21" x14ac:dyDescent="0.25">
      <c r="A106">
        <v>230</v>
      </c>
      <c r="B106">
        <v>1</v>
      </c>
      <c r="C106" t="s">
        <v>3</v>
      </c>
      <c r="D106" t="s">
        <v>104</v>
      </c>
      <c r="E106" t="s">
        <v>105</v>
      </c>
      <c r="F106" t="s">
        <v>105</v>
      </c>
      <c r="G106" t="s">
        <v>105</v>
      </c>
      <c r="H106" t="s">
        <v>3</v>
      </c>
      <c r="I106" t="s">
        <v>105</v>
      </c>
      <c r="J106" t="s">
        <v>105</v>
      </c>
      <c r="K106" t="s">
        <v>3</v>
      </c>
      <c r="L106" t="s">
        <v>3</v>
      </c>
      <c r="M106" t="s">
        <v>3</v>
      </c>
      <c r="N106" t="s">
        <v>104</v>
      </c>
      <c r="O106" t="s">
        <v>105</v>
      </c>
      <c r="P106" t="s">
        <v>3</v>
      </c>
      <c r="Q106" t="s">
        <v>3</v>
      </c>
      <c r="R106" t="s">
        <v>3</v>
      </c>
      <c r="S106" t="s">
        <v>605</v>
      </c>
      <c r="T106" t="s">
        <v>606</v>
      </c>
      <c r="U106" t="s">
        <v>607</v>
      </c>
    </row>
    <row r="107" spans="1:21" x14ac:dyDescent="0.25">
      <c r="A107">
        <v>235</v>
      </c>
      <c r="B107">
        <v>1</v>
      </c>
      <c r="C107" t="s">
        <v>3</v>
      </c>
      <c r="D107" t="s">
        <v>104</v>
      </c>
      <c r="E107" t="s">
        <v>105</v>
      </c>
      <c r="F107" t="s">
        <v>105</v>
      </c>
      <c r="G107" t="s">
        <v>105</v>
      </c>
      <c r="H107" t="s">
        <v>3</v>
      </c>
      <c r="I107" t="s">
        <v>105</v>
      </c>
      <c r="J107" t="s">
        <v>105</v>
      </c>
      <c r="K107" t="s">
        <v>3</v>
      </c>
      <c r="L107" t="s">
        <v>3</v>
      </c>
      <c r="M107" t="s">
        <v>3</v>
      </c>
      <c r="N107" t="s">
        <v>104</v>
      </c>
      <c r="O107" t="s">
        <v>105</v>
      </c>
      <c r="P107" t="s">
        <v>3</v>
      </c>
      <c r="Q107" t="s">
        <v>3</v>
      </c>
      <c r="R107" t="s">
        <v>3</v>
      </c>
      <c r="S107" t="s">
        <v>605</v>
      </c>
      <c r="T107" t="s">
        <v>606</v>
      </c>
      <c r="U107" t="s">
        <v>607</v>
      </c>
    </row>
    <row r="108" spans="1:21" x14ac:dyDescent="0.25">
      <c r="A108">
        <v>236</v>
      </c>
      <c r="B108">
        <v>1</v>
      </c>
      <c r="C108" t="s">
        <v>3</v>
      </c>
      <c r="D108" t="s">
        <v>104</v>
      </c>
      <c r="E108" t="s">
        <v>105</v>
      </c>
      <c r="F108" t="s">
        <v>105</v>
      </c>
      <c r="G108" t="s">
        <v>105</v>
      </c>
      <c r="H108" t="s">
        <v>3</v>
      </c>
      <c r="I108" t="s">
        <v>105</v>
      </c>
      <c r="J108" t="s">
        <v>105</v>
      </c>
      <c r="K108" t="s">
        <v>3</v>
      </c>
      <c r="L108" t="s">
        <v>3</v>
      </c>
      <c r="M108" t="s">
        <v>3</v>
      </c>
      <c r="N108" t="s">
        <v>104</v>
      </c>
      <c r="O108" t="s">
        <v>105</v>
      </c>
      <c r="P108" t="s">
        <v>3</v>
      </c>
      <c r="Q108" t="s">
        <v>3</v>
      </c>
      <c r="R108" t="s">
        <v>3</v>
      </c>
      <c r="S108" t="s">
        <v>605</v>
      </c>
      <c r="T108" t="s">
        <v>606</v>
      </c>
      <c r="U108" t="s">
        <v>607</v>
      </c>
    </row>
    <row r="109" spans="1:21" x14ac:dyDescent="0.25">
      <c r="A109">
        <v>315</v>
      </c>
      <c r="B109">
        <v>1</v>
      </c>
      <c r="C109" t="s">
        <v>3</v>
      </c>
      <c r="D109" t="s">
        <v>104</v>
      </c>
      <c r="E109" t="s">
        <v>105</v>
      </c>
      <c r="F109" t="s">
        <v>105</v>
      </c>
      <c r="G109" t="s">
        <v>105</v>
      </c>
      <c r="H109" t="s">
        <v>3</v>
      </c>
      <c r="I109" t="s">
        <v>105</v>
      </c>
      <c r="J109" t="s">
        <v>105</v>
      </c>
      <c r="K109" t="s">
        <v>3</v>
      </c>
      <c r="L109" t="s">
        <v>3</v>
      </c>
      <c r="M109" t="s">
        <v>3</v>
      </c>
      <c r="N109" t="s">
        <v>104</v>
      </c>
      <c r="O109" t="s">
        <v>105</v>
      </c>
      <c r="P109" t="s">
        <v>3</v>
      </c>
      <c r="Q109" t="s">
        <v>3</v>
      </c>
      <c r="R109" t="s">
        <v>3</v>
      </c>
      <c r="S109" t="s">
        <v>605</v>
      </c>
      <c r="T109" t="s">
        <v>606</v>
      </c>
      <c r="U109" t="s">
        <v>607</v>
      </c>
    </row>
    <row r="110" spans="1:21" x14ac:dyDescent="0.25">
      <c r="A110">
        <v>316</v>
      </c>
      <c r="B110">
        <v>1</v>
      </c>
      <c r="C110" t="s">
        <v>3</v>
      </c>
      <c r="D110" t="s">
        <v>104</v>
      </c>
      <c r="E110" t="s">
        <v>105</v>
      </c>
      <c r="F110" t="s">
        <v>105</v>
      </c>
      <c r="G110" t="s">
        <v>105</v>
      </c>
      <c r="H110" t="s">
        <v>3</v>
      </c>
      <c r="I110" t="s">
        <v>105</v>
      </c>
      <c r="J110" t="s">
        <v>105</v>
      </c>
      <c r="K110" t="s">
        <v>3</v>
      </c>
      <c r="L110" t="s">
        <v>3</v>
      </c>
      <c r="M110" t="s">
        <v>3</v>
      </c>
      <c r="N110" t="s">
        <v>104</v>
      </c>
      <c r="O110" t="s">
        <v>105</v>
      </c>
      <c r="P110" t="s">
        <v>3</v>
      </c>
      <c r="Q110" t="s">
        <v>3</v>
      </c>
      <c r="R110" t="s">
        <v>3</v>
      </c>
      <c r="S110" t="s">
        <v>605</v>
      </c>
      <c r="T110" t="s">
        <v>606</v>
      </c>
      <c r="U110" t="s">
        <v>607</v>
      </c>
    </row>
    <row r="111" spans="1:21" x14ac:dyDescent="0.25">
      <c r="A111">
        <v>319</v>
      </c>
      <c r="B111">
        <v>1</v>
      </c>
      <c r="C111" t="s">
        <v>3</v>
      </c>
      <c r="D111" t="s">
        <v>104</v>
      </c>
      <c r="E111" t="s">
        <v>105</v>
      </c>
      <c r="F111" t="s">
        <v>105</v>
      </c>
      <c r="G111" t="s">
        <v>105</v>
      </c>
      <c r="H111" t="s">
        <v>3</v>
      </c>
      <c r="I111" t="s">
        <v>105</v>
      </c>
      <c r="J111" t="s">
        <v>105</v>
      </c>
      <c r="K111" t="s">
        <v>3</v>
      </c>
      <c r="L111" t="s">
        <v>3</v>
      </c>
      <c r="M111" t="s">
        <v>3</v>
      </c>
      <c r="N111" t="s">
        <v>104</v>
      </c>
      <c r="O111" t="s">
        <v>105</v>
      </c>
      <c r="P111" t="s">
        <v>3</v>
      </c>
      <c r="Q111" t="s">
        <v>3</v>
      </c>
      <c r="R111" t="s">
        <v>3</v>
      </c>
      <c r="S111" t="s">
        <v>605</v>
      </c>
      <c r="T111" t="s">
        <v>606</v>
      </c>
      <c r="U111" t="s">
        <v>607</v>
      </c>
    </row>
    <row r="112" spans="1:21" x14ac:dyDescent="0.25">
      <c r="A112">
        <v>320</v>
      </c>
      <c r="B112">
        <v>1</v>
      </c>
      <c r="C112" t="s">
        <v>3</v>
      </c>
      <c r="D112" t="s">
        <v>104</v>
      </c>
      <c r="E112" t="s">
        <v>105</v>
      </c>
      <c r="F112" t="s">
        <v>105</v>
      </c>
      <c r="G112" t="s">
        <v>105</v>
      </c>
      <c r="H112" t="s">
        <v>3</v>
      </c>
      <c r="I112" t="s">
        <v>105</v>
      </c>
      <c r="J112" t="s">
        <v>105</v>
      </c>
      <c r="K112" t="s">
        <v>3</v>
      </c>
      <c r="L112" t="s">
        <v>3</v>
      </c>
      <c r="M112" t="s">
        <v>3</v>
      </c>
      <c r="N112" t="s">
        <v>104</v>
      </c>
      <c r="O112" t="s">
        <v>105</v>
      </c>
      <c r="P112" t="s">
        <v>3</v>
      </c>
      <c r="Q112" t="s">
        <v>3</v>
      </c>
      <c r="R112" t="s">
        <v>3</v>
      </c>
      <c r="S112" t="s">
        <v>605</v>
      </c>
      <c r="T112" t="s">
        <v>606</v>
      </c>
      <c r="U112" t="s">
        <v>607</v>
      </c>
    </row>
    <row r="113" spans="1:21" x14ac:dyDescent="0.25">
      <c r="A113">
        <v>323</v>
      </c>
      <c r="B113">
        <v>1</v>
      </c>
      <c r="C113" t="s">
        <v>3</v>
      </c>
      <c r="D113" t="s">
        <v>104</v>
      </c>
      <c r="E113" t="s">
        <v>105</v>
      </c>
      <c r="F113" t="s">
        <v>105</v>
      </c>
      <c r="G113" t="s">
        <v>105</v>
      </c>
      <c r="H113" t="s">
        <v>3</v>
      </c>
      <c r="I113" t="s">
        <v>105</v>
      </c>
      <c r="J113" t="s">
        <v>105</v>
      </c>
      <c r="K113" t="s">
        <v>3</v>
      </c>
      <c r="L113" t="s">
        <v>3</v>
      </c>
      <c r="M113" t="s">
        <v>3</v>
      </c>
      <c r="N113" t="s">
        <v>104</v>
      </c>
      <c r="O113" t="s">
        <v>105</v>
      </c>
      <c r="P113" t="s">
        <v>3</v>
      </c>
      <c r="Q113" t="s">
        <v>3</v>
      </c>
      <c r="R113" t="s">
        <v>3</v>
      </c>
      <c r="S113" t="s">
        <v>605</v>
      </c>
      <c r="T113" t="s">
        <v>606</v>
      </c>
      <c r="U113" t="s">
        <v>607</v>
      </c>
    </row>
    <row r="114" spans="1:21" x14ac:dyDescent="0.25">
      <c r="A114">
        <v>324</v>
      </c>
      <c r="B114">
        <v>1</v>
      </c>
      <c r="C114" t="s">
        <v>3</v>
      </c>
      <c r="D114" t="s">
        <v>104</v>
      </c>
      <c r="E114" t="s">
        <v>105</v>
      </c>
      <c r="F114" t="s">
        <v>105</v>
      </c>
      <c r="G114" t="s">
        <v>105</v>
      </c>
      <c r="H114" t="s">
        <v>3</v>
      </c>
      <c r="I114" t="s">
        <v>105</v>
      </c>
      <c r="J114" t="s">
        <v>105</v>
      </c>
      <c r="K114" t="s">
        <v>3</v>
      </c>
      <c r="L114" t="s">
        <v>3</v>
      </c>
      <c r="M114" t="s">
        <v>3</v>
      </c>
      <c r="N114" t="s">
        <v>104</v>
      </c>
      <c r="O114" t="s">
        <v>105</v>
      </c>
      <c r="P114" t="s">
        <v>3</v>
      </c>
      <c r="Q114" t="s">
        <v>3</v>
      </c>
      <c r="R114" t="s">
        <v>3</v>
      </c>
      <c r="S114" t="s">
        <v>605</v>
      </c>
      <c r="T114" t="s">
        <v>606</v>
      </c>
      <c r="U114" t="s">
        <v>607</v>
      </c>
    </row>
    <row r="115" spans="1:21" x14ac:dyDescent="0.25">
      <c r="A115">
        <v>329</v>
      </c>
      <c r="B115">
        <v>1</v>
      </c>
      <c r="C115" t="s">
        <v>3</v>
      </c>
      <c r="D115" t="s">
        <v>104</v>
      </c>
      <c r="E115" t="s">
        <v>105</v>
      </c>
      <c r="F115" t="s">
        <v>105</v>
      </c>
      <c r="G115" t="s">
        <v>105</v>
      </c>
      <c r="H115" t="s">
        <v>3</v>
      </c>
      <c r="I115" t="s">
        <v>105</v>
      </c>
      <c r="J115" t="s">
        <v>105</v>
      </c>
      <c r="K115" t="s">
        <v>3</v>
      </c>
      <c r="L115" t="s">
        <v>3</v>
      </c>
      <c r="M115" t="s">
        <v>3</v>
      </c>
      <c r="N115" t="s">
        <v>104</v>
      </c>
      <c r="O115" t="s">
        <v>105</v>
      </c>
      <c r="P115" t="s">
        <v>3</v>
      </c>
      <c r="Q115" t="s">
        <v>3</v>
      </c>
      <c r="R115" t="s">
        <v>3</v>
      </c>
      <c r="S115" t="s">
        <v>605</v>
      </c>
      <c r="T115" t="s">
        <v>606</v>
      </c>
      <c r="U115" t="s">
        <v>607</v>
      </c>
    </row>
    <row r="116" spans="1:21" x14ac:dyDescent="0.25">
      <c r="A116">
        <v>330</v>
      </c>
      <c r="B116">
        <v>1</v>
      </c>
      <c r="C116" t="s">
        <v>3</v>
      </c>
      <c r="D116" t="s">
        <v>104</v>
      </c>
      <c r="E116" t="s">
        <v>105</v>
      </c>
      <c r="F116" t="s">
        <v>105</v>
      </c>
      <c r="G116" t="s">
        <v>105</v>
      </c>
      <c r="H116" t="s">
        <v>3</v>
      </c>
      <c r="I116" t="s">
        <v>105</v>
      </c>
      <c r="J116" t="s">
        <v>105</v>
      </c>
      <c r="K116" t="s">
        <v>3</v>
      </c>
      <c r="L116" t="s">
        <v>3</v>
      </c>
      <c r="M116" t="s">
        <v>3</v>
      </c>
      <c r="N116" t="s">
        <v>104</v>
      </c>
      <c r="O116" t="s">
        <v>105</v>
      </c>
      <c r="P116" t="s">
        <v>3</v>
      </c>
      <c r="Q116" t="s">
        <v>3</v>
      </c>
      <c r="R116" t="s">
        <v>3</v>
      </c>
      <c r="S116" t="s">
        <v>605</v>
      </c>
      <c r="T116" t="s">
        <v>606</v>
      </c>
      <c r="U116" t="s">
        <v>607</v>
      </c>
    </row>
    <row r="117" spans="1:21" x14ac:dyDescent="0.25">
      <c r="A117">
        <v>368</v>
      </c>
      <c r="B117">
        <v>1</v>
      </c>
      <c r="C117" t="s">
        <v>3</v>
      </c>
      <c r="D117" t="s">
        <v>104</v>
      </c>
      <c r="E117" t="s">
        <v>105</v>
      </c>
      <c r="F117" t="s">
        <v>105</v>
      </c>
      <c r="G117" t="s">
        <v>105</v>
      </c>
      <c r="H117" t="s">
        <v>3</v>
      </c>
      <c r="I117" t="s">
        <v>105</v>
      </c>
      <c r="J117" t="s">
        <v>105</v>
      </c>
      <c r="K117" t="s">
        <v>3</v>
      </c>
      <c r="L117" t="s">
        <v>3</v>
      </c>
      <c r="M117" t="s">
        <v>3</v>
      </c>
      <c r="N117" t="s">
        <v>104</v>
      </c>
      <c r="O117" t="s">
        <v>105</v>
      </c>
      <c r="P117" t="s">
        <v>3</v>
      </c>
      <c r="Q117" t="s">
        <v>3</v>
      </c>
      <c r="R117" t="s">
        <v>3</v>
      </c>
      <c r="S117" t="s">
        <v>605</v>
      </c>
      <c r="T117" t="s">
        <v>606</v>
      </c>
      <c r="U117" t="s">
        <v>607</v>
      </c>
    </row>
    <row r="118" spans="1:21" x14ac:dyDescent="0.25">
      <c r="A118">
        <v>369</v>
      </c>
      <c r="B118">
        <v>1</v>
      </c>
      <c r="C118" t="s">
        <v>3</v>
      </c>
      <c r="D118" t="s">
        <v>104</v>
      </c>
      <c r="E118" t="s">
        <v>105</v>
      </c>
      <c r="F118" t="s">
        <v>105</v>
      </c>
      <c r="G118" t="s">
        <v>105</v>
      </c>
      <c r="H118" t="s">
        <v>3</v>
      </c>
      <c r="I118" t="s">
        <v>105</v>
      </c>
      <c r="J118" t="s">
        <v>105</v>
      </c>
      <c r="K118" t="s">
        <v>3</v>
      </c>
      <c r="L118" t="s">
        <v>3</v>
      </c>
      <c r="M118" t="s">
        <v>3</v>
      </c>
      <c r="N118" t="s">
        <v>104</v>
      </c>
      <c r="O118" t="s">
        <v>105</v>
      </c>
      <c r="P118" t="s">
        <v>3</v>
      </c>
      <c r="Q118" t="s">
        <v>3</v>
      </c>
      <c r="R118" t="s">
        <v>3</v>
      </c>
      <c r="S118" t="s">
        <v>605</v>
      </c>
      <c r="T118" t="s">
        <v>606</v>
      </c>
      <c r="U118" t="s">
        <v>607</v>
      </c>
    </row>
    <row r="119" spans="1:21" x14ac:dyDescent="0.25">
      <c r="A119">
        <v>374</v>
      </c>
      <c r="B119">
        <v>1</v>
      </c>
      <c r="C119" t="s">
        <v>3</v>
      </c>
      <c r="D119" t="s">
        <v>104</v>
      </c>
      <c r="E119" t="s">
        <v>105</v>
      </c>
      <c r="F119" t="s">
        <v>105</v>
      </c>
      <c r="G119" t="s">
        <v>105</v>
      </c>
      <c r="H119" t="s">
        <v>3</v>
      </c>
      <c r="I119" t="s">
        <v>105</v>
      </c>
      <c r="J119" t="s">
        <v>105</v>
      </c>
      <c r="K119" t="s">
        <v>3</v>
      </c>
      <c r="L119" t="s">
        <v>3</v>
      </c>
      <c r="M119" t="s">
        <v>3</v>
      </c>
      <c r="N119" t="s">
        <v>104</v>
      </c>
      <c r="O119" t="s">
        <v>105</v>
      </c>
      <c r="P119" t="s">
        <v>3</v>
      </c>
      <c r="Q119" t="s">
        <v>3</v>
      </c>
      <c r="R119" t="s">
        <v>3</v>
      </c>
      <c r="S119" t="s">
        <v>605</v>
      </c>
      <c r="T119" t="s">
        <v>606</v>
      </c>
      <c r="U119" t="s">
        <v>607</v>
      </c>
    </row>
    <row r="120" spans="1:21" x14ac:dyDescent="0.25">
      <c r="A120">
        <v>375</v>
      </c>
      <c r="B120">
        <v>1</v>
      </c>
      <c r="C120" t="s">
        <v>3</v>
      </c>
      <c r="D120" t="s">
        <v>104</v>
      </c>
      <c r="E120" t="s">
        <v>105</v>
      </c>
      <c r="F120" t="s">
        <v>105</v>
      </c>
      <c r="G120" t="s">
        <v>105</v>
      </c>
      <c r="H120" t="s">
        <v>3</v>
      </c>
      <c r="I120" t="s">
        <v>105</v>
      </c>
      <c r="J120" t="s">
        <v>105</v>
      </c>
      <c r="K120" t="s">
        <v>3</v>
      </c>
      <c r="L120" t="s">
        <v>3</v>
      </c>
      <c r="M120" t="s">
        <v>3</v>
      </c>
      <c r="N120" t="s">
        <v>104</v>
      </c>
      <c r="O120" t="s">
        <v>105</v>
      </c>
      <c r="P120" t="s">
        <v>3</v>
      </c>
      <c r="Q120" t="s">
        <v>3</v>
      </c>
      <c r="R120" t="s">
        <v>3</v>
      </c>
      <c r="S120" t="s">
        <v>605</v>
      </c>
      <c r="T120" t="s">
        <v>606</v>
      </c>
      <c r="U120" t="s">
        <v>607</v>
      </c>
    </row>
    <row r="121" spans="1:21" x14ac:dyDescent="0.25">
      <c r="A121">
        <v>378</v>
      </c>
      <c r="B121">
        <v>1</v>
      </c>
      <c r="C121" t="s">
        <v>3</v>
      </c>
      <c r="D121" t="s">
        <v>104</v>
      </c>
      <c r="E121" t="s">
        <v>105</v>
      </c>
      <c r="F121" t="s">
        <v>105</v>
      </c>
      <c r="G121" t="s">
        <v>105</v>
      </c>
      <c r="H121" t="s">
        <v>3</v>
      </c>
      <c r="I121" t="s">
        <v>105</v>
      </c>
      <c r="J121" t="s">
        <v>105</v>
      </c>
      <c r="K121" t="s">
        <v>3</v>
      </c>
      <c r="L121" t="s">
        <v>3</v>
      </c>
      <c r="M121" t="s">
        <v>3</v>
      </c>
      <c r="N121" t="s">
        <v>104</v>
      </c>
      <c r="O121" t="s">
        <v>105</v>
      </c>
      <c r="P121" t="s">
        <v>3</v>
      </c>
      <c r="Q121" t="s">
        <v>3</v>
      </c>
      <c r="R121" t="s">
        <v>3</v>
      </c>
      <c r="S121" t="s">
        <v>605</v>
      </c>
      <c r="T121" t="s">
        <v>606</v>
      </c>
      <c r="U121" t="s">
        <v>607</v>
      </c>
    </row>
    <row r="122" spans="1:21" x14ac:dyDescent="0.25">
      <c r="A122">
        <v>379</v>
      </c>
      <c r="B122">
        <v>1</v>
      </c>
      <c r="C122" t="s">
        <v>3</v>
      </c>
      <c r="D122" t="s">
        <v>104</v>
      </c>
      <c r="E122" t="s">
        <v>105</v>
      </c>
      <c r="F122" t="s">
        <v>105</v>
      </c>
      <c r="G122" t="s">
        <v>105</v>
      </c>
      <c r="H122" t="s">
        <v>3</v>
      </c>
      <c r="I122" t="s">
        <v>105</v>
      </c>
      <c r="J122" t="s">
        <v>105</v>
      </c>
      <c r="K122" t="s">
        <v>3</v>
      </c>
      <c r="L122" t="s">
        <v>3</v>
      </c>
      <c r="M122" t="s">
        <v>3</v>
      </c>
      <c r="N122" t="s">
        <v>104</v>
      </c>
      <c r="O122" t="s">
        <v>105</v>
      </c>
      <c r="P122" t="s">
        <v>3</v>
      </c>
      <c r="Q122" t="s">
        <v>3</v>
      </c>
      <c r="R122" t="s">
        <v>3</v>
      </c>
      <c r="S122" t="s">
        <v>605</v>
      </c>
      <c r="T122" t="s">
        <v>606</v>
      </c>
      <c r="U122" t="s">
        <v>607</v>
      </c>
    </row>
    <row r="123" spans="1:21" x14ac:dyDescent="0.25">
      <c r="A123">
        <v>382</v>
      </c>
      <c r="B123">
        <v>1</v>
      </c>
      <c r="C123" t="s">
        <v>3</v>
      </c>
      <c r="D123" t="s">
        <v>104</v>
      </c>
      <c r="E123" t="s">
        <v>105</v>
      </c>
      <c r="F123" t="s">
        <v>105</v>
      </c>
      <c r="G123" t="s">
        <v>105</v>
      </c>
      <c r="H123" t="s">
        <v>3</v>
      </c>
      <c r="I123" t="s">
        <v>105</v>
      </c>
      <c r="J123" t="s">
        <v>105</v>
      </c>
      <c r="K123" t="s">
        <v>3</v>
      </c>
      <c r="L123" t="s">
        <v>3</v>
      </c>
      <c r="M123" t="s">
        <v>3</v>
      </c>
      <c r="N123" t="s">
        <v>104</v>
      </c>
      <c r="O123" t="s">
        <v>105</v>
      </c>
      <c r="P123" t="s">
        <v>3</v>
      </c>
      <c r="Q123" t="s">
        <v>3</v>
      </c>
      <c r="R123" t="s">
        <v>3</v>
      </c>
      <c r="S123" t="s">
        <v>605</v>
      </c>
      <c r="T123" t="s">
        <v>606</v>
      </c>
      <c r="U123" t="s">
        <v>607</v>
      </c>
    </row>
    <row r="124" spans="1:21" x14ac:dyDescent="0.25">
      <c r="A124">
        <v>383</v>
      </c>
      <c r="B124">
        <v>1</v>
      </c>
      <c r="C124" t="s">
        <v>3</v>
      </c>
      <c r="D124" t="s">
        <v>104</v>
      </c>
      <c r="E124" t="s">
        <v>105</v>
      </c>
      <c r="F124" t="s">
        <v>105</v>
      </c>
      <c r="G124" t="s">
        <v>105</v>
      </c>
      <c r="H124" t="s">
        <v>3</v>
      </c>
      <c r="I124" t="s">
        <v>105</v>
      </c>
      <c r="J124" t="s">
        <v>105</v>
      </c>
      <c r="K124" t="s">
        <v>3</v>
      </c>
      <c r="L124" t="s">
        <v>3</v>
      </c>
      <c r="M124" t="s">
        <v>3</v>
      </c>
      <c r="N124" t="s">
        <v>104</v>
      </c>
      <c r="O124" t="s">
        <v>105</v>
      </c>
      <c r="P124" t="s">
        <v>3</v>
      </c>
      <c r="Q124" t="s">
        <v>3</v>
      </c>
      <c r="R124" t="s">
        <v>3</v>
      </c>
      <c r="S124" t="s">
        <v>605</v>
      </c>
      <c r="T124" t="s">
        <v>606</v>
      </c>
      <c r="U124" t="s">
        <v>607</v>
      </c>
    </row>
    <row r="125" spans="1:21" x14ac:dyDescent="0.25">
      <c r="A125">
        <v>386</v>
      </c>
      <c r="B125">
        <v>1</v>
      </c>
      <c r="C125" t="s">
        <v>3</v>
      </c>
      <c r="D125" t="s">
        <v>104</v>
      </c>
      <c r="E125" t="s">
        <v>105</v>
      </c>
      <c r="F125" t="s">
        <v>105</v>
      </c>
      <c r="G125" t="s">
        <v>105</v>
      </c>
      <c r="H125" t="s">
        <v>3</v>
      </c>
      <c r="I125" t="s">
        <v>105</v>
      </c>
      <c r="J125" t="s">
        <v>105</v>
      </c>
      <c r="K125" t="s">
        <v>3</v>
      </c>
      <c r="L125" t="s">
        <v>3</v>
      </c>
      <c r="M125" t="s">
        <v>3</v>
      </c>
      <c r="N125" t="s">
        <v>104</v>
      </c>
      <c r="O125" t="s">
        <v>105</v>
      </c>
      <c r="P125" t="s">
        <v>3</v>
      </c>
      <c r="Q125" t="s">
        <v>3</v>
      </c>
      <c r="R125" t="s">
        <v>3</v>
      </c>
      <c r="S125" t="s">
        <v>605</v>
      </c>
      <c r="T125" t="s">
        <v>606</v>
      </c>
      <c r="U125" t="s">
        <v>607</v>
      </c>
    </row>
    <row r="126" spans="1:21" x14ac:dyDescent="0.25">
      <c r="A126">
        <v>387</v>
      </c>
      <c r="B126">
        <v>1</v>
      </c>
      <c r="C126" t="s">
        <v>3</v>
      </c>
      <c r="D126" t="s">
        <v>104</v>
      </c>
      <c r="E126" t="s">
        <v>105</v>
      </c>
      <c r="F126" t="s">
        <v>105</v>
      </c>
      <c r="G126" t="s">
        <v>105</v>
      </c>
      <c r="H126" t="s">
        <v>3</v>
      </c>
      <c r="I126" t="s">
        <v>105</v>
      </c>
      <c r="J126" t="s">
        <v>105</v>
      </c>
      <c r="K126" t="s">
        <v>3</v>
      </c>
      <c r="L126" t="s">
        <v>3</v>
      </c>
      <c r="M126" t="s">
        <v>3</v>
      </c>
      <c r="N126" t="s">
        <v>104</v>
      </c>
      <c r="O126" t="s">
        <v>105</v>
      </c>
      <c r="P126" t="s">
        <v>3</v>
      </c>
      <c r="Q126" t="s">
        <v>3</v>
      </c>
      <c r="R126" t="s">
        <v>3</v>
      </c>
      <c r="S126" t="s">
        <v>605</v>
      </c>
      <c r="T126" t="s">
        <v>606</v>
      </c>
      <c r="U126" t="s">
        <v>607</v>
      </c>
    </row>
    <row r="127" spans="1:21" x14ac:dyDescent="0.25">
      <c r="A127">
        <v>398</v>
      </c>
      <c r="B127">
        <v>1</v>
      </c>
      <c r="C127" t="s">
        <v>3</v>
      </c>
      <c r="D127" t="s">
        <v>104</v>
      </c>
      <c r="E127" t="s">
        <v>105</v>
      </c>
      <c r="F127" t="s">
        <v>105</v>
      </c>
      <c r="G127" t="s">
        <v>105</v>
      </c>
      <c r="H127" t="s">
        <v>3</v>
      </c>
      <c r="I127" t="s">
        <v>105</v>
      </c>
      <c r="J127" t="s">
        <v>105</v>
      </c>
      <c r="K127" t="s">
        <v>3</v>
      </c>
      <c r="L127" t="s">
        <v>3</v>
      </c>
      <c r="M127" t="s">
        <v>3</v>
      </c>
      <c r="N127" t="s">
        <v>104</v>
      </c>
      <c r="O127" t="s">
        <v>105</v>
      </c>
      <c r="P127" t="s">
        <v>3</v>
      </c>
      <c r="Q127" t="s">
        <v>3</v>
      </c>
      <c r="R127" t="s">
        <v>3</v>
      </c>
      <c r="S127" t="s">
        <v>605</v>
      </c>
      <c r="T127" t="s">
        <v>606</v>
      </c>
      <c r="U127" t="s">
        <v>607</v>
      </c>
    </row>
    <row r="128" spans="1:21" x14ac:dyDescent="0.25">
      <c r="A128">
        <v>399</v>
      </c>
      <c r="B128">
        <v>1</v>
      </c>
      <c r="C128" t="s">
        <v>3</v>
      </c>
      <c r="D128" t="s">
        <v>104</v>
      </c>
      <c r="E128" t="s">
        <v>105</v>
      </c>
      <c r="F128" t="s">
        <v>105</v>
      </c>
      <c r="G128" t="s">
        <v>105</v>
      </c>
      <c r="H128" t="s">
        <v>3</v>
      </c>
      <c r="I128" t="s">
        <v>105</v>
      </c>
      <c r="J128" t="s">
        <v>105</v>
      </c>
      <c r="K128" t="s">
        <v>3</v>
      </c>
      <c r="L128" t="s">
        <v>3</v>
      </c>
      <c r="M128" t="s">
        <v>3</v>
      </c>
      <c r="N128" t="s">
        <v>104</v>
      </c>
      <c r="O128" t="s">
        <v>105</v>
      </c>
      <c r="P128" t="s">
        <v>3</v>
      </c>
      <c r="Q128" t="s">
        <v>3</v>
      </c>
      <c r="R128" t="s">
        <v>3</v>
      </c>
      <c r="S128" t="s">
        <v>605</v>
      </c>
      <c r="T128" t="s">
        <v>606</v>
      </c>
      <c r="U128" t="s">
        <v>607</v>
      </c>
    </row>
    <row r="129" spans="1:21" x14ac:dyDescent="0.25">
      <c r="A129">
        <v>410</v>
      </c>
      <c r="B129">
        <v>1</v>
      </c>
      <c r="C129" t="s">
        <v>3</v>
      </c>
      <c r="D129" t="s">
        <v>104</v>
      </c>
      <c r="E129" t="s">
        <v>105</v>
      </c>
      <c r="F129" t="s">
        <v>105</v>
      </c>
      <c r="G129" t="s">
        <v>105</v>
      </c>
      <c r="H129" t="s">
        <v>3</v>
      </c>
      <c r="I129" t="s">
        <v>105</v>
      </c>
      <c r="J129" t="s">
        <v>105</v>
      </c>
      <c r="K129" t="s">
        <v>3</v>
      </c>
      <c r="L129" t="s">
        <v>3</v>
      </c>
      <c r="M129" t="s">
        <v>3</v>
      </c>
      <c r="N129" t="s">
        <v>104</v>
      </c>
      <c r="O129" t="s">
        <v>105</v>
      </c>
      <c r="P129" t="s">
        <v>3</v>
      </c>
      <c r="Q129" t="s">
        <v>3</v>
      </c>
      <c r="R129" t="s">
        <v>3</v>
      </c>
      <c r="S129" t="s">
        <v>605</v>
      </c>
      <c r="T129" t="s">
        <v>606</v>
      </c>
      <c r="U129" t="s">
        <v>607</v>
      </c>
    </row>
    <row r="130" spans="1:21" x14ac:dyDescent="0.25">
      <c r="A130">
        <v>411</v>
      </c>
      <c r="B130">
        <v>1</v>
      </c>
      <c r="C130" t="s">
        <v>3</v>
      </c>
      <c r="D130" t="s">
        <v>104</v>
      </c>
      <c r="E130" t="s">
        <v>105</v>
      </c>
      <c r="F130" t="s">
        <v>105</v>
      </c>
      <c r="G130" t="s">
        <v>105</v>
      </c>
      <c r="H130" t="s">
        <v>3</v>
      </c>
      <c r="I130" t="s">
        <v>105</v>
      </c>
      <c r="J130" t="s">
        <v>105</v>
      </c>
      <c r="K130" t="s">
        <v>3</v>
      </c>
      <c r="L130" t="s">
        <v>3</v>
      </c>
      <c r="M130" t="s">
        <v>3</v>
      </c>
      <c r="N130" t="s">
        <v>104</v>
      </c>
      <c r="O130" t="s">
        <v>105</v>
      </c>
      <c r="P130" t="s">
        <v>3</v>
      </c>
      <c r="Q130" t="s">
        <v>3</v>
      </c>
      <c r="R130" t="s">
        <v>3</v>
      </c>
      <c r="S130" t="s">
        <v>605</v>
      </c>
      <c r="T130" t="s">
        <v>606</v>
      </c>
      <c r="U130" t="s">
        <v>607</v>
      </c>
    </row>
    <row r="131" spans="1:21" x14ac:dyDescent="0.25">
      <c r="A131">
        <v>416</v>
      </c>
      <c r="B131">
        <v>1</v>
      </c>
      <c r="C131" t="s">
        <v>3</v>
      </c>
      <c r="D131" t="s">
        <v>104</v>
      </c>
      <c r="E131" t="s">
        <v>105</v>
      </c>
      <c r="F131" t="s">
        <v>105</v>
      </c>
      <c r="G131" t="s">
        <v>105</v>
      </c>
      <c r="H131" t="s">
        <v>3</v>
      </c>
      <c r="I131" t="s">
        <v>105</v>
      </c>
      <c r="J131" t="s">
        <v>105</v>
      </c>
      <c r="K131" t="s">
        <v>3</v>
      </c>
      <c r="L131" t="s">
        <v>3</v>
      </c>
      <c r="M131" t="s">
        <v>3</v>
      </c>
      <c r="N131" t="s">
        <v>104</v>
      </c>
      <c r="O131" t="s">
        <v>105</v>
      </c>
      <c r="P131" t="s">
        <v>3</v>
      </c>
      <c r="Q131" t="s">
        <v>3</v>
      </c>
      <c r="R131" t="s">
        <v>3</v>
      </c>
      <c r="S131" t="s">
        <v>605</v>
      </c>
      <c r="T131" t="s">
        <v>606</v>
      </c>
      <c r="U131" t="s">
        <v>607</v>
      </c>
    </row>
    <row r="132" spans="1:21" x14ac:dyDescent="0.25">
      <c r="A132">
        <v>417</v>
      </c>
      <c r="B132">
        <v>1</v>
      </c>
      <c r="C132" t="s">
        <v>3</v>
      </c>
      <c r="D132" t="s">
        <v>104</v>
      </c>
      <c r="E132" t="s">
        <v>105</v>
      </c>
      <c r="F132" t="s">
        <v>105</v>
      </c>
      <c r="G132" t="s">
        <v>105</v>
      </c>
      <c r="H132" t="s">
        <v>3</v>
      </c>
      <c r="I132" t="s">
        <v>105</v>
      </c>
      <c r="J132" t="s">
        <v>105</v>
      </c>
      <c r="K132" t="s">
        <v>3</v>
      </c>
      <c r="L132" t="s">
        <v>3</v>
      </c>
      <c r="M132" t="s">
        <v>3</v>
      </c>
      <c r="N132" t="s">
        <v>104</v>
      </c>
      <c r="O132" t="s">
        <v>105</v>
      </c>
      <c r="P132" t="s">
        <v>3</v>
      </c>
      <c r="Q132" t="s">
        <v>3</v>
      </c>
      <c r="R132" t="s">
        <v>3</v>
      </c>
      <c r="S132" t="s">
        <v>605</v>
      </c>
      <c r="T132" t="s">
        <v>606</v>
      </c>
      <c r="U132" t="s">
        <v>607</v>
      </c>
    </row>
    <row r="133" spans="1:21" x14ac:dyDescent="0.25">
      <c r="A133">
        <v>496</v>
      </c>
      <c r="B133">
        <v>1</v>
      </c>
      <c r="C133" t="s">
        <v>3</v>
      </c>
      <c r="D133" t="s">
        <v>104</v>
      </c>
      <c r="E133" t="s">
        <v>105</v>
      </c>
      <c r="F133" t="s">
        <v>105</v>
      </c>
      <c r="G133" t="s">
        <v>105</v>
      </c>
      <c r="H133" t="s">
        <v>3</v>
      </c>
      <c r="I133" t="s">
        <v>105</v>
      </c>
      <c r="J133" t="s">
        <v>105</v>
      </c>
      <c r="K133" t="s">
        <v>3</v>
      </c>
      <c r="L133" t="s">
        <v>3</v>
      </c>
      <c r="M133" t="s">
        <v>3</v>
      </c>
      <c r="N133" t="s">
        <v>104</v>
      </c>
      <c r="O133" t="s">
        <v>105</v>
      </c>
      <c r="P133" t="s">
        <v>3</v>
      </c>
      <c r="Q133" t="s">
        <v>3</v>
      </c>
      <c r="R133" t="s">
        <v>3</v>
      </c>
      <c r="S133" t="s">
        <v>605</v>
      </c>
      <c r="T133" t="s">
        <v>606</v>
      </c>
      <c r="U133" t="s">
        <v>607</v>
      </c>
    </row>
    <row r="134" spans="1:21" x14ac:dyDescent="0.25">
      <c r="A134">
        <v>497</v>
      </c>
      <c r="B134">
        <v>1</v>
      </c>
      <c r="C134" t="s">
        <v>3</v>
      </c>
      <c r="D134" t="s">
        <v>104</v>
      </c>
      <c r="E134" t="s">
        <v>105</v>
      </c>
      <c r="F134" t="s">
        <v>105</v>
      </c>
      <c r="G134" t="s">
        <v>105</v>
      </c>
      <c r="H134" t="s">
        <v>3</v>
      </c>
      <c r="I134" t="s">
        <v>105</v>
      </c>
      <c r="J134" t="s">
        <v>105</v>
      </c>
      <c r="K134" t="s">
        <v>3</v>
      </c>
      <c r="L134" t="s">
        <v>3</v>
      </c>
      <c r="M134" t="s">
        <v>3</v>
      </c>
      <c r="N134" t="s">
        <v>104</v>
      </c>
      <c r="O134" t="s">
        <v>105</v>
      </c>
      <c r="P134" t="s">
        <v>3</v>
      </c>
      <c r="Q134" t="s">
        <v>3</v>
      </c>
      <c r="R134" t="s">
        <v>3</v>
      </c>
      <c r="S134" t="s">
        <v>605</v>
      </c>
      <c r="T134" t="s">
        <v>606</v>
      </c>
      <c r="U134" t="s">
        <v>607</v>
      </c>
    </row>
    <row r="135" spans="1:21" x14ac:dyDescent="0.25">
      <c r="A135">
        <v>516</v>
      </c>
      <c r="B135">
        <v>1</v>
      </c>
      <c r="C135" t="s">
        <v>3</v>
      </c>
      <c r="D135" t="s">
        <v>104</v>
      </c>
      <c r="E135" t="s">
        <v>105</v>
      </c>
      <c r="F135" t="s">
        <v>105</v>
      </c>
      <c r="G135" t="s">
        <v>105</v>
      </c>
      <c r="H135" t="s">
        <v>3</v>
      </c>
      <c r="I135" t="s">
        <v>105</v>
      </c>
      <c r="J135" t="s">
        <v>105</v>
      </c>
      <c r="K135" t="s">
        <v>3</v>
      </c>
      <c r="L135" t="s">
        <v>3</v>
      </c>
      <c r="M135" t="s">
        <v>3</v>
      </c>
      <c r="N135" t="s">
        <v>104</v>
      </c>
      <c r="O135" t="s">
        <v>105</v>
      </c>
      <c r="P135" t="s">
        <v>3</v>
      </c>
      <c r="Q135" t="s">
        <v>3</v>
      </c>
      <c r="R135" t="s">
        <v>3</v>
      </c>
      <c r="S135" t="s">
        <v>605</v>
      </c>
      <c r="T135" t="s">
        <v>606</v>
      </c>
      <c r="U135" t="s">
        <v>607</v>
      </c>
    </row>
    <row r="136" spans="1:21" x14ac:dyDescent="0.25">
      <c r="A136">
        <v>517</v>
      </c>
      <c r="B136">
        <v>1</v>
      </c>
      <c r="C136" t="s">
        <v>3</v>
      </c>
      <c r="D136" t="s">
        <v>104</v>
      </c>
      <c r="E136" t="s">
        <v>105</v>
      </c>
      <c r="F136" t="s">
        <v>105</v>
      </c>
      <c r="G136" t="s">
        <v>105</v>
      </c>
      <c r="H136" t="s">
        <v>3</v>
      </c>
      <c r="I136" t="s">
        <v>105</v>
      </c>
      <c r="J136" t="s">
        <v>105</v>
      </c>
      <c r="K136" t="s">
        <v>3</v>
      </c>
      <c r="L136" t="s">
        <v>3</v>
      </c>
      <c r="M136" t="s">
        <v>3</v>
      </c>
      <c r="N136" t="s">
        <v>104</v>
      </c>
      <c r="O136" t="s">
        <v>105</v>
      </c>
      <c r="P136" t="s">
        <v>3</v>
      </c>
      <c r="Q136" t="s">
        <v>3</v>
      </c>
      <c r="R136" t="s">
        <v>3</v>
      </c>
      <c r="S136" t="s">
        <v>605</v>
      </c>
      <c r="T136" t="s">
        <v>606</v>
      </c>
      <c r="U136" t="s">
        <v>607</v>
      </c>
    </row>
    <row r="137" spans="1:21" x14ac:dyDescent="0.25">
      <c r="A137">
        <v>522</v>
      </c>
      <c r="B137">
        <v>1</v>
      </c>
      <c r="C137" t="s">
        <v>3</v>
      </c>
      <c r="D137" t="s">
        <v>104</v>
      </c>
      <c r="E137" t="s">
        <v>105</v>
      </c>
      <c r="F137" t="s">
        <v>105</v>
      </c>
      <c r="G137" t="s">
        <v>105</v>
      </c>
      <c r="H137" t="s">
        <v>3</v>
      </c>
      <c r="I137" t="s">
        <v>105</v>
      </c>
      <c r="J137" t="s">
        <v>105</v>
      </c>
      <c r="K137" t="s">
        <v>3</v>
      </c>
      <c r="L137" t="s">
        <v>3</v>
      </c>
      <c r="M137" t="s">
        <v>3</v>
      </c>
      <c r="N137" t="s">
        <v>104</v>
      </c>
      <c r="O137" t="s">
        <v>105</v>
      </c>
      <c r="P137" t="s">
        <v>3</v>
      </c>
      <c r="Q137" t="s">
        <v>3</v>
      </c>
      <c r="R137" t="s">
        <v>3</v>
      </c>
      <c r="S137" t="s">
        <v>605</v>
      </c>
      <c r="T137" t="s">
        <v>606</v>
      </c>
      <c r="U137" t="s">
        <v>607</v>
      </c>
    </row>
    <row r="138" spans="1:21" x14ac:dyDescent="0.25">
      <c r="A138">
        <v>523</v>
      </c>
      <c r="B138">
        <v>1</v>
      </c>
      <c r="C138" t="s">
        <v>3</v>
      </c>
      <c r="D138" t="s">
        <v>104</v>
      </c>
      <c r="E138" t="s">
        <v>105</v>
      </c>
      <c r="F138" t="s">
        <v>105</v>
      </c>
      <c r="G138" t="s">
        <v>105</v>
      </c>
      <c r="H138" t="s">
        <v>3</v>
      </c>
      <c r="I138" t="s">
        <v>105</v>
      </c>
      <c r="J138" t="s">
        <v>105</v>
      </c>
      <c r="K138" t="s">
        <v>3</v>
      </c>
      <c r="L138" t="s">
        <v>3</v>
      </c>
      <c r="M138" t="s">
        <v>3</v>
      </c>
      <c r="N138" t="s">
        <v>104</v>
      </c>
      <c r="O138" t="s">
        <v>105</v>
      </c>
      <c r="P138" t="s">
        <v>3</v>
      </c>
      <c r="Q138" t="s">
        <v>3</v>
      </c>
      <c r="R138" t="s">
        <v>3</v>
      </c>
      <c r="S138" t="s">
        <v>605</v>
      </c>
      <c r="T138" t="s">
        <v>606</v>
      </c>
      <c r="U138" t="s">
        <v>607</v>
      </c>
    </row>
    <row r="139" spans="1:21" x14ac:dyDescent="0.25">
      <c r="A139">
        <v>528</v>
      </c>
      <c r="B139">
        <v>1</v>
      </c>
      <c r="C139" t="s">
        <v>3</v>
      </c>
      <c r="D139" t="s">
        <v>104</v>
      </c>
      <c r="E139" t="s">
        <v>105</v>
      </c>
      <c r="F139" t="s">
        <v>105</v>
      </c>
      <c r="G139" t="s">
        <v>105</v>
      </c>
      <c r="H139" t="s">
        <v>3</v>
      </c>
      <c r="I139" t="s">
        <v>105</v>
      </c>
      <c r="J139" t="s">
        <v>105</v>
      </c>
      <c r="K139" t="s">
        <v>3</v>
      </c>
      <c r="L139" t="s">
        <v>3</v>
      </c>
      <c r="M139" t="s">
        <v>3</v>
      </c>
      <c r="N139" t="s">
        <v>104</v>
      </c>
      <c r="O139" t="s">
        <v>105</v>
      </c>
      <c r="P139" t="s">
        <v>3</v>
      </c>
      <c r="Q139" t="s">
        <v>3</v>
      </c>
      <c r="R139" t="s">
        <v>3</v>
      </c>
      <c r="S139" t="s">
        <v>605</v>
      </c>
      <c r="T139" t="s">
        <v>606</v>
      </c>
      <c r="U139" t="s">
        <v>607</v>
      </c>
    </row>
    <row r="140" spans="1:21" x14ac:dyDescent="0.25">
      <c r="A140">
        <v>529</v>
      </c>
      <c r="B140">
        <v>1</v>
      </c>
      <c r="C140" t="s">
        <v>3</v>
      </c>
      <c r="D140" t="s">
        <v>104</v>
      </c>
      <c r="E140" t="s">
        <v>105</v>
      </c>
      <c r="F140" t="s">
        <v>105</v>
      </c>
      <c r="G140" t="s">
        <v>105</v>
      </c>
      <c r="H140" t="s">
        <v>3</v>
      </c>
      <c r="I140" t="s">
        <v>105</v>
      </c>
      <c r="J140" t="s">
        <v>105</v>
      </c>
      <c r="K140" t="s">
        <v>3</v>
      </c>
      <c r="L140" t="s">
        <v>3</v>
      </c>
      <c r="M140" t="s">
        <v>3</v>
      </c>
      <c r="N140" t="s">
        <v>104</v>
      </c>
      <c r="O140" t="s">
        <v>105</v>
      </c>
      <c r="P140" t="s">
        <v>3</v>
      </c>
      <c r="Q140" t="s">
        <v>3</v>
      </c>
      <c r="R140" t="s">
        <v>3</v>
      </c>
      <c r="S140" t="s">
        <v>605</v>
      </c>
      <c r="T140" t="s">
        <v>606</v>
      </c>
      <c r="U140" t="s">
        <v>607</v>
      </c>
    </row>
    <row r="141" spans="1:21" x14ac:dyDescent="0.25">
      <c r="A141">
        <v>536</v>
      </c>
      <c r="B141">
        <v>1</v>
      </c>
      <c r="C141" t="s">
        <v>3</v>
      </c>
      <c r="D141" t="s">
        <v>104</v>
      </c>
      <c r="E141" t="s">
        <v>105</v>
      </c>
      <c r="F141" t="s">
        <v>105</v>
      </c>
      <c r="G141" t="s">
        <v>105</v>
      </c>
      <c r="H141" t="s">
        <v>3</v>
      </c>
      <c r="I141" t="s">
        <v>105</v>
      </c>
      <c r="J141" t="s">
        <v>105</v>
      </c>
      <c r="K141" t="s">
        <v>3</v>
      </c>
      <c r="L141" t="s">
        <v>3</v>
      </c>
      <c r="M141" t="s">
        <v>3</v>
      </c>
      <c r="N141" t="s">
        <v>104</v>
      </c>
      <c r="O141" t="s">
        <v>105</v>
      </c>
      <c r="P141" t="s">
        <v>3</v>
      </c>
      <c r="Q141" t="s">
        <v>3</v>
      </c>
      <c r="R141" t="s">
        <v>3</v>
      </c>
      <c r="S141" t="s">
        <v>605</v>
      </c>
      <c r="T141" t="s">
        <v>606</v>
      </c>
      <c r="U141" t="s">
        <v>607</v>
      </c>
    </row>
    <row r="142" spans="1:21" x14ac:dyDescent="0.25">
      <c r="A142">
        <v>537</v>
      </c>
      <c r="B142">
        <v>1</v>
      </c>
      <c r="C142" t="s">
        <v>3</v>
      </c>
      <c r="D142" t="s">
        <v>104</v>
      </c>
      <c r="E142" t="s">
        <v>105</v>
      </c>
      <c r="F142" t="s">
        <v>105</v>
      </c>
      <c r="G142" t="s">
        <v>105</v>
      </c>
      <c r="H142" t="s">
        <v>3</v>
      </c>
      <c r="I142" t="s">
        <v>105</v>
      </c>
      <c r="J142" t="s">
        <v>105</v>
      </c>
      <c r="K142" t="s">
        <v>3</v>
      </c>
      <c r="L142" t="s">
        <v>3</v>
      </c>
      <c r="M142" t="s">
        <v>3</v>
      </c>
      <c r="N142" t="s">
        <v>104</v>
      </c>
      <c r="O142" t="s">
        <v>105</v>
      </c>
      <c r="P142" t="s">
        <v>3</v>
      </c>
      <c r="Q142" t="s">
        <v>3</v>
      </c>
      <c r="R142" t="s">
        <v>3</v>
      </c>
      <c r="S142" t="s">
        <v>605</v>
      </c>
      <c r="T142" t="s">
        <v>606</v>
      </c>
      <c r="U142" t="s">
        <v>607</v>
      </c>
    </row>
    <row r="143" spans="1:21" x14ac:dyDescent="0.25">
      <c r="A143">
        <v>540</v>
      </c>
      <c r="B143">
        <v>1</v>
      </c>
      <c r="C143" t="s">
        <v>3</v>
      </c>
      <c r="D143" t="s">
        <v>104</v>
      </c>
      <c r="E143" t="s">
        <v>105</v>
      </c>
      <c r="F143" t="s">
        <v>105</v>
      </c>
      <c r="G143" t="s">
        <v>105</v>
      </c>
      <c r="H143" t="s">
        <v>3</v>
      </c>
      <c r="I143" t="s">
        <v>105</v>
      </c>
      <c r="J143" t="s">
        <v>105</v>
      </c>
      <c r="K143" t="s">
        <v>3</v>
      </c>
      <c r="L143" t="s">
        <v>3</v>
      </c>
      <c r="M143" t="s">
        <v>3</v>
      </c>
      <c r="N143" t="s">
        <v>104</v>
      </c>
      <c r="O143" t="s">
        <v>105</v>
      </c>
      <c r="P143" t="s">
        <v>3</v>
      </c>
      <c r="Q143" t="s">
        <v>3</v>
      </c>
      <c r="R143" t="s">
        <v>3</v>
      </c>
      <c r="S143" t="s">
        <v>605</v>
      </c>
      <c r="T143" t="s">
        <v>606</v>
      </c>
      <c r="U143" t="s">
        <v>607</v>
      </c>
    </row>
    <row r="144" spans="1:21" x14ac:dyDescent="0.25">
      <c r="A144">
        <v>541</v>
      </c>
      <c r="B144">
        <v>1</v>
      </c>
      <c r="C144" t="s">
        <v>3</v>
      </c>
      <c r="D144" t="s">
        <v>104</v>
      </c>
      <c r="E144" t="s">
        <v>105</v>
      </c>
      <c r="F144" t="s">
        <v>105</v>
      </c>
      <c r="G144" t="s">
        <v>105</v>
      </c>
      <c r="H144" t="s">
        <v>3</v>
      </c>
      <c r="I144" t="s">
        <v>105</v>
      </c>
      <c r="J144" t="s">
        <v>105</v>
      </c>
      <c r="K144" t="s">
        <v>3</v>
      </c>
      <c r="L144" t="s">
        <v>3</v>
      </c>
      <c r="M144" t="s">
        <v>3</v>
      </c>
      <c r="N144" t="s">
        <v>104</v>
      </c>
      <c r="O144" t="s">
        <v>105</v>
      </c>
      <c r="P144" t="s">
        <v>3</v>
      </c>
      <c r="Q144" t="s">
        <v>3</v>
      </c>
      <c r="R144" t="s">
        <v>3</v>
      </c>
      <c r="S144" t="s">
        <v>605</v>
      </c>
      <c r="T144" t="s">
        <v>606</v>
      </c>
      <c r="U144" t="s">
        <v>607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5">
      <c r="F12" t="str">
        <f>Source!F12</f>
        <v>02-01-08</v>
      </c>
      <c r="G12" t="str">
        <f>Source!G12</f>
        <v>02-01-08 СПС АСПЗ 20.07.26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2026-07-20T13:54:24Z</dcterms:created>
  <dcterms:modified xsi:type="dcterms:W3CDTF">2026-07-20T14:00:14Z</dcterms:modified>
</cp:coreProperties>
</file>