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17.07\"/>
    </mc:Choice>
  </mc:AlternateContent>
  <xr:revisionPtr revIDLastSave="0" documentId="13_ncr:1_{5976E755-4B87-4475-9F16-03E4F746EEEB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доп.67'!$A$1:$K$181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179" i="7"/>
  <c r="H176" i="7"/>
  <c r="C179" i="7"/>
  <c r="C176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 s="1"/>
  <c r="I173" i="7"/>
  <c r="J173" i="7"/>
  <c r="I172" i="7"/>
  <c r="J172" i="7"/>
  <c r="A171" i="7"/>
  <c r="I169" i="7"/>
  <c r="J169" i="7"/>
  <c r="I168" i="7"/>
  <c r="J168" i="7"/>
  <c r="A167" i="7"/>
  <c r="I165" i="7"/>
  <c r="J165" i="7"/>
  <c r="I164" i="7"/>
  <c r="J164" i="7"/>
  <c r="A163" i="7"/>
  <c r="O160" i="7"/>
  <c r="H160" i="7"/>
  <c r="K159" i="7"/>
  <c r="P160" i="7" s="1"/>
  <c r="J159" i="7"/>
  <c r="I159" i="7"/>
  <c r="H159" i="7"/>
  <c r="F159" i="7"/>
  <c r="V159" i="7"/>
  <c r="T159" i="7"/>
  <c r="R159" i="7"/>
  <c r="U159" i="7"/>
  <c r="S159" i="7"/>
  <c r="Q159" i="7"/>
  <c r="E159" i="7"/>
  <c r="D159" i="7"/>
  <c r="B159" i="7"/>
  <c r="J157" i="7"/>
  <c r="K156" i="7"/>
  <c r="P157" i="7" s="1"/>
  <c r="J156" i="7"/>
  <c r="I156" i="7"/>
  <c r="O157" i="7" s="1"/>
  <c r="H156" i="7"/>
  <c r="F156" i="7"/>
  <c r="V156" i="7"/>
  <c r="T156" i="7"/>
  <c r="R156" i="7"/>
  <c r="U156" i="7"/>
  <c r="S156" i="7"/>
  <c r="Q156" i="7"/>
  <c r="E156" i="7"/>
  <c r="D156" i="7"/>
  <c r="B156" i="7"/>
  <c r="H153" i="7"/>
  <c r="J153" i="7"/>
  <c r="I151" i="7"/>
  <c r="H151" i="7"/>
  <c r="E151" i="7"/>
  <c r="K150" i="7"/>
  <c r="J150" i="7"/>
  <c r="I150" i="7"/>
  <c r="E150" i="7"/>
  <c r="J149" i="7"/>
  <c r="E149" i="7"/>
  <c r="K148" i="7"/>
  <c r="J148" i="7"/>
  <c r="I148" i="7"/>
  <c r="H148" i="7"/>
  <c r="F148" i="7"/>
  <c r="C147" i="7"/>
  <c r="V146" i="7"/>
  <c r="T146" i="7"/>
  <c r="R146" i="7"/>
  <c r="K149" i="7" s="1"/>
  <c r="P154" i="7" s="1"/>
  <c r="U146" i="7"/>
  <c r="S146" i="7"/>
  <c r="Q146" i="7"/>
  <c r="I149" i="7" s="1"/>
  <c r="E146" i="7"/>
  <c r="D146" i="7"/>
  <c r="B146" i="7"/>
  <c r="A145" i="7"/>
  <c r="I143" i="7"/>
  <c r="J143" i="7"/>
  <c r="I142" i="7"/>
  <c r="J142" i="7"/>
  <c r="A141" i="7"/>
  <c r="J138" i="7"/>
  <c r="K137" i="7"/>
  <c r="P138" i="7" s="1"/>
  <c r="J137" i="7"/>
  <c r="I137" i="7"/>
  <c r="O138" i="7" s="1"/>
  <c r="H137" i="7"/>
  <c r="F137" i="7"/>
  <c r="V137" i="7"/>
  <c r="T137" i="7"/>
  <c r="R137" i="7"/>
  <c r="U137" i="7"/>
  <c r="S137" i="7"/>
  <c r="Q137" i="7"/>
  <c r="E137" i="7"/>
  <c r="D137" i="7"/>
  <c r="B137" i="7"/>
  <c r="H134" i="7"/>
  <c r="J134" i="7"/>
  <c r="I132" i="7"/>
  <c r="H132" i="7"/>
  <c r="E132" i="7"/>
  <c r="K131" i="7"/>
  <c r="J131" i="7"/>
  <c r="I131" i="7"/>
  <c r="E131" i="7"/>
  <c r="J130" i="7"/>
  <c r="E130" i="7"/>
  <c r="K129" i="7"/>
  <c r="J129" i="7"/>
  <c r="I129" i="7"/>
  <c r="H129" i="7"/>
  <c r="F129" i="7"/>
  <c r="K128" i="7"/>
  <c r="J128" i="7"/>
  <c r="I128" i="7"/>
  <c r="H133" i="7" s="1"/>
  <c r="H128" i="7"/>
  <c r="F128" i="7"/>
  <c r="V127" i="7"/>
  <c r="T127" i="7"/>
  <c r="R127" i="7"/>
  <c r="K130" i="7" s="1"/>
  <c r="P135" i="7" s="1"/>
  <c r="J141" i="7" s="1"/>
  <c r="U127" i="7"/>
  <c r="S127" i="7"/>
  <c r="Q127" i="7"/>
  <c r="I130" i="7" s="1"/>
  <c r="E127" i="7"/>
  <c r="D127" i="7"/>
  <c r="B127" i="7"/>
  <c r="A126" i="7"/>
  <c r="I124" i="7"/>
  <c r="J124" i="7"/>
  <c r="I123" i="7"/>
  <c r="J123" i="7"/>
  <c r="A122" i="7"/>
  <c r="P119" i="7"/>
  <c r="J119" i="7"/>
  <c r="K118" i="7"/>
  <c r="J118" i="7"/>
  <c r="I118" i="7"/>
  <c r="O119" i="7" s="1"/>
  <c r="H118" i="7"/>
  <c r="F118" i="7"/>
  <c r="V118" i="7"/>
  <c r="T118" i="7"/>
  <c r="R118" i="7"/>
  <c r="U118" i="7"/>
  <c r="S118" i="7"/>
  <c r="Q118" i="7"/>
  <c r="E118" i="7"/>
  <c r="D118" i="7"/>
  <c r="B118" i="7"/>
  <c r="H115" i="7"/>
  <c r="J115" i="7"/>
  <c r="I113" i="7"/>
  <c r="H113" i="7"/>
  <c r="E113" i="7"/>
  <c r="J112" i="7"/>
  <c r="E112" i="7"/>
  <c r="J111" i="7"/>
  <c r="I111" i="7"/>
  <c r="E111" i="7"/>
  <c r="K110" i="7"/>
  <c r="J110" i="7"/>
  <c r="I110" i="7"/>
  <c r="H110" i="7"/>
  <c r="F110" i="7"/>
  <c r="K109" i="7"/>
  <c r="J109" i="7"/>
  <c r="I109" i="7"/>
  <c r="H114" i="7" s="1"/>
  <c r="H109" i="7"/>
  <c r="F109" i="7"/>
  <c r="V108" i="7"/>
  <c r="T108" i="7"/>
  <c r="K112" i="7" s="1"/>
  <c r="R108" i="7"/>
  <c r="K111" i="7" s="1"/>
  <c r="U108" i="7"/>
  <c r="S108" i="7"/>
  <c r="I112" i="7" s="1"/>
  <c r="O116" i="7" s="1"/>
  <c r="Q108" i="7"/>
  <c r="E108" i="7"/>
  <c r="D108" i="7"/>
  <c r="B108" i="7"/>
  <c r="J106" i="7"/>
  <c r="K105" i="7"/>
  <c r="P106" i="7" s="1"/>
  <c r="J105" i="7"/>
  <c r="I105" i="7"/>
  <c r="O106" i="7" s="1"/>
  <c r="H105" i="7"/>
  <c r="F105" i="7"/>
  <c r="V105" i="7"/>
  <c r="T105" i="7"/>
  <c r="R105" i="7"/>
  <c r="U105" i="7"/>
  <c r="S105" i="7"/>
  <c r="Q105" i="7"/>
  <c r="E105" i="7"/>
  <c r="D105" i="7"/>
  <c r="B105" i="7"/>
  <c r="H102" i="7"/>
  <c r="J102" i="7"/>
  <c r="I100" i="7"/>
  <c r="H100" i="7"/>
  <c r="E100" i="7"/>
  <c r="J99" i="7"/>
  <c r="I99" i="7"/>
  <c r="H103" i="7" s="1"/>
  <c r="E99" i="7"/>
  <c r="J98" i="7"/>
  <c r="I98" i="7"/>
  <c r="E98" i="7"/>
  <c r="K97" i="7"/>
  <c r="J97" i="7"/>
  <c r="I97" i="7"/>
  <c r="H97" i="7"/>
  <c r="F97" i="7"/>
  <c r="K96" i="7"/>
  <c r="J96" i="7"/>
  <c r="I96" i="7"/>
  <c r="H96" i="7"/>
  <c r="F96" i="7"/>
  <c r="K95" i="7"/>
  <c r="J103" i="7" s="1"/>
  <c r="J95" i="7"/>
  <c r="I95" i="7"/>
  <c r="H101" i="7" s="1"/>
  <c r="H95" i="7"/>
  <c r="F95" i="7"/>
  <c r="V94" i="7"/>
  <c r="T94" i="7"/>
  <c r="K99" i="7" s="1"/>
  <c r="R94" i="7"/>
  <c r="K98" i="7" s="1"/>
  <c r="P103" i="7" s="1"/>
  <c r="U94" i="7"/>
  <c r="S94" i="7"/>
  <c r="Q94" i="7"/>
  <c r="E94" i="7"/>
  <c r="D94" i="7"/>
  <c r="B94" i="7"/>
  <c r="K91" i="7"/>
  <c r="P92" i="7" s="1"/>
  <c r="J91" i="7"/>
  <c r="I91" i="7"/>
  <c r="H92" i="7" s="1"/>
  <c r="H91" i="7"/>
  <c r="F91" i="7"/>
  <c r="V91" i="7"/>
  <c r="T91" i="7"/>
  <c r="R91" i="7"/>
  <c r="U91" i="7"/>
  <c r="S91" i="7"/>
  <c r="Q91" i="7"/>
  <c r="E91" i="7"/>
  <c r="D91" i="7"/>
  <c r="B91" i="7"/>
  <c r="H88" i="7"/>
  <c r="J88" i="7"/>
  <c r="I86" i="7"/>
  <c r="H86" i="7"/>
  <c r="E86" i="7"/>
  <c r="K85" i="7"/>
  <c r="J85" i="7"/>
  <c r="E85" i="7"/>
  <c r="K84" i="7"/>
  <c r="J84" i="7"/>
  <c r="E84" i="7"/>
  <c r="K83" i="7"/>
  <c r="J83" i="7"/>
  <c r="I83" i="7"/>
  <c r="H83" i="7"/>
  <c r="F83" i="7"/>
  <c r="K82" i="7"/>
  <c r="J87" i="7" s="1"/>
  <c r="J82" i="7"/>
  <c r="I82" i="7"/>
  <c r="H89" i="7" s="1"/>
  <c r="H82" i="7"/>
  <c r="F82" i="7"/>
  <c r="V81" i="7"/>
  <c r="T81" i="7"/>
  <c r="R81" i="7"/>
  <c r="U81" i="7"/>
  <c r="S81" i="7"/>
  <c r="I85" i="7" s="1"/>
  <c r="Q81" i="7"/>
  <c r="I84" i="7" s="1"/>
  <c r="E81" i="7"/>
  <c r="D81" i="7"/>
  <c r="B81" i="7"/>
  <c r="A80" i="7"/>
  <c r="I78" i="7"/>
  <c r="J78" i="7"/>
  <c r="I77" i="7"/>
  <c r="J77" i="7"/>
  <c r="AQ76" i="7"/>
  <c r="A76" i="7"/>
  <c r="H72" i="7"/>
  <c r="J72" i="7"/>
  <c r="I70" i="7"/>
  <c r="H70" i="7"/>
  <c r="E70" i="7"/>
  <c r="J69" i="7"/>
  <c r="E69" i="7"/>
  <c r="K68" i="7"/>
  <c r="J68" i="7"/>
  <c r="E68" i="7"/>
  <c r="K67" i="7"/>
  <c r="J67" i="7"/>
  <c r="I67" i="7"/>
  <c r="H67" i="7"/>
  <c r="F67" i="7"/>
  <c r="V66" i="7"/>
  <c r="T66" i="7"/>
  <c r="K69" i="7" s="1"/>
  <c r="P73" i="7" s="1"/>
  <c r="R66" i="7"/>
  <c r="U66" i="7"/>
  <c r="S66" i="7"/>
  <c r="I69" i="7" s="1"/>
  <c r="Q66" i="7"/>
  <c r="I68" i="7" s="1"/>
  <c r="E66" i="7"/>
  <c r="D66" i="7"/>
  <c r="B66" i="7"/>
  <c r="H63" i="7"/>
  <c r="J63" i="7"/>
  <c r="I61" i="7"/>
  <c r="H61" i="7"/>
  <c r="E61" i="7"/>
  <c r="K60" i="7"/>
  <c r="J60" i="7"/>
  <c r="E60" i="7"/>
  <c r="K59" i="7"/>
  <c r="J59" i="7"/>
  <c r="E59" i="7"/>
  <c r="K58" i="7"/>
  <c r="J64" i="7" s="1"/>
  <c r="J58" i="7"/>
  <c r="I58" i="7"/>
  <c r="H58" i="7"/>
  <c r="F58" i="7"/>
  <c r="V57" i="7"/>
  <c r="T57" i="7"/>
  <c r="R57" i="7"/>
  <c r="U57" i="7"/>
  <c r="S57" i="7"/>
  <c r="I60" i="7" s="1"/>
  <c r="Q57" i="7"/>
  <c r="I59" i="7" s="1"/>
  <c r="H62" i="7" s="1"/>
  <c r="E57" i="7"/>
  <c r="D57" i="7"/>
  <c r="B57" i="7"/>
  <c r="H54" i="7"/>
  <c r="J54" i="7"/>
  <c r="I52" i="7"/>
  <c r="H52" i="7"/>
  <c r="E52" i="7"/>
  <c r="J51" i="7"/>
  <c r="E51" i="7"/>
  <c r="J50" i="7"/>
  <c r="E50" i="7"/>
  <c r="K49" i="7"/>
  <c r="J49" i="7"/>
  <c r="I49" i="7"/>
  <c r="H49" i="7"/>
  <c r="F49" i="7"/>
  <c r="V48" i="7"/>
  <c r="T48" i="7"/>
  <c r="K51" i="7" s="1"/>
  <c r="R48" i="7"/>
  <c r="K50" i="7" s="1"/>
  <c r="U48" i="7"/>
  <c r="S48" i="7"/>
  <c r="I51" i="7" s="1"/>
  <c r="Q48" i="7"/>
  <c r="I50" i="7" s="1"/>
  <c r="E48" i="7"/>
  <c r="D48" i="7"/>
  <c r="B48" i="7"/>
  <c r="H45" i="7"/>
  <c r="J45" i="7"/>
  <c r="I43" i="7"/>
  <c r="H43" i="7"/>
  <c r="E43" i="7"/>
  <c r="J42" i="7"/>
  <c r="I42" i="7"/>
  <c r="E42" i="7"/>
  <c r="J41" i="7"/>
  <c r="E41" i="7"/>
  <c r="K40" i="7"/>
  <c r="J40" i="7"/>
  <c r="I40" i="7"/>
  <c r="H40" i="7"/>
  <c r="F40" i="7"/>
  <c r="V39" i="7"/>
  <c r="T39" i="7"/>
  <c r="K42" i="7" s="1"/>
  <c r="R39" i="7"/>
  <c r="K41" i="7" s="1"/>
  <c r="U39" i="7"/>
  <c r="S39" i="7"/>
  <c r="Q39" i="7"/>
  <c r="I41" i="7" s="1"/>
  <c r="H46" i="7" s="1"/>
  <c r="E39" i="7"/>
  <c r="D39" i="7"/>
  <c r="B39" i="7"/>
  <c r="AP38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1" i="3"/>
  <c r="Y1" i="3"/>
  <c r="CV1" i="3" s="1"/>
  <c r="CU1" i="3"/>
  <c r="CY1" i="3"/>
  <c r="CZ1" i="3"/>
  <c r="DB1" i="3" s="1"/>
  <c r="DA1" i="3"/>
  <c r="DC1" i="3"/>
  <c r="A2" i="3"/>
  <c r="Y2" i="3"/>
  <c r="CX2" i="3"/>
  <c r="DI2" i="3" s="1"/>
  <c r="CY2" i="3"/>
  <c r="CZ2" i="3"/>
  <c r="DB2" i="3" s="1"/>
  <c r="DA2" i="3"/>
  <c r="DC2" i="3"/>
  <c r="DF2" i="3"/>
  <c r="DG2" i="3"/>
  <c r="DH2" i="3"/>
  <c r="DJ2" i="3"/>
  <c r="A3" i="3"/>
  <c r="Y3" i="3"/>
  <c r="CX3" i="3"/>
  <c r="DI3" i="3" s="1"/>
  <c r="CY3" i="3"/>
  <c r="CZ3" i="3"/>
  <c r="DB3" i="3" s="1"/>
  <c r="DA3" i="3"/>
  <c r="DC3" i="3"/>
  <c r="DF3" i="3"/>
  <c r="DG3" i="3"/>
  <c r="DH3" i="3"/>
  <c r="DJ3" i="3"/>
  <c r="A4" i="3"/>
  <c r="Y4" i="3"/>
  <c r="CX4" i="3" s="1"/>
  <c r="DG4" i="3" s="1"/>
  <c r="CU4" i="3"/>
  <c r="CV4" i="3"/>
  <c r="CY4" i="3"/>
  <c r="CZ4" i="3"/>
  <c r="DA4" i="3"/>
  <c r="DB4" i="3"/>
  <c r="DC4" i="3"/>
  <c r="DF4" i="3"/>
  <c r="DH4" i="3"/>
  <c r="A5" i="3"/>
  <c r="Y5" i="3"/>
  <c r="CX5" i="3"/>
  <c r="CY5" i="3"/>
  <c r="CZ5" i="3"/>
  <c r="DB5" i="3" s="1"/>
  <c r="DA5" i="3"/>
  <c r="DC5" i="3"/>
  <c r="DF5" i="3"/>
  <c r="DG5" i="3"/>
  <c r="DH5" i="3"/>
  <c r="DI5" i="3"/>
  <c r="DJ5" i="3"/>
  <c r="A6" i="3"/>
  <c r="Y6" i="3"/>
  <c r="CX6" i="3"/>
  <c r="DG6" i="3" s="1"/>
  <c r="CY6" i="3"/>
  <c r="CZ6" i="3"/>
  <c r="DA6" i="3"/>
  <c r="DB6" i="3"/>
  <c r="DC6" i="3"/>
  <c r="DF6" i="3"/>
  <c r="DJ6" i="3" s="1"/>
  <c r="A7" i="3"/>
  <c r="Y7" i="3"/>
  <c r="CV7" i="3" s="1"/>
  <c r="CU7" i="3"/>
  <c r="CY7" i="3"/>
  <c r="CZ7" i="3"/>
  <c r="DB7" i="3" s="1"/>
  <c r="DA7" i="3"/>
  <c r="DC7" i="3"/>
  <c r="A8" i="3"/>
  <c r="Y8" i="3"/>
  <c r="CX8" i="3"/>
  <c r="CY8" i="3"/>
  <c r="CZ8" i="3"/>
  <c r="DB8" i="3" s="1"/>
  <c r="DA8" i="3"/>
  <c r="DC8" i="3"/>
  <c r="A9" i="3"/>
  <c r="Y9" i="3"/>
  <c r="CV9" i="3" s="1"/>
  <c r="CU9" i="3"/>
  <c r="CY9" i="3"/>
  <c r="CZ9" i="3"/>
  <c r="DB9" i="3" s="1"/>
  <c r="DA9" i="3"/>
  <c r="DC9" i="3"/>
  <c r="A10" i="3"/>
  <c r="Y10" i="3"/>
  <c r="CX10" i="3" s="1"/>
  <c r="CY10" i="3"/>
  <c r="CZ10" i="3"/>
  <c r="DA10" i="3"/>
  <c r="DB10" i="3"/>
  <c r="DC10" i="3"/>
  <c r="A11" i="3"/>
  <c r="Y11" i="3"/>
  <c r="CU11" i="3"/>
  <c r="CY11" i="3"/>
  <c r="CZ11" i="3"/>
  <c r="DA11" i="3"/>
  <c r="DB11" i="3"/>
  <c r="DC11" i="3"/>
  <c r="A12" i="3"/>
  <c r="Y12" i="3"/>
  <c r="CX12" i="3"/>
  <c r="DF12" i="3" s="1"/>
  <c r="DJ12" i="3" s="1"/>
  <c r="CY12" i="3"/>
  <c r="CZ12" i="3"/>
  <c r="DB12" i="3" s="1"/>
  <c r="DA12" i="3"/>
  <c r="DC12" i="3"/>
  <c r="A13" i="3"/>
  <c r="Y13" i="3"/>
  <c r="CV13" i="3" s="1"/>
  <c r="CU13" i="3"/>
  <c r="CX13" i="3"/>
  <c r="DF13" i="3" s="1"/>
  <c r="CY13" i="3"/>
  <c r="CZ13" i="3"/>
  <c r="DA13" i="3"/>
  <c r="DB13" i="3"/>
  <c r="DC13" i="3"/>
  <c r="A14" i="3"/>
  <c r="Y14" i="3"/>
  <c r="CX14" i="3" s="1"/>
  <c r="CY14" i="3"/>
  <c r="CZ14" i="3"/>
  <c r="DB14" i="3" s="1"/>
  <c r="DA14" i="3"/>
  <c r="DC14" i="3"/>
  <c r="A15" i="3"/>
  <c r="Y15" i="3"/>
  <c r="CV15" i="3" s="1"/>
  <c r="CU15" i="3"/>
  <c r="CX15" i="3"/>
  <c r="DF15" i="3" s="1"/>
  <c r="CY15" i="3"/>
  <c r="CZ15" i="3"/>
  <c r="DB15" i="3" s="1"/>
  <c r="DA15" i="3"/>
  <c r="DC15" i="3"/>
  <c r="A16" i="3"/>
  <c r="Y16" i="3"/>
  <c r="CX16" i="3"/>
  <c r="DF16" i="3" s="1"/>
  <c r="DJ16" i="3" s="1"/>
  <c r="CY16" i="3"/>
  <c r="CZ16" i="3"/>
  <c r="DA16" i="3"/>
  <c r="DB16" i="3"/>
  <c r="DC16" i="3"/>
  <c r="A17" i="3"/>
  <c r="Y17" i="3"/>
  <c r="CX17" i="3" s="1"/>
  <c r="CY17" i="3"/>
  <c r="CZ17" i="3"/>
  <c r="DA17" i="3"/>
  <c r="DB17" i="3"/>
  <c r="DC17" i="3"/>
  <c r="A18" i="3"/>
  <c r="Y18" i="3"/>
  <c r="CX18" i="3" s="1"/>
  <c r="CY18" i="3"/>
  <c r="CZ18" i="3"/>
  <c r="DA18" i="3"/>
  <c r="DB18" i="3"/>
  <c r="DC18" i="3"/>
  <c r="DF18" i="3"/>
  <c r="DJ18" i="3" s="1"/>
  <c r="DG18" i="3"/>
  <c r="DH18" i="3"/>
  <c r="DI18" i="3"/>
  <c r="A19" i="3"/>
  <c r="Y19" i="3"/>
  <c r="CU19" i="3"/>
  <c r="CV19" i="3"/>
  <c r="CX19" i="3"/>
  <c r="DI19" i="3" s="1"/>
  <c r="DJ19" i="3" s="1"/>
  <c r="CY19" i="3"/>
  <c r="CZ19" i="3"/>
  <c r="DB19" i="3" s="1"/>
  <c r="DA19" i="3"/>
  <c r="DC19" i="3"/>
  <c r="DF19" i="3"/>
  <c r="DH19" i="3"/>
  <c r="A20" i="3"/>
  <c r="Y20" i="3"/>
  <c r="CX20" i="3"/>
  <c r="CY20" i="3"/>
  <c r="CZ20" i="3"/>
  <c r="DB20" i="3" s="1"/>
  <c r="DA20" i="3"/>
  <c r="DC20" i="3"/>
  <c r="DF20" i="3"/>
  <c r="DJ20" i="3" s="1"/>
  <c r="DG20" i="3"/>
  <c r="A21" i="3"/>
  <c r="Y21" i="3"/>
  <c r="CX21" i="3" s="1"/>
  <c r="CY21" i="3"/>
  <c r="CZ21" i="3"/>
  <c r="DB21" i="3" s="1"/>
  <c r="DA21" i="3"/>
  <c r="DC21" i="3"/>
  <c r="A22" i="3"/>
  <c r="Y22" i="3"/>
  <c r="CX22" i="3" s="1"/>
  <c r="CY22" i="3"/>
  <c r="CZ22" i="3"/>
  <c r="DA22" i="3"/>
  <c r="DB22" i="3"/>
  <c r="DC22" i="3"/>
  <c r="A23" i="3"/>
  <c r="Y23" i="3"/>
  <c r="CU23" i="3"/>
  <c r="CV23" i="3"/>
  <c r="CX23" i="3"/>
  <c r="CY23" i="3"/>
  <c r="CZ23" i="3"/>
  <c r="DB23" i="3" s="1"/>
  <c r="DA23" i="3"/>
  <c r="DC23" i="3"/>
  <c r="DF23" i="3"/>
  <c r="DG23" i="3"/>
  <c r="DH23" i="3"/>
  <c r="DI23" i="3"/>
  <c r="DJ23" i="3" s="1"/>
  <c r="A24" i="3"/>
  <c r="Y24" i="3"/>
  <c r="CX24" i="3" s="1"/>
  <c r="CY24" i="3"/>
  <c r="CZ24" i="3"/>
  <c r="DA24" i="3"/>
  <c r="DB24" i="3"/>
  <c r="DC24" i="3"/>
  <c r="A25" i="3"/>
  <c r="Y25" i="3"/>
  <c r="CX25" i="3"/>
  <c r="DH25" i="3" s="1"/>
  <c r="CY25" i="3"/>
  <c r="CZ25" i="3"/>
  <c r="DA25" i="3"/>
  <c r="DB25" i="3"/>
  <c r="DC25" i="3"/>
  <c r="DF25" i="3"/>
  <c r="DJ25" i="3" s="1"/>
  <c r="DG25" i="3"/>
  <c r="DI25" i="3"/>
  <c r="A26" i="3"/>
  <c r="Y26" i="3"/>
  <c r="CV26" i="3" s="1"/>
  <c r="CU26" i="3"/>
  <c r="CX26" i="3"/>
  <c r="DF26" i="3" s="1"/>
  <c r="CY26" i="3"/>
  <c r="CZ26" i="3"/>
  <c r="DB26" i="3" s="1"/>
  <c r="DA26" i="3"/>
  <c r="DC26" i="3"/>
  <c r="DG26" i="3"/>
  <c r="A27" i="3"/>
  <c r="Y27" i="3"/>
  <c r="CX27" i="3"/>
  <c r="DI27" i="3" s="1"/>
  <c r="CY27" i="3"/>
  <c r="CZ27" i="3"/>
  <c r="DB27" i="3" s="1"/>
  <c r="DA27" i="3"/>
  <c r="DC27" i="3"/>
  <c r="DG27" i="3"/>
  <c r="A28" i="3"/>
  <c r="Y28" i="3"/>
  <c r="CX28" i="3"/>
  <c r="CY28" i="3"/>
  <c r="CZ28" i="3"/>
  <c r="DB28" i="3" s="1"/>
  <c r="DA28" i="3"/>
  <c r="DC28" i="3"/>
  <c r="DF28" i="3"/>
  <c r="DJ28" i="3" s="1"/>
  <c r="A29" i="3"/>
  <c r="Y29" i="3"/>
  <c r="CU29" i="3"/>
  <c r="CV29" i="3"/>
  <c r="CX29" i="3"/>
  <c r="DF29" i="3" s="1"/>
  <c r="CY29" i="3"/>
  <c r="CZ29" i="3"/>
  <c r="DB29" i="3" s="1"/>
  <c r="DA29" i="3"/>
  <c r="DC29" i="3"/>
  <c r="A30" i="3"/>
  <c r="Y30" i="3"/>
  <c r="CX30" i="3" s="1"/>
  <c r="CW30" i="3"/>
  <c r="CY30" i="3"/>
  <c r="CZ30" i="3"/>
  <c r="DB30" i="3" s="1"/>
  <c r="DA30" i="3"/>
  <c r="DC30" i="3"/>
  <c r="A31" i="3"/>
  <c r="Y31" i="3"/>
  <c r="CX31" i="3" s="1"/>
  <c r="DF31" i="3" s="1"/>
  <c r="CU31" i="3"/>
  <c r="CY31" i="3"/>
  <c r="CZ31" i="3"/>
  <c r="DB31" i="3" s="1"/>
  <c r="DA31" i="3"/>
  <c r="DC31" i="3"/>
  <c r="A32" i="3"/>
  <c r="Y32" i="3"/>
  <c r="CW32" i="3"/>
  <c r="CX32" i="3"/>
  <c r="DF32" i="3" s="1"/>
  <c r="CY32" i="3"/>
  <c r="CZ32" i="3"/>
  <c r="DA32" i="3"/>
  <c r="DB32" i="3"/>
  <c r="DC32" i="3"/>
  <c r="DG32" i="3"/>
  <c r="DJ32" i="3" s="1"/>
  <c r="DH32" i="3"/>
  <c r="A33" i="3"/>
  <c r="Y33" i="3"/>
  <c r="CX33" i="3" s="1"/>
  <c r="CU33" i="3"/>
  <c r="CV33" i="3"/>
  <c r="CY33" i="3"/>
  <c r="CZ33" i="3"/>
  <c r="DB33" i="3" s="1"/>
  <c r="DA33" i="3"/>
  <c r="DC33" i="3"/>
  <c r="A34" i="3"/>
  <c r="Y34" i="3"/>
  <c r="CX34" i="3"/>
  <c r="CY34" i="3"/>
  <c r="CZ34" i="3"/>
  <c r="DB34" i="3" s="1"/>
  <c r="DA34" i="3"/>
  <c r="DC34" i="3"/>
  <c r="A35" i="3"/>
  <c r="Y35" i="3"/>
  <c r="CX35" i="3" s="1"/>
  <c r="CU35" i="3"/>
  <c r="CV35" i="3"/>
  <c r="CY35" i="3"/>
  <c r="CZ35" i="3"/>
  <c r="DB35" i="3" s="1"/>
  <c r="DA35" i="3"/>
  <c r="DC35" i="3"/>
  <c r="A36" i="3"/>
  <c r="Y36" i="3"/>
  <c r="CX36" i="3" s="1"/>
  <c r="CY36" i="3"/>
  <c r="CZ36" i="3"/>
  <c r="DA36" i="3"/>
  <c r="DB36" i="3"/>
  <c r="DC36" i="3"/>
  <c r="A37" i="3"/>
  <c r="Y37" i="3"/>
  <c r="CU37" i="3"/>
  <c r="CY37" i="3"/>
  <c r="CZ37" i="3"/>
  <c r="DA37" i="3"/>
  <c r="DB37" i="3"/>
  <c r="DC37" i="3"/>
  <c r="A38" i="3"/>
  <c r="Y38" i="3"/>
  <c r="CX38" i="3"/>
  <c r="CY38" i="3"/>
  <c r="CZ38" i="3"/>
  <c r="DA38" i="3"/>
  <c r="DB38" i="3"/>
  <c r="DC38" i="3"/>
  <c r="DF38" i="3"/>
  <c r="DJ38" i="3" s="1"/>
  <c r="DG38" i="3"/>
  <c r="DH38" i="3"/>
  <c r="DI38" i="3"/>
  <c r="A39" i="3"/>
  <c r="Y39" i="3"/>
  <c r="CX39" i="3" s="1"/>
  <c r="CY39" i="3"/>
  <c r="CZ39" i="3"/>
  <c r="DA39" i="3"/>
  <c r="DB39" i="3"/>
  <c r="DC39" i="3"/>
  <c r="A40" i="3"/>
  <c r="Y40" i="3"/>
  <c r="CX40" i="3"/>
  <c r="DH40" i="3" s="1"/>
  <c r="CY40" i="3"/>
  <c r="CZ40" i="3"/>
  <c r="DA40" i="3"/>
  <c r="DB40" i="3"/>
  <c r="DC40" i="3"/>
  <c r="A41" i="3"/>
  <c r="Y41" i="3"/>
  <c r="CX41" i="3"/>
  <c r="DG41" i="3" s="1"/>
  <c r="CY41" i="3"/>
  <c r="CZ41" i="3"/>
  <c r="DA41" i="3"/>
  <c r="DB41" i="3"/>
  <c r="DC41" i="3"/>
  <c r="A42" i="3"/>
  <c r="Y42" i="3"/>
  <c r="CX42" i="3"/>
  <c r="DF42" i="3" s="1"/>
  <c r="DJ42" i="3" s="1"/>
  <c r="CY42" i="3"/>
  <c r="CZ42" i="3"/>
  <c r="DA42" i="3"/>
  <c r="DB42" i="3"/>
  <c r="DC42" i="3"/>
  <c r="A43" i="3"/>
  <c r="Y43" i="3"/>
  <c r="CX43" i="3"/>
  <c r="DF43" i="3" s="1"/>
  <c r="DJ43" i="3" s="1"/>
  <c r="CY43" i="3"/>
  <c r="CZ43" i="3"/>
  <c r="DA43" i="3"/>
  <c r="DB43" i="3"/>
  <c r="DC43" i="3"/>
  <c r="A44" i="3"/>
  <c r="Y44" i="3"/>
  <c r="CX44" i="3" s="1"/>
  <c r="CY44" i="3"/>
  <c r="CZ44" i="3"/>
  <c r="DB44" i="3" s="1"/>
  <c r="DA44" i="3"/>
  <c r="DC44" i="3"/>
  <c r="A45" i="3"/>
  <c r="Y45" i="3"/>
  <c r="CX45" i="3" s="1"/>
  <c r="CY45" i="3"/>
  <c r="CZ45" i="3"/>
  <c r="DA45" i="3"/>
  <c r="DB45" i="3"/>
  <c r="DC45" i="3"/>
  <c r="A46" i="3"/>
  <c r="Y46" i="3"/>
  <c r="CX46" i="3" s="1"/>
  <c r="CY46" i="3"/>
  <c r="CZ46" i="3"/>
  <c r="DA46" i="3"/>
  <c r="DB46" i="3"/>
  <c r="DC46" i="3"/>
  <c r="A47" i="3"/>
  <c r="Y47" i="3"/>
  <c r="CX47" i="3"/>
  <c r="DH47" i="3" s="1"/>
  <c r="CY47" i="3"/>
  <c r="CZ47" i="3"/>
  <c r="DB47" i="3" s="1"/>
  <c r="DA47" i="3"/>
  <c r="DC47" i="3"/>
  <c r="DF47" i="3"/>
  <c r="DJ47" i="3" s="1"/>
  <c r="DG47" i="3"/>
  <c r="DI47" i="3"/>
  <c r="A48" i="3"/>
  <c r="Y48" i="3"/>
  <c r="CX48" i="3" s="1"/>
  <c r="DH48" i="3" s="1"/>
  <c r="CY48" i="3"/>
  <c r="CZ48" i="3"/>
  <c r="DB48" i="3" s="1"/>
  <c r="DA48" i="3"/>
  <c r="DC48" i="3"/>
  <c r="DF48" i="3"/>
  <c r="DJ48" i="3" s="1"/>
  <c r="DG48" i="3"/>
  <c r="DI48" i="3"/>
  <c r="A49" i="3"/>
  <c r="Y49" i="3"/>
  <c r="CX49" i="3"/>
  <c r="DG49" i="3" s="1"/>
  <c r="CY49" i="3"/>
  <c r="CZ49" i="3"/>
  <c r="DB49" i="3" s="1"/>
  <c r="DA49" i="3"/>
  <c r="DC49" i="3"/>
  <c r="DF49" i="3"/>
  <c r="DJ49" i="3" s="1"/>
  <c r="DH49" i="3"/>
  <c r="A50" i="3"/>
  <c r="Y50" i="3"/>
  <c r="CX50" i="3"/>
  <c r="DF50" i="3" s="1"/>
  <c r="DJ50" i="3" s="1"/>
  <c r="CY50" i="3"/>
  <c r="CZ50" i="3"/>
  <c r="DB50" i="3" s="1"/>
  <c r="DA50" i="3"/>
  <c r="DC50" i="3"/>
  <c r="A51" i="3"/>
  <c r="Y51" i="3"/>
  <c r="CX51" i="3"/>
  <c r="DI51" i="3" s="1"/>
  <c r="CY51" i="3"/>
  <c r="CZ51" i="3"/>
  <c r="DB51" i="3" s="1"/>
  <c r="DA51" i="3"/>
  <c r="DC51" i="3"/>
  <c r="A52" i="3"/>
  <c r="Y52" i="3"/>
  <c r="CV52" i="3" s="1"/>
  <c r="CU52" i="3"/>
  <c r="CX52" i="3"/>
  <c r="DF52" i="3" s="1"/>
  <c r="CY52" i="3"/>
  <c r="CZ52" i="3"/>
  <c r="DB52" i="3" s="1"/>
  <c r="DA52" i="3"/>
  <c r="DC52" i="3"/>
  <c r="A53" i="3"/>
  <c r="Y53" i="3"/>
  <c r="CX53" i="3"/>
  <c r="DF53" i="3" s="1"/>
  <c r="DJ53" i="3" s="1"/>
  <c r="CY53" i="3"/>
  <c r="CZ53" i="3"/>
  <c r="DB53" i="3" s="1"/>
  <c r="DA53" i="3"/>
  <c r="DC53" i="3"/>
  <c r="A54" i="3"/>
  <c r="Y54" i="3"/>
  <c r="CX54" i="3" s="1"/>
  <c r="CY54" i="3"/>
  <c r="CZ54" i="3"/>
  <c r="DB54" i="3" s="1"/>
  <c r="DA54" i="3"/>
  <c r="DC54" i="3"/>
  <c r="A55" i="3"/>
  <c r="Y55" i="3"/>
  <c r="CX55" i="3" s="1"/>
  <c r="CY55" i="3"/>
  <c r="CZ55" i="3"/>
  <c r="DB55" i="3" s="1"/>
  <c r="DA55" i="3"/>
  <c r="DC55" i="3"/>
  <c r="A56" i="3"/>
  <c r="Y56" i="3"/>
  <c r="CX56" i="3"/>
  <c r="DF56" i="3" s="1"/>
  <c r="DJ56" i="3" s="1"/>
  <c r="CY56" i="3"/>
  <c r="CZ56" i="3"/>
  <c r="DA56" i="3"/>
  <c r="DB56" i="3"/>
  <c r="DC56" i="3"/>
  <c r="DG56" i="3"/>
  <c r="DH56" i="3"/>
  <c r="A57" i="3"/>
  <c r="Y57" i="3"/>
  <c r="CX57" i="3"/>
  <c r="DF57" i="3" s="1"/>
  <c r="DJ57" i="3" s="1"/>
  <c r="CY57" i="3"/>
  <c r="CZ57" i="3"/>
  <c r="DB57" i="3" s="1"/>
  <c r="DA57" i="3"/>
  <c r="DC57" i="3"/>
  <c r="A58" i="3"/>
  <c r="Y58" i="3"/>
  <c r="CX58" i="3" s="1"/>
  <c r="DF58" i="3" s="1"/>
  <c r="DJ58" i="3" s="1"/>
  <c r="CY58" i="3"/>
  <c r="CZ58" i="3"/>
  <c r="DB58" i="3" s="1"/>
  <c r="DA58" i="3"/>
  <c r="DC58" i="3"/>
  <c r="A59" i="3"/>
  <c r="Y59" i="3"/>
  <c r="CX59" i="3"/>
  <c r="CY59" i="3"/>
  <c r="CZ59" i="3"/>
  <c r="DA59" i="3"/>
  <c r="DB59" i="3"/>
  <c r="DC59" i="3"/>
  <c r="DF59" i="3"/>
  <c r="DJ59" i="3" s="1"/>
  <c r="DG59" i="3"/>
  <c r="DH59" i="3"/>
  <c r="DI59" i="3"/>
  <c r="A60" i="3"/>
  <c r="Y60" i="3"/>
  <c r="CX60" i="3"/>
  <c r="DF60" i="3" s="1"/>
  <c r="DJ60" i="3" s="1"/>
  <c r="CY60" i="3"/>
  <c r="CZ60" i="3"/>
  <c r="DA60" i="3"/>
  <c r="DB60" i="3"/>
  <c r="DC60" i="3"/>
  <c r="A61" i="3"/>
  <c r="Y61" i="3"/>
  <c r="CX61" i="3"/>
  <c r="DI61" i="3" s="1"/>
  <c r="CY61" i="3"/>
  <c r="CZ61" i="3"/>
  <c r="DA61" i="3"/>
  <c r="DB61" i="3"/>
  <c r="DC61" i="3"/>
  <c r="A62" i="3"/>
  <c r="Y62" i="3"/>
  <c r="CX62" i="3"/>
  <c r="DH62" i="3" s="1"/>
  <c r="CY62" i="3"/>
  <c r="CZ62" i="3"/>
  <c r="DA62" i="3"/>
  <c r="DB62" i="3"/>
  <c r="DC62" i="3"/>
  <c r="A63" i="3"/>
  <c r="Y63" i="3"/>
  <c r="CX63" i="3"/>
  <c r="DG63" i="3" s="1"/>
  <c r="CY63" i="3"/>
  <c r="CZ63" i="3"/>
  <c r="DA63" i="3"/>
  <c r="DB63" i="3"/>
  <c r="DC63" i="3"/>
  <c r="A64" i="3"/>
  <c r="Y64" i="3"/>
  <c r="CX64" i="3"/>
  <c r="DF64" i="3" s="1"/>
  <c r="DJ64" i="3" s="1"/>
  <c r="CY64" i="3"/>
  <c r="CZ64" i="3"/>
  <c r="DA64" i="3"/>
  <c r="DB64" i="3"/>
  <c r="DC64" i="3"/>
  <c r="A65" i="3"/>
  <c r="Y65" i="3"/>
  <c r="CX65" i="3"/>
  <c r="DF65" i="3" s="1"/>
  <c r="DJ65" i="3" s="1"/>
  <c r="CY65" i="3"/>
  <c r="CZ65" i="3"/>
  <c r="DA65" i="3"/>
  <c r="DB65" i="3"/>
  <c r="DC65" i="3"/>
  <c r="A66" i="3"/>
  <c r="Y66" i="3"/>
  <c r="CX66" i="3" s="1"/>
  <c r="CY66" i="3"/>
  <c r="CZ66" i="3"/>
  <c r="DB66" i="3" s="1"/>
  <c r="DA66" i="3"/>
  <c r="DC66" i="3"/>
  <c r="A67" i="3"/>
  <c r="Y67" i="3"/>
  <c r="CV67" i="3" s="1"/>
  <c r="CU67" i="3"/>
  <c r="CY67" i="3"/>
  <c r="CZ67" i="3"/>
  <c r="DB67" i="3" s="1"/>
  <c r="DA67" i="3"/>
  <c r="DC67" i="3"/>
  <c r="A68" i="3"/>
  <c r="Y68" i="3"/>
  <c r="CX68" i="3" s="1"/>
  <c r="DH68" i="3" s="1"/>
  <c r="CY68" i="3"/>
  <c r="CZ68" i="3"/>
  <c r="DB68" i="3" s="1"/>
  <c r="DA68" i="3"/>
  <c r="DC68" i="3"/>
  <c r="DF68" i="3"/>
  <c r="DJ68" i="3" s="1"/>
  <c r="DG68" i="3"/>
  <c r="DI68" i="3"/>
  <c r="A69" i="3"/>
  <c r="Y69" i="3"/>
  <c r="CU69" i="3"/>
  <c r="CV69" i="3"/>
  <c r="CX69" i="3"/>
  <c r="DI69" i="3" s="1"/>
  <c r="DJ69" i="3" s="1"/>
  <c r="CY69" i="3"/>
  <c r="CZ69" i="3"/>
  <c r="DA69" i="3"/>
  <c r="DB69" i="3"/>
  <c r="DC69" i="3"/>
  <c r="DF69" i="3"/>
  <c r="A70" i="3"/>
  <c r="Y70" i="3"/>
  <c r="CX70" i="3" s="1"/>
  <c r="CY70" i="3"/>
  <c r="CZ70" i="3"/>
  <c r="DA70" i="3"/>
  <c r="DB70" i="3"/>
  <c r="DC70" i="3"/>
  <c r="A71" i="3"/>
  <c r="Y71" i="3"/>
  <c r="CV71" i="3" s="1"/>
  <c r="CU71" i="3"/>
  <c r="CY71" i="3"/>
  <c r="CZ71" i="3"/>
  <c r="DB71" i="3" s="1"/>
  <c r="DA71" i="3"/>
  <c r="DC71" i="3"/>
  <c r="A72" i="3"/>
  <c r="Y72" i="3"/>
  <c r="CX72" i="3"/>
  <c r="DF72" i="3" s="1"/>
  <c r="DJ72" i="3" s="1"/>
  <c r="CY72" i="3"/>
  <c r="CZ72" i="3"/>
  <c r="DB72" i="3" s="1"/>
  <c r="DA72" i="3"/>
  <c r="DC72" i="3"/>
  <c r="DH72" i="3"/>
  <c r="DI72" i="3"/>
  <c r="A73" i="3"/>
  <c r="Y73" i="3"/>
  <c r="CX73" i="3"/>
  <c r="DF73" i="3" s="1"/>
  <c r="DJ73" i="3" s="1"/>
  <c r="CY73" i="3"/>
  <c r="CZ73" i="3"/>
  <c r="DA73" i="3"/>
  <c r="DB73" i="3"/>
  <c r="DC73" i="3"/>
  <c r="DG73" i="3"/>
  <c r="DH73" i="3"/>
  <c r="A74" i="3"/>
  <c r="Y74" i="3"/>
  <c r="CX74" i="3"/>
  <c r="DF74" i="3" s="1"/>
  <c r="DJ74" i="3" s="1"/>
  <c r="CY74" i="3"/>
  <c r="CZ74" i="3"/>
  <c r="DA74" i="3"/>
  <c r="DB74" i="3"/>
  <c r="DC74" i="3"/>
  <c r="A75" i="3"/>
  <c r="Y75" i="3"/>
  <c r="CV75" i="3" s="1"/>
  <c r="CU75" i="3"/>
  <c r="CY75" i="3"/>
  <c r="CZ75" i="3"/>
  <c r="DA75" i="3"/>
  <c r="DB75" i="3"/>
  <c r="DC75" i="3"/>
  <c r="A76" i="3"/>
  <c r="Y76" i="3"/>
  <c r="CX76" i="3" s="1"/>
  <c r="CY76" i="3"/>
  <c r="CZ76" i="3"/>
  <c r="DA76" i="3"/>
  <c r="DB76" i="3"/>
  <c r="DC76" i="3"/>
  <c r="A77" i="3"/>
  <c r="Y77" i="3"/>
  <c r="CX77" i="3" s="1"/>
  <c r="CY77" i="3"/>
  <c r="CZ77" i="3"/>
  <c r="DA77" i="3"/>
  <c r="DB77" i="3"/>
  <c r="DC77" i="3"/>
  <c r="A78" i="3"/>
  <c r="Y78" i="3"/>
  <c r="CX78" i="3" s="1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V81" i="3" s="1"/>
  <c r="CU81" i="3"/>
  <c r="CY81" i="3"/>
  <c r="CZ81" i="3"/>
  <c r="DB81" i="3" s="1"/>
  <c r="DA81" i="3"/>
  <c r="DC81" i="3"/>
  <c r="A82" i="3"/>
  <c r="Y82" i="3"/>
  <c r="CX82" i="3"/>
  <c r="DF82" i="3" s="1"/>
  <c r="DJ82" i="3" s="1"/>
  <c r="CY82" i="3"/>
  <c r="CZ82" i="3"/>
  <c r="DA82" i="3"/>
  <c r="DB82" i="3"/>
  <c r="DC82" i="3"/>
  <c r="DG82" i="3"/>
  <c r="DH82" i="3"/>
  <c r="A83" i="3"/>
  <c r="Y83" i="3"/>
  <c r="CX83" i="3"/>
  <c r="DI83" i="3" s="1"/>
  <c r="CY83" i="3"/>
  <c r="CZ83" i="3"/>
  <c r="DA83" i="3"/>
  <c r="DB83" i="3"/>
  <c r="DC83" i="3"/>
  <c r="DG83" i="3"/>
  <c r="DH83" i="3"/>
  <c r="A84" i="3"/>
  <c r="Y84" i="3"/>
  <c r="CX84" i="3"/>
  <c r="DH84" i="3" s="1"/>
  <c r="CY84" i="3"/>
  <c r="CZ84" i="3"/>
  <c r="DA84" i="3"/>
  <c r="DB84" i="3"/>
  <c r="DC84" i="3"/>
  <c r="DG84" i="3"/>
  <c r="DI84" i="3"/>
  <c r="A85" i="3"/>
  <c r="Y85" i="3"/>
  <c r="CX85" i="3" s="1"/>
  <c r="CU85" i="3"/>
  <c r="CV85" i="3"/>
  <c r="CY85" i="3"/>
  <c r="CZ85" i="3"/>
  <c r="DB85" i="3" s="1"/>
  <c r="DA85" i="3"/>
  <c r="DC85" i="3"/>
  <c r="A86" i="3"/>
  <c r="Y86" i="3"/>
  <c r="CX86" i="3"/>
  <c r="DG86" i="3" s="1"/>
  <c r="CY86" i="3"/>
  <c r="CZ86" i="3"/>
  <c r="DB86" i="3" s="1"/>
  <c r="DA86" i="3"/>
  <c r="DC86" i="3"/>
  <c r="DF86" i="3"/>
  <c r="DJ86" i="3" s="1"/>
  <c r="A87" i="3"/>
  <c r="Y87" i="3"/>
  <c r="CX87" i="3"/>
  <c r="DF87" i="3" s="1"/>
  <c r="CY87" i="3"/>
  <c r="CZ87" i="3"/>
  <c r="DA87" i="3"/>
  <c r="DB87" i="3"/>
  <c r="DC87" i="3"/>
  <c r="DJ87" i="3"/>
  <c r="A88" i="3"/>
  <c r="Y88" i="3"/>
  <c r="CX88" i="3" s="1"/>
  <c r="CY88" i="3"/>
  <c r="CZ88" i="3"/>
  <c r="DA88" i="3"/>
  <c r="DB88" i="3"/>
  <c r="DC8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G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Q28" i="1"/>
  <c r="U28" i="1"/>
  <c r="W28" i="1"/>
  <c r="AC28" i="1"/>
  <c r="CQ28" i="1" s="1"/>
  <c r="AD28" i="1"/>
  <c r="AE28" i="1"/>
  <c r="CR28" i="1" s="1"/>
  <c r="AF28" i="1"/>
  <c r="S28" i="1" s="1"/>
  <c r="X28" i="1" s="1"/>
  <c r="AG28" i="1"/>
  <c r="AH28" i="1"/>
  <c r="CV28" i="1" s="1"/>
  <c r="AI28" i="1"/>
  <c r="CW28" i="1" s="1"/>
  <c r="V28" i="1" s="1"/>
  <c r="AJ28" i="1"/>
  <c r="CX28" i="1" s="1"/>
  <c r="CU28" i="1"/>
  <c r="T28" i="1" s="1"/>
  <c r="GL28" i="1"/>
  <c r="GN28" i="1"/>
  <c r="GP28" i="1"/>
  <c r="GV28" i="1"/>
  <c r="HC28" i="1"/>
  <c r="GX28" i="1" s="1"/>
  <c r="C29" i="1"/>
  <c r="D29" i="1"/>
  <c r="Q29" i="1"/>
  <c r="DV37" i="1" s="1"/>
  <c r="AC29" i="1"/>
  <c r="P29" i="1" s="1"/>
  <c r="AE29" i="1"/>
  <c r="CS29" i="1" s="1"/>
  <c r="AF29" i="1"/>
  <c r="AG29" i="1"/>
  <c r="AH29" i="1"/>
  <c r="CV29" i="1" s="1"/>
  <c r="U29" i="1" s="1"/>
  <c r="AI29" i="1"/>
  <c r="AJ29" i="1"/>
  <c r="CR29" i="1"/>
  <c r="CU29" i="1"/>
  <c r="T29" i="1" s="1"/>
  <c r="CW29" i="1"/>
  <c r="V29" i="1" s="1"/>
  <c r="CX29" i="1"/>
  <c r="W29" i="1" s="1"/>
  <c r="GL29" i="1"/>
  <c r="GN29" i="1"/>
  <c r="GP29" i="1"/>
  <c r="GV29" i="1"/>
  <c r="HC29" i="1" s="1"/>
  <c r="GX29" i="1" s="1"/>
  <c r="GB37" i="1" s="1"/>
  <c r="C30" i="1"/>
  <c r="D30" i="1"/>
  <c r="V30" i="1"/>
  <c r="AC30" i="1"/>
  <c r="AE30" i="1"/>
  <c r="AD30" i="1" s="1"/>
  <c r="AF30" i="1"/>
  <c r="S30" i="1" s="1"/>
  <c r="AG30" i="1"/>
  <c r="CU30" i="1" s="1"/>
  <c r="T30" i="1" s="1"/>
  <c r="AH30" i="1"/>
  <c r="AI30" i="1"/>
  <c r="AJ30" i="1"/>
  <c r="CX30" i="1" s="1"/>
  <c r="W30" i="1" s="1"/>
  <c r="AJ37" i="1" s="1"/>
  <c r="CT30" i="1"/>
  <c r="CV30" i="1"/>
  <c r="U30" i="1" s="1"/>
  <c r="CW30" i="1"/>
  <c r="GL30" i="1"/>
  <c r="GN30" i="1"/>
  <c r="GP30" i="1"/>
  <c r="GV30" i="1"/>
  <c r="HC30" i="1" s="1"/>
  <c r="GX30" i="1" s="1"/>
  <c r="CJ37" i="1" s="1"/>
  <c r="C31" i="1"/>
  <c r="D31" i="1"/>
  <c r="Q31" i="1"/>
  <c r="R31" i="1"/>
  <c r="S31" i="1"/>
  <c r="Y31" i="1" s="1"/>
  <c r="X31" i="1"/>
  <c r="AB31" i="1"/>
  <c r="AC31" i="1"/>
  <c r="P31" i="1" s="1"/>
  <c r="CP31" i="1" s="1"/>
  <c r="O31" i="1" s="1"/>
  <c r="GM31" i="1" s="1"/>
  <c r="GO31" i="1" s="1"/>
  <c r="AE31" i="1"/>
  <c r="AD31" i="1" s="1"/>
  <c r="AF31" i="1"/>
  <c r="AG31" i="1"/>
  <c r="CU31" i="1" s="1"/>
  <c r="T31" i="1" s="1"/>
  <c r="AH31" i="1"/>
  <c r="CV31" i="1" s="1"/>
  <c r="U31" i="1" s="1"/>
  <c r="AI31" i="1"/>
  <c r="CW31" i="1" s="1"/>
  <c r="V31" i="1" s="1"/>
  <c r="AJ31" i="1"/>
  <c r="CX31" i="1" s="1"/>
  <c r="W31" i="1" s="1"/>
  <c r="CR31" i="1"/>
  <c r="CT31" i="1"/>
  <c r="CZ31" i="1"/>
  <c r="GL31" i="1"/>
  <c r="GN31" i="1"/>
  <c r="GP31" i="1"/>
  <c r="GV31" i="1"/>
  <c r="HC31" i="1"/>
  <c r="GX31" i="1" s="1"/>
  <c r="C32" i="1"/>
  <c r="D32" i="1"/>
  <c r="P32" i="1"/>
  <c r="Q32" i="1"/>
  <c r="V32" i="1"/>
  <c r="AC32" i="1"/>
  <c r="AD32" i="1"/>
  <c r="AE32" i="1"/>
  <c r="CR32" i="1" s="1"/>
  <c r="AF32" i="1"/>
  <c r="AB32" i="1" s="1"/>
  <c r="AG32" i="1"/>
  <c r="CU32" i="1" s="1"/>
  <c r="T32" i="1" s="1"/>
  <c r="AH32" i="1"/>
  <c r="CV32" i="1" s="1"/>
  <c r="U32" i="1" s="1"/>
  <c r="AI32" i="1"/>
  <c r="AJ32" i="1"/>
  <c r="CQ32" i="1"/>
  <c r="CS32" i="1"/>
  <c r="CW32" i="1"/>
  <c r="CX32" i="1"/>
  <c r="W32" i="1" s="1"/>
  <c r="GL32" i="1"/>
  <c r="GN32" i="1"/>
  <c r="GP32" i="1"/>
  <c r="GV32" i="1"/>
  <c r="HC32" i="1" s="1"/>
  <c r="GX32" i="1" s="1"/>
  <c r="C33" i="1"/>
  <c r="D33" i="1"/>
  <c r="Q33" i="1"/>
  <c r="U33" i="1"/>
  <c r="W33" i="1"/>
  <c r="AC33" i="1"/>
  <c r="P33" i="1" s="1"/>
  <c r="AD33" i="1"/>
  <c r="AB33" i="1" s="1"/>
  <c r="AE33" i="1"/>
  <c r="R33" i="1" s="1"/>
  <c r="AF33" i="1"/>
  <c r="CT33" i="1" s="1"/>
  <c r="AG33" i="1"/>
  <c r="AH33" i="1"/>
  <c r="AI33" i="1"/>
  <c r="CW33" i="1" s="1"/>
  <c r="V33" i="1" s="1"/>
  <c r="EA37" i="1" s="1"/>
  <c r="AJ33" i="1"/>
  <c r="CQ33" i="1"/>
  <c r="CS33" i="1"/>
  <c r="CU33" i="1"/>
  <c r="T33" i="1" s="1"/>
  <c r="CV33" i="1"/>
  <c r="CX33" i="1"/>
  <c r="GL33" i="1"/>
  <c r="GN33" i="1"/>
  <c r="GP33" i="1"/>
  <c r="GV33" i="1"/>
  <c r="HC33" i="1" s="1"/>
  <c r="GX33" i="1" s="1"/>
  <c r="C34" i="1"/>
  <c r="D34" i="1"/>
  <c r="P34" i="1"/>
  <c r="R34" i="1"/>
  <c r="U34" i="1"/>
  <c r="W34" i="1"/>
  <c r="AC34" i="1"/>
  <c r="AD34" i="1"/>
  <c r="AB34" i="1" s="1"/>
  <c r="AE34" i="1"/>
  <c r="Q34" i="1" s="1"/>
  <c r="AF34" i="1"/>
  <c r="S34" i="1" s="1"/>
  <c r="AG34" i="1"/>
  <c r="AH34" i="1"/>
  <c r="AI34" i="1"/>
  <c r="AJ34" i="1"/>
  <c r="CQ34" i="1"/>
  <c r="CR34" i="1"/>
  <c r="CS34" i="1"/>
  <c r="CU34" i="1"/>
  <c r="T34" i="1" s="1"/>
  <c r="CV34" i="1"/>
  <c r="CW34" i="1"/>
  <c r="V34" i="1" s="1"/>
  <c r="CX34" i="1"/>
  <c r="GL34" i="1"/>
  <c r="GN34" i="1"/>
  <c r="GP34" i="1"/>
  <c r="GV34" i="1"/>
  <c r="GX34" i="1"/>
  <c r="HC34" i="1"/>
  <c r="C35" i="1"/>
  <c r="D35" i="1"/>
  <c r="P35" i="1"/>
  <c r="R35" i="1"/>
  <c r="T35" i="1"/>
  <c r="W35" i="1"/>
  <c r="AC35" i="1"/>
  <c r="AD35" i="1"/>
  <c r="AE35" i="1"/>
  <c r="Q35" i="1" s="1"/>
  <c r="AF35" i="1"/>
  <c r="AB35" i="1" s="1"/>
  <c r="AG35" i="1"/>
  <c r="AH35" i="1"/>
  <c r="CV35" i="1" s="1"/>
  <c r="U35" i="1" s="1"/>
  <c r="AI35" i="1"/>
  <c r="AJ35" i="1"/>
  <c r="CQ35" i="1"/>
  <c r="CR35" i="1"/>
  <c r="CS35" i="1"/>
  <c r="CU35" i="1"/>
  <c r="CW35" i="1"/>
  <c r="V35" i="1" s="1"/>
  <c r="CX35" i="1"/>
  <c r="GL35" i="1"/>
  <c r="GN35" i="1"/>
  <c r="GP35" i="1"/>
  <c r="GV35" i="1"/>
  <c r="GX35" i="1"/>
  <c r="HC35" i="1"/>
  <c r="B37" i="1"/>
  <c r="B26" i="1" s="1"/>
  <c r="C37" i="1"/>
  <c r="C26" i="1" s="1"/>
  <c r="D37" i="1"/>
  <c r="D26" i="1" s="1"/>
  <c r="F37" i="1"/>
  <c r="F26" i="1" s="1"/>
  <c r="G37" i="1"/>
  <c r="BX37" i="1"/>
  <c r="BY37" i="1"/>
  <c r="BY26" i="1" s="1"/>
  <c r="BZ37" i="1"/>
  <c r="BZ26" i="1" s="1"/>
  <c r="CB37" i="1"/>
  <c r="CB26" i="1" s="1"/>
  <c r="CD37" i="1"/>
  <c r="CD26" i="1" s="1"/>
  <c r="CK37" i="1"/>
  <c r="CL37" i="1"/>
  <c r="CL26" i="1" s="1"/>
  <c r="CM37" i="1"/>
  <c r="CM26" i="1" s="1"/>
  <c r="DZ37" i="1"/>
  <c r="EH37" i="1"/>
  <c r="EI37" i="1"/>
  <c r="EI26" i="1" s="1"/>
  <c r="ET37" i="1"/>
  <c r="ET26" i="1" s="1"/>
  <c r="EU37" i="1"/>
  <c r="EU26" i="1" s="1"/>
  <c r="FP37" i="1"/>
  <c r="FP26" i="1" s="1"/>
  <c r="FQ37" i="1"/>
  <c r="FR37" i="1"/>
  <c r="FR26" i="1" s="1"/>
  <c r="FT37" i="1"/>
  <c r="FT26" i="1" s="1"/>
  <c r="FV37" i="1"/>
  <c r="EM37" i="1" s="1"/>
  <c r="EM26" i="1" s="1"/>
  <c r="FY37" i="1"/>
  <c r="GC37" i="1"/>
  <c r="GC26" i="1" s="1"/>
  <c r="GD37" i="1"/>
  <c r="GD26" i="1" s="1"/>
  <c r="GE37" i="1"/>
  <c r="P47" i="1"/>
  <c r="P53" i="1"/>
  <c r="P56" i="1"/>
  <c r="D67" i="1"/>
  <c r="B69" i="1"/>
  <c r="D69" i="1"/>
  <c r="E69" i="1"/>
  <c r="Z69" i="1"/>
  <c r="AA69" i="1"/>
  <c r="AM69" i="1"/>
  <c r="AN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R69" i="1"/>
  <c r="DS69" i="1"/>
  <c r="EE69" i="1"/>
  <c r="EF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C71" i="1"/>
  <c r="D71" i="1"/>
  <c r="R71" i="1"/>
  <c r="S71" i="1"/>
  <c r="U71" i="1"/>
  <c r="AC71" i="1"/>
  <c r="P71" i="1" s="1"/>
  <c r="AE71" i="1"/>
  <c r="Q71" i="1" s="1"/>
  <c r="AF71" i="1"/>
  <c r="CT71" i="1" s="1"/>
  <c r="AG71" i="1"/>
  <c r="CU71" i="1" s="1"/>
  <c r="T71" i="1" s="1"/>
  <c r="AH71" i="1"/>
  <c r="AI71" i="1"/>
  <c r="AJ71" i="1"/>
  <c r="CQ71" i="1"/>
  <c r="CV71" i="1"/>
  <c r="CW71" i="1"/>
  <c r="V71" i="1" s="1"/>
  <c r="CX71" i="1"/>
  <c r="W71" i="1" s="1"/>
  <c r="AJ88" i="1" s="1"/>
  <c r="GL71" i="1"/>
  <c r="GN71" i="1"/>
  <c r="GP71" i="1"/>
  <c r="GV71" i="1"/>
  <c r="HC71" i="1"/>
  <c r="GX71" i="1" s="1"/>
  <c r="C72" i="1"/>
  <c r="D72" i="1"/>
  <c r="P72" i="1"/>
  <c r="R72" i="1"/>
  <c r="S72" i="1"/>
  <c r="U72" i="1"/>
  <c r="AB72" i="1"/>
  <c r="AC72" i="1"/>
  <c r="AD72" i="1"/>
  <c r="AE72" i="1"/>
  <c r="Q72" i="1" s="1"/>
  <c r="AF72" i="1"/>
  <c r="CT72" i="1" s="1"/>
  <c r="AG72" i="1"/>
  <c r="AH72" i="1"/>
  <c r="AI72" i="1"/>
  <c r="AJ72" i="1"/>
  <c r="CQ72" i="1"/>
  <c r="CR72" i="1"/>
  <c r="CS72" i="1"/>
  <c r="CU72" i="1"/>
  <c r="T72" i="1" s="1"/>
  <c r="DY88" i="1" s="1"/>
  <c r="CV72" i="1"/>
  <c r="CW72" i="1"/>
  <c r="V72" i="1" s="1"/>
  <c r="CX72" i="1"/>
  <c r="W72" i="1" s="1"/>
  <c r="GL72" i="1"/>
  <c r="GN72" i="1"/>
  <c r="GP72" i="1"/>
  <c r="GV72" i="1"/>
  <c r="GX72" i="1"/>
  <c r="HC72" i="1"/>
  <c r="R73" i="1"/>
  <c r="U73" i="1"/>
  <c r="V73" i="1"/>
  <c r="AC73" i="1"/>
  <c r="AD73" i="1"/>
  <c r="AE73" i="1"/>
  <c r="Q73" i="1" s="1"/>
  <c r="AF73" i="1"/>
  <c r="S73" i="1" s="1"/>
  <c r="Y73" i="1" s="1"/>
  <c r="AG73" i="1"/>
  <c r="AH73" i="1"/>
  <c r="AI73" i="1"/>
  <c r="AJ73" i="1"/>
  <c r="CX73" i="1" s="1"/>
  <c r="W73" i="1" s="1"/>
  <c r="CR73" i="1"/>
  <c r="CS73" i="1"/>
  <c r="CU73" i="1"/>
  <c r="T73" i="1" s="1"/>
  <c r="CV73" i="1"/>
  <c r="CW73" i="1"/>
  <c r="CZ73" i="1"/>
  <c r="GL73" i="1"/>
  <c r="GN73" i="1"/>
  <c r="GO73" i="1"/>
  <c r="GP73" i="1"/>
  <c r="GV73" i="1"/>
  <c r="HC73" i="1" s="1"/>
  <c r="GX73" i="1" s="1"/>
  <c r="U74" i="1"/>
  <c r="DZ88" i="1" s="1"/>
  <c r="W74" i="1"/>
  <c r="AC74" i="1"/>
  <c r="P74" i="1" s="1"/>
  <c r="FR74" i="1" s="1"/>
  <c r="AE74" i="1"/>
  <c r="Q74" i="1" s="1"/>
  <c r="AF74" i="1"/>
  <c r="CT74" i="1" s="1"/>
  <c r="AG74" i="1"/>
  <c r="CU74" i="1" s="1"/>
  <c r="T74" i="1" s="1"/>
  <c r="AH74" i="1"/>
  <c r="AI74" i="1"/>
  <c r="AJ74" i="1"/>
  <c r="CQ74" i="1"/>
  <c r="CS74" i="1"/>
  <c r="CV74" i="1"/>
  <c r="CW74" i="1"/>
  <c r="V74" i="1" s="1"/>
  <c r="CX74" i="1"/>
  <c r="GL74" i="1"/>
  <c r="FR88" i="1" s="1"/>
  <c r="GN74" i="1"/>
  <c r="GO74" i="1"/>
  <c r="GP74" i="1"/>
  <c r="GV74" i="1"/>
  <c r="HC74" i="1"/>
  <c r="GX74" i="1" s="1"/>
  <c r="C75" i="1"/>
  <c r="D75" i="1"/>
  <c r="Q75" i="1"/>
  <c r="R75" i="1"/>
  <c r="T75" i="1"/>
  <c r="W75" i="1"/>
  <c r="AC75" i="1"/>
  <c r="CQ75" i="1" s="1"/>
  <c r="AE75" i="1"/>
  <c r="CR75" i="1" s="1"/>
  <c r="AF75" i="1"/>
  <c r="AG75" i="1"/>
  <c r="AH75" i="1"/>
  <c r="AI75" i="1"/>
  <c r="AJ75" i="1"/>
  <c r="CU75" i="1"/>
  <c r="CV75" i="1"/>
  <c r="U75" i="1" s="1"/>
  <c r="CW75" i="1"/>
  <c r="V75" i="1" s="1"/>
  <c r="CX75" i="1"/>
  <c r="GL75" i="1"/>
  <c r="GN75" i="1"/>
  <c r="GP75" i="1"/>
  <c r="GV75" i="1"/>
  <c r="HC75" i="1"/>
  <c r="GX75" i="1" s="1"/>
  <c r="C76" i="1"/>
  <c r="D76" i="1"/>
  <c r="R76" i="1"/>
  <c r="T76" i="1"/>
  <c r="X76" i="1"/>
  <c r="Y76" i="1"/>
  <c r="AC76" i="1"/>
  <c r="AD76" i="1"/>
  <c r="AE76" i="1"/>
  <c r="CS76" i="1" s="1"/>
  <c r="AF76" i="1"/>
  <c r="S76" i="1" s="1"/>
  <c r="AG76" i="1"/>
  <c r="CU76" i="1" s="1"/>
  <c r="AH76" i="1"/>
  <c r="CV76" i="1" s="1"/>
  <c r="U76" i="1" s="1"/>
  <c r="AI76" i="1"/>
  <c r="AJ76" i="1"/>
  <c r="CQ76" i="1"/>
  <c r="CR76" i="1"/>
  <c r="CT76" i="1"/>
  <c r="CW76" i="1"/>
  <c r="V76" i="1" s="1"/>
  <c r="CX76" i="1"/>
  <c r="W76" i="1" s="1"/>
  <c r="GL76" i="1"/>
  <c r="GN76" i="1"/>
  <c r="GP76" i="1"/>
  <c r="GV76" i="1"/>
  <c r="HC76" i="1" s="1"/>
  <c r="GX76" i="1" s="1"/>
  <c r="C77" i="1"/>
  <c r="D77" i="1"/>
  <c r="Q77" i="1"/>
  <c r="S77" i="1"/>
  <c r="T77" i="1"/>
  <c r="AC77" i="1"/>
  <c r="AE77" i="1"/>
  <c r="AF77" i="1"/>
  <c r="AG77" i="1"/>
  <c r="CU77" i="1" s="1"/>
  <c r="AH77" i="1"/>
  <c r="CV77" i="1" s="1"/>
  <c r="U77" i="1" s="1"/>
  <c r="AI77" i="1"/>
  <c r="CW77" i="1" s="1"/>
  <c r="V77" i="1" s="1"/>
  <c r="AJ77" i="1"/>
  <c r="CX77" i="1" s="1"/>
  <c r="W77" i="1" s="1"/>
  <c r="CR77" i="1"/>
  <c r="CS77" i="1"/>
  <c r="CT77" i="1"/>
  <c r="CY77" i="1"/>
  <c r="GL77" i="1"/>
  <c r="GN77" i="1"/>
  <c r="GP77" i="1"/>
  <c r="GV77" i="1"/>
  <c r="HC77" i="1"/>
  <c r="GX77" i="1" s="1"/>
  <c r="C78" i="1"/>
  <c r="D78" i="1"/>
  <c r="Q78" i="1"/>
  <c r="T78" i="1"/>
  <c r="U78" i="1"/>
  <c r="V78" i="1"/>
  <c r="X78" i="1"/>
  <c r="AC78" i="1"/>
  <c r="AE78" i="1"/>
  <c r="AF78" i="1"/>
  <c r="S78" i="1" s="1"/>
  <c r="AG78" i="1"/>
  <c r="AH78" i="1"/>
  <c r="CV78" i="1" s="1"/>
  <c r="AI78" i="1"/>
  <c r="CW78" i="1" s="1"/>
  <c r="AJ78" i="1"/>
  <c r="CX78" i="1" s="1"/>
  <c r="W78" i="1" s="1"/>
  <c r="CS78" i="1"/>
  <c r="CT78" i="1"/>
  <c r="CU78" i="1"/>
  <c r="CY78" i="1"/>
  <c r="GL78" i="1"/>
  <c r="GN78" i="1"/>
  <c r="GP78" i="1"/>
  <c r="GV78" i="1"/>
  <c r="HC78" i="1"/>
  <c r="GX78" i="1" s="1"/>
  <c r="AC79" i="1"/>
  <c r="P79" i="1" s="1"/>
  <c r="AE79" i="1"/>
  <c r="AF79" i="1"/>
  <c r="AG79" i="1"/>
  <c r="CU79" i="1" s="1"/>
  <c r="T79" i="1" s="1"/>
  <c r="AH79" i="1"/>
  <c r="AI79" i="1"/>
  <c r="CW79" i="1" s="1"/>
  <c r="V79" i="1" s="1"/>
  <c r="AI88" i="1" s="1"/>
  <c r="AJ79" i="1"/>
  <c r="CQ79" i="1"/>
  <c r="CV79" i="1"/>
  <c r="U79" i="1" s="1"/>
  <c r="CX79" i="1"/>
  <c r="W79" i="1" s="1"/>
  <c r="GL79" i="1"/>
  <c r="GN79" i="1"/>
  <c r="GO79" i="1"/>
  <c r="GP79" i="1"/>
  <c r="GV79" i="1"/>
  <c r="GX79" i="1"/>
  <c r="HC79" i="1"/>
  <c r="S80" i="1"/>
  <c r="T80" i="1"/>
  <c r="AC80" i="1"/>
  <c r="AE80" i="1"/>
  <c r="AF80" i="1"/>
  <c r="AG80" i="1"/>
  <c r="CU80" i="1" s="1"/>
  <c r="AH80" i="1"/>
  <c r="AI80" i="1"/>
  <c r="CW80" i="1" s="1"/>
  <c r="V80" i="1" s="1"/>
  <c r="AJ80" i="1"/>
  <c r="CR80" i="1"/>
  <c r="CT80" i="1"/>
  <c r="CV80" i="1"/>
  <c r="U80" i="1" s="1"/>
  <c r="CX80" i="1"/>
  <c r="W80" i="1" s="1"/>
  <c r="GL80" i="1"/>
  <c r="GN80" i="1"/>
  <c r="GO80" i="1"/>
  <c r="GP80" i="1"/>
  <c r="GV80" i="1"/>
  <c r="GX80" i="1"/>
  <c r="HC80" i="1"/>
  <c r="C81" i="1"/>
  <c r="D81" i="1"/>
  <c r="P81" i="1"/>
  <c r="S81" i="1"/>
  <c r="X81" i="1" s="1"/>
  <c r="U81" i="1"/>
  <c r="AB81" i="1"/>
  <c r="AC81" i="1"/>
  <c r="CQ81" i="1" s="1"/>
  <c r="AD81" i="1"/>
  <c r="AE81" i="1"/>
  <c r="Q81" i="1" s="1"/>
  <c r="CP81" i="1" s="1"/>
  <c r="O81" i="1" s="1"/>
  <c r="AF81" i="1"/>
  <c r="AG81" i="1"/>
  <c r="CU81" i="1" s="1"/>
  <c r="T81" i="1" s="1"/>
  <c r="AH81" i="1"/>
  <c r="CV81" i="1" s="1"/>
  <c r="AI81" i="1"/>
  <c r="CW81" i="1" s="1"/>
  <c r="V81" i="1" s="1"/>
  <c r="AJ81" i="1"/>
  <c r="CR81" i="1"/>
  <c r="CS81" i="1"/>
  <c r="CT81" i="1"/>
  <c r="CX81" i="1"/>
  <c r="W81" i="1" s="1"/>
  <c r="CY81" i="1"/>
  <c r="CZ81" i="1"/>
  <c r="GL81" i="1"/>
  <c r="GN81" i="1"/>
  <c r="GP81" i="1"/>
  <c r="GV81" i="1"/>
  <c r="GX81" i="1"/>
  <c r="HC81" i="1"/>
  <c r="C82" i="1"/>
  <c r="D82" i="1"/>
  <c r="R82" i="1"/>
  <c r="W82" i="1"/>
  <c r="EB88" i="1" s="1"/>
  <c r="AC82" i="1"/>
  <c r="AD82" i="1"/>
  <c r="AE82" i="1"/>
  <c r="Q82" i="1" s="1"/>
  <c r="AF82" i="1"/>
  <c r="S82" i="1" s="1"/>
  <c r="AG82" i="1"/>
  <c r="AH82" i="1"/>
  <c r="CV82" i="1" s="1"/>
  <c r="U82" i="1" s="1"/>
  <c r="AI82" i="1"/>
  <c r="CW82" i="1" s="1"/>
  <c r="V82" i="1" s="1"/>
  <c r="AJ82" i="1"/>
  <c r="CX82" i="1" s="1"/>
  <c r="CR82" i="1"/>
  <c r="CS82" i="1"/>
  <c r="CT82" i="1"/>
  <c r="CU82" i="1"/>
  <c r="T82" i="1" s="1"/>
  <c r="CY82" i="1"/>
  <c r="CZ82" i="1"/>
  <c r="GL82" i="1"/>
  <c r="GN82" i="1"/>
  <c r="GP82" i="1"/>
  <c r="GV82" i="1"/>
  <c r="HC82" i="1" s="1"/>
  <c r="GX82" i="1" s="1"/>
  <c r="C83" i="1"/>
  <c r="D83" i="1"/>
  <c r="R83" i="1"/>
  <c r="U83" i="1"/>
  <c r="V83" i="1"/>
  <c r="W83" i="1"/>
  <c r="AC83" i="1"/>
  <c r="AD83" i="1"/>
  <c r="AE83" i="1"/>
  <c r="CS83" i="1" s="1"/>
  <c r="AF83" i="1"/>
  <c r="S83" i="1" s="1"/>
  <c r="AG83" i="1"/>
  <c r="AH83" i="1"/>
  <c r="AI83" i="1"/>
  <c r="AJ83" i="1"/>
  <c r="CX83" i="1" s="1"/>
  <c r="CR83" i="1"/>
  <c r="CT83" i="1"/>
  <c r="CU83" i="1"/>
  <c r="T83" i="1" s="1"/>
  <c r="CV83" i="1"/>
  <c r="CW83" i="1"/>
  <c r="GL83" i="1"/>
  <c r="GN83" i="1"/>
  <c r="GP83" i="1"/>
  <c r="GV83" i="1"/>
  <c r="HC83" i="1" s="1"/>
  <c r="GX83" i="1"/>
  <c r="C84" i="1"/>
  <c r="D84" i="1"/>
  <c r="P84" i="1"/>
  <c r="T84" i="1"/>
  <c r="W84" i="1"/>
  <c r="AC84" i="1"/>
  <c r="CQ84" i="1" s="1"/>
  <c r="AE84" i="1"/>
  <c r="AF84" i="1"/>
  <c r="AG84" i="1"/>
  <c r="AH84" i="1"/>
  <c r="CV84" i="1" s="1"/>
  <c r="U84" i="1" s="1"/>
  <c r="AI84" i="1"/>
  <c r="AJ84" i="1"/>
  <c r="CX84" i="1" s="1"/>
  <c r="CU84" i="1"/>
  <c r="CW84" i="1"/>
  <c r="V84" i="1" s="1"/>
  <c r="GL84" i="1"/>
  <c r="GN84" i="1"/>
  <c r="GP84" i="1"/>
  <c r="GV84" i="1"/>
  <c r="GX84" i="1"/>
  <c r="HC84" i="1"/>
  <c r="S85" i="1"/>
  <c r="Y85" i="1" s="1"/>
  <c r="V85" i="1"/>
  <c r="AC85" i="1"/>
  <c r="AE85" i="1"/>
  <c r="AF85" i="1"/>
  <c r="AG85" i="1"/>
  <c r="CU85" i="1" s="1"/>
  <c r="T85" i="1" s="1"/>
  <c r="AH85" i="1"/>
  <c r="AI85" i="1"/>
  <c r="CW85" i="1" s="1"/>
  <c r="AJ85" i="1"/>
  <c r="CR85" i="1"/>
  <c r="CT85" i="1"/>
  <c r="CV85" i="1"/>
  <c r="U85" i="1" s="1"/>
  <c r="CX85" i="1"/>
  <c r="W85" i="1" s="1"/>
  <c r="GL85" i="1"/>
  <c r="GN85" i="1"/>
  <c r="GO85" i="1"/>
  <c r="GP85" i="1"/>
  <c r="GV85" i="1"/>
  <c r="GX85" i="1"/>
  <c r="HC85" i="1"/>
  <c r="P86" i="1"/>
  <c r="R86" i="1"/>
  <c r="U86" i="1"/>
  <c r="AC86" i="1"/>
  <c r="AD86" i="1"/>
  <c r="AE86" i="1"/>
  <c r="CS86" i="1" s="1"/>
  <c r="AF86" i="1"/>
  <c r="AG86" i="1"/>
  <c r="AH86" i="1"/>
  <c r="AI86" i="1"/>
  <c r="AJ86" i="1"/>
  <c r="CX86" i="1" s="1"/>
  <c r="W86" i="1" s="1"/>
  <c r="CR86" i="1"/>
  <c r="CU86" i="1"/>
  <c r="T86" i="1" s="1"/>
  <c r="CV86" i="1"/>
  <c r="CW86" i="1"/>
  <c r="V86" i="1" s="1"/>
  <c r="FR86" i="1"/>
  <c r="GL86" i="1"/>
  <c r="GN86" i="1"/>
  <c r="GO86" i="1"/>
  <c r="GP86" i="1"/>
  <c r="GV86" i="1"/>
  <c r="HC86" i="1"/>
  <c r="GX86" i="1" s="1"/>
  <c r="B88" i="1"/>
  <c r="C88" i="1"/>
  <c r="C69" i="1" s="1"/>
  <c r="D88" i="1"/>
  <c r="F88" i="1"/>
  <c r="F69" i="1" s="1"/>
  <c r="G88" i="1"/>
  <c r="G69" i="1" s="1"/>
  <c r="AO88" i="1"/>
  <c r="AO69" i="1" s="1"/>
  <c r="BB88" i="1"/>
  <c r="BD88" i="1"/>
  <c r="BD69" i="1" s="1"/>
  <c r="BX88" i="1"/>
  <c r="BZ88" i="1"/>
  <c r="CK88" i="1"/>
  <c r="CK69" i="1" s="1"/>
  <c r="CL88" i="1"/>
  <c r="CM88" i="1"/>
  <c r="EG88" i="1"/>
  <c r="FP88" i="1"/>
  <c r="GC88" i="1"/>
  <c r="GD88" i="1"/>
  <c r="GE88" i="1"/>
  <c r="EV88" i="1" s="1"/>
  <c r="EV69" i="1" s="1"/>
  <c r="F92" i="1"/>
  <c r="F113" i="1"/>
  <c r="P113" i="1"/>
  <c r="D118" i="1"/>
  <c r="D120" i="1"/>
  <c r="E120" i="1"/>
  <c r="Z120" i="1"/>
  <c r="AA120" i="1"/>
  <c r="AI120" i="1"/>
  <c r="AJ120" i="1"/>
  <c r="AM120" i="1"/>
  <c r="AN120" i="1"/>
  <c r="AO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CK120" i="1"/>
  <c r="CL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R120" i="1"/>
  <c r="DS120" i="1"/>
  <c r="EE120" i="1"/>
  <c r="EF120" i="1"/>
  <c r="ET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GS120" i="1"/>
  <c r="GT120" i="1"/>
  <c r="GU120" i="1"/>
  <c r="GV120" i="1"/>
  <c r="GW120" i="1"/>
  <c r="GX120" i="1"/>
  <c r="C122" i="1"/>
  <c r="D122" i="1"/>
  <c r="P122" i="1"/>
  <c r="Q122" i="1"/>
  <c r="R122" i="1"/>
  <c r="S122" i="1"/>
  <c r="W122" i="1"/>
  <c r="AJ127" i="1" s="1"/>
  <c r="W127" i="1" s="1"/>
  <c r="AC122" i="1"/>
  <c r="CQ122" i="1" s="1"/>
  <c r="AD122" i="1"/>
  <c r="AE122" i="1"/>
  <c r="AF122" i="1"/>
  <c r="CT122" i="1" s="1"/>
  <c r="AG122" i="1"/>
  <c r="CU122" i="1" s="1"/>
  <c r="T122" i="1" s="1"/>
  <c r="AH122" i="1"/>
  <c r="CV122" i="1" s="1"/>
  <c r="U122" i="1" s="1"/>
  <c r="AH127" i="1" s="1"/>
  <c r="AI122" i="1"/>
  <c r="CW122" i="1" s="1"/>
  <c r="V122" i="1" s="1"/>
  <c r="AI127" i="1" s="1"/>
  <c r="V127" i="1" s="1"/>
  <c r="AJ122" i="1"/>
  <c r="CR122" i="1"/>
  <c r="CS122" i="1"/>
  <c r="CX122" i="1"/>
  <c r="GL122" i="1"/>
  <c r="GN122" i="1"/>
  <c r="GP122" i="1"/>
  <c r="CD127" i="1" s="1"/>
  <c r="AU127" i="1" s="1"/>
  <c r="GV122" i="1"/>
  <c r="HC122" i="1"/>
  <c r="GX122" i="1" s="1"/>
  <c r="CJ127" i="1" s="1"/>
  <c r="CJ120" i="1" s="1"/>
  <c r="C123" i="1"/>
  <c r="D123" i="1"/>
  <c r="P123" i="1"/>
  <c r="AC123" i="1"/>
  <c r="AD123" i="1"/>
  <c r="AE123" i="1"/>
  <c r="AF123" i="1"/>
  <c r="S123" i="1" s="1"/>
  <c r="X123" i="1" s="1"/>
  <c r="AG123" i="1"/>
  <c r="AH123" i="1"/>
  <c r="AI123" i="1"/>
  <c r="CW123" i="1" s="1"/>
  <c r="V123" i="1" s="1"/>
  <c r="EA127" i="1" s="1"/>
  <c r="AJ123" i="1"/>
  <c r="CX123" i="1" s="1"/>
  <c r="W123" i="1" s="1"/>
  <c r="CT123" i="1"/>
  <c r="CU123" i="1"/>
  <c r="T123" i="1" s="1"/>
  <c r="CV123" i="1"/>
  <c r="U123" i="1" s="1"/>
  <c r="DZ127" i="1" s="1"/>
  <c r="GL123" i="1"/>
  <c r="GN123" i="1"/>
  <c r="FT127" i="1" s="1"/>
  <c r="GP123" i="1"/>
  <c r="FV127" i="1" s="1"/>
  <c r="GV123" i="1"/>
  <c r="HC123" i="1"/>
  <c r="GX123" i="1" s="1"/>
  <c r="GB127" i="1" s="1"/>
  <c r="S124" i="1"/>
  <c r="X124" i="1" s="1"/>
  <c r="T124" i="1"/>
  <c r="AG127" i="1" s="1"/>
  <c r="W124" i="1"/>
  <c r="Y124" i="1"/>
  <c r="AC124" i="1"/>
  <c r="AE124" i="1"/>
  <c r="AD124" i="1" s="1"/>
  <c r="AF124" i="1"/>
  <c r="AG124" i="1"/>
  <c r="CU124" i="1" s="1"/>
  <c r="AH124" i="1"/>
  <c r="CV124" i="1" s="1"/>
  <c r="U124" i="1" s="1"/>
  <c r="AI124" i="1"/>
  <c r="CW124" i="1" s="1"/>
  <c r="V124" i="1" s="1"/>
  <c r="AJ124" i="1"/>
  <c r="CR124" i="1"/>
  <c r="CS124" i="1"/>
  <c r="CT124" i="1"/>
  <c r="CX124" i="1"/>
  <c r="CY124" i="1"/>
  <c r="CZ124" i="1"/>
  <c r="GL124" i="1"/>
  <c r="BZ127" i="1" s="1"/>
  <c r="GN124" i="1"/>
  <c r="CB127" i="1" s="1"/>
  <c r="GO124" i="1"/>
  <c r="GP124" i="1"/>
  <c r="GV124" i="1"/>
  <c r="GX124" i="1"/>
  <c r="HC124" i="1"/>
  <c r="Q125" i="1"/>
  <c r="S125" i="1"/>
  <c r="U125" i="1"/>
  <c r="AC125" i="1"/>
  <c r="P125" i="1" s="1"/>
  <c r="FR125" i="1" s="1"/>
  <c r="AD125" i="1"/>
  <c r="AE125" i="1"/>
  <c r="AF125" i="1"/>
  <c r="AG125" i="1"/>
  <c r="AH125" i="1"/>
  <c r="AI125" i="1"/>
  <c r="CW125" i="1" s="1"/>
  <c r="V125" i="1" s="1"/>
  <c r="AJ125" i="1"/>
  <c r="CP125" i="1"/>
  <c r="O125" i="1" s="1"/>
  <c r="CT125" i="1"/>
  <c r="CU125" i="1"/>
  <c r="T125" i="1" s="1"/>
  <c r="DY127" i="1" s="1"/>
  <c r="CV125" i="1"/>
  <c r="CX125" i="1"/>
  <c r="W125" i="1" s="1"/>
  <c r="GL125" i="1"/>
  <c r="FR127" i="1" s="1"/>
  <c r="GN125" i="1"/>
  <c r="GO125" i="1"/>
  <c r="GP125" i="1"/>
  <c r="GV125" i="1"/>
  <c r="HC125" i="1" s="1"/>
  <c r="GX125" i="1"/>
  <c r="B127" i="1"/>
  <c r="B120" i="1" s="1"/>
  <c r="C127" i="1"/>
  <c r="C120" i="1" s="1"/>
  <c r="D127" i="1"/>
  <c r="F127" i="1"/>
  <c r="F120" i="1" s="1"/>
  <c r="G127" i="1"/>
  <c r="G120" i="1" s="1"/>
  <c r="AO127" i="1"/>
  <c r="BB127" i="1"/>
  <c r="BB120" i="1" s="1"/>
  <c r="BX127" i="1"/>
  <c r="BX120" i="1" s="1"/>
  <c r="CK127" i="1"/>
  <c r="CL127" i="1"/>
  <c r="BC127" i="1" s="1"/>
  <c r="CM127" i="1"/>
  <c r="EG127" i="1"/>
  <c r="EG120" i="1" s="1"/>
  <c r="ET127" i="1"/>
  <c r="FP127" i="1"/>
  <c r="FP120" i="1" s="1"/>
  <c r="FQ127" i="1"/>
  <c r="GC127" i="1"/>
  <c r="GC120" i="1" s="1"/>
  <c r="GD127" i="1"/>
  <c r="GE127" i="1"/>
  <c r="GE120" i="1" s="1"/>
  <c r="F131" i="1"/>
  <c r="P131" i="1"/>
  <c r="P140" i="1"/>
  <c r="D157" i="1"/>
  <c r="B159" i="1"/>
  <c r="E159" i="1"/>
  <c r="Z159" i="1"/>
  <c r="AA159" i="1"/>
  <c r="AM159" i="1"/>
  <c r="AN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R159" i="1"/>
  <c r="DS159" i="1"/>
  <c r="EE159" i="1"/>
  <c r="EF159" i="1"/>
  <c r="ET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Q159" i="1"/>
  <c r="GC159" i="1"/>
  <c r="GD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C161" i="1"/>
  <c r="D161" i="1"/>
  <c r="I161" i="1"/>
  <c r="K161" i="1"/>
  <c r="S161" i="1"/>
  <c r="AC161" i="1"/>
  <c r="AE161" i="1"/>
  <c r="AD161" i="1" s="1"/>
  <c r="AF161" i="1"/>
  <c r="AG161" i="1"/>
  <c r="CU161" i="1" s="1"/>
  <c r="T161" i="1" s="1"/>
  <c r="AH161" i="1"/>
  <c r="CV161" i="1" s="1"/>
  <c r="U161" i="1" s="1"/>
  <c r="AI161" i="1"/>
  <c r="CW161" i="1" s="1"/>
  <c r="AJ161" i="1"/>
  <c r="CS161" i="1"/>
  <c r="CT161" i="1"/>
  <c r="CX161" i="1"/>
  <c r="GL161" i="1"/>
  <c r="GN161" i="1"/>
  <c r="GP161" i="1"/>
  <c r="GV161" i="1"/>
  <c r="HC161" i="1"/>
  <c r="C162" i="1"/>
  <c r="D162" i="1"/>
  <c r="I162" i="1"/>
  <c r="K162" i="1"/>
  <c r="P162" i="1"/>
  <c r="R162" i="1"/>
  <c r="V162" i="1"/>
  <c r="AB162" i="1"/>
  <c r="AC162" i="1"/>
  <c r="AD162" i="1"/>
  <c r="AE162" i="1"/>
  <c r="AF162" i="1"/>
  <c r="CT162" i="1" s="1"/>
  <c r="AG162" i="1"/>
  <c r="AH162" i="1"/>
  <c r="CV162" i="1" s="1"/>
  <c r="U162" i="1" s="1"/>
  <c r="AI162" i="1"/>
  <c r="AJ162" i="1"/>
  <c r="CQ162" i="1"/>
  <c r="CR162" i="1"/>
  <c r="CS162" i="1"/>
  <c r="CU162" i="1"/>
  <c r="T162" i="1" s="1"/>
  <c r="DY170" i="1" s="1"/>
  <c r="CW162" i="1"/>
  <c r="CX162" i="1"/>
  <c r="GL162" i="1"/>
  <c r="GN162" i="1"/>
  <c r="FT170" i="1" s="1"/>
  <c r="GP162" i="1"/>
  <c r="GV162" i="1"/>
  <c r="GX162" i="1"/>
  <c r="HC162" i="1"/>
  <c r="C163" i="1"/>
  <c r="D163" i="1"/>
  <c r="Q163" i="1"/>
  <c r="S163" i="1"/>
  <c r="X163" i="1" s="1"/>
  <c r="U163" i="1"/>
  <c r="AC163" i="1"/>
  <c r="AE163" i="1"/>
  <c r="AF163" i="1"/>
  <c r="AG163" i="1"/>
  <c r="CU163" i="1" s="1"/>
  <c r="T163" i="1" s="1"/>
  <c r="AH163" i="1"/>
  <c r="CV163" i="1" s="1"/>
  <c r="AI163" i="1"/>
  <c r="CW163" i="1" s="1"/>
  <c r="V163" i="1" s="1"/>
  <c r="AJ163" i="1"/>
  <c r="CR163" i="1"/>
  <c r="CS163" i="1"/>
  <c r="CT163" i="1"/>
  <c r="CX163" i="1"/>
  <c r="W163" i="1" s="1"/>
  <c r="GL163" i="1"/>
  <c r="GN163" i="1"/>
  <c r="GP163" i="1"/>
  <c r="GV163" i="1"/>
  <c r="HC163" i="1" s="1"/>
  <c r="GX163" i="1" s="1"/>
  <c r="C164" i="1"/>
  <c r="D164" i="1"/>
  <c r="R164" i="1"/>
  <c r="T164" i="1"/>
  <c r="U164" i="1"/>
  <c r="X164" i="1"/>
  <c r="AC164" i="1"/>
  <c r="AD164" i="1"/>
  <c r="AE164" i="1"/>
  <c r="CR164" i="1" s="1"/>
  <c r="AF164" i="1"/>
  <c r="S164" i="1" s="1"/>
  <c r="Y164" i="1" s="1"/>
  <c r="AG164" i="1"/>
  <c r="AH164" i="1"/>
  <c r="CV164" i="1" s="1"/>
  <c r="AI164" i="1"/>
  <c r="AJ164" i="1"/>
  <c r="CX164" i="1" s="1"/>
  <c r="W164" i="1" s="1"/>
  <c r="CS164" i="1"/>
  <c r="CT164" i="1"/>
  <c r="CU164" i="1"/>
  <c r="CW164" i="1"/>
  <c r="V164" i="1" s="1"/>
  <c r="CY164" i="1"/>
  <c r="CZ164" i="1"/>
  <c r="GL164" i="1"/>
  <c r="GN164" i="1"/>
  <c r="GP164" i="1"/>
  <c r="GV164" i="1"/>
  <c r="HC164" i="1" s="1"/>
  <c r="GX164" i="1"/>
  <c r="Q165" i="1"/>
  <c r="R165" i="1"/>
  <c r="S165" i="1"/>
  <c r="CY165" i="1" s="1"/>
  <c r="U165" i="1"/>
  <c r="W165" i="1"/>
  <c r="X165" i="1"/>
  <c r="AC165" i="1"/>
  <c r="CQ165" i="1" s="1"/>
  <c r="AE165" i="1"/>
  <c r="AF165" i="1"/>
  <c r="AG165" i="1"/>
  <c r="CU165" i="1" s="1"/>
  <c r="T165" i="1" s="1"/>
  <c r="AH165" i="1"/>
  <c r="AI165" i="1"/>
  <c r="AJ165" i="1"/>
  <c r="CR165" i="1"/>
  <c r="CT165" i="1"/>
  <c r="CV165" i="1"/>
  <c r="CW165" i="1"/>
  <c r="V165" i="1" s="1"/>
  <c r="CX165" i="1"/>
  <c r="GL165" i="1"/>
  <c r="GN165" i="1"/>
  <c r="CB170" i="1" s="1"/>
  <c r="GP165" i="1"/>
  <c r="GV165" i="1"/>
  <c r="HC165" i="1" s="1"/>
  <c r="GX165" i="1" s="1"/>
  <c r="R166" i="1"/>
  <c r="AC166" i="1"/>
  <c r="P166" i="1" s="1"/>
  <c r="AD166" i="1"/>
  <c r="AE166" i="1"/>
  <c r="Q166" i="1" s="1"/>
  <c r="AF166" i="1"/>
  <c r="AG166" i="1"/>
  <c r="AH166" i="1"/>
  <c r="CV166" i="1" s="1"/>
  <c r="U166" i="1" s="1"/>
  <c r="AI166" i="1"/>
  <c r="CW166" i="1" s="1"/>
  <c r="V166" i="1" s="1"/>
  <c r="AJ166" i="1"/>
  <c r="CX166" i="1" s="1"/>
  <c r="W166" i="1" s="1"/>
  <c r="CR166" i="1"/>
  <c r="CS166" i="1"/>
  <c r="CU166" i="1"/>
  <c r="T166" i="1" s="1"/>
  <c r="GL166" i="1"/>
  <c r="GN166" i="1"/>
  <c r="GP166" i="1"/>
  <c r="GV166" i="1"/>
  <c r="HC166" i="1" s="1"/>
  <c r="GX166" i="1"/>
  <c r="S167" i="1"/>
  <c r="T167" i="1"/>
  <c r="AC167" i="1"/>
  <c r="AE167" i="1"/>
  <c r="X167" i="1" s="1"/>
  <c r="AF167" i="1"/>
  <c r="AG167" i="1"/>
  <c r="CU167" i="1" s="1"/>
  <c r="AH167" i="1"/>
  <c r="CV167" i="1" s="1"/>
  <c r="U167" i="1" s="1"/>
  <c r="AI167" i="1"/>
  <c r="CW167" i="1" s="1"/>
  <c r="V167" i="1" s="1"/>
  <c r="AJ167" i="1"/>
  <c r="CQ167" i="1"/>
  <c r="CT167" i="1"/>
  <c r="CX167" i="1"/>
  <c r="W167" i="1" s="1"/>
  <c r="GL167" i="1"/>
  <c r="GN167" i="1"/>
  <c r="GP167" i="1"/>
  <c r="GV167" i="1"/>
  <c r="HC167" i="1" s="1"/>
  <c r="GX167" i="1" s="1"/>
  <c r="P168" i="1"/>
  <c r="S168" i="1"/>
  <c r="U168" i="1"/>
  <c r="AC168" i="1"/>
  <c r="AE168" i="1"/>
  <c r="AF168" i="1"/>
  <c r="AG168" i="1"/>
  <c r="CU168" i="1" s="1"/>
  <c r="T168" i="1" s="1"/>
  <c r="AH168" i="1"/>
  <c r="CV168" i="1" s="1"/>
  <c r="AI168" i="1"/>
  <c r="AJ168" i="1"/>
  <c r="CX168" i="1" s="1"/>
  <c r="W168" i="1" s="1"/>
  <c r="CQ168" i="1"/>
  <c r="CT168" i="1"/>
  <c r="CW168" i="1"/>
  <c r="V168" i="1" s="1"/>
  <c r="GL168" i="1"/>
  <c r="GN168" i="1"/>
  <c r="GP168" i="1"/>
  <c r="FV170" i="1" s="1"/>
  <c r="FV159" i="1" s="1"/>
  <c r="GV168" i="1"/>
  <c r="HC168" i="1" s="1"/>
  <c r="GX168" i="1"/>
  <c r="B170" i="1"/>
  <c r="C170" i="1"/>
  <c r="C159" i="1" s="1"/>
  <c r="D170" i="1"/>
  <c r="D159" i="1" s="1"/>
  <c r="F170" i="1"/>
  <c r="F159" i="1" s="1"/>
  <c r="G170" i="1"/>
  <c r="G159" i="1" s="1"/>
  <c r="AF170" i="1"/>
  <c r="AG170" i="1"/>
  <c r="AO170" i="1"/>
  <c r="AO159" i="1" s="1"/>
  <c r="AU170" i="1"/>
  <c r="AU159" i="1" s="1"/>
  <c r="BD170" i="1"/>
  <c r="BD159" i="1" s="1"/>
  <c r="BX170" i="1"/>
  <c r="BX159" i="1" s="1"/>
  <c r="BY170" i="1"/>
  <c r="BZ170" i="1"/>
  <c r="CD170" i="1"/>
  <c r="CD159" i="1" s="1"/>
  <c r="CK170" i="1"/>
  <c r="CL170" i="1"/>
  <c r="CM170" i="1"/>
  <c r="EG170" i="1"/>
  <c r="EH170" i="1"/>
  <c r="EH159" i="1" s="1"/>
  <c r="ET170" i="1"/>
  <c r="P183" i="1" s="1"/>
  <c r="EV170" i="1"/>
  <c r="FP170" i="1"/>
  <c r="FP159" i="1" s="1"/>
  <c r="FQ170" i="1"/>
  <c r="FR170" i="1"/>
  <c r="GA170" i="1" s="1"/>
  <c r="GC170" i="1"/>
  <c r="GD170" i="1"/>
  <c r="EU170" i="1" s="1"/>
  <c r="GE170" i="1"/>
  <c r="GE159" i="1" s="1"/>
  <c r="P179" i="1"/>
  <c r="F195" i="1"/>
  <c r="B200" i="1"/>
  <c r="B22" i="1" s="1"/>
  <c r="C200" i="1"/>
  <c r="C22" i="1" s="1"/>
  <c r="D200" i="1"/>
  <c r="D22" i="1" s="1"/>
  <c r="F200" i="1"/>
  <c r="F22" i="1" s="1"/>
  <c r="G200" i="1"/>
  <c r="G22" i="1" s="1"/>
  <c r="B230" i="1"/>
  <c r="B18" i="1" s="1"/>
  <c r="C230" i="1"/>
  <c r="C18" i="1" s="1"/>
  <c r="D230" i="1"/>
  <c r="D18" i="1" s="1"/>
  <c r="F230" i="1"/>
  <c r="F18" i="1" s="1"/>
  <c r="G230" i="1"/>
  <c r="G18" i="1" s="1"/>
  <c r="F12" i="6"/>
  <c r="G12" i="6"/>
  <c r="J46" i="7" l="1"/>
  <c r="P116" i="7"/>
  <c r="H116" i="7"/>
  <c r="J135" i="7"/>
  <c r="O64" i="7"/>
  <c r="H87" i="7"/>
  <c r="O89" i="7"/>
  <c r="O46" i="7"/>
  <c r="H53" i="7"/>
  <c r="H71" i="7"/>
  <c r="H135" i="7"/>
  <c r="O135" i="7"/>
  <c r="H141" i="7" s="1"/>
  <c r="H152" i="7"/>
  <c r="J163" i="7"/>
  <c r="J44" i="7"/>
  <c r="J53" i="7"/>
  <c r="J73" i="7"/>
  <c r="J154" i="7"/>
  <c r="H154" i="7"/>
  <c r="O154" i="7"/>
  <c r="H163" i="7" s="1"/>
  <c r="O73" i="7"/>
  <c r="H73" i="7"/>
  <c r="P46" i="7"/>
  <c r="H55" i="7"/>
  <c r="J71" i="7"/>
  <c r="O92" i="7"/>
  <c r="J101" i="7"/>
  <c r="H106" i="7"/>
  <c r="J133" i="7"/>
  <c r="H138" i="7"/>
  <c r="J152" i="7"/>
  <c r="H157" i="7"/>
  <c r="H44" i="7"/>
  <c r="O55" i="7"/>
  <c r="J89" i="7"/>
  <c r="P64" i="7"/>
  <c r="P89" i="7"/>
  <c r="J62" i="7"/>
  <c r="J160" i="7"/>
  <c r="O103" i="7"/>
  <c r="J55" i="7"/>
  <c r="J114" i="7"/>
  <c r="H119" i="7"/>
  <c r="P55" i="7"/>
  <c r="H64" i="7"/>
  <c r="J92" i="7"/>
  <c r="J116" i="7"/>
  <c r="DL170" i="1"/>
  <c r="DY159" i="1"/>
  <c r="GA159" i="1"/>
  <c r="ER170" i="1"/>
  <c r="DZ120" i="1"/>
  <c r="DM127" i="1"/>
  <c r="AQ88" i="1"/>
  <c r="BZ69" i="1"/>
  <c r="CG88" i="1"/>
  <c r="BC120" i="1"/>
  <c r="F143" i="1"/>
  <c r="X122" i="1"/>
  <c r="AK127" i="1" s="1"/>
  <c r="Y122" i="1"/>
  <c r="AL127" i="1" s="1"/>
  <c r="CY122" i="1"/>
  <c r="CZ122" i="1"/>
  <c r="DY69" i="1"/>
  <c r="DL88" i="1"/>
  <c r="AJ69" i="1"/>
  <c r="W88" i="1"/>
  <c r="BD127" i="1"/>
  <c r="CM120" i="1"/>
  <c r="DF10" i="3"/>
  <c r="DJ10" i="3" s="1"/>
  <c r="DG10" i="3"/>
  <c r="DH10" i="3"/>
  <c r="DI10" i="3"/>
  <c r="AQ170" i="1"/>
  <c r="BZ159" i="1"/>
  <c r="X161" i="1"/>
  <c r="AK170" i="1" s="1"/>
  <c r="Y161" i="1"/>
  <c r="CY161" i="1"/>
  <c r="CR168" i="1"/>
  <c r="CS168" i="1"/>
  <c r="AD168" i="1"/>
  <c r="AB168" i="1" s="1"/>
  <c r="Q168" i="1"/>
  <c r="CP168" i="1" s="1"/>
  <c r="O168" i="1" s="1"/>
  <c r="GM168" i="1" s="1"/>
  <c r="GO168" i="1" s="1"/>
  <c r="R168" i="1"/>
  <c r="DW170" i="1" s="1"/>
  <c r="CZ168" i="1"/>
  <c r="CZ161" i="1"/>
  <c r="FY88" i="1"/>
  <c r="FR69" i="1"/>
  <c r="EI88" i="1"/>
  <c r="W120" i="1"/>
  <c r="F151" i="1"/>
  <c r="GB120" i="1"/>
  <c r="ES127" i="1"/>
  <c r="P186" i="1"/>
  <c r="EU159" i="1"/>
  <c r="DU170" i="1"/>
  <c r="CU79" i="3"/>
  <c r="R161" i="1"/>
  <c r="Q161" i="1"/>
  <c r="AD170" i="1" s="1"/>
  <c r="W161" i="1"/>
  <c r="AJ170" i="1" s="1"/>
  <c r="FV120" i="1"/>
  <c r="EM127" i="1"/>
  <c r="EV159" i="1"/>
  <c r="P195" i="1"/>
  <c r="EK127" i="1"/>
  <c r="FT120" i="1"/>
  <c r="AG88" i="1"/>
  <c r="T170" i="1"/>
  <c r="AG159" i="1"/>
  <c r="DF54" i="3"/>
  <c r="DJ54" i="3" s="1"/>
  <c r="DG54" i="3"/>
  <c r="DH54" i="3"/>
  <c r="DI54" i="3"/>
  <c r="AF159" i="1"/>
  <c r="S170" i="1"/>
  <c r="EA170" i="1"/>
  <c r="AP170" i="1"/>
  <c r="BY159" i="1"/>
  <c r="GB170" i="1"/>
  <c r="EM170" i="1"/>
  <c r="Y167" i="1"/>
  <c r="BA127" i="1"/>
  <c r="F150" i="1"/>
  <c r="V120" i="1"/>
  <c r="U127" i="1"/>
  <c r="AH120" i="1"/>
  <c r="GM81" i="1"/>
  <c r="GO81" i="1" s="1"/>
  <c r="DZ170" i="1"/>
  <c r="FQ120" i="1"/>
  <c r="EH127" i="1"/>
  <c r="GA127" i="1"/>
  <c r="CL159" i="1"/>
  <c r="BC170" i="1"/>
  <c r="X168" i="1"/>
  <c r="BZ120" i="1"/>
  <c r="AQ127" i="1"/>
  <c r="CG127" i="1"/>
  <c r="P78" i="1"/>
  <c r="CP78" i="1" s="1"/>
  <c r="O78" i="1" s="1"/>
  <c r="AB78" i="1"/>
  <c r="CQ78" i="1"/>
  <c r="CK159" i="1"/>
  <c r="BB170" i="1"/>
  <c r="AB165" i="1"/>
  <c r="P165" i="1"/>
  <c r="CP165" i="1" s="1"/>
  <c r="O165" i="1" s="1"/>
  <c r="GM165" i="1" s="1"/>
  <c r="GO165" i="1" s="1"/>
  <c r="FT159" i="1"/>
  <c r="EK170" i="1"/>
  <c r="AH170" i="1"/>
  <c r="AF127" i="1"/>
  <c r="EI127" i="1"/>
  <c r="FR120" i="1"/>
  <c r="FY127" i="1"/>
  <c r="CQ124" i="1"/>
  <c r="P124" i="1"/>
  <c r="AB124" i="1"/>
  <c r="CQ82" i="1"/>
  <c r="AB82" i="1"/>
  <c r="P82" i="1"/>
  <c r="CP82" i="1" s="1"/>
  <c r="O82" i="1" s="1"/>
  <c r="CZ77" i="1"/>
  <c r="X77" i="1"/>
  <c r="Y77" i="1"/>
  <c r="CB159" i="1"/>
  <c r="AS170" i="1"/>
  <c r="P174" i="1"/>
  <c r="EG159" i="1"/>
  <c r="P163" i="1"/>
  <c r="CP163" i="1" s="1"/>
  <c r="O163" i="1" s="1"/>
  <c r="CQ163" i="1"/>
  <c r="AB163" i="1"/>
  <c r="FY170" i="1"/>
  <c r="EI170" i="1"/>
  <c r="FR159" i="1"/>
  <c r="CI170" i="1"/>
  <c r="S166" i="1"/>
  <c r="CT166" i="1"/>
  <c r="P164" i="1"/>
  <c r="CQ164" i="1"/>
  <c r="AB164" i="1"/>
  <c r="EB127" i="1"/>
  <c r="EB69" i="1"/>
  <c r="DO88" i="1"/>
  <c r="DN127" i="1"/>
  <c r="EA120" i="1"/>
  <c r="AU120" i="1"/>
  <c r="F146" i="1"/>
  <c r="V88" i="1"/>
  <c r="AI69" i="1"/>
  <c r="CS167" i="1"/>
  <c r="AD167" i="1"/>
  <c r="AB167" i="1" s="1"/>
  <c r="CR167" i="1"/>
  <c r="Q167" i="1"/>
  <c r="CZ167" i="1"/>
  <c r="R167" i="1"/>
  <c r="F189" i="1"/>
  <c r="F174" i="1"/>
  <c r="DL127" i="1"/>
  <c r="DY120" i="1"/>
  <c r="CY125" i="1"/>
  <c r="X125" i="1"/>
  <c r="GM125" i="1" s="1"/>
  <c r="Y125" i="1"/>
  <c r="CZ125" i="1"/>
  <c r="DX127" i="1"/>
  <c r="AG120" i="1"/>
  <c r="T127" i="1"/>
  <c r="CP71" i="1"/>
  <c r="O71" i="1" s="1"/>
  <c r="F140" i="1"/>
  <c r="EV127" i="1"/>
  <c r="CS123" i="1"/>
  <c r="Q123" i="1"/>
  <c r="DV127" i="1" s="1"/>
  <c r="R123" i="1"/>
  <c r="CY123" i="1"/>
  <c r="CZ123" i="1"/>
  <c r="CY71" i="1"/>
  <c r="Y71" i="1"/>
  <c r="CZ71" i="1"/>
  <c r="X71" i="1"/>
  <c r="CU80" i="3"/>
  <c r="CV80" i="3"/>
  <c r="CX80" i="3"/>
  <c r="Q162" i="1"/>
  <c r="P161" i="1"/>
  <c r="CQ161" i="1"/>
  <c r="AD127" i="1"/>
  <c r="CP122" i="1"/>
  <c r="O122" i="1" s="1"/>
  <c r="CD120" i="1"/>
  <c r="BB69" i="1"/>
  <c r="F101" i="1"/>
  <c r="CT79" i="1"/>
  <c r="S79" i="1"/>
  <c r="DZ69" i="1"/>
  <c r="DM88" i="1"/>
  <c r="CY72" i="1"/>
  <c r="X72" i="1"/>
  <c r="Y72" i="1"/>
  <c r="CZ72" i="1"/>
  <c r="CY168" i="1"/>
  <c r="AB166" i="1"/>
  <c r="W162" i="1"/>
  <c r="EB170" i="1" s="1"/>
  <c r="AB161" i="1"/>
  <c r="EU127" i="1"/>
  <c r="GD120" i="1"/>
  <c r="CQ123" i="1"/>
  <c r="AB123" i="1"/>
  <c r="CZ85" i="1"/>
  <c r="X85" i="1"/>
  <c r="CY85" i="1"/>
  <c r="CR79" i="1"/>
  <c r="AD79" i="1"/>
  <c r="AB79" i="1" s="1"/>
  <c r="CS79" i="1"/>
  <c r="Q79" i="1"/>
  <c r="CP79" i="1" s="1"/>
  <c r="O79" i="1" s="1"/>
  <c r="S74" i="1"/>
  <c r="CP74" i="1" s="1"/>
  <c r="O74" i="1" s="1"/>
  <c r="CG170" i="1"/>
  <c r="CY167" i="1"/>
  <c r="Y123" i="1"/>
  <c r="FR79" i="1"/>
  <c r="X83" i="1"/>
  <c r="CY83" i="1"/>
  <c r="CZ83" i="1"/>
  <c r="AD80" i="1"/>
  <c r="AB80" i="1" s="1"/>
  <c r="R80" i="1"/>
  <c r="Q80" i="1"/>
  <c r="P167" i="1"/>
  <c r="CQ166" i="1"/>
  <c r="CZ165" i="1"/>
  <c r="CZ163" i="1"/>
  <c r="CR161" i="1"/>
  <c r="R125" i="1"/>
  <c r="CR125" i="1"/>
  <c r="CS125" i="1"/>
  <c r="CR123" i="1"/>
  <c r="CZ76" i="1"/>
  <c r="CY76" i="1"/>
  <c r="FV88" i="1"/>
  <c r="GX161" i="1"/>
  <c r="CJ170" i="1" s="1"/>
  <c r="CS165" i="1"/>
  <c r="AD165" i="1"/>
  <c r="CY163" i="1"/>
  <c r="AD163" i="1"/>
  <c r="R163" i="1"/>
  <c r="S84" i="1"/>
  <c r="CT84" i="1"/>
  <c r="R79" i="1"/>
  <c r="CJ88" i="1"/>
  <c r="CQ125" i="1"/>
  <c r="AB125" i="1"/>
  <c r="GD69" i="1"/>
  <c r="EU88" i="1"/>
  <c r="P92" i="1"/>
  <c r="EG69" i="1"/>
  <c r="CS84" i="1"/>
  <c r="CR84" i="1"/>
  <c r="AD84" i="1"/>
  <c r="AB84" i="1" s="1"/>
  <c r="Q84" i="1"/>
  <c r="CP84" i="1" s="1"/>
  <c r="O84" i="1" s="1"/>
  <c r="R84" i="1"/>
  <c r="S75" i="1"/>
  <c r="CT75" i="1"/>
  <c r="DU127" i="1"/>
  <c r="Y168" i="1"/>
  <c r="Y165" i="1"/>
  <c r="V161" i="1"/>
  <c r="AI170" i="1" s="1"/>
  <c r="CB120" i="1"/>
  <c r="AS127" i="1"/>
  <c r="AB122" i="1"/>
  <c r="ET88" i="1"/>
  <c r="GC69" i="1"/>
  <c r="S86" i="1"/>
  <c r="CT86" i="1"/>
  <c r="Y83" i="1"/>
  <c r="CZ80" i="1"/>
  <c r="X80" i="1"/>
  <c r="Y80" i="1"/>
  <c r="CY80" i="1"/>
  <c r="Y78" i="1"/>
  <c r="CZ78" i="1"/>
  <c r="AB76" i="1"/>
  <c r="P76" i="1"/>
  <c r="Y163" i="1"/>
  <c r="S162" i="1"/>
  <c r="CS80" i="1"/>
  <c r="P77" i="1"/>
  <c r="CP77" i="1" s="1"/>
  <c r="O77" i="1" s="1"/>
  <c r="GM77" i="1" s="1"/>
  <c r="GO77" i="1" s="1"/>
  <c r="CQ77" i="1"/>
  <c r="P75" i="1"/>
  <c r="CP75" i="1" s="1"/>
  <c r="O75" i="1" s="1"/>
  <c r="CB88" i="1"/>
  <c r="AD88" i="1"/>
  <c r="R124" i="1"/>
  <c r="AE127" i="1" s="1"/>
  <c r="BC88" i="1"/>
  <c r="CL69" i="1"/>
  <c r="P80" i="1"/>
  <c r="CQ80" i="1"/>
  <c r="R74" i="1"/>
  <c r="DW88" i="1" s="1"/>
  <c r="CQ73" i="1"/>
  <c r="AB73" i="1"/>
  <c r="EA26" i="1"/>
  <c r="DN37" i="1"/>
  <c r="GB26" i="1"/>
  <c r="ES37" i="1"/>
  <c r="Q124" i="1"/>
  <c r="AD85" i="1"/>
  <c r="AB85" i="1" s="1"/>
  <c r="R85" i="1"/>
  <c r="CT73" i="1"/>
  <c r="FT88" i="1"/>
  <c r="CP72" i="1"/>
  <c r="O72" i="1" s="1"/>
  <c r="FY26" i="1"/>
  <c r="EP37" i="1"/>
  <c r="EH26" i="1"/>
  <c r="P46" i="1"/>
  <c r="Q164" i="1"/>
  <c r="P85" i="1"/>
  <c r="CQ85" i="1"/>
  <c r="CQ83" i="1"/>
  <c r="AB83" i="1"/>
  <c r="CS71" i="1"/>
  <c r="P50" i="1"/>
  <c r="DZ26" i="1"/>
  <c r="DM37" i="1"/>
  <c r="AO37" i="1"/>
  <c r="BX26" i="1"/>
  <c r="CG37" i="1"/>
  <c r="AH88" i="1"/>
  <c r="DV26" i="1"/>
  <c r="DI37" i="1"/>
  <c r="EB37" i="1"/>
  <c r="CR74" i="1"/>
  <c r="AD74" i="1"/>
  <c r="AB74" i="1" s="1"/>
  <c r="EA88" i="1"/>
  <c r="CS85" i="1"/>
  <c r="X82" i="1"/>
  <c r="Y82" i="1"/>
  <c r="CR78" i="1"/>
  <c r="AD78" i="1"/>
  <c r="R78" i="1"/>
  <c r="P73" i="1"/>
  <c r="CD88" i="1"/>
  <c r="FQ26" i="1"/>
  <c r="GA37" i="1"/>
  <c r="DU37" i="1"/>
  <c r="CJ26" i="1"/>
  <c r="BA37" i="1"/>
  <c r="Q85" i="1"/>
  <c r="P83" i="1"/>
  <c r="CP83" i="1" s="1"/>
  <c r="O83" i="1" s="1"/>
  <c r="GM83" i="1" s="1"/>
  <c r="GO83" i="1" s="1"/>
  <c r="Y81" i="1"/>
  <c r="X73" i="1"/>
  <c r="CY73" i="1"/>
  <c r="GB88" i="1"/>
  <c r="CK26" i="1"/>
  <c r="BB37" i="1"/>
  <c r="CQ86" i="1"/>
  <c r="AB86" i="1"/>
  <c r="AD77" i="1"/>
  <c r="AB77" i="1" s="1"/>
  <c r="R77" i="1"/>
  <c r="CS75" i="1"/>
  <c r="AD75" i="1"/>
  <c r="AB75" i="1" s="1"/>
  <c r="CR71" i="1"/>
  <c r="AD71" i="1"/>
  <c r="AB71" i="1" s="1"/>
  <c r="GE26" i="1"/>
  <c r="EV37" i="1"/>
  <c r="R81" i="1"/>
  <c r="AE88" i="1" s="1"/>
  <c r="Q76" i="1"/>
  <c r="DV88" i="1" s="1"/>
  <c r="EG37" i="1"/>
  <c r="BD37" i="1"/>
  <c r="AQ37" i="1"/>
  <c r="DH78" i="3"/>
  <c r="DF78" i="3"/>
  <c r="DJ78" i="3" s="1"/>
  <c r="DG78" i="3"/>
  <c r="DI78" i="3"/>
  <c r="DF66" i="3"/>
  <c r="DJ66" i="3" s="1"/>
  <c r="DG66" i="3"/>
  <c r="DH66" i="3"/>
  <c r="DI66" i="3"/>
  <c r="CI37" i="1"/>
  <c r="BC37" i="1"/>
  <c r="AP37" i="1"/>
  <c r="CZ30" i="1"/>
  <c r="AF37" i="1"/>
  <c r="CY30" i="1"/>
  <c r="X30" i="1"/>
  <c r="Y30" i="1"/>
  <c r="DY37" i="1"/>
  <c r="DF88" i="3"/>
  <c r="DJ88" i="3" s="1"/>
  <c r="DG88" i="3"/>
  <c r="DH88" i="3"/>
  <c r="DF76" i="3"/>
  <c r="DJ76" i="3" s="1"/>
  <c r="DG76" i="3"/>
  <c r="DH76" i="3"/>
  <c r="DI76" i="3"/>
  <c r="DI24" i="3"/>
  <c r="DF24" i="3"/>
  <c r="DJ24" i="3" s="1"/>
  <c r="DG24" i="3"/>
  <c r="DH24" i="3"/>
  <c r="Q86" i="1"/>
  <c r="CP86" i="1" s="1"/>
  <c r="O86" i="1" s="1"/>
  <c r="Q83" i="1"/>
  <c r="CP34" i="1"/>
  <c r="O34" i="1" s="1"/>
  <c r="GM34" i="1" s="1"/>
  <c r="GO34" i="1" s="1"/>
  <c r="P30" i="1"/>
  <c r="CQ30" i="1"/>
  <c r="AB30" i="1"/>
  <c r="FV26" i="1"/>
  <c r="DF85" i="3"/>
  <c r="DG85" i="3"/>
  <c r="DH85" i="3"/>
  <c r="DI85" i="3"/>
  <c r="DJ85" i="3" s="1"/>
  <c r="DH70" i="3"/>
  <c r="DF70" i="3"/>
  <c r="DJ70" i="3" s="1"/>
  <c r="DG70" i="3"/>
  <c r="DI70" i="3"/>
  <c r="DI46" i="3"/>
  <c r="DF46" i="3"/>
  <c r="DJ46" i="3" s="1"/>
  <c r="DG46" i="3"/>
  <c r="DH46" i="3"/>
  <c r="AH37" i="1"/>
  <c r="DF44" i="3"/>
  <c r="DJ44" i="3" s="1"/>
  <c r="DG44" i="3"/>
  <c r="DH44" i="3"/>
  <c r="DI44" i="3"/>
  <c r="DG21" i="3"/>
  <c r="DH21" i="3"/>
  <c r="DF21" i="3"/>
  <c r="DJ21" i="3" s="1"/>
  <c r="DI21" i="3"/>
  <c r="DF14" i="3"/>
  <c r="DJ14" i="3" s="1"/>
  <c r="DG14" i="3"/>
  <c r="DH14" i="3"/>
  <c r="DI14" i="3"/>
  <c r="CV79" i="3"/>
  <c r="DF55" i="3"/>
  <c r="DJ55" i="3" s="1"/>
  <c r="DG55" i="3"/>
  <c r="DH55" i="3"/>
  <c r="DI55" i="3"/>
  <c r="AG37" i="1"/>
  <c r="DF35" i="3"/>
  <c r="DG35" i="3"/>
  <c r="DH35" i="3"/>
  <c r="DI35" i="3"/>
  <c r="DJ35" i="3" s="1"/>
  <c r="DF17" i="3"/>
  <c r="DJ17" i="3" s="1"/>
  <c r="DG17" i="3"/>
  <c r="DH17" i="3"/>
  <c r="DI17" i="3"/>
  <c r="S29" i="1"/>
  <c r="CT29" i="1"/>
  <c r="DI77" i="3"/>
  <c r="DF77" i="3"/>
  <c r="DJ77" i="3" s="1"/>
  <c r="DG77" i="3"/>
  <c r="DH77" i="3"/>
  <c r="DI39" i="3"/>
  <c r="DF39" i="3"/>
  <c r="DJ39" i="3" s="1"/>
  <c r="DG39" i="3"/>
  <c r="DH39" i="3"/>
  <c r="EK37" i="1"/>
  <c r="AU37" i="1"/>
  <c r="CY34" i="1"/>
  <c r="CZ34" i="1"/>
  <c r="X34" i="1"/>
  <c r="Y34" i="1"/>
  <c r="AI37" i="1"/>
  <c r="DI88" i="3"/>
  <c r="AJ26" i="1"/>
  <c r="W37" i="1"/>
  <c r="DG33" i="3"/>
  <c r="DH33" i="3"/>
  <c r="DF33" i="3"/>
  <c r="DI33" i="3"/>
  <c r="DJ33" i="3" s="1"/>
  <c r="AS37" i="1"/>
  <c r="DF45" i="3"/>
  <c r="DJ45" i="3" s="1"/>
  <c r="DG45" i="3"/>
  <c r="DH45" i="3"/>
  <c r="DI45" i="3"/>
  <c r="DF36" i="3"/>
  <c r="DJ36" i="3" s="1"/>
  <c r="DG36" i="3"/>
  <c r="DH36" i="3"/>
  <c r="DI36" i="3"/>
  <c r="DF30" i="3"/>
  <c r="DG30" i="3"/>
  <c r="DJ30" i="3" s="1"/>
  <c r="DH30" i="3"/>
  <c r="DI30" i="3"/>
  <c r="DF22" i="3"/>
  <c r="DJ22" i="3" s="1"/>
  <c r="DG22" i="3"/>
  <c r="DH22" i="3"/>
  <c r="DI22" i="3"/>
  <c r="DF34" i="3"/>
  <c r="DJ34" i="3" s="1"/>
  <c r="DG34" i="3"/>
  <c r="CT34" i="1"/>
  <c r="CQ31" i="1"/>
  <c r="CS30" i="1"/>
  <c r="CZ28" i="1"/>
  <c r="DI87" i="3"/>
  <c r="DI65" i="3"/>
  <c r="DI60" i="3"/>
  <c r="DI43" i="3"/>
  <c r="DI16" i="3"/>
  <c r="S33" i="1"/>
  <c r="CP33" i="1" s="1"/>
  <c r="O33" i="1" s="1"/>
  <c r="CR30" i="1"/>
  <c r="AD29" i="1"/>
  <c r="CY28" i="1"/>
  <c r="R28" i="1"/>
  <c r="AE37" i="1" s="1"/>
  <c r="DH87" i="3"/>
  <c r="DI86" i="3"/>
  <c r="CX81" i="3"/>
  <c r="CX71" i="3"/>
  <c r="DH65" i="3"/>
  <c r="DI64" i="3"/>
  <c r="DI63" i="3"/>
  <c r="DI62" i="3"/>
  <c r="DH61" i="3"/>
  <c r="DH60" i="3"/>
  <c r="DH43" i="3"/>
  <c r="DI42" i="3"/>
  <c r="DI41" i="3"/>
  <c r="DI40" i="3"/>
  <c r="DH16" i="3"/>
  <c r="DI15" i="3"/>
  <c r="DJ15" i="3" s="1"/>
  <c r="CV11" i="3"/>
  <c r="CX11" i="3"/>
  <c r="CX9" i="3"/>
  <c r="CX7" i="3"/>
  <c r="S32" i="1"/>
  <c r="AB29" i="1"/>
  <c r="DG87" i="3"/>
  <c r="DH86" i="3"/>
  <c r="DI74" i="3"/>
  <c r="DG65" i="3"/>
  <c r="DH64" i="3"/>
  <c r="DH63" i="3"/>
  <c r="DG62" i="3"/>
  <c r="DG61" i="3"/>
  <c r="DG60" i="3"/>
  <c r="DI58" i="3"/>
  <c r="DI57" i="3"/>
  <c r="DG43" i="3"/>
  <c r="DH42" i="3"/>
  <c r="DH41" i="3"/>
  <c r="DG40" i="3"/>
  <c r="CV31" i="3"/>
  <c r="DG16" i="3"/>
  <c r="DH15" i="3"/>
  <c r="DI13" i="3"/>
  <c r="DJ13" i="3" s="1"/>
  <c r="DI12" i="3"/>
  <c r="DF8" i="3"/>
  <c r="DJ8" i="3" s="1"/>
  <c r="DG8" i="3"/>
  <c r="S35" i="1"/>
  <c r="R32" i="1"/>
  <c r="P28" i="1"/>
  <c r="DI82" i="3"/>
  <c r="DH74" i="3"/>
  <c r="DI73" i="3"/>
  <c r="DG64" i="3"/>
  <c r="DF63" i="3"/>
  <c r="DJ63" i="3" s="1"/>
  <c r="DF62" i="3"/>
  <c r="DJ62" i="3" s="1"/>
  <c r="DF61" i="3"/>
  <c r="DJ61" i="3" s="1"/>
  <c r="DH58" i="3"/>
  <c r="DH57" i="3"/>
  <c r="DI56" i="3"/>
  <c r="DG42" i="3"/>
  <c r="DF41" i="3"/>
  <c r="DJ41" i="3" s="1"/>
  <c r="DF40" i="3"/>
  <c r="DJ40" i="3" s="1"/>
  <c r="DI32" i="3"/>
  <c r="DG15" i="3"/>
  <c r="DH12" i="3"/>
  <c r="DG74" i="3"/>
  <c r="DG58" i="3"/>
  <c r="DG57" i="3"/>
  <c r="DI34" i="3"/>
  <c r="DG12" i="3"/>
  <c r="CP32" i="1"/>
  <c r="O32" i="1" s="1"/>
  <c r="CY31" i="1"/>
  <c r="CQ29" i="1"/>
  <c r="CT28" i="1"/>
  <c r="DI53" i="3"/>
  <c r="DH34" i="3"/>
  <c r="DI31" i="3"/>
  <c r="DJ31" i="3" s="1"/>
  <c r="DH28" i="3"/>
  <c r="DI28" i="3"/>
  <c r="CS28" i="1"/>
  <c r="AB28" i="1"/>
  <c r="DF84" i="3"/>
  <c r="DJ84" i="3" s="1"/>
  <c r="DF83" i="3"/>
  <c r="DJ83" i="3" s="1"/>
  <c r="CX79" i="3"/>
  <c r="DG72" i="3"/>
  <c r="CX67" i="3"/>
  <c r="DH53" i="3"/>
  <c r="DI52" i="3"/>
  <c r="DJ52" i="3" s="1"/>
  <c r="DH31" i="3"/>
  <c r="DH20" i="3"/>
  <c r="DI20" i="3"/>
  <c r="DI6" i="3"/>
  <c r="CX1" i="3"/>
  <c r="CT35" i="1"/>
  <c r="CR33" i="1"/>
  <c r="R30" i="1"/>
  <c r="Y28" i="1"/>
  <c r="DH69" i="3"/>
  <c r="DG53" i="3"/>
  <c r="DH52" i="3"/>
  <c r="DI50" i="3"/>
  <c r="DG31" i="3"/>
  <c r="DI26" i="3"/>
  <c r="DJ26" i="3" s="1"/>
  <c r="DI8" i="3"/>
  <c r="DH6" i="3"/>
  <c r="CT32" i="1"/>
  <c r="Q30" i="1"/>
  <c r="AD37" i="1" s="1"/>
  <c r="DG69" i="3"/>
  <c r="DG52" i="3"/>
  <c r="DH51" i="3"/>
  <c r="DH50" i="3"/>
  <c r="DI49" i="3"/>
  <c r="DI29" i="3"/>
  <c r="DJ29" i="3" s="1"/>
  <c r="DH27" i="3"/>
  <c r="DH26" i="3"/>
  <c r="DH8" i="3"/>
  <c r="DI4" i="3"/>
  <c r="DJ4" i="3" s="1"/>
  <c r="CX75" i="3"/>
  <c r="DG51" i="3"/>
  <c r="DG50" i="3"/>
  <c r="DH29" i="3"/>
  <c r="DG13" i="3"/>
  <c r="DH13" i="3"/>
  <c r="CS31" i="1"/>
  <c r="R29" i="1"/>
  <c r="DW37" i="1" s="1"/>
  <c r="DF51" i="3"/>
  <c r="DJ51" i="3" s="1"/>
  <c r="CV37" i="3"/>
  <c r="CX37" i="3"/>
  <c r="DG29" i="3"/>
  <c r="DG28" i="3"/>
  <c r="DF27" i="3"/>
  <c r="DJ27" i="3" s="1"/>
  <c r="DG19" i="3"/>
  <c r="J171" i="7" l="1"/>
  <c r="J76" i="7"/>
  <c r="J167" i="7"/>
  <c r="H76" i="7"/>
  <c r="H167" i="7"/>
  <c r="H171" i="7"/>
  <c r="H122" i="7"/>
  <c r="J122" i="7"/>
  <c r="DV69" i="1"/>
  <c r="DI88" i="1"/>
  <c r="DW159" i="1"/>
  <c r="DJ170" i="1"/>
  <c r="AE120" i="1"/>
  <c r="R127" i="1"/>
  <c r="R88" i="1"/>
  <c r="AE69" i="1"/>
  <c r="AK37" i="1"/>
  <c r="DW69" i="1"/>
  <c r="DJ88" i="1"/>
  <c r="S37" i="1"/>
  <c r="AF26" i="1"/>
  <c r="BA26" i="1"/>
  <c r="F57" i="1"/>
  <c r="EI120" i="1"/>
  <c r="P137" i="1"/>
  <c r="EC127" i="1"/>
  <c r="R37" i="1"/>
  <c r="AE26" i="1"/>
  <c r="AH26" i="1"/>
  <c r="U37" i="1"/>
  <c r="AQ26" i="1"/>
  <c r="F47" i="1"/>
  <c r="AQ200" i="1"/>
  <c r="AO26" i="1"/>
  <c r="F41" i="1"/>
  <c r="AO200" i="1"/>
  <c r="EP26" i="1"/>
  <c r="P44" i="1"/>
  <c r="V170" i="1"/>
  <c r="AI159" i="1"/>
  <c r="DV170" i="1"/>
  <c r="DI127" i="1"/>
  <c r="DV120" i="1"/>
  <c r="V69" i="1"/>
  <c r="F111" i="1"/>
  <c r="Y166" i="1"/>
  <c r="X166" i="1"/>
  <c r="CZ166" i="1"/>
  <c r="CY166" i="1"/>
  <c r="AF120" i="1"/>
  <c r="S127" i="1"/>
  <c r="CG120" i="1"/>
  <c r="AX127" i="1"/>
  <c r="U120" i="1"/>
  <c r="F149" i="1"/>
  <c r="F185" i="1"/>
  <c r="S159" i="1"/>
  <c r="CY29" i="1"/>
  <c r="CZ29" i="1"/>
  <c r="X29" i="1"/>
  <c r="Y29" i="1"/>
  <c r="DX37" i="1"/>
  <c r="AC170" i="1"/>
  <c r="CP161" i="1"/>
  <c r="O161" i="1" s="1"/>
  <c r="GM78" i="1"/>
  <c r="GO78" i="1" s="1"/>
  <c r="CP28" i="1"/>
  <c r="O28" i="1" s="1"/>
  <c r="AC37" i="1"/>
  <c r="CP29" i="1"/>
  <c r="O29" i="1" s="1"/>
  <c r="AP26" i="1"/>
  <c r="F46" i="1"/>
  <c r="BD26" i="1"/>
  <c r="F62" i="1"/>
  <c r="BD200" i="1"/>
  <c r="DU26" i="1"/>
  <c r="FZ37" i="1"/>
  <c r="FW37" i="1"/>
  <c r="FX37" i="1"/>
  <c r="DH37" i="1"/>
  <c r="DM26" i="1"/>
  <c r="P59" i="1"/>
  <c r="P104" i="1"/>
  <c r="EU69" i="1"/>
  <c r="EU200" i="1"/>
  <c r="ED127" i="1"/>
  <c r="P110" i="1"/>
  <c r="DM69" i="1"/>
  <c r="DF80" i="3"/>
  <c r="DG80" i="3"/>
  <c r="DH80" i="3"/>
  <c r="DI80" i="3"/>
  <c r="DJ80" i="3" s="1"/>
  <c r="CI159" i="1"/>
  <c r="AZ170" i="1"/>
  <c r="AH159" i="1"/>
  <c r="U170" i="1"/>
  <c r="AQ120" i="1"/>
  <c r="F137" i="1"/>
  <c r="EM120" i="1"/>
  <c r="P146" i="1"/>
  <c r="BD120" i="1"/>
  <c r="F152" i="1"/>
  <c r="EK26" i="1"/>
  <c r="P54" i="1"/>
  <c r="DW127" i="1"/>
  <c r="EA159" i="1"/>
  <c r="DN170" i="1"/>
  <c r="DN200" i="1" s="1"/>
  <c r="P147" i="1"/>
  <c r="ES120" i="1"/>
  <c r="DH67" i="3"/>
  <c r="DI67" i="3"/>
  <c r="DJ67" i="3" s="1"/>
  <c r="DF67" i="3"/>
  <c r="DG67" i="3"/>
  <c r="DH79" i="3"/>
  <c r="DI79" i="3"/>
  <c r="DJ79" i="3" s="1"/>
  <c r="DF79" i="3"/>
  <c r="DG79" i="3"/>
  <c r="W26" i="1"/>
  <c r="F61" i="1"/>
  <c r="W200" i="1"/>
  <c r="BC26" i="1"/>
  <c r="F53" i="1"/>
  <c r="BC200" i="1"/>
  <c r="EG26" i="1"/>
  <c r="P41" i="1"/>
  <c r="EG200" i="1"/>
  <c r="EA69" i="1"/>
  <c r="DN88" i="1"/>
  <c r="DT88" i="1"/>
  <c r="GM72" i="1"/>
  <c r="CJ159" i="1"/>
  <c r="BA170" i="1"/>
  <c r="CP167" i="1"/>
  <c r="O167" i="1" s="1"/>
  <c r="GM167" i="1" s="1"/>
  <c r="GO167" i="1" s="1"/>
  <c r="EV120" i="1"/>
  <c r="P152" i="1"/>
  <c r="P148" i="1"/>
  <c r="DL120" i="1"/>
  <c r="P187" i="1"/>
  <c r="EK159" i="1"/>
  <c r="CP166" i="1"/>
  <c r="O166" i="1" s="1"/>
  <c r="GM166" i="1" s="1"/>
  <c r="GO166" i="1" s="1"/>
  <c r="AX88" i="1"/>
  <c r="CG69" i="1"/>
  <c r="Q37" i="1"/>
  <c r="AD26" i="1"/>
  <c r="X35" i="1"/>
  <c r="Y35" i="1"/>
  <c r="CY35" i="1"/>
  <c r="CZ35" i="1"/>
  <c r="CP35" i="1"/>
  <c r="O35" i="1" s="1"/>
  <c r="X32" i="1"/>
  <c r="GM32" i="1" s="1"/>
  <c r="GO32" i="1" s="1"/>
  <c r="Y32" i="1"/>
  <c r="AL37" i="1" s="1"/>
  <c r="CY32" i="1"/>
  <c r="CZ32" i="1"/>
  <c r="CI26" i="1"/>
  <c r="AZ37" i="1"/>
  <c r="BB26" i="1"/>
  <c r="F50" i="1"/>
  <c r="BB200" i="1"/>
  <c r="GA26" i="1"/>
  <c r="ER37" i="1"/>
  <c r="EK88" i="1"/>
  <c r="FT69" i="1"/>
  <c r="FZ127" i="1"/>
  <c r="DU120" i="1"/>
  <c r="DH127" i="1"/>
  <c r="FW127" i="1"/>
  <c r="FX127" i="1"/>
  <c r="FV69" i="1"/>
  <c r="EM88" i="1"/>
  <c r="CG159" i="1"/>
  <c r="AX170" i="1"/>
  <c r="EU120" i="1"/>
  <c r="P143" i="1"/>
  <c r="CY79" i="1"/>
  <c r="Y79" i="1"/>
  <c r="CZ79" i="1"/>
  <c r="X79" i="1"/>
  <c r="GM79" i="1" s="1"/>
  <c r="P180" i="1"/>
  <c r="EI159" i="1"/>
  <c r="GM82" i="1"/>
  <c r="GO82" i="1" s="1"/>
  <c r="CP123" i="1"/>
  <c r="O123" i="1" s="1"/>
  <c r="W170" i="1"/>
  <c r="AJ159" i="1"/>
  <c r="F112" i="1"/>
  <c r="W69" i="1"/>
  <c r="DG7" i="3"/>
  <c r="DH7" i="3"/>
  <c r="DF7" i="3"/>
  <c r="DI7" i="3"/>
  <c r="DJ7" i="3" s="1"/>
  <c r="X33" i="1"/>
  <c r="GM33" i="1" s="1"/>
  <c r="GO33" i="1" s="1"/>
  <c r="Y33" i="1"/>
  <c r="CY33" i="1"/>
  <c r="CZ33" i="1"/>
  <c r="CP30" i="1"/>
  <c r="O30" i="1" s="1"/>
  <c r="GM30" i="1" s="1"/>
  <c r="GO30" i="1" s="1"/>
  <c r="CY74" i="1"/>
  <c r="Y74" i="1"/>
  <c r="ED88" i="1" s="1"/>
  <c r="X74" i="1"/>
  <c r="EC88" i="1" s="1"/>
  <c r="CZ74" i="1"/>
  <c r="GM71" i="1"/>
  <c r="AB88" i="1"/>
  <c r="P150" i="1"/>
  <c r="DN120" i="1"/>
  <c r="FY159" i="1"/>
  <c r="EP170" i="1"/>
  <c r="BC159" i="1"/>
  <c r="F186" i="1"/>
  <c r="BA120" i="1"/>
  <c r="F147" i="1"/>
  <c r="AD159" i="1"/>
  <c r="Q170" i="1"/>
  <c r="P98" i="1"/>
  <c r="EI69" i="1"/>
  <c r="EI200" i="1"/>
  <c r="AL170" i="1"/>
  <c r="AQ69" i="1"/>
  <c r="F98" i="1"/>
  <c r="DF81" i="3"/>
  <c r="DG81" i="3"/>
  <c r="DH81" i="3"/>
  <c r="DI81" i="3"/>
  <c r="DJ81" i="3" s="1"/>
  <c r="DF1" i="3"/>
  <c r="DI1" i="3"/>
  <c r="DJ1" i="3" s="1"/>
  <c r="DG1" i="3"/>
  <c r="DH1" i="3"/>
  <c r="GB69" i="1"/>
  <c r="ES88" i="1"/>
  <c r="ES200" i="1" s="1"/>
  <c r="CJ69" i="1"/>
  <c r="BA88" i="1"/>
  <c r="BA200" i="1" s="1"/>
  <c r="AC88" i="1"/>
  <c r="DO69" i="1"/>
  <c r="P112" i="1"/>
  <c r="AE170" i="1"/>
  <c r="AK159" i="1"/>
  <c r="X170" i="1"/>
  <c r="DL69" i="1"/>
  <c r="P109" i="1"/>
  <c r="DM120" i="1"/>
  <c r="P149" i="1"/>
  <c r="AI26" i="1"/>
  <c r="V37" i="1"/>
  <c r="EV26" i="1"/>
  <c r="EV200" i="1"/>
  <c r="P62" i="1"/>
  <c r="DF37" i="3"/>
  <c r="DG37" i="3"/>
  <c r="DH37" i="3"/>
  <c r="DI37" i="3"/>
  <c r="DJ37" i="3" s="1"/>
  <c r="DF11" i="3"/>
  <c r="DG11" i="3"/>
  <c r="DH11" i="3"/>
  <c r="DI11" i="3"/>
  <c r="DJ11" i="3" s="1"/>
  <c r="AG26" i="1"/>
  <c r="T37" i="1"/>
  <c r="FR73" i="1"/>
  <c r="BY88" i="1" s="1"/>
  <c r="CP73" i="1"/>
  <c r="O73" i="1" s="1"/>
  <c r="GM73" i="1" s="1"/>
  <c r="EB26" i="1"/>
  <c r="DO37" i="1"/>
  <c r="X86" i="1"/>
  <c r="CY86" i="1"/>
  <c r="CZ86" i="1"/>
  <c r="Y86" i="1"/>
  <c r="GM86" i="1" s="1"/>
  <c r="AL88" i="1"/>
  <c r="F148" i="1"/>
  <c r="T120" i="1"/>
  <c r="GA120" i="1"/>
  <c r="ER127" i="1"/>
  <c r="EM159" i="1"/>
  <c r="P189" i="1"/>
  <c r="FY69" i="1"/>
  <c r="EP88" i="1"/>
  <c r="DF9" i="3"/>
  <c r="DG9" i="3"/>
  <c r="DH9" i="3"/>
  <c r="DI9" i="3"/>
  <c r="DJ9" i="3" s="1"/>
  <c r="CD69" i="1"/>
  <c r="AU88" i="1"/>
  <c r="CP80" i="1"/>
  <c r="O80" i="1" s="1"/>
  <c r="GM80" i="1" s="1"/>
  <c r="FR80" i="1"/>
  <c r="FQ88" i="1" s="1"/>
  <c r="EB159" i="1"/>
  <c r="DO170" i="1"/>
  <c r="DY26" i="1"/>
  <c r="DL37" i="1"/>
  <c r="DI26" i="1"/>
  <c r="P49" i="1"/>
  <c r="BC69" i="1"/>
  <c r="F104" i="1"/>
  <c r="EB120" i="1"/>
  <c r="DO127" i="1"/>
  <c r="GM163" i="1"/>
  <c r="GO163" i="1" s="1"/>
  <c r="FR124" i="1"/>
  <c r="BY127" i="1" s="1"/>
  <c r="AC127" i="1"/>
  <c r="CP124" i="1"/>
  <c r="O124" i="1" s="1"/>
  <c r="GM124" i="1" s="1"/>
  <c r="BB159" i="1"/>
  <c r="F183" i="1"/>
  <c r="EH120" i="1"/>
  <c r="P136" i="1"/>
  <c r="GB159" i="1"/>
  <c r="ES170" i="1"/>
  <c r="T159" i="1"/>
  <c r="F191" i="1"/>
  <c r="FZ170" i="1"/>
  <c r="FW170" i="1"/>
  <c r="DU159" i="1"/>
  <c r="FX170" i="1"/>
  <c r="DH170" i="1"/>
  <c r="AQ159" i="1"/>
  <c r="F180" i="1"/>
  <c r="ER159" i="1"/>
  <c r="P181" i="1"/>
  <c r="DW26" i="1"/>
  <c r="DJ37" i="1"/>
  <c r="DF75" i="3"/>
  <c r="DG75" i="3"/>
  <c r="DH75" i="3"/>
  <c r="DI75" i="3"/>
  <c r="DJ75" i="3" s="1"/>
  <c r="CZ162" i="1"/>
  <c r="X162" i="1"/>
  <c r="EC170" i="1" s="1"/>
  <c r="Y162" i="1"/>
  <c r="ED170" i="1" s="1"/>
  <c r="DX170" i="1"/>
  <c r="CY162" i="1"/>
  <c r="CZ75" i="1"/>
  <c r="CY75" i="1"/>
  <c r="X75" i="1"/>
  <c r="GM75" i="1" s="1"/>
  <c r="GO75" i="1" s="1"/>
  <c r="Y75" i="1"/>
  <c r="AF88" i="1"/>
  <c r="DF71" i="3"/>
  <c r="DG71" i="3"/>
  <c r="DH71" i="3"/>
  <c r="DI71" i="3"/>
  <c r="DJ71" i="3" s="1"/>
  <c r="AS26" i="1"/>
  <c r="F54" i="1"/>
  <c r="AS200" i="1"/>
  <c r="CP85" i="1"/>
  <c r="O85" i="1" s="1"/>
  <c r="GM85" i="1" s="1"/>
  <c r="FR85" i="1"/>
  <c r="ES26" i="1"/>
  <c r="P57" i="1"/>
  <c r="CP76" i="1"/>
  <c r="O76" i="1" s="1"/>
  <c r="GM76" i="1" s="1"/>
  <c r="GO76" i="1" s="1"/>
  <c r="DU88" i="1"/>
  <c r="ET69" i="1"/>
  <c r="P101" i="1"/>
  <c r="ET200" i="1"/>
  <c r="CZ84" i="1"/>
  <c r="X84" i="1"/>
  <c r="GM84" i="1" s="1"/>
  <c r="GO84" i="1" s="1"/>
  <c r="Y84" i="1"/>
  <c r="CY84" i="1"/>
  <c r="DX88" i="1"/>
  <c r="GM122" i="1"/>
  <c r="AB127" i="1"/>
  <c r="DK127" i="1"/>
  <c r="DX120" i="1"/>
  <c r="T88" i="1"/>
  <c r="AG69" i="1"/>
  <c r="CP162" i="1"/>
  <c r="O162" i="1" s="1"/>
  <c r="AH69" i="1"/>
  <c r="U88" i="1"/>
  <c r="Q88" i="1"/>
  <c r="AD69" i="1"/>
  <c r="AD120" i="1"/>
  <c r="Q127" i="1"/>
  <c r="EP127" i="1"/>
  <c r="FY120" i="1"/>
  <c r="DZ159" i="1"/>
  <c r="DM170" i="1"/>
  <c r="AP159" i="1"/>
  <c r="F179" i="1"/>
  <c r="AL120" i="1"/>
  <c r="Y127" i="1"/>
  <c r="AU26" i="1"/>
  <c r="F56" i="1"/>
  <c r="AU200" i="1"/>
  <c r="CG26" i="1"/>
  <c r="AX37" i="1"/>
  <c r="DN26" i="1"/>
  <c r="P60" i="1"/>
  <c r="AS88" i="1"/>
  <c r="CB69" i="1"/>
  <c r="F144" i="1"/>
  <c r="AS120" i="1"/>
  <c r="CP164" i="1"/>
  <c r="O164" i="1" s="1"/>
  <c r="GM164" i="1" s="1"/>
  <c r="GO164" i="1" s="1"/>
  <c r="F187" i="1"/>
  <c r="AS159" i="1"/>
  <c r="EK120" i="1"/>
  <c r="P144" i="1"/>
  <c r="AK120" i="1"/>
  <c r="X127" i="1"/>
  <c r="DL159" i="1"/>
  <c r="P191" i="1"/>
  <c r="AL26" i="1" l="1"/>
  <c r="Y37" i="1"/>
  <c r="ED69" i="1"/>
  <c r="DQ88" i="1"/>
  <c r="DN22" i="1"/>
  <c r="P223" i="1"/>
  <c r="DN230" i="1"/>
  <c r="ES22" i="1"/>
  <c r="P220" i="1"/>
  <c r="ES230" i="1"/>
  <c r="EC69" i="1"/>
  <c r="DP88" i="1"/>
  <c r="BA22" i="1"/>
  <c r="F220" i="1"/>
  <c r="BA230" i="1"/>
  <c r="GM162" i="1"/>
  <c r="DT170" i="1"/>
  <c r="DP127" i="1"/>
  <c r="EC120" i="1"/>
  <c r="F95" i="1"/>
  <c r="AX69" i="1"/>
  <c r="DJ127" i="1"/>
  <c r="DW120" i="1"/>
  <c r="F153" i="1"/>
  <c r="X120" i="1"/>
  <c r="P192" i="1"/>
  <c r="DM159" i="1"/>
  <c r="T69" i="1"/>
  <c r="F109" i="1"/>
  <c r="FX159" i="1"/>
  <c r="EO170" i="1"/>
  <c r="DL26" i="1"/>
  <c r="P58" i="1"/>
  <c r="DL200" i="1"/>
  <c r="EP69" i="1"/>
  <c r="P95" i="1"/>
  <c r="F196" i="1"/>
  <c r="X159" i="1"/>
  <c r="F182" i="1"/>
  <c r="Q159" i="1"/>
  <c r="AK88" i="1"/>
  <c r="FZ120" i="1"/>
  <c r="EQ127" i="1"/>
  <c r="DN69" i="1"/>
  <c r="P111" i="1"/>
  <c r="AZ159" i="1"/>
  <c r="F181" i="1"/>
  <c r="DM200" i="1"/>
  <c r="AO22" i="1"/>
  <c r="F204" i="1"/>
  <c r="AO230" i="1"/>
  <c r="GM74" i="1"/>
  <c r="Y120" i="1"/>
  <c r="F154" i="1"/>
  <c r="O88" i="1"/>
  <c r="AB69" i="1"/>
  <c r="DH159" i="1"/>
  <c r="P173" i="1"/>
  <c r="GO71" i="1"/>
  <c r="CC88" i="1" s="1"/>
  <c r="CA88" i="1"/>
  <c r="DT69" i="1"/>
  <c r="DG88" i="1"/>
  <c r="DU69" i="1"/>
  <c r="DH88" i="1"/>
  <c r="FX88" i="1"/>
  <c r="FZ88" i="1"/>
  <c r="FW88" i="1"/>
  <c r="CH127" i="1"/>
  <c r="P127" i="1"/>
  <c r="CE127" i="1"/>
  <c r="CF127" i="1"/>
  <c r="AC120" i="1"/>
  <c r="DO26" i="1"/>
  <c r="P61" i="1"/>
  <c r="DO200" i="1"/>
  <c r="DX159" i="1"/>
  <c r="DK170" i="1"/>
  <c r="EC37" i="1"/>
  <c r="DK120" i="1"/>
  <c r="P142" i="1"/>
  <c r="FW159" i="1"/>
  <c r="EN170" i="1"/>
  <c r="CI127" i="1"/>
  <c r="AP127" i="1"/>
  <c r="BY120" i="1"/>
  <c r="P194" i="1"/>
  <c r="DO159" i="1"/>
  <c r="AE159" i="1"/>
  <c r="R170" i="1"/>
  <c r="P105" i="1"/>
  <c r="EK69" i="1"/>
  <c r="GM35" i="1"/>
  <c r="GO35" i="1" s="1"/>
  <c r="EG22" i="1"/>
  <c r="EG230" i="1"/>
  <c r="P204" i="1"/>
  <c r="EK200" i="1"/>
  <c r="GM29" i="1"/>
  <c r="DT37" i="1"/>
  <c r="U69" i="1"/>
  <c r="F110" i="1"/>
  <c r="ET22" i="1"/>
  <c r="ET230" i="1"/>
  <c r="P213" i="1"/>
  <c r="DH120" i="1"/>
  <c r="P130" i="1"/>
  <c r="P37" i="1"/>
  <c r="AC26" i="1"/>
  <c r="CF37" i="1"/>
  <c r="CE37" i="1"/>
  <c r="CH37" i="1"/>
  <c r="F102" i="1"/>
  <c r="R69" i="1"/>
  <c r="ED37" i="1"/>
  <c r="AF69" i="1"/>
  <c r="S88" i="1"/>
  <c r="ED159" i="1"/>
  <c r="DQ170" i="1"/>
  <c r="GO72" i="1"/>
  <c r="FU88" i="1" s="1"/>
  <c r="FS88" i="1"/>
  <c r="U159" i="1"/>
  <c r="F192" i="1"/>
  <c r="EP120" i="1"/>
  <c r="P134" i="1"/>
  <c r="FZ159" i="1"/>
  <c r="EQ170" i="1"/>
  <c r="ER26" i="1"/>
  <c r="P48" i="1"/>
  <c r="AQ22" i="1"/>
  <c r="AQ230" i="1"/>
  <c r="F210" i="1"/>
  <c r="EH88" i="1"/>
  <c r="FQ69" i="1"/>
  <c r="GA88" i="1"/>
  <c r="EV22" i="1"/>
  <c r="EV230" i="1"/>
  <c r="P225" i="1"/>
  <c r="GM28" i="1"/>
  <c r="AB37" i="1"/>
  <c r="F141" i="1"/>
  <c r="R120" i="1"/>
  <c r="AU22" i="1"/>
  <c r="AU230" i="1"/>
  <c r="F219" i="1"/>
  <c r="W16" i="2" s="1"/>
  <c r="DK88" i="1"/>
  <c r="DX69" i="1"/>
  <c r="DJ26" i="1"/>
  <c r="P51" i="1"/>
  <c r="T26" i="1"/>
  <c r="F58" i="1"/>
  <c r="T200" i="1"/>
  <c r="CH88" i="1"/>
  <c r="AC69" i="1"/>
  <c r="CE88" i="1"/>
  <c r="CF88" i="1"/>
  <c r="P88" i="1"/>
  <c r="W159" i="1"/>
  <c r="F194" i="1"/>
  <c r="BB22" i="1"/>
  <c r="BB230" i="1"/>
  <c r="F213" i="1"/>
  <c r="BC22" i="1"/>
  <c r="BC230" i="1"/>
  <c r="F216" i="1"/>
  <c r="FW26" i="1"/>
  <c r="EN37" i="1"/>
  <c r="DI120" i="1"/>
  <c r="P139" i="1"/>
  <c r="AL69" i="1"/>
  <c r="Y88" i="1"/>
  <c r="EC159" i="1"/>
  <c r="DP170" i="1"/>
  <c r="AX26" i="1"/>
  <c r="F44" i="1"/>
  <c r="AX200" i="1"/>
  <c r="CA127" i="1"/>
  <c r="GO122" i="1"/>
  <c r="CC127" i="1" s="1"/>
  <c r="BY69" i="1"/>
  <c r="AP88" i="1"/>
  <c r="CI88" i="1"/>
  <c r="AX159" i="1"/>
  <c r="F177" i="1"/>
  <c r="ES159" i="1"/>
  <c r="P190" i="1"/>
  <c r="F107" i="1"/>
  <c r="AU69" i="1"/>
  <c r="V26" i="1"/>
  <c r="F60" i="1"/>
  <c r="V200" i="1"/>
  <c r="F108" i="1"/>
  <c r="BA69" i="1"/>
  <c r="EP159" i="1"/>
  <c r="P177" i="1"/>
  <c r="DT127" i="1"/>
  <c r="GM123" i="1"/>
  <c r="EM69" i="1"/>
  <c r="P107" i="1"/>
  <c r="EM200" i="1"/>
  <c r="FZ26" i="1"/>
  <c r="EQ37" i="1"/>
  <c r="AX120" i="1"/>
  <c r="F134" i="1"/>
  <c r="DV159" i="1"/>
  <c r="DI170" i="1"/>
  <c r="U26" i="1"/>
  <c r="F59" i="1"/>
  <c r="U200" i="1"/>
  <c r="S26" i="1"/>
  <c r="F52" i="1"/>
  <c r="S200" i="1"/>
  <c r="DJ159" i="1"/>
  <c r="P184" i="1"/>
  <c r="AK26" i="1"/>
  <c r="X37" i="1"/>
  <c r="F105" i="1"/>
  <c r="AS69" i="1"/>
  <c r="AB120" i="1"/>
  <c r="O127" i="1"/>
  <c r="DH26" i="1"/>
  <c r="P40" i="1"/>
  <c r="DH200" i="1"/>
  <c r="F139" i="1"/>
  <c r="Q120" i="1"/>
  <c r="DO120" i="1"/>
  <c r="P151" i="1"/>
  <c r="ER120" i="1"/>
  <c r="P138" i="1"/>
  <c r="FX26" i="1"/>
  <c r="EO37" i="1"/>
  <c r="Q69" i="1"/>
  <c r="F100" i="1"/>
  <c r="GM161" i="1"/>
  <c r="AB170" i="1"/>
  <c r="DJ69" i="1"/>
  <c r="P102" i="1"/>
  <c r="AS22" i="1"/>
  <c r="F217" i="1"/>
  <c r="T16" i="2" s="1"/>
  <c r="AS230" i="1"/>
  <c r="ES69" i="1"/>
  <c r="P108" i="1"/>
  <c r="AL159" i="1"/>
  <c r="Y170" i="1"/>
  <c r="EO127" i="1"/>
  <c r="FX120" i="1"/>
  <c r="AZ26" i="1"/>
  <c r="F48" i="1"/>
  <c r="F190" i="1"/>
  <c r="BA159" i="1"/>
  <c r="W22" i="1"/>
  <c r="W230" i="1"/>
  <c r="F224" i="1"/>
  <c r="ED120" i="1"/>
  <c r="DQ127" i="1"/>
  <c r="BD22" i="1"/>
  <c r="BD230" i="1"/>
  <c r="F225" i="1"/>
  <c r="CE170" i="1"/>
  <c r="AC159" i="1"/>
  <c r="CH170" i="1"/>
  <c r="P170" i="1"/>
  <c r="CF170" i="1"/>
  <c r="S120" i="1"/>
  <c r="F142" i="1"/>
  <c r="V159" i="1"/>
  <c r="F193" i="1"/>
  <c r="DI69" i="1"/>
  <c r="P100" i="1"/>
  <c r="EI22" i="1"/>
  <c r="EI230" i="1"/>
  <c r="P210" i="1"/>
  <c r="EN127" i="1"/>
  <c r="FW120" i="1"/>
  <c r="Q26" i="1"/>
  <c r="F49" i="1"/>
  <c r="Q200" i="1"/>
  <c r="DN159" i="1"/>
  <c r="P193" i="1"/>
  <c r="EU22" i="1"/>
  <c r="EU230" i="1"/>
  <c r="P216" i="1"/>
  <c r="DX26" i="1"/>
  <c r="DK37" i="1"/>
  <c r="EP200" i="1"/>
  <c r="R26" i="1"/>
  <c r="F51" i="1"/>
  <c r="R200" i="1"/>
  <c r="CA69" i="1" l="1"/>
  <c r="AR88" i="1"/>
  <c r="CF159" i="1"/>
  <c r="AW170" i="1"/>
  <c r="AW127" i="1"/>
  <c r="CF120" i="1"/>
  <c r="EN159" i="1"/>
  <c r="P175" i="1"/>
  <c r="DL22" i="1"/>
  <c r="P221" i="1"/>
  <c r="DL230" i="1"/>
  <c r="P141" i="1"/>
  <c r="DJ120" i="1"/>
  <c r="ES18" i="1"/>
  <c r="P250" i="1"/>
  <c r="R22" i="1"/>
  <c r="F214" i="1"/>
  <c r="R230" i="1"/>
  <c r="CF69" i="1"/>
  <c r="AW88" i="1"/>
  <c r="DM22" i="1"/>
  <c r="DM230" i="1"/>
  <c r="P222" i="1"/>
  <c r="CI120" i="1"/>
  <c r="AZ127" i="1"/>
  <c r="V22" i="1"/>
  <c r="F223" i="1"/>
  <c r="V230" i="1"/>
  <c r="AQ18" i="1"/>
  <c r="F240" i="1"/>
  <c r="P26" i="1"/>
  <c r="F40" i="1"/>
  <c r="P200" i="1"/>
  <c r="EG18" i="1"/>
  <c r="P234" i="1"/>
  <c r="EP22" i="1"/>
  <c r="P207" i="1"/>
  <c r="EP230" i="1"/>
  <c r="P132" i="1"/>
  <c r="EN120" i="1"/>
  <c r="CH159" i="1"/>
  <c r="AY170" i="1"/>
  <c r="EQ26" i="1"/>
  <c r="P45" i="1"/>
  <c r="AR127" i="1"/>
  <c r="CA120" i="1"/>
  <c r="AY88" i="1"/>
  <c r="CH69" i="1"/>
  <c r="DQ159" i="1"/>
  <c r="P197" i="1"/>
  <c r="P120" i="1"/>
  <c r="F130" i="1"/>
  <c r="EH69" i="1"/>
  <c r="P97" i="1"/>
  <c r="EH200" i="1"/>
  <c r="AT127" i="1"/>
  <c r="CC120" i="1"/>
  <c r="AX22" i="1"/>
  <c r="AX230" i="1"/>
  <c r="F207" i="1"/>
  <c r="BC18" i="1"/>
  <c r="F246" i="1"/>
  <c r="T22" i="1"/>
  <c r="T230" i="1"/>
  <c r="F221" i="1"/>
  <c r="CH120" i="1"/>
  <c r="AY127" i="1"/>
  <c r="CF26" i="1"/>
  <c r="AW37" i="1"/>
  <c r="AS18" i="1"/>
  <c r="F247" i="1"/>
  <c r="EN26" i="1"/>
  <c r="P42" i="1"/>
  <c r="FU69" i="1"/>
  <c r="EL88" i="1"/>
  <c r="AV127" i="1"/>
  <c r="CE120" i="1"/>
  <c r="DK26" i="1"/>
  <c r="P52" i="1"/>
  <c r="DK200" i="1"/>
  <c r="EI18" i="1"/>
  <c r="P240" i="1"/>
  <c r="CE159" i="1"/>
  <c r="AV170" i="1"/>
  <c r="S22" i="1"/>
  <c r="S230" i="1"/>
  <c r="F215" i="1"/>
  <c r="Y16" i="2" s="1"/>
  <c r="EM22" i="1"/>
  <c r="EM230" i="1"/>
  <c r="P219" i="1"/>
  <c r="H16" i="2" s="1"/>
  <c r="AB26" i="1"/>
  <c r="O37" i="1"/>
  <c r="F103" i="1"/>
  <c r="S69" i="1"/>
  <c r="FW69" i="1"/>
  <c r="EN88" i="1"/>
  <c r="EN200" i="1" s="1"/>
  <c r="F90" i="1"/>
  <c r="O69" i="1"/>
  <c r="P135" i="1"/>
  <c r="EQ120" i="1"/>
  <c r="P176" i="1"/>
  <c r="EO159" i="1"/>
  <c r="DN18" i="1"/>
  <c r="P253" i="1"/>
  <c r="F136" i="1"/>
  <c r="AP120" i="1"/>
  <c r="DP69" i="1"/>
  <c r="P114" i="1"/>
  <c r="X26" i="1"/>
  <c r="F63" i="1"/>
  <c r="AV88" i="1"/>
  <c r="CE69" i="1"/>
  <c r="O170" i="1"/>
  <c r="AB159" i="1"/>
  <c r="EC26" i="1"/>
  <c r="DP37" i="1"/>
  <c r="EU18" i="1"/>
  <c r="P246" i="1"/>
  <c r="BD18" i="1"/>
  <c r="F255" i="1"/>
  <c r="DP159" i="1"/>
  <c r="P196" i="1"/>
  <c r="BB18" i="1"/>
  <c r="F243" i="1"/>
  <c r="DJ200" i="1"/>
  <c r="EQ159" i="1"/>
  <c r="P178" i="1"/>
  <c r="ED26" i="1"/>
  <c r="DQ37" i="1"/>
  <c r="F184" i="1"/>
  <c r="R159" i="1"/>
  <c r="DK159" i="1"/>
  <c r="P185" i="1"/>
  <c r="EO88" i="1"/>
  <c r="FX69" i="1"/>
  <c r="AK69" i="1"/>
  <c r="X88" i="1"/>
  <c r="DT159" i="1"/>
  <c r="DG170" i="1"/>
  <c r="CC69" i="1"/>
  <c r="AT88" i="1"/>
  <c r="GO28" i="1"/>
  <c r="CC37" i="1" s="1"/>
  <c r="CA37" i="1"/>
  <c r="ET18" i="1"/>
  <c r="P243" i="1"/>
  <c r="EQ88" i="1"/>
  <c r="EQ200" i="1" s="1"/>
  <c r="FZ69" i="1"/>
  <c r="P153" i="1"/>
  <c r="DP120" i="1"/>
  <c r="CA170" i="1"/>
  <c r="GO161" i="1"/>
  <c r="CC170" i="1" s="1"/>
  <c r="EO120" i="1"/>
  <c r="P133" i="1"/>
  <c r="U22" i="1"/>
  <c r="F222" i="1"/>
  <c r="U230" i="1"/>
  <c r="GO123" i="1"/>
  <c r="FU127" i="1" s="1"/>
  <c r="FS127" i="1"/>
  <c r="EV18" i="1"/>
  <c r="P255" i="1"/>
  <c r="DH69" i="1"/>
  <c r="P91" i="1"/>
  <c r="FS170" i="1"/>
  <c r="GO162" i="1"/>
  <c r="FU170" i="1" s="1"/>
  <c r="P115" i="1"/>
  <c r="DQ69" i="1"/>
  <c r="W18" i="1"/>
  <c r="F254" i="1"/>
  <c r="F97" i="1"/>
  <c r="AP69" i="1"/>
  <c r="AP200" i="1"/>
  <c r="EK22" i="1"/>
  <c r="P217" i="1"/>
  <c r="E16" i="2" s="1"/>
  <c r="EK230" i="1"/>
  <c r="AU18" i="1"/>
  <c r="F249" i="1"/>
  <c r="P159" i="1"/>
  <c r="F173" i="1"/>
  <c r="DH22" i="1"/>
  <c r="P203" i="1"/>
  <c r="DH230" i="1"/>
  <c r="DQ120" i="1"/>
  <c r="P154" i="1"/>
  <c r="DT120" i="1"/>
  <c r="DG127" i="1"/>
  <c r="F115" i="1"/>
  <c r="Y69" i="1"/>
  <c r="DO22" i="1"/>
  <c r="P224" i="1"/>
  <c r="DO230" i="1"/>
  <c r="AO18" i="1"/>
  <c r="F234" i="1"/>
  <c r="EO26" i="1"/>
  <c r="P43" i="1"/>
  <c r="EO200" i="1"/>
  <c r="GA69" i="1"/>
  <c r="ER88" i="1"/>
  <c r="CH26" i="1"/>
  <c r="AY37" i="1"/>
  <c r="DT26" i="1"/>
  <c r="DG37" i="1"/>
  <c r="DG69" i="1"/>
  <c r="P90" i="1"/>
  <c r="Y26" i="1"/>
  <c r="F64" i="1"/>
  <c r="Y200" i="1"/>
  <c r="EJ88" i="1"/>
  <c r="FS69" i="1"/>
  <c r="Y159" i="1"/>
  <c r="F197" i="1"/>
  <c r="O120" i="1"/>
  <c r="F129" i="1"/>
  <c r="BA18" i="1"/>
  <c r="F250" i="1"/>
  <c r="Q22" i="1"/>
  <c r="Q230" i="1"/>
  <c r="F212" i="1"/>
  <c r="P182" i="1"/>
  <c r="DI159" i="1"/>
  <c r="DI200" i="1"/>
  <c r="CI69" i="1"/>
  <c r="AZ88" i="1"/>
  <c r="F91" i="1"/>
  <c r="P69" i="1"/>
  <c r="DK69" i="1"/>
  <c r="P103" i="1"/>
  <c r="CE26" i="1"/>
  <c r="AV37" i="1"/>
  <c r="GO29" i="1"/>
  <c r="FU37" i="1" s="1"/>
  <c r="FS37" i="1"/>
  <c r="EQ22" i="1" l="1"/>
  <c r="P208" i="1"/>
  <c r="EQ230" i="1"/>
  <c r="EN22" i="1"/>
  <c r="P205" i="1"/>
  <c r="EN230" i="1"/>
  <c r="DQ26" i="1"/>
  <c r="P64" i="1"/>
  <c r="DQ200" i="1"/>
  <c r="AX18" i="1"/>
  <c r="F237" i="1"/>
  <c r="F96" i="1"/>
  <c r="AY69" i="1"/>
  <c r="AY26" i="1"/>
  <c r="F45" i="1"/>
  <c r="AY200" i="1"/>
  <c r="FS159" i="1"/>
  <c r="EJ170" i="1"/>
  <c r="AT170" i="1"/>
  <c r="CC159" i="1"/>
  <c r="DP26" i="1"/>
  <c r="P63" i="1"/>
  <c r="DP200" i="1"/>
  <c r="DL18" i="1"/>
  <c r="P251" i="1"/>
  <c r="AT69" i="1"/>
  <c r="F106" i="1"/>
  <c r="EK18" i="1"/>
  <c r="P247" i="1"/>
  <c r="O26" i="1"/>
  <c r="F39" i="1"/>
  <c r="O200" i="1"/>
  <c r="AR120" i="1"/>
  <c r="F155" i="1"/>
  <c r="DG120" i="1"/>
  <c r="P129" i="1"/>
  <c r="F145" i="1"/>
  <c r="AT120" i="1"/>
  <c r="P22" i="1"/>
  <c r="P230" i="1"/>
  <c r="F203" i="1"/>
  <c r="DG159" i="1"/>
  <c r="P172" i="1"/>
  <c r="AW26" i="1"/>
  <c r="F43" i="1"/>
  <c r="AW200" i="1"/>
  <c r="DM18" i="1"/>
  <c r="P252" i="1"/>
  <c r="F114" i="1"/>
  <c r="X69" i="1"/>
  <c r="DJ22" i="1"/>
  <c r="P214" i="1"/>
  <c r="DJ230" i="1"/>
  <c r="O159" i="1"/>
  <c r="F172" i="1"/>
  <c r="F135" i="1"/>
  <c r="AY120" i="1"/>
  <c r="EH22" i="1"/>
  <c r="P209" i="1"/>
  <c r="G16" i="2" s="1"/>
  <c r="EH230" i="1"/>
  <c r="F94" i="1"/>
  <c r="AW69" i="1"/>
  <c r="DG26" i="1"/>
  <c r="P39" i="1"/>
  <c r="DG200" i="1"/>
  <c r="DK22" i="1"/>
  <c r="P215" i="1"/>
  <c r="DK230" i="1"/>
  <c r="P99" i="1"/>
  <c r="ER69" i="1"/>
  <c r="ER200" i="1"/>
  <c r="DI22" i="1"/>
  <c r="DI230" i="1"/>
  <c r="P212" i="1"/>
  <c r="P116" i="1"/>
  <c r="EJ69" i="1"/>
  <c r="EO22" i="1"/>
  <c r="P206" i="1"/>
  <c r="EO230" i="1"/>
  <c r="AP22" i="1"/>
  <c r="F209" i="1"/>
  <c r="V16" i="2" s="1"/>
  <c r="AP230" i="1"/>
  <c r="EM18" i="1"/>
  <c r="P249" i="1"/>
  <c r="EL170" i="1"/>
  <c r="FU159" i="1"/>
  <c r="F99" i="1"/>
  <c r="AZ69" i="1"/>
  <c r="AZ200" i="1"/>
  <c r="FS26" i="1"/>
  <c r="EJ37" i="1"/>
  <c r="AV69" i="1"/>
  <c r="F93" i="1"/>
  <c r="R18" i="1"/>
  <c r="F244" i="1"/>
  <c r="FU120" i="1"/>
  <c r="EL127" i="1"/>
  <c r="EO69" i="1"/>
  <c r="P94" i="1"/>
  <c r="X200" i="1"/>
  <c r="EL69" i="1"/>
  <c r="P106" i="1"/>
  <c r="T18" i="1"/>
  <c r="F251" i="1"/>
  <c r="F133" i="1"/>
  <c r="AW120" i="1"/>
  <c r="FU26" i="1"/>
  <c r="EL37" i="1"/>
  <c r="AV26" i="1"/>
  <c r="F42" i="1"/>
  <c r="AV200" i="1"/>
  <c r="Q18" i="1"/>
  <c r="F242" i="1"/>
  <c r="U18" i="1"/>
  <c r="F252" i="1"/>
  <c r="S18" i="1"/>
  <c r="F245" i="1"/>
  <c r="V18" i="1"/>
  <c r="F253" i="1"/>
  <c r="F176" i="1"/>
  <c r="AW159" i="1"/>
  <c r="AR170" i="1"/>
  <c r="CA159" i="1"/>
  <c r="Y22" i="1"/>
  <c r="Y230" i="1"/>
  <c r="F227" i="1"/>
  <c r="EQ69" i="1"/>
  <c r="P96" i="1"/>
  <c r="F132" i="1"/>
  <c r="AV120" i="1"/>
  <c r="AY159" i="1"/>
  <c r="F178" i="1"/>
  <c r="DH18" i="1"/>
  <c r="P233" i="1"/>
  <c r="CA26" i="1"/>
  <c r="AR37" i="1"/>
  <c r="EJ127" i="1"/>
  <c r="FS120" i="1"/>
  <c r="DO18" i="1"/>
  <c r="P254" i="1"/>
  <c r="CC26" i="1"/>
  <c r="AT37" i="1"/>
  <c r="EN69" i="1"/>
  <c r="P93" i="1"/>
  <c r="F175" i="1"/>
  <c r="AV159" i="1"/>
  <c r="EP18" i="1"/>
  <c r="P237" i="1"/>
  <c r="F116" i="1"/>
  <c r="AR69" i="1"/>
  <c r="AZ120" i="1"/>
  <c r="F138" i="1"/>
  <c r="EL120" i="1" l="1"/>
  <c r="P145" i="1"/>
  <c r="EH18" i="1"/>
  <c r="P239" i="1"/>
  <c r="ER22" i="1"/>
  <c r="ER230" i="1"/>
  <c r="P211" i="1"/>
  <c r="AT26" i="1"/>
  <c r="F55" i="1"/>
  <c r="AT200" i="1"/>
  <c r="AP18" i="1"/>
  <c r="F239" i="1"/>
  <c r="DP22" i="1"/>
  <c r="P226" i="1"/>
  <c r="DP230" i="1"/>
  <c r="EL26" i="1"/>
  <c r="P55" i="1"/>
  <c r="EL200" i="1"/>
  <c r="AW22" i="1"/>
  <c r="AW230" i="1"/>
  <c r="F206" i="1"/>
  <c r="EL159" i="1"/>
  <c r="P188" i="1"/>
  <c r="DQ22" i="1"/>
  <c r="DQ230" i="1"/>
  <c r="P227" i="1"/>
  <c r="DI18" i="1"/>
  <c r="P242" i="1"/>
  <c r="DK18" i="1"/>
  <c r="P245" i="1"/>
  <c r="EJ26" i="1"/>
  <c r="P65" i="1"/>
  <c r="EJ200" i="1"/>
  <c r="EO18" i="1"/>
  <c r="P236" i="1"/>
  <c r="J16" i="2"/>
  <c r="O22" i="1"/>
  <c r="F202" i="1"/>
  <c r="O230" i="1"/>
  <c r="AT159" i="1"/>
  <c r="F188" i="1"/>
  <c r="Y18" i="1"/>
  <c r="F257" i="1"/>
  <c r="AZ22" i="1"/>
  <c r="F211" i="1"/>
  <c r="AZ230" i="1"/>
  <c r="DJ18" i="1"/>
  <c r="P244" i="1"/>
  <c r="EJ159" i="1"/>
  <c r="P198" i="1"/>
  <c r="X22" i="1"/>
  <c r="F226" i="1"/>
  <c r="X230" i="1"/>
  <c r="AV22" i="1"/>
  <c r="F205" i="1"/>
  <c r="AV230" i="1"/>
  <c r="P18" i="1"/>
  <c r="F233" i="1"/>
  <c r="AY22" i="1"/>
  <c r="F208" i="1"/>
  <c r="AY230" i="1"/>
  <c r="P155" i="1"/>
  <c r="EJ120" i="1"/>
  <c r="DG22" i="1"/>
  <c r="P202" i="1"/>
  <c r="DG230" i="1"/>
  <c r="EN18" i="1"/>
  <c r="P235" i="1"/>
  <c r="AR26" i="1"/>
  <c r="F65" i="1"/>
  <c r="AR200" i="1"/>
  <c r="AR159" i="1"/>
  <c r="F198" i="1"/>
  <c r="EQ18" i="1"/>
  <c r="P238" i="1"/>
  <c r="AV18" i="1" l="1"/>
  <c r="F235" i="1"/>
  <c r="AT22" i="1"/>
  <c r="AT230" i="1"/>
  <c r="F218" i="1"/>
  <c r="U16" i="2" s="1"/>
  <c r="X16" i="2" s="1"/>
  <c r="AC16" i="2" s="1"/>
  <c r="EL22" i="1"/>
  <c r="EL230" i="1"/>
  <c r="P218" i="1"/>
  <c r="F16" i="2" s="1"/>
  <c r="I16" i="2" s="1"/>
  <c r="N16" i="2" s="1"/>
  <c r="ER18" i="1"/>
  <c r="P241" i="1"/>
  <c r="EJ22" i="1"/>
  <c r="EJ230" i="1"/>
  <c r="P228" i="1"/>
  <c r="AW18" i="1"/>
  <c r="F236" i="1"/>
  <c r="O18" i="1"/>
  <c r="F232" i="1"/>
  <c r="DP18" i="1"/>
  <c r="P256" i="1"/>
  <c r="X18" i="1"/>
  <c r="F256" i="1"/>
  <c r="AR22" i="1"/>
  <c r="AR230" i="1"/>
  <c r="F228" i="1"/>
  <c r="AZ18" i="1"/>
  <c r="F241" i="1"/>
  <c r="DG18" i="1"/>
  <c r="P232" i="1"/>
  <c r="AY18" i="1"/>
  <c r="F238" i="1"/>
  <c r="DQ18" i="1"/>
  <c r="P257" i="1"/>
  <c r="AR18" i="1" l="1"/>
  <c r="F258" i="1"/>
  <c r="EJ18" i="1"/>
  <c r="P258" i="1"/>
  <c r="EL18" i="1"/>
  <c r="P248" i="1"/>
  <c r="AT18" i="1"/>
  <c r="F248" i="1"/>
</calcChain>
</file>

<file path=xl/sharedStrings.xml><?xml version="1.0" encoding="utf-8"?>
<sst xmlns="http://schemas.openxmlformats.org/spreadsheetml/2006/main" count="4913" uniqueCount="340">
  <si>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</si>
  <si>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</si>
  <si>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</si>
  <si>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</si>
  <si>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</si>
  <si>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02-01-16</t>
  </si>
  <si>
    <t>02-01-16 Электрочасофикация 15.07</t>
  </si>
  <si>
    <t>2024-00375-01-0-ИОС5.9</t>
  </si>
  <si>
    <t>Капитальный ремонт здания Государственного бюджетного общеобразовательного учреждения города Москвы «Школа №1574»,</t>
  </si>
  <si>
    <t>г. Москва, Старопименовский переулок, д. 5. 1 этап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</si>
  <si>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</si>
  <si>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</si>
  <si>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</si>
  <si>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</si>
  <si>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</si>
  <si>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</si>
  <si>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</si>
  <si>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</si>
  <si>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</si>
  <si>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</si>
  <si>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</si>
  <si>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</si>
  <si>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Электрочасофикация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</si>
  <si>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</si>
  <si>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</si>
  <si>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</si>
  <si>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4.10-85-1</t>
  </si>
  <si>
    <t>Монтаж часов первичных электрических показывающих кварцевых типа ПКЧЗ-2-РИ-Р24-Р6-1  / демонтаж часовой станции</t>
  </si>
  <si>
    <t>1  ШТ.</t>
  </si>
  <si>
    <t>ТСН-2001.4 Доп. 81, Сб. 10, т. 85, поз. 1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</si>
  <si>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</si>
  <si>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</si>
  <si>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</si>
  <si>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</si>
  <si>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</si>
  <si>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</si>
  <si>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</si>
  <si>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4.10-134-7</t>
  </si>
  <si>
    <t>Монтаж антенны дополнительной для приема ТВ на ранее установленной опоре, с действующими ТВ антеннами  / демонтаж антенны</t>
  </si>
  <si>
    <t>1 антенна</t>
  </si>
  <si>
    <t>ТСН-2001.4 Доп. 81, Сб. 10, т. 134, поз. 7</t>
  </si>
  <si>
    <t>ТСН-2001.4-10. Монтаж радиотелевизионного и электронного оборудования</t>
  </si>
  <si>
    <t>ТСН-2001.4-10-2</t>
  </si>
  <si>
    <t>3</t>
  </si>
  <si>
    <t>4.10-136-1</t>
  </si>
  <si>
    <t>Монтаж коробки телевизионной (ответвители, разветвители магистральные, домовые, абонентские), УСС,  / демонтаж модуля грозозащиты для антенны</t>
  </si>
  <si>
    <t>ТСН-2001.4 Доп. 81, Сб. 10, т. 136, поз. 1</t>
  </si>
  <si>
    <t>4</t>
  </si>
  <si>
    <t>4.10-86-1</t>
  </si>
  <si>
    <t>Монтаж электрочасов вторичных для помещений односторонних на стене  / демонтаж часов повторителей</t>
  </si>
  <si>
    <t>ТСН-2001.4 Доп. 81, Сб. 10, т. 86,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</si>
  <si>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</si>
  <si>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</si>
  <si>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</si>
  <si>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</si>
  <si>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</si>
  <si>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</si>
  <si>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</si>
  <si>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</si>
  <si>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</si>
  <si>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</si>
  <si>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</si>
  <si>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</si>
  <si>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</si>
  <si>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</si>
  <si>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</si>
  <si>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</si>
  <si>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</si>
  <si>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</si>
  <si>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</si>
  <si>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</si>
  <si>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</si>
  <si>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</si>
  <si>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</si>
  <si>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</si>
  <si>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</si>
  <si>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</si>
  <si>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</si>
  <si>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</si>
  <si>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</si>
  <si>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</si>
  <si>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</si>
  <si>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</si>
  <si>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</si>
  <si>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</si>
  <si>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</si>
  <si>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</si>
  <si>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</si>
  <si>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</si>
  <si>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</si>
  <si>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</si>
  <si>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</si>
  <si>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</si>
  <si>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</si>
  <si>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</si>
  <si>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</si>
  <si>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</si>
  <si>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</si>
  <si>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</si>
  <si>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</si>
  <si>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</si>
  <si>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</si>
  <si>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</si>
  <si>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</si>
  <si>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</si>
  <si>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Комплект основного оборудования</t>
  </si>
  <si>
    <t>5</t>
  </si>
  <si>
    <t>Монтаж часов первичных электрических показывающих кварцевых типа ПКЧЗ-2-РИ-Р24-Р6-1</t>
  </si>
  <si>
    <t>*1</t>
  </si>
  <si>
    <t>*1,2</t>
  </si>
  <si>
    <t>Поправка: Гл.12.Прил.8.п.8. 3_12.00.01.11.001</t>
  </si>
  <si>
    <t>6</t>
  </si>
  <si>
    <t>КА1</t>
  </si>
  <si>
    <t>КОНТУР - часовая станция, сервер времени, стоечное исполнение, NTP (тип. SC KMWP-IP-A0124)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</si>
  <si>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</si>
  <si>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</si>
  <si>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</si>
  <si>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</si>
  <si>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[642 038,95 / 1,22 /  7,57] +  3% Трансп +  1,2% Заг.скл</t>
  </si>
  <si>
    <t>1,2</t>
  </si>
  <si>
    <t>7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</si>
  <si>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</si>
  <si>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</si>
  <si>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</si>
  <si>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</si>
  <si>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</si>
  <si>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Монтаж антенны дополнительной для приема ТВ на ранее установленной опоре, с действующими ТВ антеннами</t>
  </si>
  <si>
    <t>8</t>
  </si>
  <si>
    <t>КА2</t>
  </si>
  <si>
    <t>Модуль часовой станции GPS / ГЛОНАСС Антенна (тип. SC GPS/GLO) 9тип SC GPS/GLO-A042 4)</t>
  </si>
  <si>
    <t>[108 823 / 1,22 /  7,57] +  3% Трансп +  1,2% Заг.скл</t>
  </si>
  <si>
    <t>9</t>
  </si>
  <si>
    <t>4.10-21-5</t>
  </si>
  <si>
    <t>Грозозащита для воздушных абонентских линий</t>
  </si>
  <si>
    <t>1 комплект</t>
  </si>
  <si>
    <t>ТСН-2001.4 Доп. 79, Сб. 10, т. 21, поз. 5</t>
  </si>
  <si>
    <t>Монтаж коробки телевизионной (ответвители, разветвители магистральные, домовые, абонентские), УСС, БФТК</t>
  </si>
  <si>
    <t>10</t>
  </si>
  <si>
    <t>КА3</t>
  </si>
  <si>
    <t>Модуль грозозащиты для антенны (тип. SC PTR) SC PTR-A0424</t>
  </si>
  <si>
    <t>[108 610 / 1,22 /  7,57] +  3% Трансп +  1,2% Заг.скл</t>
  </si>
  <si>
    <t>Оборудование устанавливаемое по месту</t>
  </si>
  <si>
    <t>11</t>
  </si>
  <si>
    <t>Монтаж электрочасов вторичных для помещений односторонних на стене</t>
  </si>
  <si>
    <t>12</t>
  </si>
  <si>
    <t>КА4</t>
  </si>
  <si>
    <t>КОНТУР D - часы повторители, цифровое LED табло, цифры высотой 10 мм, часы/минуты/секунды, цвет зеленый, односторонние (тип. SC KDG 10Gs) SC KDG 10Gs-IP-A0124</t>
  </si>
  <si>
    <t>[110 671 / 1,22 /  7,57] +  3% Трансп +  1,2% Заг.скл</t>
  </si>
  <si>
    <t>Кабели и провода</t>
  </si>
  <si>
    <t>13</t>
  </si>
  <si>
    <t>4.10-27-4</t>
  </si>
  <si>
    <t>Прокладка и включение перемычки кабельной между секциями одного статива без укладки в кабельном канале</t>
  </si>
  <si>
    <t>100 перемычек</t>
  </si>
  <si>
    <t>ТСН-2001.4 Доп. 67, Сб. 10, т. 27, поз. 4</t>
  </si>
  <si>
    <t>4.10-139-1</t>
  </si>
  <si>
    <t>Разделка коаксиального ТВ кабеля в разъемы и подключение к оборудованию, диаметр оболочки кабеля до 20 мм</t>
  </si>
  <si>
    <t>1 конец кабеля</t>
  </si>
  <si>
    <t>ТСН-2001.4 Доп. 81, Сб. 10, т. 139, поз. 1</t>
  </si>
  <si>
    <t>14</t>
  </si>
  <si>
    <t>КА 5</t>
  </si>
  <si>
    <t>Патч-корд U/UTP, категория 5е, 2xRJ45/8p8c, неэкранированный, белый, LSZH, 2м (PC-UTP-RJ45-Cat.5e-2m-WH-LSZH)</t>
  </si>
  <si>
    <t>ШТ</t>
  </si>
  <si>
    <t>Материалы</t>
  </si>
  <si>
    <t>Материалы, изделия и конструкции</t>
  </si>
  <si>
    <t>15</t>
  </si>
  <si>
    <t>КА 6</t>
  </si>
  <si>
    <t>Патч-корд U/UTP, категория 5е, 2xRJ45/8p8c, неэкранированный, белый, LSZH, 0.5 м (PC-UTP-RJ45-Cat.5e-0.5m -WH-LSZH)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</si>
  <si>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</si>
  <si>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</si>
  <si>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</si>
  <si>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</si>
  <si>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</si>
  <si>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</si>
  <si>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</si>
  <si>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</si>
  <si>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</si>
  <si>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</si>
  <si>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</si>
  <si>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</si>
  <si>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</si>
  <si>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</si>
  <si>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</si>
  <si>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</si>
  <si>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</si>
  <si>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</si>
  <si>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</si>
  <si>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</si>
  <si>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</si>
  <si>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0</t>
  </si>
  <si>
    <t>_OBSM_</t>
  </si>
  <si>
    <t>9999990008</t>
  </si>
  <si>
    <t>Трудозатраты рабочих</t>
  </si>
  <si>
    <t>чел.-ч.</t>
  </si>
  <si>
    <t>1.1-1-146</t>
  </si>
  <si>
    <t>ТСН-2001.1 Доп. 79, Р. 1, о. 1, поз. 146</t>
  </si>
  <si>
    <t>Гипс строительный</t>
  </si>
  <si>
    <t>т</t>
  </si>
  <si>
    <t>1.1-1-3805</t>
  </si>
  <si>
    <t>ТСН-2001.1 Доп. 79, Р. 1, о. 1, поз. 3805</t>
  </si>
  <si>
    <t>Шуруп-саморез с потайной головкой, универсальный, оцинкованный, диаметр 5 мм, длина 70 мм</t>
  </si>
  <si>
    <t>100 шт.</t>
  </si>
  <si>
    <t>1.1-1-1051</t>
  </si>
  <si>
    <t>ТСН-2001.1 Доп. 79, Р. 1, о. 1, поз. 1051</t>
  </si>
  <si>
    <t>Солидол жировой</t>
  </si>
  <si>
    <t>1.1-1-1501</t>
  </si>
  <si>
    <t>ТСН-2001.1 Доп. 79, Р. 1, о. 1, поз. 1501</t>
  </si>
  <si>
    <t>Шурупы с потайной головкой, черные, диаметр 5 мм, длина 70 мм</t>
  </si>
  <si>
    <t>1.1-1-963</t>
  </si>
  <si>
    <t>ТСН-2001.1 Доп. 79, Р. 1, о. 1, поз. 963</t>
  </si>
  <si>
    <t>Проволока стальная низкоуглеродистая общего назначения, диаметр от 1,6 до 3,0 мм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</si>
  <si>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</si>
  <si>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</si>
  <si>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</si>
  <si>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</si>
  <si>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</si>
  <si>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1.1-1-1079</t>
  </si>
  <si>
    <t>ТСН-2001.1 Доп. 79, Р. 1, о. 1, поз. 1079</t>
  </si>
  <si>
    <t>Лист стальной, оцинкованный, толщина 0,5 мм</t>
  </si>
  <si>
    <t>1.1-1-1600</t>
  </si>
  <si>
    <t>ТСН-2001.1 Доп. 73, Р. 1, о. 1, поз. 1600</t>
  </si>
  <si>
    <t>Лента полиэтиленовая с липким слоем, ширина 30 мм</t>
  </si>
  <si>
    <t>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</si>
  <si>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</si>
  <si>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</si>
  <si>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</si>
  <si>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м3</t>
  </si>
  <si>
    <t>1.1-1-2911</t>
  </si>
  <si>
    <t>ТСН-2001.1 Доп. 67, Р. 1, о. 1, поз. 2911</t>
  </si>
  <si>
    <t>Лак электроизоляционный меламиноалкидный, типа МЛ-92</t>
  </si>
  <si>
    <t>кг</t>
  </si>
  <si>
    <t>1.1-1-330</t>
  </si>
  <si>
    <t>ТСН-2001.1 Доп. 79, Р. 1, о. 1, поз. 330</t>
  </si>
  <si>
    <t>Канифоль</t>
  </si>
  <si>
    <t>1.1-1-3607</t>
  </si>
  <si>
    <t>ТСН-2001.1 Доп. 79, Р. 1, о. 1, поз. 3607</t>
  </si>
  <si>
    <t>Шурупы с полукруглой головкой, диаметр 4 мм, длина 40 мм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</si>
  <si>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</si>
  <si>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</si>
  <si>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</si>
  <si>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</si>
  <si>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</si>
  <si>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</si>
  <si>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</si>
  <si>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</si>
  <si>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</si>
  <si>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</si>
  <si>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</si>
  <si>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</si>
  <si>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</si>
  <si>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</si>
  <si>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</si>
  <si>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1000 шт.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</si>
  <si>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</si>
  <si>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</si>
  <si>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</si>
  <si>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9999990002</t>
  </si>
  <si>
    <t>Масса оборудования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</si>
  <si>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</si>
  <si>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</si>
  <si>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</si>
  <si>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1.12-5-50</t>
  </si>
  <si>
    <t>ТСН-2001.1 Доп. 73, Р. 12, о. 5, поз. 50</t>
  </si>
  <si>
    <t>Трубка из поливинилхлоридного пластиката, типа ТВ-40, внутренний диаметр 10 мм, толщина стенки 0,7 мм, для защиты проводов и кабелей</t>
  </si>
  <si>
    <t>1.1-2-63</t>
  </si>
  <si>
    <t>ТСН-2001.1. Доп. 1-42. Р. 1, о. 2, поз. 63</t>
  </si>
  <si>
    <t>Нитки суровые</t>
  </si>
  <si>
    <t>г</t>
  </si>
  <si>
    <t>4200000000</t>
  </si>
  <si>
    <t>Съемные и выдвижные блоки, ячейки, модули, типовые элементы замены (4300000000)</t>
  </si>
  <si>
    <t>1297020000</t>
  </si>
  <si>
    <t>Болты строительные с гайками и шайбами (1297030000, 1610000000, 1620000000, 1680000000)</t>
  </si>
  <si>
    <t>6677000000</t>
  </si>
  <si>
    <t>Комплекты грозозащиты для воздушных абонентских линий</t>
  </si>
  <si>
    <t>КОМПЛЕКТ</t>
  </si>
  <si>
    <t>3594000000</t>
  </si>
  <si>
    <t>Перемычки кабельные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</si>
  <si>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</si>
  <si>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</si>
  <si>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</si>
  <si>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</si>
  <si>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</si>
  <si>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</si>
  <si>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</si>
  <si>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</si>
  <si>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</si>
  <si>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</si>
  <si>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</si>
  <si>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</si>
  <si>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</si>
  <si>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</si>
  <si>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</si>
  <si>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</si>
  <si>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</si>
  <si>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</si>
  <si>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</si>
  <si>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</si>
  <si>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</si>
  <si>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</si>
  <si>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</si>
  <si>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</si>
  <si>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</si>
  <si>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</si>
  <si>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</si>
  <si>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</si>
  <si>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</si>
  <si>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</si>
  <si>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</si>
  <si>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</si>
  <si>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</si>
  <si>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</si>
  <si>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</si>
  <si>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</si>
  <si>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02-01-16 Электрочасофикация 15.07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</si>
  <si>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</si>
  <si>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</si>
  <si>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</si>
  <si>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</si>
  <si>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</si>
  <si>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</si>
  <si>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</si>
  <si>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</si>
  <si>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</si>
  <si>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</si>
  <si>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</si>
  <si>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</si>
  <si>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</si>
  <si>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</si>
  <si>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</si>
  <si>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>МР</t>
  </si>
  <si>
    <r>
      <t>ОБОРУДОВАНИЕ:_x000D_
КОНТУР - часовая станция, сервер времени, стоечное исполнение, NTP (тип. SC KMWP-IP-A0124)</t>
    </r>
    <r>
      <rPr>
        <i/>
        <sz val="10"/>
        <color rgb="FF821E82"/>
        <rFont val="Arial"/>
        <family val="2"/>
        <charset val="204"/>
      </rPr>
      <t xml:space="preserve">
72 464,18 = [642 038,95 / 1,22 /  7,57] +  3% Трансп +  1,2% Заг.скл</t>
    </r>
  </si>
  <si>
    <t>ЭМ</t>
  </si>
  <si>
    <t>в т.ч. ЗПМ</t>
  </si>
  <si>
    <r>
      <t>ОБОРУДОВАНИЕ:_x000D_
Модуль часовой станции GPS / ГЛОНАСС Антенна (тип. SC GPS/GLO) 9тип SC GPS/GLO-A042 4)</t>
    </r>
    <r>
      <rPr>
        <i/>
        <sz val="10"/>
        <color rgb="FF821E82"/>
        <rFont val="Arial"/>
        <family val="2"/>
        <charset val="204"/>
      </rPr>
      <t xml:space="preserve">
12 282,39 = [108 823 / 1,22 /  7,57] +  3% Трансп +  1,2% Заг.скл</t>
    </r>
  </si>
  <si>
    <r>
      <t>ОБОРУДОВАНИЕ:_x000D_
Модуль грозозащиты для антенны (тип. SC PTR) SC PTR-A0424</t>
    </r>
    <r>
      <rPr>
        <i/>
        <sz val="10"/>
        <color rgb="FF821E82"/>
        <rFont val="Arial"/>
        <family val="2"/>
        <charset val="204"/>
      </rPr>
      <t xml:space="preserve">
12 258,35 = [108 610 / 1,22 /  7,57] +  3% Трансп +  1,2% Заг.скл</t>
    </r>
  </si>
  <si>
    <r>
      <t>ОБОРУДОВАНИЕ:_x000D_
КОНТУР D - часы повторители, цифровое LED табло, цифры высотой 10 мм, часы/минуты/секунды, цвет зеленый, односторонние (тип. SC KDG 10Gs) SC KDG 10Gs-IP-A0124</t>
    </r>
    <r>
      <rPr>
        <i/>
        <sz val="10"/>
        <color rgb="FF821E82"/>
        <rFont val="Arial"/>
        <family val="2"/>
        <charset val="204"/>
      </rPr>
      <t xml:space="preserve">
12 490,96 = [110 671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</si>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</sst>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4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4A38DFEF-D606-4D35-A8A6-F97A5F78A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010B-596B-4EF4-8360-3E46E21CB08F}">
  <sheetPr>
    <pageSetUpPr fitToPage="1"/>
  </sheetPr>
  <dimension ref="A1:AQ180"/>
  <sheetViews>
    <sheetView tabSelected="1" view="pageBreakPreview" topLeftCell="A138" zoomScaleNormal="100" zoomScaleSheetLayoutView="100" workbookViewId="0">
      <selection activeCell="A171" sqref="A171:XFD171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7.7265625" bestFit="1" customWidth="1"/>
    <col min="6" max="6" width="9.6328125" bestFit="1" customWidth="1"/>
    <col min="7" max="7" width="8.453125" bestFit="1" customWidth="1"/>
    <col min="9" max="9" width="9.90625" bestFit="1" customWidth="1"/>
    <col min="10" max="10" width="9.81640625" bestFit="1" customWidth="1"/>
    <col min="11" max="11" width="10.726562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288</v>
      </c>
      <c r="K2" s="24"/>
    </row>
    <row r="3" spans="1:42" ht="16.5" hidden="1" x14ac:dyDescent="0.35">
      <c r="A3" s="18"/>
      <c r="B3" s="19" t="s">
        <v>286</v>
      </c>
      <c r="C3" s="19"/>
      <c r="D3" s="19"/>
      <c r="E3" s="19"/>
      <c r="F3" s="17"/>
      <c r="G3" s="19" t="s">
        <v>287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289</v>
      </c>
      <c r="C7" s="23"/>
      <c r="D7" s="23"/>
      <c r="E7" s="23"/>
      <c r="F7" s="17"/>
      <c r="G7" s="23" t="s">
        <v>289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339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0" t="s">
        <v>312</v>
      </c>
    </row>
    <row r="11" spans="1:42" x14ac:dyDescent="0.25">
      <c r="A11" s="26" t="s">
        <v>290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02-01-16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Электрочасофикация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291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2024-00375-01-0-ИОС5.9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74" t="s">
        <v>292</v>
      </c>
      <c r="J20" s="74" t="s">
        <v>293</v>
      </c>
      <c r="K20" s="17"/>
    </row>
    <row r="21" spans="1:42" ht="14" x14ac:dyDescent="0.3">
      <c r="A21" s="17"/>
      <c r="B21" s="17"/>
      <c r="C21" s="17"/>
      <c r="D21" s="17"/>
      <c r="E21" s="33" t="s">
        <v>294</v>
      </c>
      <c r="F21" s="33"/>
      <c r="G21" s="33"/>
      <c r="H21" s="33"/>
      <c r="I21" s="34">
        <f>I22+I23+I24+I25</f>
        <v>135.22</v>
      </c>
      <c r="J21" s="34">
        <f>J22+J23+J24+J25</f>
        <v>1054.6500000000001</v>
      </c>
      <c r="K21" s="35" t="s">
        <v>335</v>
      </c>
    </row>
    <row r="22" spans="1:42" ht="14" x14ac:dyDescent="0.3">
      <c r="A22" s="17"/>
      <c r="B22" s="17"/>
      <c r="C22" s="17"/>
      <c r="D22" s="17"/>
      <c r="E22" s="20" t="s">
        <v>295</v>
      </c>
      <c r="F22" s="20"/>
      <c r="G22" s="20"/>
      <c r="H22" s="20"/>
      <c r="I22" s="36">
        <f>ROUND((Source!F247)/1000, 2)</f>
        <v>0</v>
      </c>
      <c r="J22" s="36">
        <f>ROUND((Source!P247)/1000, 2)</f>
        <v>0</v>
      </c>
      <c r="K22" s="17" t="s">
        <v>335</v>
      </c>
    </row>
    <row r="23" spans="1:42" ht="14" x14ac:dyDescent="0.3">
      <c r="A23" s="17"/>
      <c r="B23" s="17"/>
      <c r="C23" s="17"/>
      <c r="D23" s="17"/>
      <c r="E23" s="20" t="s">
        <v>296</v>
      </c>
      <c r="F23" s="20"/>
      <c r="G23" s="20"/>
      <c r="H23" s="20"/>
      <c r="I23" s="36">
        <f>ROUND((Source!F248)/1000, 2)</f>
        <v>0.74</v>
      </c>
      <c r="J23" s="36">
        <f>ROUND((Source!P248)/1000, 2)</f>
        <v>36.65</v>
      </c>
      <c r="K23" s="17" t="s">
        <v>335</v>
      </c>
    </row>
    <row r="24" spans="1:42" ht="14" x14ac:dyDescent="0.3">
      <c r="A24" s="17"/>
      <c r="B24" s="17"/>
      <c r="C24" s="17"/>
      <c r="D24" s="17"/>
      <c r="E24" s="20" t="s">
        <v>297</v>
      </c>
      <c r="F24" s="20"/>
      <c r="G24" s="20"/>
      <c r="H24" s="20"/>
      <c r="I24" s="36">
        <f>ROUND((Source!F239)/1000, 2)</f>
        <v>134.47999999999999</v>
      </c>
      <c r="J24" s="36">
        <f>ROUND((Source!P239)/1000, 2)</f>
        <v>1018</v>
      </c>
      <c r="K24" s="17" t="s">
        <v>335</v>
      </c>
    </row>
    <row r="25" spans="1:42" ht="14" x14ac:dyDescent="0.3">
      <c r="A25" s="17"/>
      <c r="B25" s="17"/>
      <c r="C25" s="17"/>
      <c r="D25" s="17"/>
      <c r="E25" s="20" t="s">
        <v>298</v>
      </c>
      <c r="F25" s="20"/>
      <c r="G25" s="20"/>
      <c r="H25" s="20"/>
      <c r="I25" s="36">
        <f>ROUND((Source!F249+Source!F250)/1000, 2)</f>
        <v>0</v>
      </c>
      <c r="J25" s="36">
        <f>ROUND((Source!P249+Source!P250)/1000, 2)</f>
        <v>0</v>
      </c>
      <c r="K25" s="17" t="s">
        <v>335</v>
      </c>
    </row>
    <row r="26" spans="1:42" ht="14" x14ac:dyDescent="0.3">
      <c r="A26" s="17"/>
      <c r="B26" s="17"/>
      <c r="C26" s="17"/>
      <c r="D26" s="17"/>
      <c r="E26" s="20" t="s">
        <v>299</v>
      </c>
      <c r="F26" s="20"/>
      <c r="G26" s="20"/>
      <c r="H26" s="20"/>
      <c r="I26" s="36">
        <f>(Source!F245+ Source!F244)/1000</f>
        <v>0.26827000000000006</v>
      </c>
      <c r="J26" s="36">
        <f>((Source!P245 + Source!P244)/1000)</f>
        <v>15.117029999999998</v>
      </c>
      <c r="K26" s="17" t="s">
        <v>335</v>
      </c>
    </row>
    <row r="27" spans="1:42" ht="14" x14ac:dyDescent="0.3">
      <c r="A27" s="17"/>
      <c r="B27" s="17"/>
      <c r="C27" s="17"/>
      <c r="D27" s="17"/>
      <c r="E27" s="20" t="s">
        <v>300</v>
      </c>
      <c r="F27" s="20"/>
      <c r="G27" s="20"/>
      <c r="H27" s="20"/>
      <c r="I27" s="36">
        <f>Source!F252</f>
        <v>21.315977999999998</v>
      </c>
      <c r="J27" s="36"/>
      <c r="K27" s="17" t="s">
        <v>192</v>
      </c>
    </row>
    <row r="28" spans="1:42" ht="14" hidden="1" x14ac:dyDescent="0.3">
      <c r="A28" s="17"/>
      <c r="B28" s="17"/>
      <c r="C28" s="17"/>
      <c r="D28" s="17"/>
      <c r="E28" s="20" t="s">
        <v>301</v>
      </c>
      <c r="F28" s="20"/>
      <c r="G28" s="20"/>
      <c r="H28" s="20"/>
      <c r="I28" s="36"/>
      <c r="J28" s="36"/>
      <c r="K28" s="17"/>
    </row>
    <row r="29" spans="1:42" ht="14" hidden="1" x14ac:dyDescent="0.3">
      <c r="A29" s="17"/>
      <c r="B29" s="17"/>
      <c r="C29" s="17"/>
      <c r="D29" s="17"/>
      <c r="E29" s="37" t="s">
        <v>90</v>
      </c>
      <c r="F29" s="37"/>
      <c r="G29" s="37"/>
      <c r="H29" s="37"/>
      <c r="I29" s="36">
        <f>SUM(Y1:Y173)/1000</f>
        <v>0</v>
      </c>
      <c r="J29" s="36">
        <f>SUM(Z1:Z173)/1000</f>
        <v>0</v>
      </c>
      <c r="K29" s="17" t="s">
        <v>335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6"/>
      <c r="J30" s="36"/>
      <c r="K30" s="17"/>
    </row>
    <row r="31" spans="1:42" ht="14" x14ac:dyDescent="0.3">
      <c r="A31" s="17" t="s">
        <v>313</v>
      </c>
      <c r="B31" s="17"/>
      <c r="C31" s="17"/>
      <c r="D31" s="17"/>
      <c r="E31" s="17"/>
      <c r="F31" s="21"/>
      <c r="G31" s="21"/>
      <c r="H31" s="21"/>
      <c r="I31" s="36"/>
      <c r="J31" s="36"/>
      <c r="K31" s="17"/>
    </row>
    <row r="32" spans="1:42" ht="28" x14ac:dyDescent="0.3">
      <c r="A32" s="31" t="s">
        <v>314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1" t="s">
        <v>314</v>
      </c>
    </row>
    <row r="33" spans="1:42" ht="98" x14ac:dyDescent="0.25">
      <c r="A33" s="38" t="s">
        <v>302</v>
      </c>
      <c r="B33" s="38" t="s">
        <v>303</v>
      </c>
      <c r="C33" s="38" t="s">
        <v>304</v>
      </c>
      <c r="D33" s="38" t="s">
        <v>305</v>
      </c>
      <c r="E33" s="38" t="s">
        <v>306</v>
      </c>
      <c r="F33" s="38" t="s">
        <v>307</v>
      </c>
      <c r="G33" s="39" t="s">
        <v>308</v>
      </c>
      <c r="H33" s="39" t="s">
        <v>309</v>
      </c>
      <c r="I33" s="38" t="s">
        <v>315</v>
      </c>
      <c r="J33" s="75" t="s">
        <v>310</v>
      </c>
      <c r="K33" s="38" t="s">
        <v>311</v>
      </c>
    </row>
    <row r="34" spans="1:42" ht="14" x14ac:dyDescent="0.25">
      <c r="A34" s="38">
        <v>1</v>
      </c>
      <c r="B34" s="38">
        <v>2</v>
      </c>
      <c r="C34" s="38">
        <v>3</v>
      </c>
      <c r="D34" s="38">
        <v>4</v>
      </c>
      <c r="E34" s="38">
        <v>5</v>
      </c>
      <c r="F34" s="38">
        <v>6</v>
      </c>
      <c r="G34" s="38">
        <v>7</v>
      </c>
      <c r="H34" s="38">
        <v>8</v>
      </c>
      <c r="I34" s="38">
        <v>9</v>
      </c>
      <c r="J34" s="38">
        <v>10</v>
      </c>
      <c r="K34" s="38">
        <v>11</v>
      </c>
    </row>
    <row r="36" spans="1:42" ht="16.5" x14ac:dyDescent="0.25">
      <c r="A36" s="42" t="str">
        <f>CONCATENATE("Локальная смета: ",IF(Source!G20&lt;&gt;"Новая локальная смета", Source!G20, ""))</f>
        <v>Локальная смета: Электрочасофикация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8" spans="1:42" ht="16.5" x14ac:dyDescent="0.25">
      <c r="A38" s="42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AP38" s="43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9" spans="1:42" ht="56" x14ac:dyDescent="0.25">
      <c r="A39" s="44">
        <v>1</v>
      </c>
      <c r="B39" s="44" t="str">
        <f>Source!F28</f>
        <v>4.10-85-1</v>
      </c>
      <c r="C39" s="44" t="s">
        <v>27</v>
      </c>
      <c r="D39" s="46" t="str">
        <f>Source!H28</f>
        <v>1  ШТ.</v>
      </c>
      <c r="E39" s="45">
        <f>Source!I28</f>
        <v>1</v>
      </c>
      <c r="F39" s="48"/>
      <c r="G39" s="47"/>
      <c r="H39" s="45"/>
      <c r="I39" s="48"/>
      <c r="J39" s="45"/>
      <c r="K39" s="48"/>
      <c r="Q39">
        <f>Source!X28</f>
        <v>14.01</v>
      </c>
      <c r="R39">
        <f>Source!X29</f>
        <v>789.63</v>
      </c>
      <c r="S39">
        <f>Source!Y28</f>
        <v>7.16</v>
      </c>
      <c r="T39">
        <f>Source!Y29</f>
        <v>403.59</v>
      </c>
      <c r="U39">
        <f>ROUND((175/100)*ROUND(Source!R28, 2), 2)</f>
        <v>0</v>
      </c>
      <c r="V39">
        <f>ROUND((0/100)*ROUND(Source!R29, 2), 2)</f>
        <v>0</v>
      </c>
      <c r="AC39">
        <v>0</v>
      </c>
    </row>
    <row r="40" spans="1:42" ht="14.5" x14ac:dyDescent="0.25">
      <c r="A40" s="44"/>
      <c r="B40" s="44"/>
      <c r="C40" s="44" t="s">
        <v>316</v>
      </c>
      <c r="D40" s="46"/>
      <c r="E40" s="45"/>
      <c r="F40" s="48">
        <f>Source!AO28</f>
        <v>41.31</v>
      </c>
      <c r="G40" s="49" t="s">
        <v>317</v>
      </c>
      <c r="H40" s="45">
        <f>Source!AV29</f>
        <v>1.0469999999999999</v>
      </c>
      <c r="I40" s="48">
        <f>Source!S28</f>
        <v>15.57</v>
      </c>
      <c r="J40" s="45">
        <f>IF(Source!BA29&lt;&gt; 0, Source!BA29, 1)</f>
        <v>56.35</v>
      </c>
      <c r="K40" s="48">
        <f>Source!S29</f>
        <v>877.37</v>
      </c>
    </row>
    <row r="41" spans="1:42" ht="14.5" x14ac:dyDescent="0.25">
      <c r="A41" s="44"/>
      <c r="B41" s="44"/>
      <c r="C41" s="44" t="s">
        <v>318</v>
      </c>
      <c r="D41" s="46" t="s">
        <v>319</v>
      </c>
      <c r="E41" s="45">
        <f>Source!BZ29</f>
        <v>90</v>
      </c>
      <c r="F41" s="48"/>
      <c r="G41" s="47"/>
      <c r="H41" s="45"/>
      <c r="I41" s="48">
        <f>SUM(Q39:Q40)</f>
        <v>14.01</v>
      </c>
      <c r="J41" s="45">
        <f>Source!AT29</f>
        <v>90</v>
      </c>
      <c r="K41" s="48">
        <f>SUM(R39:R40)</f>
        <v>789.63</v>
      </c>
    </row>
    <row r="42" spans="1:42" ht="14.5" x14ac:dyDescent="0.25">
      <c r="A42" s="44"/>
      <c r="B42" s="44"/>
      <c r="C42" s="44" t="s">
        <v>320</v>
      </c>
      <c r="D42" s="46" t="s">
        <v>319</v>
      </c>
      <c r="E42" s="45">
        <f>Source!CA29</f>
        <v>46</v>
      </c>
      <c r="F42" s="48"/>
      <c r="G42" s="47"/>
      <c r="H42" s="45"/>
      <c r="I42" s="48">
        <f>SUM(S39:S41)</f>
        <v>7.16</v>
      </c>
      <c r="J42" s="45">
        <f>Source!AU29</f>
        <v>46</v>
      </c>
      <c r="K42" s="48">
        <f>SUM(T39:T41)</f>
        <v>403.59</v>
      </c>
    </row>
    <row r="43" spans="1:42" ht="14.5" x14ac:dyDescent="0.25">
      <c r="A43" s="50"/>
      <c r="B43" s="50"/>
      <c r="C43" s="50" t="s">
        <v>321</v>
      </c>
      <c r="D43" s="51" t="s">
        <v>322</v>
      </c>
      <c r="E43" s="52">
        <f>Source!AQ28</f>
        <v>3</v>
      </c>
      <c r="F43" s="53"/>
      <c r="G43" s="54" t="s">
        <v>317</v>
      </c>
      <c r="H43" s="52">
        <f>Source!AV29</f>
        <v>1.0469999999999999</v>
      </c>
      <c r="I43" s="53">
        <f>Source!U28</f>
        <v>1.1307599999999998</v>
      </c>
      <c r="J43" s="52"/>
      <c r="K43" s="53"/>
    </row>
    <row r="44" spans="1:42" ht="14" x14ac:dyDescent="0.25">
      <c r="C44" s="55" t="s">
        <v>323</v>
      </c>
      <c r="H44" s="56">
        <f>I40+I41+I42+0-0-0</f>
        <v>36.739999999999995</v>
      </c>
      <c r="I44" s="56"/>
      <c r="J44" s="56">
        <f>K40+K41+K42+0-0-0</f>
        <v>2070.59</v>
      </c>
      <c r="K44" s="56"/>
    </row>
    <row r="45" spans="1:42" ht="14" hidden="1" x14ac:dyDescent="0.25">
      <c r="C45" s="55" t="s">
        <v>324</v>
      </c>
      <c r="H45" s="58">
        <f>0+0</f>
        <v>0</v>
      </c>
      <c r="I45" s="58"/>
      <c r="J45" s="58">
        <f>0+0</f>
        <v>0</v>
      </c>
      <c r="K45" s="58"/>
    </row>
    <row r="46" spans="1:42" ht="14" x14ac:dyDescent="0.25">
      <c r="C46" s="55" t="s">
        <v>325</v>
      </c>
      <c r="H46" s="58">
        <f>I40+I41+I42+0</f>
        <v>36.739999999999995</v>
      </c>
      <c r="I46" s="58"/>
      <c r="J46" s="58">
        <f>K40+K41+K42+0</f>
        <v>2070.59</v>
      </c>
      <c r="K46" s="58"/>
      <c r="O46" s="59">
        <f>I40+I41+I42+0</f>
        <v>36.739999999999995</v>
      </c>
      <c r="P46" s="59">
        <f>K40+K41+K42+0</f>
        <v>2070.59</v>
      </c>
    </row>
    <row r="48" spans="1:42" ht="56" x14ac:dyDescent="0.25">
      <c r="A48" s="44">
        <v>2</v>
      </c>
      <c r="B48" s="44" t="str">
        <f>Source!F30</f>
        <v>4.10-134-7</v>
      </c>
      <c r="C48" s="44" t="s">
        <v>38</v>
      </c>
      <c r="D48" s="46" t="str">
        <f>Source!H30</f>
        <v>1 антенна</v>
      </c>
      <c r="E48" s="45">
        <f>Source!I30</f>
        <v>1</v>
      </c>
      <c r="F48" s="48"/>
      <c r="G48" s="47"/>
      <c r="H48" s="45"/>
      <c r="I48" s="48"/>
      <c r="J48" s="45"/>
      <c r="K48" s="48"/>
      <c r="Q48">
        <f>Source!X30</f>
        <v>14.81</v>
      </c>
      <c r="R48">
        <f>Source!X31</f>
        <v>834.58</v>
      </c>
      <c r="S48">
        <f>Source!Y30</f>
        <v>8.26</v>
      </c>
      <c r="T48">
        <f>Source!Y31</f>
        <v>465.61</v>
      </c>
      <c r="U48">
        <f>ROUND((175/100)*ROUND(Source!R30, 2), 2)</f>
        <v>0</v>
      </c>
      <c r="V48">
        <f>ROUND((0/100)*ROUND(Source!R31, 2), 2)</f>
        <v>0</v>
      </c>
      <c r="AC48">
        <v>0</v>
      </c>
    </row>
    <row r="49" spans="1:29" ht="14.5" x14ac:dyDescent="0.25">
      <c r="A49" s="44"/>
      <c r="B49" s="44"/>
      <c r="C49" s="44" t="s">
        <v>316</v>
      </c>
      <c r="D49" s="46"/>
      <c r="E49" s="45"/>
      <c r="F49" s="48">
        <f>Source!AO30</f>
        <v>39.85</v>
      </c>
      <c r="G49" s="49" t="s">
        <v>317</v>
      </c>
      <c r="H49" s="45">
        <f>Source!AV31</f>
        <v>1.087</v>
      </c>
      <c r="I49" s="48">
        <f>Source!S30</f>
        <v>15.59</v>
      </c>
      <c r="J49" s="45">
        <f>IF(Source!BA31&lt;&gt; 0, Source!BA31, 1)</f>
        <v>56.35</v>
      </c>
      <c r="K49" s="48">
        <f>Source!S31</f>
        <v>878.5</v>
      </c>
    </row>
    <row r="50" spans="1:29" ht="14.5" x14ac:dyDescent="0.25">
      <c r="A50" s="44"/>
      <c r="B50" s="44"/>
      <c r="C50" s="44" t="s">
        <v>318</v>
      </c>
      <c r="D50" s="46" t="s">
        <v>319</v>
      </c>
      <c r="E50" s="45">
        <f>Source!BZ31</f>
        <v>95</v>
      </c>
      <c r="F50" s="48"/>
      <c r="G50" s="47"/>
      <c r="H50" s="45"/>
      <c r="I50" s="48">
        <f>SUM(Q48:Q49)</f>
        <v>14.81</v>
      </c>
      <c r="J50" s="45">
        <f>Source!AT31</f>
        <v>95</v>
      </c>
      <c r="K50" s="48">
        <f>SUM(R48:R49)</f>
        <v>834.58</v>
      </c>
    </row>
    <row r="51" spans="1:29" ht="14.5" x14ac:dyDescent="0.25">
      <c r="A51" s="44"/>
      <c r="B51" s="44"/>
      <c r="C51" s="44" t="s">
        <v>320</v>
      </c>
      <c r="D51" s="46" t="s">
        <v>319</v>
      </c>
      <c r="E51" s="45">
        <f>Source!CA31</f>
        <v>53</v>
      </c>
      <c r="F51" s="48"/>
      <c r="G51" s="47"/>
      <c r="H51" s="45"/>
      <c r="I51" s="48">
        <f>SUM(S48:S50)</f>
        <v>8.26</v>
      </c>
      <c r="J51" s="45">
        <f>Source!AU31</f>
        <v>53</v>
      </c>
      <c r="K51" s="48">
        <f>SUM(T48:T50)</f>
        <v>465.61</v>
      </c>
    </row>
    <row r="52" spans="1:29" ht="14.5" x14ac:dyDescent="0.25">
      <c r="A52" s="50"/>
      <c r="B52" s="50"/>
      <c r="C52" s="50" t="s">
        <v>321</v>
      </c>
      <c r="D52" s="51" t="s">
        <v>322</v>
      </c>
      <c r="E52" s="52">
        <f>Source!AQ30</f>
        <v>2.77</v>
      </c>
      <c r="F52" s="53"/>
      <c r="G52" s="54" t="s">
        <v>317</v>
      </c>
      <c r="H52" s="52">
        <f>Source!AV31</f>
        <v>1.087</v>
      </c>
      <c r="I52" s="53">
        <f>Source!U30</f>
        <v>1.0839563999999997</v>
      </c>
      <c r="J52" s="52"/>
      <c r="K52" s="53"/>
    </row>
    <row r="53" spans="1:29" ht="14" x14ac:dyDescent="0.25">
      <c r="C53" s="55" t="s">
        <v>323</v>
      </c>
      <c r="H53" s="56">
        <f>I49+I50+I51+0-0-0</f>
        <v>38.659999999999997</v>
      </c>
      <c r="I53" s="56"/>
      <c r="J53" s="56">
        <f>K49+K50+K51+0-0-0</f>
        <v>2178.69</v>
      </c>
      <c r="K53" s="56"/>
    </row>
    <row r="54" spans="1:29" ht="14" hidden="1" x14ac:dyDescent="0.25">
      <c r="C54" s="55" t="s">
        <v>324</v>
      </c>
      <c r="H54" s="58">
        <f>0+0</f>
        <v>0</v>
      </c>
      <c r="I54" s="58"/>
      <c r="J54" s="58">
        <f>0+0</f>
        <v>0</v>
      </c>
      <c r="K54" s="58"/>
    </row>
    <row r="55" spans="1:29" ht="14" x14ac:dyDescent="0.25">
      <c r="C55" s="55" t="s">
        <v>325</v>
      </c>
      <c r="H55" s="58">
        <f>I49+I50+I51+0</f>
        <v>38.659999999999997</v>
      </c>
      <c r="I55" s="58"/>
      <c r="J55" s="58">
        <f>K49+K50+K51+0</f>
        <v>2178.69</v>
      </c>
      <c r="K55" s="58"/>
      <c r="O55" s="59">
        <f>I49+I50+I51+0</f>
        <v>38.659999999999997</v>
      </c>
      <c r="P55" s="59">
        <f>K49+K50+K51+0</f>
        <v>2178.69</v>
      </c>
    </row>
    <row r="57" spans="1:29" ht="70" x14ac:dyDescent="0.25">
      <c r="A57" s="44">
        <v>3</v>
      </c>
      <c r="B57" s="44" t="str">
        <f>Source!F32</f>
        <v>4.10-136-1</v>
      </c>
      <c r="C57" s="44" t="s">
        <v>45</v>
      </c>
      <c r="D57" s="46" t="str">
        <f>Source!H32</f>
        <v>1  ШТ.</v>
      </c>
      <c r="E57" s="45">
        <f>Source!I32</f>
        <v>1</v>
      </c>
      <c r="F57" s="48"/>
      <c r="G57" s="47"/>
      <c r="H57" s="45"/>
      <c r="I57" s="48"/>
      <c r="J57" s="45"/>
      <c r="K57" s="48"/>
      <c r="Q57">
        <f>Source!X32</f>
        <v>4.09</v>
      </c>
      <c r="R57">
        <f>Source!X33</f>
        <v>230.73</v>
      </c>
      <c r="S57">
        <f>Source!Y32</f>
        <v>2.2799999999999998</v>
      </c>
      <c r="T57">
        <f>Source!Y33</f>
        <v>128.72</v>
      </c>
      <c r="U57">
        <f>ROUND((175/100)*ROUND(Source!R32, 2), 2)</f>
        <v>0</v>
      </c>
      <c r="V57">
        <f>ROUND((0/100)*ROUND(Source!R33, 2), 2)</f>
        <v>0</v>
      </c>
      <c r="AC57">
        <v>0</v>
      </c>
    </row>
    <row r="58" spans="1:29" ht="14.5" x14ac:dyDescent="0.25">
      <c r="A58" s="44"/>
      <c r="B58" s="44"/>
      <c r="C58" s="44" t="s">
        <v>316</v>
      </c>
      <c r="D58" s="46"/>
      <c r="E58" s="45"/>
      <c r="F58" s="48">
        <f>Source!AO32</f>
        <v>11.02</v>
      </c>
      <c r="G58" s="49" t="s">
        <v>317</v>
      </c>
      <c r="H58" s="45">
        <f>Source!AV33</f>
        <v>1.087</v>
      </c>
      <c r="I58" s="48">
        <f>Source!S32</f>
        <v>4.3099999999999996</v>
      </c>
      <c r="J58" s="45">
        <f>IF(Source!BA33&lt;&gt; 0, Source!BA33, 1)</f>
        <v>56.35</v>
      </c>
      <c r="K58" s="48">
        <f>Source!S33</f>
        <v>242.87</v>
      </c>
    </row>
    <row r="59" spans="1:29" ht="14.5" x14ac:dyDescent="0.25">
      <c r="A59" s="44"/>
      <c r="B59" s="44"/>
      <c r="C59" s="44" t="s">
        <v>318</v>
      </c>
      <c r="D59" s="46" t="s">
        <v>319</v>
      </c>
      <c r="E59" s="45">
        <f>Source!BZ33</f>
        <v>95</v>
      </c>
      <c r="F59" s="48"/>
      <c r="G59" s="47"/>
      <c r="H59" s="45"/>
      <c r="I59" s="48">
        <f>SUM(Q57:Q58)</f>
        <v>4.09</v>
      </c>
      <c r="J59" s="45">
        <f>Source!AT33</f>
        <v>95</v>
      </c>
      <c r="K59" s="48">
        <f>SUM(R57:R58)</f>
        <v>230.73</v>
      </c>
    </row>
    <row r="60" spans="1:29" ht="14.5" x14ac:dyDescent="0.25">
      <c r="A60" s="44"/>
      <c r="B60" s="44"/>
      <c r="C60" s="44" t="s">
        <v>320</v>
      </c>
      <c r="D60" s="46" t="s">
        <v>319</v>
      </c>
      <c r="E60" s="45">
        <f>Source!CA33</f>
        <v>53</v>
      </c>
      <c r="F60" s="48"/>
      <c r="G60" s="47"/>
      <c r="H60" s="45"/>
      <c r="I60" s="48">
        <f>SUM(S57:S59)</f>
        <v>2.2799999999999998</v>
      </c>
      <c r="J60" s="45">
        <f>Source!AU33</f>
        <v>53</v>
      </c>
      <c r="K60" s="48">
        <f>SUM(T57:T59)</f>
        <v>128.72</v>
      </c>
    </row>
    <row r="61" spans="1:29" ht="14.5" x14ac:dyDescent="0.25">
      <c r="A61" s="50"/>
      <c r="B61" s="50"/>
      <c r="C61" s="50" t="s">
        <v>321</v>
      </c>
      <c r="D61" s="51" t="s">
        <v>322</v>
      </c>
      <c r="E61" s="52">
        <f>Source!AQ32</f>
        <v>0.8</v>
      </c>
      <c r="F61" s="53"/>
      <c r="G61" s="54" t="s">
        <v>317</v>
      </c>
      <c r="H61" s="52">
        <f>Source!AV33</f>
        <v>1.087</v>
      </c>
      <c r="I61" s="53">
        <f>Source!U32</f>
        <v>0.31305599999999995</v>
      </c>
      <c r="J61" s="52"/>
      <c r="K61" s="53"/>
    </row>
    <row r="62" spans="1:29" ht="14" x14ac:dyDescent="0.25">
      <c r="C62" s="55" t="s">
        <v>323</v>
      </c>
      <c r="H62" s="56">
        <f>I58+I59+I60+0-0-0</f>
        <v>10.679999999999998</v>
      </c>
      <c r="I62" s="56"/>
      <c r="J62" s="56">
        <f>K58+K59+K60+0-0-0</f>
        <v>602.32000000000005</v>
      </c>
      <c r="K62" s="56"/>
    </row>
    <row r="63" spans="1:29" ht="14" hidden="1" x14ac:dyDescent="0.25">
      <c r="C63" s="55" t="s">
        <v>324</v>
      </c>
      <c r="H63" s="58">
        <f>0+0</f>
        <v>0</v>
      </c>
      <c r="I63" s="58"/>
      <c r="J63" s="58">
        <f>0+0</f>
        <v>0</v>
      </c>
      <c r="K63" s="58"/>
    </row>
    <row r="64" spans="1:29" ht="14" x14ac:dyDescent="0.25">
      <c r="C64" s="55" t="s">
        <v>325</v>
      </c>
      <c r="H64" s="58">
        <f>I58+I59+I60+0</f>
        <v>10.679999999999998</v>
      </c>
      <c r="I64" s="58"/>
      <c r="J64" s="58">
        <f>K58+K59+K60+0</f>
        <v>602.32000000000005</v>
      </c>
      <c r="K64" s="58"/>
      <c r="O64" s="59">
        <f>I58+I59+I60+0</f>
        <v>10.679999999999998</v>
      </c>
      <c r="P64" s="59">
        <f>K58+K59+K60+0</f>
        <v>602.32000000000005</v>
      </c>
    </row>
    <row r="66" spans="1:43" ht="42" x14ac:dyDescent="0.25">
      <c r="A66" s="44">
        <v>4</v>
      </c>
      <c r="B66" s="44" t="str">
        <f>Source!F34</f>
        <v>4.10-86-1</v>
      </c>
      <c r="C66" s="44" t="s">
        <v>49</v>
      </c>
      <c r="D66" s="46" t="str">
        <f>Source!H34</f>
        <v>1  ШТ.</v>
      </c>
      <c r="E66" s="45">
        <f>Source!I34</f>
        <v>3</v>
      </c>
      <c r="F66" s="48"/>
      <c r="G66" s="47"/>
      <c r="H66" s="45"/>
      <c r="I66" s="48"/>
      <c r="J66" s="45"/>
      <c r="K66" s="48"/>
      <c r="Q66">
        <f>Source!X34</f>
        <v>24.22</v>
      </c>
      <c r="R66">
        <f>Source!X35</f>
        <v>1364.74</v>
      </c>
      <c r="S66">
        <f>Source!Y34</f>
        <v>12.38</v>
      </c>
      <c r="T66">
        <f>Source!Y35</f>
        <v>697.53</v>
      </c>
      <c r="U66">
        <f>ROUND((175/100)*ROUND(Source!R34, 2), 2)</f>
        <v>0</v>
      </c>
      <c r="V66">
        <f>ROUND((0/100)*ROUND(Source!R35, 2), 2)</f>
        <v>0</v>
      </c>
      <c r="AC66">
        <v>0</v>
      </c>
    </row>
    <row r="67" spans="1:43" ht="14.5" x14ac:dyDescent="0.25">
      <c r="A67" s="44"/>
      <c r="B67" s="44"/>
      <c r="C67" s="44" t="s">
        <v>316</v>
      </c>
      <c r="D67" s="46"/>
      <c r="E67" s="45"/>
      <c r="F67" s="48">
        <f>Source!AO34</f>
        <v>23.8</v>
      </c>
      <c r="G67" s="49" t="s">
        <v>317</v>
      </c>
      <c r="H67" s="45">
        <f>Source!AV35</f>
        <v>1.0469999999999999</v>
      </c>
      <c r="I67" s="48">
        <f>Source!S34</f>
        <v>26.91</v>
      </c>
      <c r="J67" s="45">
        <f>IF(Source!BA35&lt;&gt; 0, Source!BA35, 1)</f>
        <v>56.35</v>
      </c>
      <c r="K67" s="48">
        <f>Source!S35</f>
        <v>1516.38</v>
      </c>
    </row>
    <row r="68" spans="1:43" ht="14.5" x14ac:dyDescent="0.25">
      <c r="A68" s="44"/>
      <c r="B68" s="44"/>
      <c r="C68" s="44" t="s">
        <v>318</v>
      </c>
      <c r="D68" s="46" t="s">
        <v>319</v>
      </c>
      <c r="E68" s="45">
        <f>Source!BZ35</f>
        <v>90</v>
      </c>
      <c r="F68" s="48"/>
      <c r="G68" s="47"/>
      <c r="H68" s="45"/>
      <c r="I68" s="48">
        <f>SUM(Q66:Q67)</f>
        <v>24.22</v>
      </c>
      <c r="J68" s="45">
        <f>Source!AT35</f>
        <v>90</v>
      </c>
      <c r="K68" s="48">
        <f>SUM(R66:R67)</f>
        <v>1364.74</v>
      </c>
    </row>
    <row r="69" spans="1:43" ht="14.5" x14ac:dyDescent="0.25">
      <c r="A69" s="44"/>
      <c r="B69" s="44"/>
      <c r="C69" s="44" t="s">
        <v>320</v>
      </c>
      <c r="D69" s="46" t="s">
        <v>319</v>
      </c>
      <c r="E69" s="45">
        <f>Source!CA35</f>
        <v>46</v>
      </c>
      <c r="F69" s="48"/>
      <c r="G69" s="47"/>
      <c r="H69" s="45"/>
      <c r="I69" s="48">
        <f>SUM(S66:S68)</f>
        <v>12.38</v>
      </c>
      <c r="J69" s="45">
        <f>Source!AU35</f>
        <v>46</v>
      </c>
      <c r="K69" s="48">
        <f>SUM(T66:T68)</f>
        <v>697.53</v>
      </c>
    </row>
    <row r="70" spans="1:43" ht="14.5" x14ac:dyDescent="0.25">
      <c r="A70" s="50"/>
      <c r="B70" s="50"/>
      <c r="C70" s="50" t="s">
        <v>321</v>
      </c>
      <c r="D70" s="51" t="s">
        <v>322</v>
      </c>
      <c r="E70" s="52">
        <f>Source!AQ34</f>
        <v>2</v>
      </c>
      <c r="F70" s="53"/>
      <c r="G70" s="54" t="s">
        <v>317</v>
      </c>
      <c r="H70" s="52">
        <f>Source!AV35</f>
        <v>1.0469999999999999</v>
      </c>
      <c r="I70" s="53">
        <f>Source!U34</f>
        <v>2.26152</v>
      </c>
      <c r="J70" s="52"/>
      <c r="K70" s="53"/>
    </row>
    <row r="71" spans="1:43" ht="14" x14ac:dyDescent="0.25">
      <c r="C71" s="55" t="s">
        <v>323</v>
      </c>
      <c r="H71" s="56">
        <f>I67+I68+I69+0-0-0</f>
        <v>63.51</v>
      </c>
      <c r="I71" s="56"/>
      <c r="J71" s="56">
        <f>K67+K68+K69+0-0-0</f>
        <v>3578.6499999999996</v>
      </c>
      <c r="K71" s="56"/>
    </row>
    <row r="72" spans="1:43" ht="14" hidden="1" x14ac:dyDescent="0.25">
      <c r="C72" s="55" t="s">
        <v>324</v>
      </c>
      <c r="H72" s="58">
        <f>0+0</f>
        <v>0</v>
      </c>
      <c r="I72" s="58"/>
      <c r="J72" s="58">
        <f>0+0</f>
        <v>0</v>
      </c>
      <c r="K72" s="58"/>
    </row>
    <row r="73" spans="1:43" ht="14" x14ac:dyDescent="0.25">
      <c r="C73" s="55" t="s">
        <v>325</v>
      </c>
      <c r="H73" s="58">
        <f>I67+I68+I69+0</f>
        <v>63.51</v>
      </c>
      <c r="I73" s="58"/>
      <c r="J73" s="58">
        <f>K67+K68+K69+0</f>
        <v>3578.6499999999996</v>
      </c>
      <c r="K73" s="58"/>
      <c r="O73" s="59">
        <f>I67+I68+I69+0</f>
        <v>63.51</v>
      </c>
      <c r="P73" s="59">
        <f>K67+K68+K69+0</f>
        <v>3578.6499999999996</v>
      </c>
    </row>
    <row r="76" spans="1:43" ht="28" x14ac:dyDescent="0.3">
      <c r="A76" s="60" t="str">
        <f>CONCATENATE("Итого по разделу: ",IF(Source!G37&lt;&gt;"Новый раздел", Source!G37, ""))</f>
        <v>Итого по разделу: Демонтажные работы (Письмо от АНО «РГТ» об утверждении объёмов демонтажных работ)</v>
      </c>
      <c r="B76" s="60"/>
      <c r="C76" s="60"/>
      <c r="D76" s="60"/>
      <c r="E76" s="60"/>
      <c r="F76" s="60"/>
      <c r="G76" s="60"/>
      <c r="H76" s="58">
        <f>SUM(O38:O75)</f>
        <v>149.58999999999997</v>
      </c>
      <c r="I76" s="57"/>
      <c r="J76" s="58">
        <f>SUM(P38:P75)</f>
        <v>8430.25</v>
      </c>
      <c r="K76" s="57"/>
      <c r="AQ76" s="61" t="str">
        <f>CONCATENATE("Итого по разделу: ",IF(Source!G37&lt;&gt;"Новый раздел", Source!G37, ""))</f>
        <v>Итого по разделу: Демонтажные работы (Письмо от АНО «РГТ» об утверждении объёмов демонтажных работ)</v>
      </c>
    </row>
    <row r="77" spans="1:43" hidden="1" x14ac:dyDescent="0.25">
      <c r="A77" t="s">
        <v>326</v>
      </c>
      <c r="I77">
        <f>SUM(W38:W76)</f>
        <v>0</v>
      </c>
      <c r="J77">
        <f>SUM(X38:X76)</f>
        <v>0</v>
      </c>
    </row>
    <row r="78" spans="1:43" hidden="1" x14ac:dyDescent="0.25">
      <c r="A78" t="s">
        <v>327</v>
      </c>
      <c r="I78">
        <f>SUM(Y38:Y77)</f>
        <v>0</v>
      </c>
      <c r="J78">
        <f>SUM(Z38:Z77)</f>
        <v>0</v>
      </c>
    </row>
    <row r="80" spans="1:43" ht="16.5" x14ac:dyDescent="0.25">
      <c r="A80" s="42" t="str">
        <f>CONCATENATE("Раздел: ",IF(Source!G67&lt;&gt;"Новый раздел", Source!G67, ""))</f>
        <v>Раздел: Комплект основного оборудования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</row>
    <row r="81" spans="1:29" ht="42" x14ac:dyDescent="0.25">
      <c r="A81" s="44">
        <v>5</v>
      </c>
      <c r="B81" s="44" t="str">
        <f>Source!F71</f>
        <v>4.10-85-1</v>
      </c>
      <c r="C81" s="44" t="s">
        <v>107</v>
      </c>
      <c r="D81" s="46" t="str">
        <f>Source!H71</f>
        <v>1  ШТ.</v>
      </c>
      <c r="E81" s="45">
        <f>Source!I71</f>
        <v>1</v>
      </c>
      <c r="F81" s="48"/>
      <c r="G81" s="47"/>
      <c r="H81" s="45"/>
      <c r="I81" s="48"/>
      <c r="J81" s="45"/>
      <c r="K81" s="48"/>
      <c r="Q81">
        <f>Source!X71</f>
        <v>46.71</v>
      </c>
      <c r="R81">
        <f>Source!X72</f>
        <v>2632.11</v>
      </c>
      <c r="S81">
        <f>Source!Y71</f>
        <v>23.87</v>
      </c>
      <c r="T81">
        <f>Source!Y72</f>
        <v>1345.3</v>
      </c>
      <c r="U81">
        <f>ROUND((175/100)*ROUND(Source!R71, 2), 2)</f>
        <v>0</v>
      </c>
      <c r="V81">
        <f>ROUND((0/100)*ROUND(Source!R72, 2), 2)</f>
        <v>0</v>
      </c>
      <c r="AC81">
        <v>0</v>
      </c>
    </row>
    <row r="82" spans="1:29" ht="14.5" x14ac:dyDescent="0.25">
      <c r="A82" s="44"/>
      <c r="B82" s="44"/>
      <c r="C82" s="44" t="s">
        <v>316</v>
      </c>
      <c r="D82" s="46"/>
      <c r="E82" s="45"/>
      <c r="F82" s="48">
        <f>Source!AO71</f>
        <v>41.31</v>
      </c>
      <c r="G82" s="49" t="s">
        <v>119</v>
      </c>
      <c r="H82" s="45">
        <f>Source!AV72</f>
        <v>1.0469999999999999</v>
      </c>
      <c r="I82" s="48">
        <f>Source!S71</f>
        <v>51.9</v>
      </c>
      <c r="J82" s="45">
        <f>IF(Source!BA72&lt;&gt; 0, Source!BA72, 1)</f>
        <v>56.35</v>
      </c>
      <c r="K82" s="48">
        <f>Source!S72</f>
        <v>2924.57</v>
      </c>
    </row>
    <row r="83" spans="1:29" ht="14.5" x14ac:dyDescent="0.25">
      <c r="A83" s="44"/>
      <c r="B83" s="44"/>
      <c r="C83" s="44" t="s">
        <v>328</v>
      </c>
      <c r="D83" s="46"/>
      <c r="E83" s="45"/>
      <c r="F83" s="48">
        <f>Source!AL71</f>
        <v>0.46</v>
      </c>
      <c r="G83" s="49" t="s">
        <v>3</v>
      </c>
      <c r="H83" s="45">
        <f>Source!AW72</f>
        <v>1</v>
      </c>
      <c r="I83" s="48">
        <f>Source!P71</f>
        <v>0.46</v>
      </c>
      <c r="J83" s="45">
        <f>IF(Source!BC72&lt;&gt; 0, Source!BC72, 1)</f>
        <v>6.83</v>
      </c>
      <c r="K83" s="48">
        <f>Source!P72</f>
        <v>3.14</v>
      </c>
    </row>
    <row r="84" spans="1:29" ht="14.5" x14ac:dyDescent="0.25">
      <c r="A84" s="44"/>
      <c r="B84" s="44"/>
      <c r="C84" s="44" t="s">
        <v>318</v>
      </c>
      <c r="D84" s="46" t="s">
        <v>319</v>
      </c>
      <c r="E84" s="45">
        <f>Source!BZ72</f>
        <v>90</v>
      </c>
      <c r="F84" s="48"/>
      <c r="G84" s="47"/>
      <c r="H84" s="45"/>
      <c r="I84" s="48">
        <f>SUM(Q81:Q83)</f>
        <v>46.71</v>
      </c>
      <c r="J84" s="45">
        <f>Source!AT72</f>
        <v>90</v>
      </c>
      <c r="K84" s="48">
        <f>SUM(R81:R83)</f>
        <v>2632.11</v>
      </c>
    </row>
    <row r="85" spans="1:29" ht="14.5" x14ac:dyDescent="0.25">
      <c r="A85" s="44"/>
      <c r="B85" s="44"/>
      <c r="C85" s="44" t="s">
        <v>320</v>
      </c>
      <c r="D85" s="46" t="s">
        <v>319</v>
      </c>
      <c r="E85" s="45">
        <f>Source!CA72</f>
        <v>46</v>
      </c>
      <c r="F85" s="48"/>
      <c r="G85" s="47"/>
      <c r="H85" s="45"/>
      <c r="I85" s="48">
        <f>SUM(S81:S84)</f>
        <v>23.87</v>
      </c>
      <c r="J85" s="45">
        <f>Source!AU72</f>
        <v>46</v>
      </c>
      <c r="K85" s="48">
        <f>SUM(T81:T84)</f>
        <v>1345.3</v>
      </c>
    </row>
    <row r="86" spans="1:29" ht="14.5" x14ac:dyDescent="0.25">
      <c r="A86" s="50"/>
      <c r="B86" s="50"/>
      <c r="C86" s="50" t="s">
        <v>321</v>
      </c>
      <c r="D86" s="51" t="s">
        <v>322</v>
      </c>
      <c r="E86" s="52">
        <f>Source!AQ71</f>
        <v>3</v>
      </c>
      <c r="F86" s="53"/>
      <c r="G86" s="54" t="s">
        <v>119</v>
      </c>
      <c r="H86" s="52">
        <f>Source!AV72</f>
        <v>1.0469999999999999</v>
      </c>
      <c r="I86" s="53">
        <f>Source!U71</f>
        <v>3.7691999999999992</v>
      </c>
      <c r="J86" s="52"/>
      <c r="K86" s="53"/>
    </row>
    <row r="87" spans="1:29" ht="14" x14ac:dyDescent="0.25">
      <c r="C87" s="55" t="s">
        <v>323</v>
      </c>
      <c r="H87" s="56">
        <f>I82+I83+I84+I85+0-0-0</f>
        <v>122.94</v>
      </c>
      <c r="I87" s="56"/>
      <c r="J87" s="56">
        <f>K82+K83+K84+K85+0-0-0</f>
        <v>6905.12</v>
      </c>
      <c r="K87" s="56"/>
    </row>
    <row r="88" spans="1:29" ht="14" hidden="1" x14ac:dyDescent="0.25">
      <c r="C88" s="55" t="s">
        <v>324</v>
      </c>
      <c r="H88" s="58">
        <f>0+0</f>
        <v>0</v>
      </c>
      <c r="I88" s="58"/>
      <c r="J88" s="58">
        <f>0+0</f>
        <v>0</v>
      </c>
      <c r="K88" s="58"/>
    </row>
    <row r="89" spans="1:29" ht="14" x14ac:dyDescent="0.25">
      <c r="C89" s="55" t="s">
        <v>325</v>
      </c>
      <c r="H89" s="58">
        <f>I82+I83+I84+I85+0</f>
        <v>122.94</v>
      </c>
      <c r="I89" s="58"/>
      <c r="J89" s="58">
        <f>K82+K83+K84+K85+0</f>
        <v>6905.12</v>
      </c>
      <c r="K89" s="58"/>
      <c r="O89" s="59">
        <f>I82+I83+I84+I85+0</f>
        <v>122.94</v>
      </c>
      <c r="P89" s="59">
        <f>K82+K83+K84+K85+0</f>
        <v>6905.12</v>
      </c>
    </row>
    <row r="91" spans="1:29" ht="82" x14ac:dyDescent="0.25">
      <c r="A91" s="62">
        <v>6</v>
      </c>
      <c r="B91" s="62" t="str">
        <f>Source!F73</f>
        <v>КА1</v>
      </c>
      <c r="C91" s="62" t="s">
        <v>329</v>
      </c>
      <c r="D91" s="63" t="str">
        <f>Source!H73</f>
        <v>шт.</v>
      </c>
      <c r="E91" s="64">
        <f>Source!I73</f>
        <v>1</v>
      </c>
      <c r="F91" s="65">
        <f>Source!AL73</f>
        <v>72464.179999999993</v>
      </c>
      <c r="G91" s="66" t="s">
        <v>3</v>
      </c>
      <c r="H91" s="64">
        <f>Source!AW74</f>
        <v>1</v>
      </c>
      <c r="I91" s="65">
        <f>Source!P73</f>
        <v>72464.179999999993</v>
      </c>
      <c r="J91" s="64">
        <f>IF(Source!BC74&lt;&gt; 0, Source!BC74, 1)</f>
        <v>7.57</v>
      </c>
      <c r="K91" s="65">
        <f>Source!P74</f>
        <v>548553.84</v>
      </c>
      <c r="Q91">
        <f>Source!X73</f>
        <v>0</v>
      </c>
      <c r="R91">
        <f>Source!X74</f>
        <v>0</v>
      </c>
      <c r="S91">
        <f>Source!Y73</f>
        <v>0</v>
      </c>
      <c r="T91">
        <f>Source!Y74</f>
        <v>0</v>
      </c>
      <c r="U91">
        <f>ROUND((175/100)*ROUND(Source!R73, 2), 2)</f>
        <v>0</v>
      </c>
      <c r="V91">
        <f>ROUND((0/100)*ROUND(Source!R74, 2), 2)</f>
        <v>0</v>
      </c>
      <c r="AC91">
        <v>5</v>
      </c>
    </row>
    <row r="92" spans="1:29" ht="14" x14ac:dyDescent="0.25">
      <c r="A92" s="67"/>
      <c r="B92" s="67"/>
      <c r="C92" s="68" t="s">
        <v>325</v>
      </c>
      <c r="D92" s="67"/>
      <c r="E92" s="67"/>
      <c r="F92" s="67"/>
      <c r="G92" s="67"/>
      <c r="H92" s="69">
        <f>I91+0</f>
        <v>72464.179999999993</v>
      </c>
      <c r="I92" s="69"/>
      <c r="J92" s="69">
        <f>K91+0</f>
        <v>548553.84</v>
      </c>
      <c r="K92" s="69"/>
      <c r="O92" s="59">
        <f>I91+0</f>
        <v>72464.179999999993</v>
      </c>
      <c r="P92" s="59">
        <f>K91+0</f>
        <v>548553.84</v>
      </c>
    </row>
    <row r="94" spans="1:29" ht="42" x14ac:dyDescent="0.25">
      <c r="A94" s="44">
        <v>7</v>
      </c>
      <c r="B94" s="44" t="str">
        <f>Source!F75</f>
        <v>4.11-12-1</v>
      </c>
      <c r="C94" s="44" t="s">
        <v>122</v>
      </c>
      <c r="D94" s="46" t="str">
        <f>Source!H75</f>
        <v>1  ШТ.</v>
      </c>
      <c r="E94" s="45">
        <f>Source!I75</f>
        <v>1</v>
      </c>
      <c r="F94" s="48"/>
      <c r="G94" s="47"/>
      <c r="H94" s="45"/>
      <c r="I94" s="48"/>
      <c r="J94" s="45"/>
      <c r="K94" s="48"/>
      <c r="Q94">
        <f>Source!X75</f>
        <v>13.27</v>
      </c>
      <c r="R94">
        <f>Source!X76</f>
        <v>747.54</v>
      </c>
      <c r="S94">
        <f>Source!Y75</f>
        <v>6.78</v>
      </c>
      <c r="T94">
        <f>Source!Y76</f>
        <v>382.08</v>
      </c>
      <c r="U94">
        <f>ROUND((175/100)*ROUND(Source!R75, 2), 2)</f>
        <v>0.18</v>
      </c>
      <c r="V94">
        <f>ROUND((0/100)*ROUND(Source!R76, 2), 2)</f>
        <v>0</v>
      </c>
      <c r="AC94">
        <v>0</v>
      </c>
    </row>
    <row r="95" spans="1:29" ht="14.5" x14ac:dyDescent="0.25">
      <c r="A95" s="44"/>
      <c r="B95" s="44"/>
      <c r="C95" s="44" t="s">
        <v>316</v>
      </c>
      <c r="D95" s="46"/>
      <c r="E95" s="45"/>
      <c r="F95" s="48">
        <f>Source!AO75</f>
        <v>11.65</v>
      </c>
      <c r="G95" s="49" t="s">
        <v>119</v>
      </c>
      <c r="H95" s="45">
        <f>Source!AV76</f>
        <v>1.0469999999999999</v>
      </c>
      <c r="I95" s="48">
        <f>Source!S75</f>
        <v>14.64</v>
      </c>
      <c r="J95" s="45">
        <f>IF(Source!BA76&lt;&gt; 0, Source!BA76, 1)</f>
        <v>56.35</v>
      </c>
      <c r="K95" s="48">
        <f>Source!S76</f>
        <v>824.96</v>
      </c>
    </row>
    <row r="96" spans="1:29" ht="14.5" x14ac:dyDescent="0.25">
      <c r="A96" s="44"/>
      <c r="B96" s="44"/>
      <c r="C96" s="44" t="s">
        <v>330</v>
      </c>
      <c r="D96" s="46"/>
      <c r="E96" s="45"/>
      <c r="F96" s="48">
        <f>Source!AM75</f>
        <v>0.5</v>
      </c>
      <c r="G96" s="49" t="s">
        <v>119</v>
      </c>
      <c r="H96" s="45">
        <f>Source!AV76</f>
        <v>1.0469999999999999</v>
      </c>
      <c r="I96" s="48">
        <f>Source!Q75</f>
        <v>0.63</v>
      </c>
      <c r="J96" s="45">
        <f>IF(Source!BB76&lt;&gt; 0, Source!BB76, 1)</f>
        <v>17.02</v>
      </c>
      <c r="K96" s="48">
        <f>Source!Q76</f>
        <v>10.72</v>
      </c>
    </row>
    <row r="97" spans="1:29" ht="14.5" x14ac:dyDescent="0.25">
      <c r="A97" s="44"/>
      <c r="B97" s="44"/>
      <c r="C97" s="44" t="s">
        <v>331</v>
      </c>
      <c r="D97" s="46"/>
      <c r="E97" s="45"/>
      <c r="F97" s="48">
        <f>Source!AN75</f>
        <v>0.08</v>
      </c>
      <c r="G97" s="49" t="s">
        <v>119</v>
      </c>
      <c r="H97" s="45">
        <f>Source!AV76</f>
        <v>1.0469999999999999</v>
      </c>
      <c r="I97" s="70">
        <f>Source!R75</f>
        <v>0.1</v>
      </c>
      <c r="J97" s="45">
        <f>IF(Source!BS76&lt;&gt; 0, Source!BS76, 1)</f>
        <v>56.35</v>
      </c>
      <c r="K97" s="70">
        <f>Source!R76</f>
        <v>5.64</v>
      </c>
    </row>
    <row r="98" spans="1:29" ht="14.5" x14ac:dyDescent="0.25">
      <c r="A98" s="44"/>
      <c r="B98" s="44"/>
      <c r="C98" s="44" t="s">
        <v>318</v>
      </c>
      <c r="D98" s="46" t="s">
        <v>319</v>
      </c>
      <c r="E98" s="45">
        <f>Source!BZ76</f>
        <v>90</v>
      </c>
      <c r="F98" s="48"/>
      <c r="G98" s="47"/>
      <c r="H98" s="45"/>
      <c r="I98" s="48">
        <f>SUM(Q94:Q97)</f>
        <v>13.27</v>
      </c>
      <c r="J98" s="45">
        <f>Source!AT76</f>
        <v>90</v>
      </c>
      <c r="K98" s="48">
        <f>SUM(R94:R97)</f>
        <v>747.54</v>
      </c>
    </row>
    <row r="99" spans="1:29" ht="14.5" x14ac:dyDescent="0.25">
      <c r="A99" s="44"/>
      <c r="B99" s="44"/>
      <c r="C99" s="44" t="s">
        <v>320</v>
      </c>
      <c r="D99" s="46" t="s">
        <v>319</v>
      </c>
      <c r="E99" s="45">
        <f>Source!CA76</f>
        <v>46</v>
      </c>
      <c r="F99" s="48"/>
      <c r="G99" s="47"/>
      <c r="H99" s="45"/>
      <c r="I99" s="48">
        <f>SUM(S94:S98)</f>
        <v>6.78</v>
      </c>
      <c r="J99" s="45">
        <f>Source!AU76</f>
        <v>46</v>
      </c>
      <c r="K99" s="48">
        <f>SUM(T94:T98)</f>
        <v>382.08</v>
      </c>
    </row>
    <row r="100" spans="1:29" ht="14.5" x14ac:dyDescent="0.25">
      <c r="A100" s="50"/>
      <c r="B100" s="50"/>
      <c r="C100" s="50" t="s">
        <v>321</v>
      </c>
      <c r="D100" s="51" t="s">
        <v>322</v>
      </c>
      <c r="E100" s="52">
        <f>Source!AQ75</f>
        <v>1.03</v>
      </c>
      <c r="F100" s="53"/>
      <c r="G100" s="54" t="s">
        <v>119</v>
      </c>
      <c r="H100" s="52">
        <f>Source!AV76</f>
        <v>1.0469999999999999</v>
      </c>
      <c r="I100" s="53">
        <f>Source!U75</f>
        <v>1.2940919999999998</v>
      </c>
      <c r="J100" s="52"/>
      <c r="K100" s="53"/>
    </row>
    <row r="101" spans="1:29" ht="14" x14ac:dyDescent="0.25">
      <c r="C101" s="55" t="s">
        <v>323</v>
      </c>
      <c r="H101" s="56">
        <f>I95+I96+I98+I99+0-0-0</f>
        <v>35.32</v>
      </c>
      <c r="I101" s="56"/>
      <c r="J101" s="56">
        <f>K95+K96+K98+K99+0-0-0</f>
        <v>1965.3</v>
      </c>
      <c r="K101" s="56"/>
    </row>
    <row r="102" spans="1:29" ht="14" hidden="1" x14ac:dyDescent="0.25">
      <c r="C102" s="55" t="s">
        <v>324</v>
      </c>
      <c r="H102" s="58">
        <f>0+0</f>
        <v>0</v>
      </c>
      <c r="I102" s="58"/>
      <c r="J102" s="58">
        <f>0+0</f>
        <v>0</v>
      </c>
      <c r="K102" s="58"/>
    </row>
    <row r="103" spans="1:29" ht="14" x14ac:dyDescent="0.25">
      <c r="C103" s="55" t="s">
        <v>325</v>
      </c>
      <c r="H103" s="58">
        <f>I95+I96+I98+I99+0</f>
        <v>35.32</v>
      </c>
      <c r="I103" s="58"/>
      <c r="J103" s="58">
        <f>K95+K96+K98+K99+0</f>
        <v>1965.3</v>
      </c>
      <c r="K103" s="58"/>
      <c r="O103" s="59">
        <f>I95+I96+I98+I99+0</f>
        <v>35.32</v>
      </c>
      <c r="P103" s="59">
        <f>K95+K96+K98+K99+0</f>
        <v>1965.3</v>
      </c>
    </row>
    <row r="105" spans="1:29" ht="82" x14ac:dyDescent="0.25">
      <c r="A105" s="62">
        <v>8</v>
      </c>
      <c r="B105" s="62" t="str">
        <f>Source!F79</f>
        <v>КА2</v>
      </c>
      <c r="C105" s="62" t="s">
        <v>332</v>
      </c>
      <c r="D105" s="63" t="str">
        <f>Source!H79</f>
        <v>шт.</v>
      </c>
      <c r="E105" s="64">
        <f>Source!I79</f>
        <v>1</v>
      </c>
      <c r="F105" s="65">
        <f>Source!AL79</f>
        <v>12282.39</v>
      </c>
      <c r="G105" s="66" t="s">
        <v>3</v>
      </c>
      <c r="H105" s="64">
        <f>Source!AW80</f>
        <v>1</v>
      </c>
      <c r="I105" s="65">
        <f>Source!P79</f>
        <v>12282.39</v>
      </c>
      <c r="J105" s="64">
        <f>IF(Source!BC80&lt;&gt; 0, Source!BC80, 1)</f>
        <v>7.57</v>
      </c>
      <c r="K105" s="65">
        <f>Source!P80</f>
        <v>92977.69</v>
      </c>
      <c r="Q105">
        <f>Source!X79</f>
        <v>0</v>
      </c>
      <c r="R105">
        <f>Source!X80</f>
        <v>0</v>
      </c>
      <c r="S105">
        <f>Source!Y79</f>
        <v>0</v>
      </c>
      <c r="T105">
        <f>Source!Y80</f>
        <v>0</v>
      </c>
      <c r="U105">
        <f>ROUND((175/100)*ROUND(Source!R79, 2), 2)</f>
        <v>0</v>
      </c>
      <c r="V105">
        <f>ROUND((0/100)*ROUND(Source!R80, 2), 2)</f>
        <v>0</v>
      </c>
      <c r="AC105">
        <v>5</v>
      </c>
    </row>
    <row r="106" spans="1:29" ht="14" x14ac:dyDescent="0.25">
      <c r="A106" s="67"/>
      <c r="B106" s="67"/>
      <c r="C106" s="68" t="s">
        <v>325</v>
      </c>
      <c r="D106" s="67"/>
      <c r="E106" s="67"/>
      <c r="F106" s="67"/>
      <c r="G106" s="67"/>
      <c r="H106" s="69">
        <f>I105+0</f>
        <v>12282.39</v>
      </c>
      <c r="I106" s="69"/>
      <c r="J106" s="69">
        <f>K105+0</f>
        <v>92977.69</v>
      </c>
      <c r="K106" s="69"/>
      <c r="O106" s="59">
        <f>I105+0</f>
        <v>12282.39</v>
      </c>
      <c r="P106" s="59">
        <f>K105+0</f>
        <v>92977.69</v>
      </c>
    </row>
    <row r="108" spans="1:29" ht="29" x14ac:dyDescent="0.25">
      <c r="A108" s="44">
        <v>9</v>
      </c>
      <c r="B108" s="44" t="str">
        <f>Source!F81</f>
        <v>4.10-21-5</v>
      </c>
      <c r="C108" s="44" t="s">
        <v>133</v>
      </c>
      <c r="D108" s="46" t="str">
        <f>Source!H81</f>
        <v>1 комплект</v>
      </c>
      <c r="E108" s="45">
        <f>Source!I81</f>
        <v>1</v>
      </c>
      <c r="F108" s="48"/>
      <c r="G108" s="47"/>
      <c r="H108" s="45"/>
      <c r="I108" s="48"/>
      <c r="J108" s="45"/>
      <c r="K108" s="48"/>
      <c r="Q108">
        <f>Source!X81</f>
        <v>42.81</v>
      </c>
      <c r="R108">
        <f>Source!X82</f>
        <v>2412.5100000000002</v>
      </c>
      <c r="S108">
        <f>Source!Y81</f>
        <v>21.88</v>
      </c>
      <c r="T108">
        <f>Source!Y82</f>
        <v>1233.06</v>
      </c>
      <c r="U108">
        <f>ROUND((175/100)*ROUND(Source!R81, 2), 2)</f>
        <v>0</v>
      </c>
      <c r="V108">
        <f>ROUND((0/100)*ROUND(Source!R82, 2), 2)</f>
        <v>0</v>
      </c>
      <c r="AC108">
        <v>0</v>
      </c>
    </row>
    <row r="109" spans="1:29" ht="14.5" x14ac:dyDescent="0.25">
      <c r="A109" s="44"/>
      <c r="B109" s="44"/>
      <c r="C109" s="44" t="s">
        <v>316</v>
      </c>
      <c r="D109" s="46"/>
      <c r="E109" s="45"/>
      <c r="F109" s="48">
        <f>Source!AO81</f>
        <v>37.86</v>
      </c>
      <c r="G109" s="49" t="s">
        <v>119</v>
      </c>
      <c r="H109" s="45">
        <f>Source!AV82</f>
        <v>1.0469999999999999</v>
      </c>
      <c r="I109" s="48">
        <f>Source!S81</f>
        <v>47.57</v>
      </c>
      <c r="J109" s="45">
        <f>IF(Source!BA82&lt;&gt; 0, Source!BA82, 1)</f>
        <v>56.35</v>
      </c>
      <c r="K109" s="48">
        <f>Source!S82</f>
        <v>2680.57</v>
      </c>
    </row>
    <row r="110" spans="1:29" ht="14.5" x14ac:dyDescent="0.25">
      <c r="A110" s="44"/>
      <c r="B110" s="44"/>
      <c r="C110" s="44" t="s">
        <v>328</v>
      </c>
      <c r="D110" s="46"/>
      <c r="E110" s="45"/>
      <c r="F110" s="48">
        <f>Source!AL81</f>
        <v>42.61</v>
      </c>
      <c r="G110" s="49" t="s">
        <v>3</v>
      </c>
      <c r="H110" s="45">
        <f>Source!AW82</f>
        <v>1</v>
      </c>
      <c r="I110" s="48">
        <f>Source!P81</f>
        <v>42.61</v>
      </c>
      <c r="J110" s="45">
        <f>IF(Source!BC82&lt;&gt; 0, Source!BC82, 1)</f>
        <v>5.15</v>
      </c>
      <c r="K110" s="48">
        <f>Source!P82</f>
        <v>219.44</v>
      </c>
    </row>
    <row r="111" spans="1:29" ht="14.5" x14ac:dyDescent="0.25">
      <c r="A111" s="44"/>
      <c r="B111" s="44"/>
      <c r="C111" s="44" t="s">
        <v>318</v>
      </c>
      <c r="D111" s="46" t="s">
        <v>319</v>
      </c>
      <c r="E111" s="45">
        <f>Source!BZ82</f>
        <v>90</v>
      </c>
      <c r="F111" s="48"/>
      <c r="G111" s="47"/>
      <c r="H111" s="45"/>
      <c r="I111" s="48">
        <f>SUM(Q108:Q110)</f>
        <v>42.81</v>
      </c>
      <c r="J111" s="45">
        <f>Source!AT82</f>
        <v>90</v>
      </c>
      <c r="K111" s="48">
        <f>SUM(R108:R110)</f>
        <v>2412.5100000000002</v>
      </c>
    </row>
    <row r="112" spans="1:29" ht="14.5" x14ac:dyDescent="0.25">
      <c r="A112" s="44"/>
      <c r="B112" s="44"/>
      <c r="C112" s="44" t="s">
        <v>320</v>
      </c>
      <c r="D112" s="46" t="s">
        <v>319</v>
      </c>
      <c r="E112" s="45">
        <f>Source!CA82</f>
        <v>46</v>
      </c>
      <c r="F112" s="48"/>
      <c r="G112" s="47"/>
      <c r="H112" s="45"/>
      <c r="I112" s="48">
        <f>SUM(S108:S111)</f>
        <v>21.88</v>
      </c>
      <c r="J112" s="45">
        <f>Source!AU82</f>
        <v>46</v>
      </c>
      <c r="K112" s="48">
        <f>SUM(T108:T111)</f>
        <v>1233.06</v>
      </c>
    </row>
    <row r="113" spans="1:29" ht="14.5" x14ac:dyDescent="0.25">
      <c r="A113" s="50"/>
      <c r="B113" s="50"/>
      <c r="C113" s="50" t="s">
        <v>321</v>
      </c>
      <c r="D113" s="51" t="s">
        <v>322</v>
      </c>
      <c r="E113" s="52">
        <f>Source!AQ81</f>
        <v>3</v>
      </c>
      <c r="F113" s="53"/>
      <c r="G113" s="54" t="s">
        <v>119</v>
      </c>
      <c r="H113" s="52">
        <f>Source!AV82</f>
        <v>1.0469999999999999</v>
      </c>
      <c r="I113" s="53">
        <f>Source!U81</f>
        <v>3.7691999999999992</v>
      </c>
      <c r="J113" s="52"/>
      <c r="K113" s="53"/>
    </row>
    <row r="114" spans="1:29" ht="14" x14ac:dyDescent="0.25">
      <c r="C114" s="55" t="s">
        <v>323</v>
      </c>
      <c r="H114" s="56">
        <f>I109+I110+I111+I112+0-0-0</f>
        <v>154.87</v>
      </c>
      <c r="I114" s="56"/>
      <c r="J114" s="56">
        <f>K109+K110+K111+K112+0-0-0</f>
        <v>6545.58</v>
      </c>
      <c r="K114" s="56"/>
    </row>
    <row r="115" spans="1:29" ht="14" hidden="1" x14ac:dyDescent="0.25">
      <c r="C115" s="55" t="s">
        <v>324</v>
      </c>
      <c r="H115" s="58">
        <f>0+0</f>
        <v>0</v>
      </c>
      <c r="I115" s="58"/>
      <c r="J115" s="58">
        <f>0+0</f>
        <v>0</v>
      </c>
      <c r="K115" s="58"/>
    </row>
    <row r="116" spans="1:29" ht="14" x14ac:dyDescent="0.25">
      <c r="C116" s="55" t="s">
        <v>325</v>
      </c>
      <c r="H116" s="58">
        <f>I109+I110+I111+I112+0</f>
        <v>154.87</v>
      </c>
      <c r="I116" s="58"/>
      <c r="J116" s="58">
        <f>K109+K110+K111+K112+0</f>
        <v>6545.58</v>
      </c>
      <c r="K116" s="58"/>
      <c r="O116" s="59">
        <f>I109+I110+I111+I112+0</f>
        <v>154.87</v>
      </c>
      <c r="P116" s="59">
        <f>K109+K110+K111+K112+0</f>
        <v>6545.58</v>
      </c>
    </row>
    <row r="118" spans="1:29" ht="68" x14ac:dyDescent="0.25">
      <c r="A118" s="62">
        <v>10</v>
      </c>
      <c r="B118" s="62" t="str">
        <f>Source!F85</f>
        <v>КА3</v>
      </c>
      <c r="C118" s="62" t="s">
        <v>333</v>
      </c>
      <c r="D118" s="63" t="str">
        <f>Source!H85</f>
        <v>шт.</v>
      </c>
      <c r="E118" s="64">
        <f>Source!I85</f>
        <v>1</v>
      </c>
      <c r="F118" s="65">
        <f>Source!AL85</f>
        <v>12258.35</v>
      </c>
      <c r="G118" s="66" t="s">
        <v>3</v>
      </c>
      <c r="H118" s="64">
        <f>Source!AW86</f>
        <v>1</v>
      </c>
      <c r="I118" s="65">
        <f>Source!P85</f>
        <v>12258.35</v>
      </c>
      <c r="J118" s="64">
        <f>IF(Source!BC86&lt;&gt; 0, Source!BC86, 1)</f>
        <v>7.57</v>
      </c>
      <c r="K118" s="65">
        <f>Source!P86</f>
        <v>92795.71</v>
      </c>
      <c r="Q118">
        <f>Source!X85</f>
        <v>0</v>
      </c>
      <c r="R118">
        <f>Source!X86</f>
        <v>0</v>
      </c>
      <c r="S118">
        <f>Source!Y85</f>
        <v>0</v>
      </c>
      <c r="T118">
        <f>Source!Y86</f>
        <v>0</v>
      </c>
      <c r="U118">
        <f>ROUND((175/100)*ROUND(Source!R85, 2), 2)</f>
        <v>0</v>
      </c>
      <c r="V118">
        <f>ROUND((0/100)*ROUND(Source!R86, 2), 2)</f>
        <v>0</v>
      </c>
      <c r="AC118">
        <v>5</v>
      </c>
    </row>
    <row r="119" spans="1:29" ht="14" x14ac:dyDescent="0.25">
      <c r="A119" s="67"/>
      <c r="B119" s="67"/>
      <c r="C119" s="68" t="s">
        <v>325</v>
      </c>
      <c r="D119" s="67"/>
      <c r="E119" s="67"/>
      <c r="F119" s="67"/>
      <c r="G119" s="67"/>
      <c r="H119" s="69">
        <f>I118+0</f>
        <v>12258.35</v>
      </c>
      <c r="I119" s="69"/>
      <c r="J119" s="69">
        <f>K118+0</f>
        <v>92795.71</v>
      </c>
      <c r="K119" s="69"/>
      <c r="O119" s="59">
        <f>I118+0</f>
        <v>12258.35</v>
      </c>
      <c r="P119" s="59">
        <f>K118+0</f>
        <v>92795.71</v>
      </c>
    </row>
    <row r="122" spans="1:29" ht="14" x14ac:dyDescent="0.3">
      <c r="A122" s="60" t="str">
        <f>CONCATENATE("Итого по разделу: ",IF(Source!G88&lt;&gt;"Новый раздел", Source!G88, ""))</f>
        <v>Итого по разделу: Комплект основного оборудования</v>
      </c>
      <c r="B122" s="60"/>
      <c r="C122" s="60"/>
      <c r="D122" s="60"/>
      <c r="E122" s="60"/>
      <c r="F122" s="60"/>
      <c r="G122" s="60"/>
      <c r="H122" s="58">
        <f>SUM(O80:O121)</f>
        <v>97318.05</v>
      </c>
      <c r="I122" s="57"/>
      <c r="J122" s="58">
        <f>SUM(P80:P121)</f>
        <v>749743.23999999987</v>
      </c>
      <c r="K122" s="57"/>
    </row>
    <row r="123" spans="1:29" hidden="1" x14ac:dyDescent="0.25">
      <c r="A123" t="s">
        <v>326</v>
      </c>
      <c r="I123">
        <f>SUM(W80:W122)</f>
        <v>0</v>
      </c>
      <c r="J123">
        <f>SUM(X80:X122)</f>
        <v>0</v>
      </c>
    </row>
    <row r="124" spans="1:29" hidden="1" x14ac:dyDescent="0.25">
      <c r="A124" t="s">
        <v>327</v>
      </c>
      <c r="I124">
        <f>SUM(Y80:Y123)</f>
        <v>0</v>
      </c>
      <c r="J124">
        <f>SUM(Z80:Z123)</f>
        <v>0</v>
      </c>
    </row>
    <row r="126" spans="1:29" ht="16.5" x14ac:dyDescent="0.25">
      <c r="A126" s="42" t="str">
        <f>CONCATENATE("Раздел: ",IF(Source!G118&lt;&gt;"Новый раздел", Source!G118, ""))</f>
        <v>Раздел: Оборудование устанавливаемое по месту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</row>
    <row r="127" spans="1:29" ht="28" x14ac:dyDescent="0.25">
      <c r="A127" s="44">
        <v>11</v>
      </c>
      <c r="B127" s="44" t="str">
        <f>Source!F122</f>
        <v>4.10-86-1</v>
      </c>
      <c r="C127" s="44" t="s">
        <v>143</v>
      </c>
      <c r="D127" s="46" t="str">
        <f>Source!H122</f>
        <v>1  ШТ.</v>
      </c>
      <c r="E127" s="45">
        <f>Source!I122</f>
        <v>3</v>
      </c>
      <c r="F127" s="48"/>
      <c r="G127" s="47"/>
      <c r="H127" s="45"/>
      <c r="I127" s="48"/>
      <c r="J127" s="45"/>
      <c r="K127" s="48"/>
      <c r="Q127">
        <f>Source!X122</f>
        <v>80.739999999999995</v>
      </c>
      <c r="R127">
        <f>Source!X123</f>
        <v>4549.6400000000003</v>
      </c>
      <c r="S127">
        <f>Source!Y122</f>
        <v>41.27</v>
      </c>
      <c r="T127">
        <f>Source!Y123</f>
        <v>2325.37</v>
      </c>
      <c r="U127">
        <f>ROUND((175/100)*ROUND(Source!R122, 2), 2)</f>
        <v>0</v>
      </c>
      <c r="V127">
        <f>ROUND((0/100)*ROUND(Source!R123, 2), 2)</f>
        <v>0</v>
      </c>
      <c r="AC127">
        <v>0</v>
      </c>
    </row>
    <row r="128" spans="1:29" ht="14.5" x14ac:dyDescent="0.25">
      <c r="A128" s="44"/>
      <c r="B128" s="44"/>
      <c r="C128" s="44" t="s">
        <v>316</v>
      </c>
      <c r="D128" s="46"/>
      <c r="E128" s="45"/>
      <c r="F128" s="48">
        <f>Source!AO122</f>
        <v>23.8</v>
      </c>
      <c r="G128" s="49" t="s">
        <v>119</v>
      </c>
      <c r="H128" s="45">
        <f>Source!AV123</f>
        <v>1.0469999999999999</v>
      </c>
      <c r="I128" s="48">
        <f>Source!S122</f>
        <v>89.71</v>
      </c>
      <c r="J128" s="45">
        <f>IF(Source!BA123&lt;&gt; 0, Source!BA123, 1)</f>
        <v>56.35</v>
      </c>
      <c r="K128" s="48">
        <f>Source!S123</f>
        <v>5055.16</v>
      </c>
    </row>
    <row r="129" spans="1:29" ht="14.5" x14ac:dyDescent="0.25">
      <c r="A129" s="44"/>
      <c r="B129" s="44"/>
      <c r="C129" s="44" t="s">
        <v>328</v>
      </c>
      <c r="D129" s="46"/>
      <c r="E129" s="45"/>
      <c r="F129" s="48">
        <f>Source!AL122</f>
        <v>0.57999999999999996</v>
      </c>
      <c r="G129" s="49" t="s">
        <v>3</v>
      </c>
      <c r="H129" s="45">
        <f>Source!AW123</f>
        <v>1</v>
      </c>
      <c r="I129" s="48">
        <f>Source!P122</f>
        <v>1.74</v>
      </c>
      <c r="J129" s="45">
        <f>IF(Source!BC123&lt;&gt; 0, Source!BC123, 1)</f>
        <v>7.03</v>
      </c>
      <c r="K129" s="48">
        <f>Source!P123</f>
        <v>12.23</v>
      </c>
    </row>
    <row r="130" spans="1:29" ht="14.5" x14ac:dyDescent="0.25">
      <c r="A130" s="44"/>
      <c r="B130" s="44"/>
      <c r="C130" s="44" t="s">
        <v>318</v>
      </c>
      <c r="D130" s="46" t="s">
        <v>319</v>
      </c>
      <c r="E130" s="45">
        <f>Source!BZ123</f>
        <v>90</v>
      </c>
      <c r="F130" s="48"/>
      <c r="G130" s="47"/>
      <c r="H130" s="45"/>
      <c r="I130" s="48">
        <f>SUM(Q127:Q129)</f>
        <v>80.739999999999995</v>
      </c>
      <c r="J130" s="45">
        <f>Source!AT123</f>
        <v>90</v>
      </c>
      <c r="K130" s="48">
        <f>SUM(R127:R129)</f>
        <v>4549.6400000000003</v>
      </c>
    </row>
    <row r="131" spans="1:29" ht="14.5" x14ac:dyDescent="0.25">
      <c r="A131" s="44"/>
      <c r="B131" s="44"/>
      <c r="C131" s="44" t="s">
        <v>320</v>
      </c>
      <c r="D131" s="46" t="s">
        <v>319</v>
      </c>
      <c r="E131" s="45">
        <f>Source!CA123</f>
        <v>46</v>
      </c>
      <c r="F131" s="48"/>
      <c r="G131" s="47"/>
      <c r="H131" s="45"/>
      <c r="I131" s="48">
        <f>SUM(S127:S130)</f>
        <v>41.27</v>
      </c>
      <c r="J131" s="45">
        <f>Source!AU123</f>
        <v>46</v>
      </c>
      <c r="K131" s="48">
        <f>SUM(T127:T130)</f>
        <v>2325.37</v>
      </c>
    </row>
    <row r="132" spans="1:29" ht="14.5" x14ac:dyDescent="0.25">
      <c r="A132" s="50"/>
      <c r="B132" s="50"/>
      <c r="C132" s="50" t="s">
        <v>321</v>
      </c>
      <c r="D132" s="51" t="s">
        <v>322</v>
      </c>
      <c r="E132" s="52">
        <f>Source!AQ122</f>
        <v>2</v>
      </c>
      <c r="F132" s="53"/>
      <c r="G132" s="54" t="s">
        <v>119</v>
      </c>
      <c r="H132" s="52">
        <f>Source!AV123</f>
        <v>1.0469999999999999</v>
      </c>
      <c r="I132" s="53">
        <f>Source!U122</f>
        <v>7.5383999999999993</v>
      </c>
      <c r="J132" s="52"/>
      <c r="K132" s="53"/>
    </row>
    <row r="133" spans="1:29" ht="14" x14ac:dyDescent="0.25">
      <c r="C133" s="55" t="s">
        <v>323</v>
      </c>
      <c r="H133" s="56">
        <f>I128+I129+I130+I131+0-0-0</f>
        <v>213.46</v>
      </c>
      <c r="I133" s="56"/>
      <c r="J133" s="56">
        <f>K128+K129+K130+K131+0-0-0</f>
        <v>11942.399999999998</v>
      </c>
      <c r="K133" s="56"/>
    </row>
    <row r="134" spans="1:29" ht="14" hidden="1" x14ac:dyDescent="0.25">
      <c r="C134" s="55" t="s">
        <v>324</v>
      </c>
      <c r="H134" s="58">
        <f>0+0</f>
        <v>0</v>
      </c>
      <c r="I134" s="58"/>
      <c r="J134" s="58">
        <f>0+0</f>
        <v>0</v>
      </c>
      <c r="K134" s="58"/>
    </row>
    <row r="135" spans="1:29" ht="14" x14ac:dyDescent="0.25">
      <c r="C135" s="55" t="s">
        <v>325</v>
      </c>
      <c r="H135" s="58">
        <f>I128+I129+I130+I131+0</f>
        <v>213.46</v>
      </c>
      <c r="I135" s="58"/>
      <c r="J135" s="58">
        <f>K128+K129+K130+K131+0</f>
        <v>11942.399999999998</v>
      </c>
      <c r="K135" s="58"/>
      <c r="O135" s="59">
        <f>I128+I129+I130+I131+0</f>
        <v>213.46</v>
      </c>
      <c r="P135" s="59">
        <f>K128+K129+K130+K131+0</f>
        <v>11942.399999999998</v>
      </c>
    </row>
    <row r="137" spans="1:29" ht="110" x14ac:dyDescent="0.25">
      <c r="A137" s="62">
        <v>12</v>
      </c>
      <c r="B137" s="62" t="str">
        <f>Source!F124</f>
        <v>КА4</v>
      </c>
      <c r="C137" s="62" t="s">
        <v>334</v>
      </c>
      <c r="D137" s="63" t="str">
        <f>Source!H124</f>
        <v>шт.</v>
      </c>
      <c r="E137" s="64">
        <f>Source!I124</f>
        <v>3</v>
      </c>
      <c r="F137" s="65">
        <f>Source!AL124</f>
        <v>12490.960000000001</v>
      </c>
      <c r="G137" s="66" t="s">
        <v>3</v>
      </c>
      <c r="H137" s="64">
        <f>Source!AW125</f>
        <v>1</v>
      </c>
      <c r="I137" s="65">
        <f>Source!P124</f>
        <v>37472.879999999997</v>
      </c>
      <c r="J137" s="64">
        <f>IF(Source!BC125&lt;&gt; 0, Source!BC125, 1)</f>
        <v>7.57</v>
      </c>
      <c r="K137" s="65">
        <f>Source!P125</f>
        <v>283669.7</v>
      </c>
      <c r="Q137">
        <f>Source!X124</f>
        <v>0</v>
      </c>
      <c r="R137">
        <f>Source!X125</f>
        <v>0</v>
      </c>
      <c r="S137">
        <f>Source!Y124</f>
        <v>0</v>
      </c>
      <c r="T137">
        <f>Source!Y125</f>
        <v>0</v>
      </c>
      <c r="U137">
        <f>ROUND((175/100)*ROUND(Source!R124, 2), 2)</f>
        <v>0</v>
      </c>
      <c r="V137">
        <f>ROUND((0/100)*ROUND(Source!R125, 2), 2)</f>
        <v>0</v>
      </c>
      <c r="AC137">
        <v>5</v>
      </c>
    </row>
    <row r="138" spans="1:29" ht="14" x14ac:dyDescent="0.25">
      <c r="A138" s="67"/>
      <c r="B138" s="67"/>
      <c r="C138" s="68" t="s">
        <v>325</v>
      </c>
      <c r="D138" s="67"/>
      <c r="E138" s="67"/>
      <c r="F138" s="67"/>
      <c r="G138" s="67"/>
      <c r="H138" s="69">
        <f>I137+0</f>
        <v>37472.879999999997</v>
      </c>
      <c r="I138" s="69"/>
      <c r="J138" s="69">
        <f>K137+0</f>
        <v>283669.7</v>
      </c>
      <c r="K138" s="69"/>
      <c r="O138" s="59">
        <f>I137+0</f>
        <v>37472.879999999997</v>
      </c>
      <c r="P138" s="59">
        <f>K137+0</f>
        <v>283669.7</v>
      </c>
    </row>
    <row r="141" spans="1:29" ht="14" x14ac:dyDescent="0.3">
      <c r="A141" s="60" t="str">
        <f>CONCATENATE("Итого по разделу: ",IF(Source!G127&lt;&gt;"Новый раздел", Source!G127, ""))</f>
        <v>Итого по разделу: Оборудование устанавливаемое по месту</v>
      </c>
      <c r="B141" s="60"/>
      <c r="C141" s="60"/>
      <c r="D141" s="60"/>
      <c r="E141" s="60"/>
      <c r="F141" s="60"/>
      <c r="G141" s="60"/>
      <c r="H141" s="58">
        <f>SUM(O126:O140)</f>
        <v>37686.339999999997</v>
      </c>
      <c r="I141" s="57"/>
      <c r="J141" s="58">
        <f>SUM(P126:P140)</f>
        <v>295612.10000000003</v>
      </c>
      <c r="K141" s="57"/>
    </row>
    <row r="142" spans="1:29" hidden="1" x14ac:dyDescent="0.25">
      <c r="A142" t="s">
        <v>326</v>
      </c>
      <c r="I142">
        <f>SUM(W126:W141)</f>
        <v>0</v>
      </c>
      <c r="J142">
        <f>SUM(X126:X141)</f>
        <v>0</v>
      </c>
    </row>
    <row r="143" spans="1:29" hidden="1" x14ac:dyDescent="0.25">
      <c r="A143" t="s">
        <v>327</v>
      </c>
      <c r="I143">
        <f>SUM(Y126:Y142)</f>
        <v>0</v>
      </c>
      <c r="J143">
        <f>SUM(Z126:Z142)</f>
        <v>0</v>
      </c>
    </row>
    <row r="145" spans="1:29" ht="16.5" x14ac:dyDescent="0.25">
      <c r="A145" s="42" t="str">
        <f>CONCATENATE("Раздел: ",IF(Source!G157&lt;&gt;"Новый раздел", Source!G157, ""))</f>
        <v>Раздел: Кабели и провода</v>
      </c>
      <c r="B145" s="42"/>
      <c r="C145" s="42"/>
      <c r="D145" s="42"/>
      <c r="E145" s="42"/>
      <c r="F145" s="42"/>
      <c r="G145" s="42"/>
      <c r="H145" s="42"/>
      <c r="I145" s="42"/>
      <c r="J145" s="42"/>
      <c r="K145" s="42"/>
    </row>
    <row r="146" spans="1:29" ht="42" x14ac:dyDescent="0.25">
      <c r="A146" s="44">
        <v>13</v>
      </c>
      <c r="B146" s="44" t="str">
        <f>Source!F161</f>
        <v>4.10-27-4</v>
      </c>
      <c r="C146" s="44" t="s">
        <v>151</v>
      </c>
      <c r="D146" s="46" t="str">
        <f>Source!H161</f>
        <v>100 перемычек</v>
      </c>
      <c r="E146" s="45">
        <f>Source!I161</f>
        <v>0.04</v>
      </c>
      <c r="F146" s="48"/>
      <c r="G146" s="47"/>
      <c r="H146" s="45"/>
      <c r="I146" s="48"/>
      <c r="J146" s="45"/>
      <c r="K146" s="48"/>
      <c r="Q146">
        <f>Source!X161</f>
        <v>1.77</v>
      </c>
      <c r="R146">
        <f>Source!X162</f>
        <v>99.91</v>
      </c>
      <c r="S146">
        <f>Source!Y161</f>
        <v>0.91</v>
      </c>
      <c r="T146">
        <f>Source!Y162</f>
        <v>51.06</v>
      </c>
      <c r="U146">
        <f>ROUND((175/100)*ROUND(Source!R161, 2), 2)</f>
        <v>0</v>
      </c>
      <c r="V146">
        <f>ROUND((0/100)*ROUND(Source!R162, 2), 2)</f>
        <v>0</v>
      </c>
      <c r="AC146">
        <v>0</v>
      </c>
    </row>
    <row r="147" spans="1:29" x14ac:dyDescent="0.25">
      <c r="C147" s="71" t="str">
        <f>"Объем: "&amp;Source!I161&amp;"=4/"&amp;"100"</f>
        <v>Объем: 0,04=4/100</v>
      </c>
    </row>
    <row r="148" spans="1:29" ht="14.5" x14ac:dyDescent="0.25">
      <c r="A148" s="44"/>
      <c r="B148" s="44"/>
      <c r="C148" s="44" t="s">
        <v>316</v>
      </c>
      <c r="D148" s="46"/>
      <c r="E148" s="45"/>
      <c r="F148" s="48">
        <f>Source!AO161</f>
        <v>39.119999999999997</v>
      </c>
      <c r="G148" s="49" t="s">
        <v>119</v>
      </c>
      <c r="H148" s="45">
        <f>Source!AV162</f>
        <v>1.0469999999999999</v>
      </c>
      <c r="I148" s="48">
        <f>Source!S161</f>
        <v>1.97</v>
      </c>
      <c r="J148" s="45">
        <f>IF(Source!BA162&lt;&gt; 0, Source!BA162, 1)</f>
        <v>56.35</v>
      </c>
      <c r="K148" s="48">
        <f>Source!S162</f>
        <v>111.01</v>
      </c>
    </row>
    <row r="149" spans="1:29" ht="14.5" x14ac:dyDescent="0.25">
      <c r="A149" s="44"/>
      <c r="B149" s="44"/>
      <c r="C149" s="44" t="s">
        <v>318</v>
      </c>
      <c r="D149" s="46" t="s">
        <v>319</v>
      </c>
      <c r="E149" s="45">
        <f>Source!BZ162</f>
        <v>90</v>
      </c>
      <c r="F149" s="48"/>
      <c r="G149" s="47"/>
      <c r="H149" s="45"/>
      <c r="I149" s="48">
        <f>SUM(Q146:Q148)</f>
        <v>1.77</v>
      </c>
      <c r="J149" s="45">
        <f>Source!AT162</f>
        <v>90</v>
      </c>
      <c r="K149" s="48">
        <f>SUM(R146:R148)</f>
        <v>99.91</v>
      </c>
    </row>
    <row r="150" spans="1:29" ht="14.5" x14ac:dyDescent="0.25">
      <c r="A150" s="44"/>
      <c r="B150" s="44"/>
      <c r="C150" s="44" t="s">
        <v>320</v>
      </c>
      <c r="D150" s="46" t="s">
        <v>319</v>
      </c>
      <c r="E150" s="45">
        <f>Source!CA162</f>
        <v>46</v>
      </c>
      <c r="F150" s="48"/>
      <c r="G150" s="47"/>
      <c r="H150" s="45"/>
      <c r="I150" s="48">
        <f>SUM(S146:S149)</f>
        <v>0.91</v>
      </c>
      <c r="J150" s="45">
        <f>Source!AU162</f>
        <v>46</v>
      </c>
      <c r="K150" s="48">
        <f>SUM(T146:T149)</f>
        <v>51.06</v>
      </c>
    </row>
    <row r="151" spans="1:29" ht="14.5" x14ac:dyDescent="0.25">
      <c r="A151" s="50"/>
      <c r="B151" s="50"/>
      <c r="C151" s="50" t="s">
        <v>321</v>
      </c>
      <c r="D151" s="51" t="s">
        <v>322</v>
      </c>
      <c r="E151" s="52">
        <f>Source!AQ161</f>
        <v>3.1</v>
      </c>
      <c r="F151" s="53"/>
      <c r="G151" s="54" t="s">
        <v>119</v>
      </c>
      <c r="H151" s="52">
        <f>Source!AV162</f>
        <v>1.0469999999999999</v>
      </c>
      <c r="I151" s="53">
        <f>Source!U161</f>
        <v>0.15579359999999998</v>
      </c>
      <c r="J151" s="52"/>
      <c r="K151" s="53"/>
    </row>
    <row r="152" spans="1:29" ht="14" x14ac:dyDescent="0.25">
      <c r="C152" s="55" t="s">
        <v>323</v>
      </c>
      <c r="H152" s="56">
        <f>I148+I149+I150+0-0-0</f>
        <v>4.6500000000000004</v>
      </c>
      <c r="I152" s="56"/>
      <c r="J152" s="56">
        <f>K148+K149+K150+0-0-0</f>
        <v>261.98</v>
      </c>
      <c r="K152" s="56"/>
    </row>
    <row r="153" spans="1:29" ht="14" hidden="1" x14ac:dyDescent="0.25">
      <c r="C153" s="55" t="s">
        <v>324</v>
      </c>
      <c r="H153" s="58">
        <f>0+0</f>
        <v>0</v>
      </c>
      <c r="I153" s="58"/>
      <c r="J153" s="58">
        <f>0+0</f>
        <v>0</v>
      </c>
      <c r="K153" s="58"/>
    </row>
    <row r="154" spans="1:29" ht="14" x14ac:dyDescent="0.25">
      <c r="C154" s="55" t="s">
        <v>325</v>
      </c>
      <c r="H154" s="58">
        <f>I148+I149+I150+0</f>
        <v>4.6500000000000004</v>
      </c>
      <c r="I154" s="58"/>
      <c r="J154" s="58">
        <f>K148+K149+K150+0</f>
        <v>261.98</v>
      </c>
      <c r="K154" s="58"/>
      <c r="O154" s="59">
        <f>I148+I149+I150+0</f>
        <v>4.6500000000000004</v>
      </c>
      <c r="P154" s="59">
        <f>K148+K149+K150+0</f>
        <v>261.98</v>
      </c>
    </row>
    <row r="156" spans="1:29" ht="56" x14ac:dyDescent="0.25">
      <c r="A156" s="50">
        <v>14</v>
      </c>
      <c r="B156" s="50" t="str">
        <f>Source!F165</f>
        <v>КА 5</v>
      </c>
      <c r="C156" s="50" t="s">
        <v>160</v>
      </c>
      <c r="D156" s="51" t="str">
        <f>Source!H165</f>
        <v>ШТ</v>
      </c>
      <c r="E156" s="52">
        <f>Source!I165</f>
        <v>1</v>
      </c>
      <c r="F156" s="53">
        <f>Source!AL165</f>
        <v>22.66</v>
      </c>
      <c r="G156" s="54" t="s">
        <v>3</v>
      </c>
      <c r="H156" s="52">
        <f>Source!AW166</f>
        <v>1</v>
      </c>
      <c r="I156" s="53">
        <f>Source!P165</f>
        <v>22.66</v>
      </c>
      <c r="J156" s="52">
        <f>IF(Source!BC166&lt;&gt; 0, Source!BC166, 1)</f>
        <v>9.84</v>
      </c>
      <c r="K156" s="53">
        <f>Source!P166</f>
        <v>222.97</v>
      </c>
      <c r="Q156">
        <f>Source!X165</f>
        <v>0</v>
      </c>
      <c r="R156">
        <f>Source!X166</f>
        <v>0</v>
      </c>
      <c r="S156">
        <f>Source!Y165</f>
        <v>0</v>
      </c>
      <c r="T156">
        <f>Source!Y166</f>
        <v>0</v>
      </c>
      <c r="U156">
        <f>ROUND((175/100)*ROUND(Source!R165, 2), 2)</f>
        <v>0</v>
      </c>
      <c r="V156">
        <f>ROUND((0/100)*ROUND(Source!R166, 2), 2)</f>
        <v>0</v>
      </c>
      <c r="AC156">
        <v>3</v>
      </c>
    </row>
    <row r="157" spans="1:29" ht="14" x14ac:dyDescent="0.25">
      <c r="C157" s="55" t="s">
        <v>325</v>
      </c>
      <c r="H157" s="56">
        <f>I156+0</f>
        <v>22.66</v>
      </c>
      <c r="I157" s="56"/>
      <c r="J157" s="56">
        <f>K156+0</f>
        <v>222.97</v>
      </c>
      <c r="K157" s="56"/>
      <c r="O157" s="59">
        <f>I156+0</f>
        <v>22.66</v>
      </c>
      <c r="P157" s="59">
        <f>K156+0</f>
        <v>222.97</v>
      </c>
    </row>
    <row r="159" spans="1:29" ht="56" x14ac:dyDescent="0.25">
      <c r="A159" s="50">
        <v>15</v>
      </c>
      <c r="B159" s="50" t="str">
        <f>Source!F167</f>
        <v>КА 6</v>
      </c>
      <c r="C159" s="50" t="s">
        <v>166</v>
      </c>
      <c r="D159" s="51" t="str">
        <f>Source!H167</f>
        <v>ШТ</v>
      </c>
      <c r="E159" s="52">
        <f>Source!I167</f>
        <v>3</v>
      </c>
      <c r="F159" s="53">
        <f>Source!AL167</f>
        <v>12.72</v>
      </c>
      <c r="G159" s="54" t="s">
        <v>3</v>
      </c>
      <c r="H159" s="52">
        <f>Source!AW168</f>
        <v>1</v>
      </c>
      <c r="I159" s="53">
        <f>Source!P167</f>
        <v>38.159999999999997</v>
      </c>
      <c r="J159" s="52">
        <f>IF(Source!BC168&lt;&gt; 0, Source!BC168, 1)</f>
        <v>9.84</v>
      </c>
      <c r="K159" s="53">
        <f>Source!P168</f>
        <v>375.49</v>
      </c>
      <c r="Q159">
        <f>Source!X167</f>
        <v>0</v>
      </c>
      <c r="R159">
        <f>Source!X168</f>
        <v>0</v>
      </c>
      <c r="S159">
        <f>Source!Y167</f>
        <v>0</v>
      </c>
      <c r="T159">
        <f>Source!Y168</f>
        <v>0</v>
      </c>
      <c r="U159">
        <f>ROUND((175/100)*ROUND(Source!R167, 2), 2)</f>
        <v>0</v>
      </c>
      <c r="V159">
        <f>ROUND((0/100)*ROUND(Source!R168, 2), 2)</f>
        <v>0</v>
      </c>
      <c r="AC159">
        <v>3</v>
      </c>
    </row>
    <row r="160" spans="1:29" ht="14" x14ac:dyDescent="0.25">
      <c r="C160" s="55" t="s">
        <v>325</v>
      </c>
      <c r="H160" s="56">
        <f>I159+0</f>
        <v>38.159999999999997</v>
      </c>
      <c r="I160" s="56"/>
      <c r="J160" s="56">
        <f>K159+0</f>
        <v>375.49</v>
      </c>
      <c r="K160" s="56"/>
      <c r="O160" s="59">
        <f>I159+0</f>
        <v>38.159999999999997</v>
      </c>
      <c r="P160" s="59">
        <f>K159+0</f>
        <v>375.49</v>
      </c>
    </row>
    <row r="163" spans="1:11" ht="14" x14ac:dyDescent="0.3">
      <c r="A163" s="60" t="str">
        <f>CONCATENATE("Итого по разделу: ",IF(Source!G170&lt;&gt;"Новый раздел", Source!G170, ""))</f>
        <v>Итого по разделу: Кабели и провода</v>
      </c>
      <c r="B163" s="60"/>
      <c r="C163" s="60"/>
      <c r="D163" s="60"/>
      <c r="E163" s="60"/>
      <c r="F163" s="60"/>
      <c r="G163" s="60"/>
      <c r="H163" s="58">
        <f>SUM(O145:O162)</f>
        <v>65.47</v>
      </c>
      <c r="I163" s="57"/>
      <c r="J163" s="58">
        <f>SUM(P145:P162)</f>
        <v>860.44</v>
      </c>
      <c r="K163" s="57"/>
    </row>
    <row r="164" spans="1:11" hidden="1" x14ac:dyDescent="0.25">
      <c r="A164" t="s">
        <v>326</v>
      </c>
      <c r="I164">
        <f>SUM(W145:W163)</f>
        <v>0</v>
      </c>
      <c r="J164">
        <f>SUM(X145:X163)</f>
        <v>0</v>
      </c>
    </row>
    <row r="165" spans="1:11" hidden="1" x14ac:dyDescent="0.25">
      <c r="A165" t="s">
        <v>327</v>
      </c>
      <c r="I165">
        <f>SUM(Y145:Y164)</f>
        <v>0</v>
      </c>
      <c r="J165">
        <f>SUM(Z145:Z164)</f>
        <v>0</v>
      </c>
    </row>
    <row r="167" spans="1:11" ht="14" x14ac:dyDescent="0.3">
      <c r="A167" s="60" t="str">
        <f>CONCATENATE("Итого по локальной смете: ",IF(Source!G200&lt;&gt;"Новая локальная смета", Source!G200, ""))</f>
        <v>Итого по локальной смете: Электрочасофикация</v>
      </c>
      <c r="B167" s="60"/>
      <c r="C167" s="60"/>
      <c r="D167" s="60"/>
      <c r="E167" s="60"/>
      <c r="F167" s="60"/>
      <c r="G167" s="60"/>
      <c r="H167" s="58">
        <f>SUM(O36:O166)</f>
        <v>135219.45000000001</v>
      </c>
      <c r="I167" s="57"/>
      <c r="J167" s="58">
        <f>SUM(P36:P166)</f>
        <v>1054646.0299999998</v>
      </c>
      <c r="K167" s="57"/>
    </row>
    <row r="168" spans="1:11" hidden="1" x14ac:dyDescent="0.25">
      <c r="A168" t="s">
        <v>326</v>
      </c>
      <c r="I168">
        <f>SUM(W36:W167)</f>
        <v>0</v>
      </c>
      <c r="J168">
        <f>SUM(X36:X167)</f>
        <v>0</v>
      </c>
    </row>
    <row r="169" spans="1:11" hidden="1" x14ac:dyDescent="0.25">
      <c r="A169" t="s">
        <v>327</v>
      </c>
      <c r="I169">
        <f>SUM(Y36:Y168)</f>
        <v>0</v>
      </c>
      <c r="J169">
        <f>SUM(Z36:Z168)</f>
        <v>0</v>
      </c>
    </row>
    <row r="171" spans="1:11" ht="14" hidden="1" x14ac:dyDescent="0.3">
      <c r="A171" s="60" t="str">
        <f>CONCATENATE("Итого по смете: ",IF(Source!G230&lt;&gt;"Новый объект", Source!G230, ""))</f>
        <v>Итого по смете: 02-01-16 Электрочасофикация 15.07</v>
      </c>
      <c r="B171" s="60"/>
      <c r="C171" s="60"/>
      <c r="D171" s="60"/>
      <c r="E171" s="60"/>
      <c r="F171" s="60"/>
      <c r="G171" s="60"/>
      <c r="H171" s="58">
        <f>SUM(O1:O170)</f>
        <v>135219.45000000001</v>
      </c>
      <c r="I171" s="57"/>
      <c r="J171" s="58">
        <f>SUM(P1:P170)</f>
        <v>1054646.0299999998</v>
      </c>
      <c r="K171" s="57"/>
    </row>
    <row r="172" spans="1:11" hidden="1" x14ac:dyDescent="0.25">
      <c r="A172" t="s">
        <v>326</v>
      </c>
      <c r="I172">
        <f>SUM(W1:W171)</f>
        <v>0</v>
      </c>
      <c r="J172">
        <f>SUM(X1:X171)</f>
        <v>0</v>
      </c>
    </row>
    <row r="173" spans="1:11" hidden="1" x14ac:dyDescent="0.25">
      <c r="A173" t="s">
        <v>327</v>
      </c>
      <c r="I173">
        <f>SUM(Y1:Y172)</f>
        <v>0</v>
      </c>
      <c r="J173">
        <f>SUM(Z1:Z172)</f>
        <v>0</v>
      </c>
    </row>
    <row r="176" spans="1:11" ht="14" x14ac:dyDescent="0.3">
      <c r="A176" s="72" t="s">
        <v>336</v>
      </c>
      <c r="B176" s="72"/>
      <c r="C176" s="73" t="str">
        <f>IF(Source!AC12&lt;&gt;"", Source!AC12," ")</f>
        <v>Ведущий инженер-сметчик</v>
      </c>
      <c r="D176" s="73"/>
      <c r="E176" s="73"/>
      <c r="F176" s="73"/>
      <c r="G176" s="73"/>
      <c r="H176" s="20" t="str">
        <f>IF(Source!AB12&lt;&gt;"", Source!AB12," ")</f>
        <v>О.А.Гришечкина</v>
      </c>
      <c r="I176" s="20"/>
      <c r="J176" s="20"/>
      <c r="K176" s="20"/>
    </row>
    <row r="177" spans="1:11" ht="14" x14ac:dyDescent="0.3">
      <c r="A177" s="17"/>
      <c r="B177" s="17"/>
      <c r="C177" s="26" t="s">
        <v>337</v>
      </c>
      <c r="D177" s="26"/>
      <c r="E177" s="26"/>
      <c r="F177" s="26"/>
      <c r="G177" s="26"/>
      <c r="H177" s="17"/>
      <c r="I177" s="17"/>
      <c r="J177" s="17"/>
      <c r="K177" s="17"/>
    </row>
    <row r="178" spans="1:11" ht="14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spans="1:11" ht="14" x14ac:dyDescent="0.3">
      <c r="A179" s="72" t="s">
        <v>338</v>
      </c>
      <c r="B179" s="72"/>
      <c r="C179" s="73" t="str">
        <f>IF(Source!AE12&lt;&gt;"", Source!AE12," ")</f>
        <v>Начальник отдела</v>
      </c>
      <c r="D179" s="73"/>
      <c r="E179" s="73"/>
      <c r="F179" s="73"/>
      <c r="G179" s="73"/>
      <c r="H179" s="20" t="str">
        <f>IF(Source!AD12&lt;&gt;"", Source!AD12," ")</f>
        <v>И.В.Феденко</v>
      </c>
      <c r="I179" s="20"/>
      <c r="J179" s="20"/>
      <c r="K179" s="20"/>
    </row>
    <row r="180" spans="1:11" ht="14" x14ac:dyDescent="0.3">
      <c r="A180" s="17"/>
      <c r="B180" s="17"/>
      <c r="C180" s="26" t="s">
        <v>337</v>
      </c>
      <c r="D180" s="26"/>
      <c r="E180" s="26"/>
      <c r="F180" s="26"/>
      <c r="G180" s="26"/>
      <c r="H180" s="17"/>
      <c r="I180" s="17"/>
      <c r="J180" s="17"/>
      <c r="K180" s="17"/>
    </row>
  </sheetData>
  <mergeCells count="120">
    <mergeCell ref="A179:B179"/>
    <mergeCell ref="H179:K179"/>
    <mergeCell ref="C180:G180"/>
    <mergeCell ref="J171:K171"/>
    <mergeCell ref="H171:I171"/>
    <mergeCell ref="A171:G171"/>
    <mergeCell ref="A176:B176"/>
    <mergeCell ref="H176:K176"/>
    <mergeCell ref="C177:G177"/>
    <mergeCell ref="H160:I160"/>
    <mergeCell ref="J160:K160"/>
    <mergeCell ref="J163:K163"/>
    <mergeCell ref="H163:I163"/>
    <mergeCell ref="A163:G163"/>
    <mergeCell ref="J167:K167"/>
    <mergeCell ref="H167:I167"/>
    <mergeCell ref="A167:G167"/>
    <mergeCell ref="H153:I153"/>
    <mergeCell ref="J153:K153"/>
    <mergeCell ref="H154:I154"/>
    <mergeCell ref="J154:K154"/>
    <mergeCell ref="H157:I157"/>
    <mergeCell ref="J157:K157"/>
    <mergeCell ref="J141:K141"/>
    <mergeCell ref="H141:I141"/>
    <mergeCell ref="A141:G141"/>
    <mergeCell ref="A145:K145"/>
    <mergeCell ref="H152:I152"/>
    <mergeCell ref="J152:K152"/>
    <mergeCell ref="H134:I134"/>
    <mergeCell ref="J134:K134"/>
    <mergeCell ref="H135:I135"/>
    <mergeCell ref="J135:K135"/>
    <mergeCell ref="H138:I138"/>
    <mergeCell ref="J138:K138"/>
    <mergeCell ref="J122:K122"/>
    <mergeCell ref="H122:I122"/>
    <mergeCell ref="A122:G122"/>
    <mergeCell ref="A126:K126"/>
    <mergeCell ref="H133:I133"/>
    <mergeCell ref="J133:K133"/>
    <mergeCell ref="H115:I115"/>
    <mergeCell ref="J115:K115"/>
    <mergeCell ref="H116:I116"/>
    <mergeCell ref="J116:K116"/>
    <mergeCell ref="H119:I119"/>
    <mergeCell ref="J119:K119"/>
    <mergeCell ref="H103:I103"/>
    <mergeCell ref="J103:K103"/>
    <mergeCell ref="H106:I106"/>
    <mergeCell ref="J106:K106"/>
    <mergeCell ref="H114:I114"/>
    <mergeCell ref="J114:K114"/>
    <mergeCell ref="H92:I92"/>
    <mergeCell ref="J92:K92"/>
    <mergeCell ref="H101:I101"/>
    <mergeCell ref="J101:K101"/>
    <mergeCell ref="H102:I102"/>
    <mergeCell ref="J102:K102"/>
    <mergeCell ref="H87:I87"/>
    <mergeCell ref="J87:K87"/>
    <mergeCell ref="H88:I88"/>
    <mergeCell ref="J88:K88"/>
    <mergeCell ref="H89:I89"/>
    <mergeCell ref="J89:K89"/>
    <mergeCell ref="H73:I73"/>
    <mergeCell ref="J73:K73"/>
    <mergeCell ref="J76:K76"/>
    <mergeCell ref="H76:I76"/>
    <mergeCell ref="A76:G76"/>
    <mergeCell ref="A80:K80"/>
    <mergeCell ref="H64:I64"/>
    <mergeCell ref="J64:K64"/>
    <mergeCell ref="H71:I71"/>
    <mergeCell ref="J71:K71"/>
    <mergeCell ref="H72:I72"/>
    <mergeCell ref="J72:K72"/>
    <mergeCell ref="H55:I55"/>
    <mergeCell ref="J55:K55"/>
    <mergeCell ref="H62:I62"/>
    <mergeCell ref="J62:K62"/>
    <mergeCell ref="H63:I63"/>
    <mergeCell ref="J63:K63"/>
    <mergeCell ref="H46:I46"/>
    <mergeCell ref="J46:K46"/>
    <mergeCell ref="H53:I53"/>
    <mergeCell ref="J53:K53"/>
    <mergeCell ref="H54:I54"/>
    <mergeCell ref="J54:K54"/>
    <mergeCell ref="A32:K32"/>
    <mergeCell ref="A36:K36"/>
    <mergeCell ref="A38:K38"/>
    <mergeCell ref="H44:I44"/>
    <mergeCell ref="J44:K44"/>
    <mergeCell ref="H45:I45"/>
    <mergeCell ref="J45:K45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4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79"/>
  <sheetViews>
    <sheetView workbookViewId="0">
      <selection activeCell="A275" sqref="A275:AX275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271</v>
      </c>
      <c r="C12" s="10">
        <v>0</v>
      </c>
      <c r="D12" s="10">
        <f>ROW(A230)</f>
        <v>230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4097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8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10</v>
      </c>
      <c r="AC12" s="10" t="s">
        <v>11</v>
      </c>
      <c r="AD12" s="10" t="s">
        <v>12</v>
      </c>
      <c r="AE12" s="10" t="s">
        <v>13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14</v>
      </c>
      <c r="BI12" s="10" t="s">
        <v>15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16</v>
      </c>
      <c r="BZ12" s="10" t="s">
        <v>17</v>
      </c>
      <c r="CA12" s="10" t="s">
        <v>18</v>
      </c>
      <c r="CB12" s="10" t="s">
        <v>18</v>
      </c>
      <c r="CC12" s="10" t="s">
        <v>18</v>
      </c>
      <c r="CD12" s="10" t="s">
        <v>18</v>
      </c>
      <c r="CE12" s="10" t="s">
        <v>19</v>
      </c>
      <c r="CF12" s="10">
        <v>0</v>
      </c>
      <c r="CG12" s="10">
        <v>0</v>
      </c>
      <c r="CH12" s="10">
        <v>8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20</v>
      </c>
      <c r="CR12" s="10" t="s">
        <v>21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B230</f>
        <v>271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02-01-16</v>
      </c>
      <c r="G18" s="11" t="str">
        <f t="shared" si="0"/>
        <v>02-01-16 Электрочасофикация 15.07</v>
      </c>
      <c r="H18" s="11"/>
      <c r="I18" s="11"/>
      <c r="J18" s="11"/>
      <c r="K18" s="11"/>
      <c r="L18" s="11"/>
      <c r="M18" s="11"/>
      <c r="N18" s="11"/>
      <c r="O18" s="11">
        <f t="shared" ref="O18:AT18" si="1">O230</f>
        <v>134852.23000000001</v>
      </c>
      <c r="P18" s="11">
        <f t="shared" si="1"/>
        <v>134583.43</v>
      </c>
      <c r="Q18" s="11">
        <f t="shared" si="1"/>
        <v>0.63</v>
      </c>
      <c r="R18" s="11">
        <f t="shared" si="1"/>
        <v>0.1</v>
      </c>
      <c r="S18" s="11">
        <f t="shared" si="1"/>
        <v>268.17</v>
      </c>
      <c r="T18" s="11">
        <f t="shared" si="1"/>
        <v>0</v>
      </c>
      <c r="U18" s="11">
        <f t="shared" si="1"/>
        <v>21.315977999999998</v>
      </c>
      <c r="V18" s="11">
        <f t="shared" si="1"/>
        <v>0</v>
      </c>
      <c r="W18" s="11">
        <f t="shared" si="1"/>
        <v>0</v>
      </c>
      <c r="X18" s="11">
        <f t="shared" si="1"/>
        <v>242.43</v>
      </c>
      <c r="Y18" s="11">
        <f t="shared" si="1"/>
        <v>124.79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134477.79999999999</v>
      </c>
      <c r="AQ18" s="11">
        <f t="shared" si="1"/>
        <v>0</v>
      </c>
      <c r="AR18" s="11">
        <f t="shared" si="1"/>
        <v>135219.45000000001</v>
      </c>
      <c r="AS18" s="11">
        <f t="shared" si="1"/>
        <v>0</v>
      </c>
      <c r="AT18" s="11">
        <f t="shared" si="1"/>
        <v>741.65</v>
      </c>
      <c r="AU18" s="11">
        <f t="shared" ref="AU18:BZ18" si="2">AU230</f>
        <v>0</v>
      </c>
      <c r="AV18" s="11">
        <f t="shared" si="2"/>
        <v>134583.43</v>
      </c>
      <c r="AW18" s="11">
        <f t="shared" si="2"/>
        <v>105.63</v>
      </c>
      <c r="AX18" s="11">
        <f t="shared" si="2"/>
        <v>0</v>
      </c>
      <c r="AY18" s="11">
        <f t="shared" si="2"/>
        <v>105.63</v>
      </c>
      <c r="AZ18" s="11">
        <f t="shared" si="2"/>
        <v>134477.79999999999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CA230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DG230</f>
        <v>1033952.32</v>
      </c>
      <c r="DH18" s="12">
        <f t="shared" si="4"/>
        <v>1018830.21</v>
      </c>
      <c r="DI18" s="12">
        <f t="shared" si="4"/>
        <v>10.72</v>
      </c>
      <c r="DJ18" s="12">
        <f t="shared" si="4"/>
        <v>5.64</v>
      </c>
      <c r="DK18" s="12">
        <f t="shared" si="4"/>
        <v>15111.39</v>
      </c>
      <c r="DL18" s="12">
        <f t="shared" si="4"/>
        <v>0</v>
      </c>
      <c r="DM18" s="12">
        <f t="shared" si="4"/>
        <v>21.315977999999998</v>
      </c>
      <c r="DN18" s="12">
        <f t="shared" si="4"/>
        <v>0</v>
      </c>
      <c r="DO18" s="12">
        <f t="shared" si="4"/>
        <v>0</v>
      </c>
      <c r="DP18" s="12">
        <f t="shared" si="4"/>
        <v>13661.39</v>
      </c>
      <c r="DQ18" s="12">
        <f t="shared" si="4"/>
        <v>7032.32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1017996.94</v>
      </c>
      <c r="EI18" s="12">
        <f t="shared" si="4"/>
        <v>0</v>
      </c>
      <c r="EJ18" s="12">
        <f t="shared" si="4"/>
        <v>1054646.03</v>
      </c>
      <c r="EK18" s="12">
        <f t="shared" si="4"/>
        <v>0</v>
      </c>
      <c r="EL18" s="12">
        <f t="shared" si="4"/>
        <v>36649.089999999997</v>
      </c>
      <c r="EM18" s="12">
        <f t="shared" ref="EM18:FR18" si="5">EM230</f>
        <v>0</v>
      </c>
      <c r="EN18" s="12">
        <f t="shared" si="5"/>
        <v>1018830.21</v>
      </c>
      <c r="EO18" s="12">
        <f t="shared" si="5"/>
        <v>833.27</v>
      </c>
      <c r="EP18" s="12">
        <f t="shared" si="5"/>
        <v>0</v>
      </c>
      <c r="EQ18" s="12">
        <f t="shared" si="5"/>
        <v>833.27</v>
      </c>
      <c r="ER18" s="12">
        <f t="shared" si="5"/>
        <v>1017996.94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FS230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ROW(A200)</f>
        <v>200</v>
      </c>
      <c r="E20" s="10"/>
      <c r="F20" s="10" t="s">
        <v>5</v>
      </c>
      <c r="G20" s="10" t="s">
        <v>22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B200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02-01-16</v>
      </c>
      <c r="G22" s="11" t="str">
        <f t="shared" si="7"/>
        <v>Электрочасофикация</v>
      </c>
      <c r="H22" s="11"/>
      <c r="I22" s="11"/>
      <c r="J22" s="11"/>
      <c r="K22" s="11"/>
      <c r="L22" s="11"/>
      <c r="M22" s="11"/>
      <c r="N22" s="11"/>
      <c r="O22" s="11">
        <f t="shared" ref="O22:AT22" si="8">O200</f>
        <v>134852.23000000001</v>
      </c>
      <c r="P22" s="11">
        <f t="shared" si="8"/>
        <v>134583.43</v>
      </c>
      <c r="Q22" s="11">
        <f t="shared" si="8"/>
        <v>0.63</v>
      </c>
      <c r="R22" s="11">
        <f t="shared" si="8"/>
        <v>0.1</v>
      </c>
      <c r="S22" s="11">
        <f t="shared" si="8"/>
        <v>268.17</v>
      </c>
      <c r="T22" s="11">
        <f t="shared" si="8"/>
        <v>0</v>
      </c>
      <c r="U22" s="11">
        <f t="shared" si="8"/>
        <v>21.315977999999998</v>
      </c>
      <c r="V22" s="11">
        <f t="shared" si="8"/>
        <v>0</v>
      </c>
      <c r="W22" s="11">
        <f t="shared" si="8"/>
        <v>0</v>
      </c>
      <c r="X22" s="11">
        <f t="shared" si="8"/>
        <v>242.43</v>
      </c>
      <c r="Y22" s="11">
        <f t="shared" si="8"/>
        <v>124.79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134477.79999999999</v>
      </c>
      <c r="AQ22" s="11">
        <f t="shared" si="8"/>
        <v>0</v>
      </c>
      <c r="AR22" s="11">
        <f t="shared" si="8"/>
        <v>135219.45000000001</v>
      </c>
      <c r="AS22" s="11">
        <f t="shared" si="8"/>
        <v>0</v>
      </c>
      <c r="AT22" s="11">
        <f t="shared" si="8"/>
        <v>741.65</v>
      </c>
      <c r="AU22" s="11">
        <f t="shared" ref="AU22:BZ22" si="9">AU200</f>
        <v>0</v>
      </c>
      <c r="AV22" s="11">
        <f t="shared" si="9"/>
        <v>134583.43</v>
      </c>
      <c r="AW22" s="11">
        <f t="shared" si="9"/>
        <v>105.63</v>
      </c>
      <c r="AX22" s="11">
        <f t="shared" si="9"/>
        <v>0</v>
      </c>
      <c r="AY22" s="11">
        <f t="shared" si="9"/>
        <v>105.63</v>
      </c>
      <c r="AZ22" s="11">
        <f t="shared" si="9"/>
        <v>134477.79999999999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CA200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DG200</f>
        <v>1033952.32</v>
      </c>
      <c r="DH22" s="12">
        <f t="shared" si="11"/>
        <v>1018830.21</v>
      </c>
      <c r="DI22" s="12">
        <f t="shared" si="11"/>
        <v>10.72</v>
      </c>
      <c r="DJ22" s="12">
        <f t="shared" si="11"/>
        <v>5.64</v>
      </c>
      <c r="DK22" s="12">
        <f t="shared" si="11"/>
        <v>15111.39</v>
      </c>
      <c r="DL22" s="12">
        <f t="shared" si="11"/>
        <v>0</v>
      </c>
      <c r="DM22" s="12">
        <f t="shared" si="11"/>
        <v>21.315977999999998</v>
      </c>
      <c r="DN22" s="12">
        <f t="shared" si="11"/>
        <v>0</v>
      </c>
      <c r="DO22" s="12">
        <f t="shared" si="11"/>
        <v>0</v>
      </c>
      <c r="DP22" s="12">
        <f t="shared" si="11"/>
        <v>13661.39</v>
      </c>
      <c r="DQ22" s="12">
        <f t="shared" si="11"/>
        <v>7032.32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1017996.94</v>
      </c>
      <c r="EI22" s="12">
        <f t="shared" si="11"/>
        <v>0</v>
      </c>
      <c r="EJ22" s="12">
        <f t="shared" si="11"/>
        <v>1054646.03</v>
      </c>
      <c r="EK22" s="12">
        <f t="shared" si="11"/>
        <v>0</v>
      </c>
      <c r="EL22" s="12">
        <f t="shared" si="11"/>
        <v>36649.089999999997</v>
      </c>
      <c r="EM22" s="12">
        <f t="shared" ref="EM22:FR22" si="12">EM200</f>
        <v>0</v>
      </c>
      <c r="EN22" s="12">
        <f t="shared" si="12"/>
        <v>1018830.21</v>
      </c>
      <c r="EO22" s="12">
        <f t="shared" si="12"/>
        <v>833.27</v>
      </c>
      <c r="EP22" s="12">
        <f t="shared" si="12"/>
        <v>0</v>
      </c>
      <c r="EQ22" s="12">
        <f t="shared" si="12"/>
        <v>833.27</v>
      </c>
      <c r="ER22" s="12">
        <f t="shared" si="12"/>
        <v>1017996.94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FS200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ROW(A37)</f>
        <v>37</v>
      </c>
      <c r="E24" s="10"/>
      <c r="F24" s="10" t="s">
        <v>23</v>
      </c>
      <c r="G24" s="10" t="s">
        <v>24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B37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O37</f>
        <v>62.38</v>
      </c>
      <c r="P26" s="11">
        <f t="shared" si="15"/>
        <v>0</v>
      </c>
      <c r="Q26" s="11">
        <f t="shared" si="15"/>
        <v>0</v>
      </c>
      <c r="R26" s="11">
        <f t="shared" si="15"/>
        <v>0</v>
      </c>
      <c r="S26" s="11">
        <f t="shared" si="15"/>
        <v>62.38</v>
      </c>
      <c r="T26" s="11">
        <f t="shared" si="15"/>
        <v>0</v>
      </c>
      <c r="U26" s="11">
        <f t="shared" si="15"/>
        <v>4.789292399999999</v>
      </c>
      <c r="V26" s="11">
        <f t="shared" si="15"/>
        <v>0</v>
      </c>
      <c r="W26" s="11">
        <f t="shared" si="15"/>
        <v>0</v>
      </c>
      <c r="X26" s="11">
        <f t="shared" si="15"/>
        <v>57.13</v>
      </c>
      <c r="Y26" s="11">
        <f t="shared" si="15"/>
        <v>30.08</v>
      </c>
      <c r="Z26" s="11">
        <f t="shared" si="15"/>
        <v>0</v>
      </c>
      <c r="AA26" s="11">
        <f t="shared" si="15"/>
        <v>0</v>
      </c>
      <c r="AB26" s="11">
        <f t="shared" si="15"/>
        <v>62.38</v>
      </c>
      <c r="AC26" s="11">
        <f t="shared" si="15"/>
        <v>0</v>
      </c>
      <c r="AD26" s="11">
        <f t="shared" si="15"/>
        <v>0</v>
      </c>
      <c r="AE26" s="11">
        <f t="shared" si="15"/>
        <v>0</v>
      </c>
      <c r="AF26" s="11">
        <f t="shared" si="15"/>
        <v>62.38</v>
      </c>
      <c r="AG26" s="11">
        <f t="shared" si="15"/>
        <v>0</v>
      </c>
      <c r="AH26" s="11">
        <f t="shared" si="15"/>
        <v>4.789292399999999</v>
      </c>
      <c r="AI26" s="11">
        <f t="shared" si="15"/>
        <v>0</v>
      </c>
      <c r="AJ26" s="11">
        <f t="shared" si="15"/>
        <v>0</v>
      </c>
      <c r="AK26" s="11">
        <f t="shared" si="15"/>
        <v>57.13</v>
      </c>
      <c r="AL26" s="11">
        <f t="shared" si="15"/>
        <v>30.08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149.59</v>
      </c>
      <c r="AS26" s="11">
        <f t="shared" si="15"/>
        <v>0</v>
      </c>
      <c r="AT26" s="11">
        <f t="shared" si="15"/>
        <v>149.59</v>
      </c>
      <c r="AU26" s="11">
        <f t="shared" ref="AU26:BZ26" si="16">AU37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CA37</f>
        <v>149.59</v>
      </c>
      <c r="CB26" s="11">
        <f t="shared" si="17"/>
        <v>0</v>
      </c>
      <c r="CC26" s="11">
        <f t="shared" si="17"/>
        <v>149.59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DG37</f>
        <v>3515.12</v>
      </c>
      <c r="DH26" s="12">
        <f t="shared" si="18"/>
        <v>0</v>
      </c>
      <c r="DI26" s="12">
        <f t="shared" si="18"/>
        <v>0</v>
      </c>
      <c r="DJ26" s="12">
        <f t="shared" si="18"/>
        <v>0</v>
      </c>
      <c r="DK26" s="12">
        <f t="shared" si="18"/>
        <v>3515.12</v>
      </c>
      <c r="DL26" s="12">
        <f t="shared" si="18"/>
        <v>0</v>
      </c>
      <c r="DM26" s="12">
        <f t="shared" si="18"/>
        <v>4.789292399999999</v>
      </c>
      <c r="DN26" s="12">
        <f t="shared" si="18"/>
        <v>0</v>
      </c>
      <c r="DO26" s="12">
        <f t="shared" si="18"/>
        <v>0</v>
      </c>
      <c r="DP26" s="12">
        <f t="shared" si="18"/>
        <v>3219.68</v>
      </c>
      <c r="DQ26" s="12">
        <f t="shared" si="18"/>
        <v>1695.45</v>
      </c>
      <c r="DR26" s="12">
        <f t="shared" si="18"/>
        <v>0</v>
      </c>
      <c r="DS26" s="12">
        <f t="shared" si="18"/>
        <v>0</v>
      </c>
      <c r="DT26" s="12">
        <f t="shared" si="18"/>
        <v>3515.12</v>
      </c>
      <c r="DU26" s="12">
        <f t="shared" si="18"/>
        <v>0</v>
      </c>
      <c r="DV26" s="12">
        <f t="shared" si="18"/>
        <v>0</v>
      </c>
      <c r="DW26" s="12">
        <f t="shared" si="18"/>
        <v>0</v>
      </c>
      <c r="DX26" s="12">
        <f t="shared" si="18"/>
        <v>3515.12</v>
      </c>
      <c r="DY26" s="12">
        <f t="shared" si="18"/>
        <v>0</v>
      </c>
      <c r="DZ26" s="12">
        <f t="shared" si="18"/>
        <v>4.789292399999999</v>
      </c>
      <c r="EA26" s="12">
        <f t="shared" si="18"/>
        <v>0</v>
      </c>
      <c r="EB26" s="12">
        <f t="shared" si="18"/>
        <v>0</v>
      </c>
      <c r="EC26" s="12">
        <f t="shared" si="18"/>
        <v>3219.68</v>
      </c>
      <c r="ED26" s="12">
        <f t="shared" si="18"/>
        <v>1695.45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8430.25</v>
      </c>
      <c r="EK26" s="12">
        <f t="shared" si="18"/>
        <v>0</v>
      </c>
      <c r="EL26" s="12">
        <f t="shared" si="18"/>
        <v>8430.25</v>
      </c>
      <c r="EM26" s="12">
        <f t="shared" ref="EM26:FR26" si="19">EM37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FS37</f>
        <v>8430.25</v>
      </c>
      <c r="FT26" s="12">
        <f t="shared" si="20"/>
        <v>0</v>
      </c>
      <c r="FU26" s="12">
        <f t="shared" si="20"/>
        <v>8430.25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ROW(SmtRes!A3)</f>
        <v>3</v>
      </c>
      <c r="D28" s="2">
        <f>ROW(EtalonRes!A3)</f>
        <v>3</v>
      </c>
      <c r="E28" s="2" t="s">
        <v>25</v>
      </c>
      <c r="F28" s="2" t="s">
        <v>26</v>
      </c>
      <c r="G28" s="2" t="s">
        <v>27</v>
      </c>
      <c r="H28" s="2" t="s">
        <v>28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35" si="21">ROUND(CP28,2)</f>
        <v>15.57</v>
      </c>
      <c r="P28" s="2">
        <f t="shared" ref="P28:P35" si="22">ROUND((ROUND((AC28*AW28*I28),2)*BC28),2)</f>
        <v>0</v>
      </c>
      <c r="Q28" s="2">
        <f t="shared" ref="Q28:Q35" si="23">(ROUND((ROUND(((((ET28*1.2)*0.3))*AV28*I28),2)*BB28),2)+ROUND((ROUND(((AE28-(((EU28*1.2)*0.3)))*AV28*I28),2)*BS28),2))</f>
        <v>0</v>
      </c>
      <c r="R28" s="2">
        <f t="shared" ref="R28:R35" si="24">(ROUND((ROUND(((((EU28*1.2)*0.3))*AV28*I28),2)*BS28),2)+ROUND((ROUND(((AE28-(((EU28*1.2)*0.3)))*AV28*I28),2)*BS28),2))</f>
        <v>0</v>
      </c>
      <c r="S28" s="2">
        <f t="shared" ref="S28:S35" si="25">ROUND((ROUND((AF28*AV28*I28),2)*BA28),2)</f>
        <v>15.57</v>
      </c>
      <c r="T28" s="2">
        <f t="shared" ref="T28:T35" si="26">ROUND(CU28*I28,2)</f>
        <v>0</v>
      </c>
      <c r="U28" s="2">
        <f t="shared" ref="U28:U35" si="27">CV28*I28</f>
        <v>1.1307599999999998</v>
      </c>
      <c r="V28" s="2">
        <f t="shared" ref="V28:V35" si="28">CW28*I28</f>
        <v>0</v>
      </c>
      <c r="W28" s="2">
        <f t="shared" ref="W28:W35" si="29">ROUND(CX28*I28,2)</f>
        <v>0</v>
      </c>
      <c r="X28" s="2">
        <f t="shared" ref="X28:X35" si="30">(ROUND((((S28+ROUND((ROUND(((((EU28*1.2)*0.3))*AV28*I28),2)*BS28),2))*AT28)/100),2)+ROUND(((ROUND((ROUND(((AE28-(((EU28*1.2)*0.3)))*AV28*I28),2)*BS28),2)*AT28)/100),2))</f>
        <v>14.01</v>
      </c>
      <c r="Y28" s="2">
        <f t="shared" ref="Y28:Y35" si="31">(ROUND((((S28+ROUND((ROUND(((((EU28*1.2)*0.3))*AV28*I28),2)*BS28),2))*AU28)/100),2)+ROUND(((ROUND((ROUND(((AE28-(((EU28*1.2)*0.3)))*AV28*I28),2)*BS28),2)*AU28)/100),2))</f>
        <v>7.16</v>
      </c>
      <c r="Z28" s="2"/>
      <c r="AA28" s="2">
        <v>55942966</v>
      </c>
      <c r="AB28" s="2">
        <f t="shared" ref="AB28:AB35" si="32">ROUND((AC28+AD28+AF28),6)</f>
        <v>14.871600000000001</v>
      </c>
      <c r="AC28" s="2">
        <f t="shared" ref="AC28:AC35" si="33">ROUND((((ES28*1)*0)),6)</f>
        <v>0</v>
      </c>
      <c r="AD28" s="2">
        <f t="shared" ref="AD28:AD35" si="34">ROUND((((((ET28*1.2)*0.3))-(((EU28*1.2)*0.3)))+AE28),6)</f>
        <v>0</v>
      </c>
      <c r="AE28" s="2">
        <f t="shared" ref="AE28:AF35" si="35">ROUND((((EU28*1.2)*0.3)),6)</f>
        <v>0</v>
      </c>
      <c r="AF28" s="2">
        <f t="shared" si="35"/>
        <v>14.871600000000001</v>
      </c>
      <c r="AG28" s="2">
        <f t="shared" ref="AG28:AG35" si="36">ROUND((AP28),6)</f>
        <v>0</v>
      </c>
      <c r="AH28" s="2">
        <f t="shared" ref="AH28:AI35" si="37">(((EW28*1.2)*0.3))</f>
        <v>1.0799999999999998</v>
      </c>
      <c r="AI28" s="2">
        <f t="shared" si="37"/>
        <v>0</v>
      </c>
      <c r="AJ28" s="2">
        <f t="shared" ref="AJ28:AJ35" si="38">(AS28)</f>
        <v>0</v>
      </c>
      <c r="AK28" s="2">
        <v>41.77</v>
      </c>
      <c r="AL28" s="2">
        <v>0.46</v>
      </c>
      <c r="AM28" s="2">
        <v>0</v>
      </c>
      <c r="AN28" s="2">
        <v>0</v>
      </c>
      <c r="AO28" s="2">
        <v>41.31</v>
      </c>
      <c r="AP28" s="2">
        <v>0</v>
      </c>
      <c r="AQ28" s="2">
        <v>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29</v>
      </c>
      <c r="BK28" s="2"/>
      <c r="BL28" s="2"/>
      <c r="BM28" s="2">
        <v>68</v>
      </c>
      <c r="BN28" s="2">
        <v>0</v>
      </c>
      <c r="BO28" s="2" t="s">
        <v>26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284</v>
      </c>
      <c r="CO28" s="2">
        <v>0</v>
      </c>
      <c r="CP28" s="2">
        <f t="shared" ref="CP28:CP35" si="39">(P28+Q28+S28)</f>
        <v>15.57</v>
      </c>
      <c r="CQ28" s="2">
        <f t="shared" ref="CQ28:CQ35" si="40">ROUND((ROUND((AC28*AW28*1),2)*BC28),2)</f>
        <v>0</v>
      </c>
      <c r="CR28" s="2">
        <f t="shared" ref="CR28:CR35" si="41">(ROUND((ROUND(((((ET28*1.2)*0.3))*AV28*1),2)*BB28),2)+ROUND((ROUND(((AE28-(((EU28*1.2)*0.3)))*AV28*1),2)*BS28),2))</f>
        <v>0</v>
      </c>
      <c r="CS28" s="2">
        <f t="shared" ref="CS28:CS35" si="42">(ROUND((ROUND(((((EU28*1.2)*0.3))*AV28*1),2)*BS28),2)+ROUND((ROUND(((AE28-(((EU28*1.2)*0.3)))*AV28*1),2)*BS28),2))</f>
        <v>0</v>
      </c>
      <c r="CT28" s="2">
        <f t="shared" ref="CT28:CT35" si="43">ROUND((ROUND((AF28*AV28*1),2)*BA28),2)</f>
        <v>15.57</v>
      </c>
      <c r="CU28" s="2">
        <f t="shared" ref="CU28:CU35" si="44">AG28</f>
        <v>0</v>
      </c>
      <c r="CV28" s="2">
        <f t="shared" ref="CV28:CV35" si="45">(AH28*AV28)</f>
        <v>1.1307599999999998</v>
      </c>
      <c r="CW28" s="2">
        <f t="shared" ref="CW28:CX35" si="46">AI28</f>
        <v>0</v>
      </c>
      <c r="CX28" s="2">
        <f t="shared" si="46"/>
        <v>0</v>
      </c>
      <c r="CY28" s="2">
        <f t="shared" ref="CY28:CY35" si="47">(ROUND((((S28+ROUND((ROUND(((((EU28*1.2)*0.3))*AV28*1),2)*BS28),2))*AT28)/100),2)+ROUND(((ROUND((ROUND(((AE28-(((EU28*1.2)*0.3)))*AV28*1),2)*BS28),2)*AT28)/100),2))</f>
        <v>14.01</v>
      </c>
      <c r="CZ28" s="2">
        <f t="shared" ref="CZ28:CZ35" si="48">(ROUND((((S28+ROUND((ROUND(((((EU28*1.2)*0.3))*AV28*1),2)*BS28),2))*AU28)/100),2)+ROUND(((ROUND((ROUND(((AE28-(((EU28*1.2)*0.3)))*AV28*1),2)*BS28),2)*AU28)/100),2))</f>
        <v>7.16</v>
      </c>
      <c r="DA28" s="2"/>
      <c r="DB28" s="2">
        <v>1</v>
      </c>
      <c r="DC28" s="2" t="s">
        <v>3</v>
      </c>
      <c r="DD28" s="2" t="s">
        <v>30</v>
      </c>
      <c r="DE28" s="2" t="s">
        <v>31</v>
      </c>
      <c r="DF28" s="2" t="s">
        <v>31</v>
      </c>
      <c r="DG28" s="2" t="s">
        <v>31</v>
      </c>
      <c r="DH28" s="2" t="s">
        <v>3</v>
      </c>
      <c r="DI28" s="2" t="s">
        <v>31</v>
      </c>
      <c r="DJ28" s="2" t="s">
        <v>31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28</v>
      </c>
      <c r="DW28" s="2" t="s">
        <v>28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55393972</v>
      </c>
      <c r="EF28" s="2">
        <v>40</v>
      </c>
      <c r="EG28" s="2" t="s">
        <v>32</v>
      </c>
      <c r="EH28" s="2">
        <v>0</v>
      </c>
      <c r="EI28" s="2" t="s">
        <v>3</v>
      </c>
      <c r="EJ28" s="2">
        <v>2</v>
      </c>
      <c r="EK28" s="2">
        <v>68</v>
      </c>
      <c r="EL28" s="2" t="s">
        <v>33</v>
      </c>
      <c r="EM28" s="2" t="s">
        <v>34</v>
      </c>
      <c r="EN28" s="2"/>
      <c r="EO28" s="2" t="s">
        <v>35</v>
      </c>
      <c r="EP28" s="2"/>
      <c r="EQ28" s="2">
        <v>0</v>
      </c>
      <c r="ER28" s="2">
        <v>41.77</v>
      </c>
      <c r="ES28" s="2">
        <v>0.46</v>
      </c>
      <c r="ET28" s="2">
        <v>0</v>
      </c>
      <c r="EU28" s="2">
        <v>0</v>
      </c>
      <c r="EV28" s="2">
        <v>41.31</v>
      </c>
      <c r="EW28" s="2">
        <v>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1212227501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5" si="49">ROUND(IF(AND(BH28=3,BI28=3,FS28&lt;&gt;0),P28,0),2)</f>
        <v>0</v>
      </c>
      <c r="GM28" s="2">
        <f t="shared" ref="GM28:GM35" si="50">ROUND(O28+X28+Y28,2)+GX28</f>
        <v>36.74</v>
      </c>
      <c r="GN28" s="2">
        <f t="shared" ref="GN28:GN35" si="51">IF(OR(BI28=0,BI28=1),GM28-GX28,0)</f>
        <v>0</v>
      </c>
      <c r="GO28" s="2">
        <f t="shared" ref="GO28:GO35" si="52">IF(BI28=2,GM28-GX28,0)</f>
        <v>36.74</v>
      </c>
      <c r="GP28" s="2">
        <f t="shared" ref="GP28:GP35" si="53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5" si="54">ROUND((GT28),6)</f>
        <v>0</v>
      </c>
      <c r="GW28" s="2">
        <v>1</v>
      </c>
      <c r="GX28" s="2">
        <f t="shared" ref="GX28:GX35" si="55">ROUND(HC28*I28,2)</f>
        <v>0</v>
      </c>
      <c r="GY28" s="2"/>
      <c r="GZ28" s="2"/>
      <c r="HA28" s="2">
        <v>0</v>
      </c>
      <c r="HB28" s="2">
        <v>0</v>
      </c>
      <c r="HC28" s="2">
        <f t="shared" ref="HC28:HC35" si="56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ROW(SmtRes!A6)</f>
        <v>6</v>
      </c>
      <c r="D29" s="3">
        <f>ROW(EtalonRes!A6)</f>
        <v>6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v>1</v>
      </c>
      <c r="J29" s="3">
        <v>0</v>
      </c>
      <c r="K29" s="3">
        <v>1</v>
      </c>
      <c r="O29" s="3">
        <f t="shared" si="21"/>
        <v>877.37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877.37</v>
      </c>
      <c r="T29" s="3">
        <f t="shared" si="26"/>
        <v>0</v>
      </c>
      <c r="U29" s="3">
        <f t="shared" si="27"/>
        <v>1.1307599999999998</v>
      </c>
      <c r="V29" s="3">
        <f t="shared" si="28"/>
        <v>0</v>
      </c>
      <c r="W29" s="3">
        <f t="shared" si="29"/>
        <v>0</v>
      </c>
      <c r="X29" s="3">
        <f t="shared" si="30"/>
        <v>789.63</v>
      </c>
      <c r="Y29" s="3">
        <f t="shared" si="31"/>
        <v>403.59</v>
      </c>
      <c r="AA29" s="3">
        <v>55942968</v>
      </c>
      <c r="AB29" s="3">
        <f t="shared" si="32"/>
        <v>14.871600000000001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5"/>
        <v>14.871600000000001</v>
      </c>
      <c r="AG29" s="3">
        <f t="shared" si="36"/>
        <v>0</v>
      </c>
      <c r="AH29" s="3">
        <f t="shared" si="37"/>
        <v>1.0799999999999998</v>
      </c>
      <c r="AI29" s="3">
        <f t="shared" si="37"/>
        <v>0</v>
      </c>
      <c r="AJ29" s="3">
        <f t="shared" si="38"/>
        <v>0</v>
      </c>
      <c r="AK29" s="3">
        <v>41.77</v>
      </c>
      <c r="AL29" s="3">
        <v>0.46</v>
      </c>
      <c r="AM29" s="3">
        <v>0</v>
      </c>
      <c r="AN29" s="3">
        <v>0</v>
      </c>
      <c r="AO29" s="3">
        <v>41.31</v>
      </c>
      <c r="AP29" s="3">
        <v>0</v>
      </c>
      <c r="AQ29" s="3">
        <v>3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</v>
      </c>
      <c r="BC29" s="3">
        <v>6.83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29</v>
      </c>
      <c r="BM29" s="3">
        <v>68</v>
      </c>
      <c r="BN29" s="3">
        <v>0</v>
      </c>
      <c r="BO29" s="3" t="s">
        <v>26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284</v>
      </c>
      <c r="CO29" s="3">
        <v>0</v>
      </c>
      <c r="CP29" s="3">
        <f t="shared" si="39"/>
        <v>877.37</v>
      </c>
      <c r="CQ29" s="3">
        <f t="shared" si="40"/>
        <v>0</v>
      </c>
      <c r="CR29" s="3">
        <f t="shared" si="41"/>
        <v>0</v>
      </c>
      <c r="CS29" s="3">
        <f t="shared" si="42"/>
        <v>0</v>
      </c>
      <c r="CT29" s="3">
        <f t="shared" si="43"/>
        <v>877.37</v>
      </c>
      <c r="CU29" s="3">
        <f t="shared" si="44"/>
        <v>0</v>
      </c>
      <c r="CV29" s="3">
        <f t="shared" si="45"/>
        <v>1.1307599999999998</v>
      </c>
      <c r="CW29" s="3">
        <f t="shared" si="46"/>
        <v>0</v>
      </c>
      <c r="CX29" s="3">
        <f t="shared" si="46"/>
        <v>0</v>
      </c>
      <c r="CY29" s="3">
        <f t="shared" si="47"/>
        <v>789.63</v>
      </c>
      <c r="CZ29" s="3">
        <f t="shared" si="48"/>
        <v>403.59</v>
      </c>
      <c r="DB29" s="3">
        <v>3</v>
      </c>
      <c r="DC29" s="3" t="s">
        <v>3</v>
      </c>
      <c r="DD29" s="3" t="s">
        <v>30</v>
      </c>
      <c r="DE29" s="3" t="s">
        <v>31</v>
      </c>
      <c r="DF29" s="3" t="s">
        <v>31</v>
      </c>
      <c r="DG29" s="3" t="s">
        <v>31</v>
      </c>
      <c r="DH29" s="3" t="s">
        <v>3</v>
      </c>
      <c r="DI29" s="3" t="s">
        <v>31</v>
      </c>
      <c r="DJ29" s="3" t="s">
        <v>31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28</v>
      </c>
      <c r="DW29" s="3" t="s">
        <v>28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55393972</v>
      </c>
      <c r="EF29" s="3">
        <v>40</v>
      </c>
      <c r="EG29" s="3" t="s">
        <v>32</v>
      </c>
      <c r="EH29" s="3">
        <v>0</v>
      </c>
      <c r="EI29" s="3" t="s">
        <v>3</v>
      </c>
      <c r="EJ29" s="3">
        <v>2</v>
      </c>
      <c r="EK29" s="3">
        <v>68</v>
      </c>
      <c r="EL29" s="3" t="s">
        <v>33</v>
      </c>
      <c r="EM29" s="3" t="s">
        <v>34</v>
      </c>
      <c r="EO29" s="3" t="s">
        <v>35</v>
      </c>
      <c r="EQ29" s="3">
        <v>0</v>
      </c>
      <c r="ER29" s="3">
        <v>41.77</v>
      </c>
      <c r="ES29" s="3">
        <v>0.46</v>
      </c>
      <c r="ET29" s="3">
        <v>0</v>
      </c>
      <c r="EU29" s="3">
        <v>0</v>
      </c>
      <c r="EV29" s="3">
        <v>41.31</v>
      </c>
      <c r="EW29" s="3">
        <v>3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1212227501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49"/>
        <v>0</v>
      </c>
      <c r="GM29" s="3">
        <f t="shared" si="50"/>
        <v>2070.59</v>
      </c>
      <c r="GN29" s="3">
        <f t="shared" si="51"/>
        <v>0</v>
      </c>
      <c r="GO29" s="3">
        <f t="shared" si="52"/>
        <v>2070.59</v>
      </c>
      <c r="GP29" s="3">
        <f t="shared" si="53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4"/>
        <v>0</v>
      </c>
      <c r="GW29" s="3">
        <v>1</v>
      </c>
      <c r="GX29" s="3">
        <f t="shared" si="55"/>
        <v>0</v>
      </c>
      <c r="HA29" s="3">
        <v>0</v>
      </c>
      <c r="HB29" s="3">
        <v>0</v>
      </c>
      <c r="HC29" s="3">
        <f t="shared" si="56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ROW(SmtRes!A8)</f>
        <v>8</v>
      </c>
      <c r="D30" s="2">
        <f>ROW(EtalonRes!A8)</f>
        <v>8</v>
      </c>
      <c r="E30" s="2" t="s">
        <v>36</v>
      </c>
      <c r="F30" s="2" t="s">
        <v>37</v>
      </c>
      <c r="G30" s="2" t="s">
        <v>38</v>
      </c>
      <c r="H30" s="2" t="s">
        <v>39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15.59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15.59</v>
      </c>
      <c r="T30" s="2">
        <f t="shared" si="26"/>
        <v>0</v>
      </c>
      <c r="U30" s="2">
        <f t="shared" si="27"/>
        <v>1.0839563999999997</v>
      </c>
      <c r="V30" s="2">
        <f t="shared" si="28"/>
        <v>0</v>
      </c>
      <c r="W30" s="2">
        <f t="shared" si="29"/>
        <v>0</v>
      </c>
      <c r="X30" s="2">
        <f t="shared" si="30"/>
        <v>14.81</v>
      </c>
      <c r="Y30" s="2">
        <f t="shared" si="31"/>
        <v>8.26</v>
      </c>
      <c r="Z30" s="2"/>
      <c r="AA30" s="2">
        <v>55942966</v>
      </c>
      <c r="AB30" s="2">
        <f t="shared" si="32"/>
        <v>14.346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5"/>
        <v>14.346</v>
      </c>
      <c r="AG30" s="2">
        <f t="shared" si="36"/>
        <v>0</v>
      </c>
      <c r="AH30" s="2">
        <f t="shared" si="37"/>
        <v>0.99719999999999986</v>
      </c>
      <c r="AI30" s="2">
        <f t="shared" si="37"/>
        <v>0</v>
      </c>
      <c r="AJ30" s="2">
        <f t="shared" si="38"/>
        <v>0</v>
      </c>
      <c r="AK30" s="2">
        <v>40.03</v>
      </c>
      <c r="AL30" s="2">
        <v>0.18</v>
      </c>
      <c r="AM30" s="2">
        <v>0</v>
      </c>
      <c r="AN30" s="2">
        <v>0</v>
      </c>
      <c r="AO30" s="2">
        <v>39.85</v>
      </c>
      <c r="AP30" s="2">
        <v>0</v>
      </c>
      <c r="AQ30" s="2">
        <v>2.77</v>
      </c>
      <c r="AR30" s="2">
        <v>0</v>
      </c>
      <c r="AS30" s="2">
        <v>0</v>
      </c>
      <c r="AT30" s="2">
        <v>95</v>
      </c>
      <c r="AU30" s="2">
        <v>53</v>
      </c>
      <c r="AV30" s="2">
        <v>1.087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40</v>
      </c>
      <c r="BK30" s="2"/>
      <c r="BL30" s="2"/>
      <c r="BM30" s="2">
        <v>69</v>
      </c>
      <c r="BN30" s="2">
        <v>0</v>
      </c>
      <c r="BO30" s="2" t="s">
        <v>37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95</v>
      </c>
      <c r="CA30" s="2">
        <v>53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284</v>
      </c>
      <c r="CO30" s="2">
        <v>0</v>
      </c>
      <c r="CP30" s="2">
        <f t="shared" si="39"/>
        <v>15.59</v>
      </c>
      <c r="CQ30" s="2">
        <f t="shared" si="40"/>
        <v>0</v>
      </c>
      <c r="CR30" s="2">
        <f t="shared" si="41"/>
        <v>0</v>
      </c>
      <c r="CS30" s="2">
        <f t="shared" si="42"/>
        <v>0</v>
      </c>
      <c r="CT30" s="2">
        <f t="shared" si="43"/>
        <v>15.59</v>
      </c>
      <c r="CU30" s="2">
        <f t="shared" si="44"/>
        <v>0</v>
      </c>
      <c r="CV30" s="2">
        <f t="shared" si="45"/>
        <v>1.0839563999999997</v>
      </c>
      <c r="CW30" s="2">
        <f t="shared" si="46"/>
        <v>0</v>
      </c>
      <c r="CX30" s="2">
        <f t="shared" si="46"/>
        <v>0</v>
      </c>
      <c r="CY30" s="2">
        <f t="shared" si="47"/>
        <v>14.81</v>
      </c>
      <c r="CZ30" s="2">
        <f t="shared" si="48"/>
        <v>8.26</v>
      </c>
      <c r="DA30" s="2"/>
      <c r="DB30" s="2">
        <v>5</v>
      </c>
      <c r="DC30" s="2" t="s">
        <v>3</v>
      </c>
      <c r="DD30" s="2" t="s">
        <v>30</v>
      </c>
      <c r="DE30" s="2" t="s">
        <v>31</v>
      </c>
      <c r="DF30" s="2" t="s">
        <v>31</v>
      </c>
      <c r="DG30" s="2" t="s">
        <v>31</v>
      </c>
      <c r="DH30" s="2" t="s">
        <v>3</v>
      </c>
      <c r="DI30" s="2" t="s">
        <v>31</v>
      </c>
      <c r="DJ30" s="2" t="s">
        <v>31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39</v>
      </c>
      <c r="DW30" s="2" t="s">
        <v>39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55393973</v>
      </c>
      <c r="EF30" s="2">
        <v>40</v>
      </c>
      <c r="EG30" s="2" t="s">
        <v>32</v>
      </c>
      <c r="EH30" s="2">
        <v>0</v>
      </c>
      <c r="EI30" s="2" t="s">
        <v>3</v>
      </c>
      <c r="EJ30" s="2">
        <v>2</v>
      </c>
      <c r="EK30" s="2">
        <v>69</v>
      </c>
      <c r="EL30" s="2" t="s">
        <v>41</v>
      </c>
      <c r="EM30" s="2" t="s">
        <v>42</v>
      </c>
      <c r="EN30" s="2"/>
      <c r="EO30" s="2" t="s">
        <v>35</v>
      </c>
      <c r="EP30" s="2"/>
      <c r="EQ30" s="2">
        <v>0</v>
      </c>
      <c r="ER30" s="2">
        <v>40.03</v>
      </c>
      <c r="ES30" s="2">
        <v>0.18</v>
      </c>
      <c r="ET30" s="2">
        <v>0</v>
      </c>
      <c r="EU30" s="2">
        <v>0</v>
      </c>
      <c r="EV30" s="2">
        <v>39.85</v>
      </c>
      <c r="EW30" s="2">
        <v>2.77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95</v>
      </c>
      <c r="FY30" s="2">
        <v>53</v>
      </c>
      <c r="FZ30" s="2"/>
      <c r="GA30" s="2" t="s">
        <v>3</v>
      </c>
      <c r="GB30" s="2"/>
      <c r="GC30" s="2"/>
      <c r="GD30" s="2">
        <v>1</v>
      </c>
      <c r="GE30" s="2"/>
      <c r="GF30" s="2">
        <v>338733022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49"/>
        <v>0</v>
      </c>
      <c r="GM30" s="2">
        <f t="shared" si="50"/>
        <v>38.659999999999997</v>
      </c>
      <c r="GN30" s="2">
        <f t="shared" si="51"/>
        <v>0</v>
      </c>
      <c r="GO30" s="2">
        <f t="shared" si="52"/>
        <v>38.659999999999997</v>
      </c>
      <c r="GP30" s="2">
        <f t="shared" si="53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4"/>
        <v>0</v>
      </c>
      <c r="GW30" s="2">
        <v>1</v>
      </c>
      <c r="GX30" s="2">
        <f t="shared" si="55"/>
        <v>0</v>
      </c>
      <c r="GY30" s="2"/>
      <c r="GZ30" s="2"/>
      <c r="HA30" s="2">
        <v>0</v>
      </c>
      <c r="HB30" s="2">
        <v>0</v>
      </c>
      <c r="HC30" s="2">
        <f t="shared" si="56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ROW(SmtRes!A10)</f>
        <v>10</v>
      </c>
      <c r="D31" s="3">
        <f>ROW(EtalonRes!A10)</f>
        <v>10</v>
      </c>
      <c r="E31" s="3" t="s">
        <v>36</v>
      </c>
      <c r="F31" s="3" t="s">
        <v>37</v>
      </c>
      <c r="G31" s="3" t="s">
        <v>38</v>
      </c>
      <c r="H31" s="3" t="s">
        <v>39</v>
      </c>
      <c r="I31" s="3">
        <v>1</v>
      </c>
      <c r="J31" s="3">
        <v>0</v>
      </c>
      <c r="K31" s="3">
        <v>1</v>
      </c>
      <c r="O31" s="3">
        <f t="shared" si="21"/>
        <v>878.5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878.5</v>
      </c>
      <c r="T31" s="3">
        <f t="shared" si="26"/>
        <v>0</v>
      </c>
      <c r="U31" s="3">
        <f t="shared" si="27"/>
        <v>1.0839563999999997</v>
      </c>
      <c r="V31" s="3">
        <f t="shared" si="28"/>
        <v>0</v>
      </c>
      <c r="W31" s="3">
        <f t="shared" si="29"/>
        <v>0</v>
      </c>
      <c r="X31" s="3">
        <f t="shared" si="30"/>
        <v>834.58</v>
      </c>
      <c r="Y31" s="3">
        <f t="shared" si="31"/>
        <v>465.61</v>
      </c>
      <c r="AA31" s="3">
        <v>55942968</v>
      </c>
      <c r="AB31" s="3">
        <f t="shared" si="32"/>
        <v>14.346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5"/>
        <v>14.346</v>
      </c>
      <c r="AG31" s="3">
        <f t="shared" si="36"/>
        <v>0</v>
      </c>
      <c r="AH31" s="3">
        <f t="shared" si="37"/>
        <v>0.99719999999999986</v>
      </c>
      <c r="AI31" s="3">
        <f t="shared" si="37"/>
        <v>0</v>
      </c>
      <c r="AJ31" s="3">
        <f t="shared" si="38"/>
        <v>0</v>
      </c>
      <c r="AK31" s="3">
        <v>40.03</v>
      </c>
      <c r="AL31" s="3">
        <v>0.18</v>
      </c>
      <c r="AM31" s="3">
        <v>0</v>
      </c>
      <c r="AN31" s="3">
        <v>0</v>
      </c>
      <c r="AO31" s="3">
        <v>39.85</v>
      </c>
      <c r="AP31" s="3">
        <v>0</v>
      </c>
      <c r="AQ31" s="3">
        <v>2.77</v>
      </c>
      <c r="AR31" s="3">
        <v>0</v>
      </c>
      <c r="AS31" s="3">
        <v>0</v>
      </c>
      <c r="AT31" s="3">
        <v>95</v>
      </c>
      <c r="AU31" s="3">
        <v>53</v>
      </c>
      <c r="AV31" s="3">
        <v>1.087</v>
      </c>
      <c r="AW31" s="3">
        <v>1</v>
      </c>
      <c r="AZ31" s="3">
        <v>1</v>
      </c>
      <c r="BA31" s="3">
        <v>56.35</v>
      </c>
      <c r="BB31" s="3">
        <v>1</v>
      </c>
      <c r="BC31" s="3">
        <v>5.61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40</v>
      </c>
      <c r="BM31" s="3">
        <v>69</v>
      </c>
      <c r="BN31" s="3">
        <v>0</v>
      </c>
      <c r="BO31" s="3" t="s">
        <v>37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95</v>
      </c>
      <c r="CA31" s="3">
        <v>53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284</v>
      </c>
      <c r="CO31" s="3">
        <v>0</v>
      </c>
      <c r="CP31" s="3">
        <f t="shared" si="39"/>
        <v>878.5</v>
      </c>
      <c r="CQ31" s="3">
        <f t="shared" si="40"/>
        <v>0</v>
      </c>
      <c r="CR31" s="3">
        <f t="shared" si="41"/>
        <v>0</v>
      </c>
      <c r="CS31" s="3">
        <f t="shared" si="42"/>
        <v>0</v>
      </c>
      <c r="CT31" s="3">
        <f t="shared" si="43"/>
        <v>878.5</v>
      </c>
      <c r="CU31" s="3">
        <f t="shared" si="44"/>
        <v>0</v>
      </c>
      <c r="CV31" s="3">
        <f t="shared" si="45"/>
        <v>1.0839563999999997</v>
      </c>
      <c r="CW31" s="3">
        <f t="shared" si="46"/>
        <v>0</v>
      </c>
      <c r="CX31" s="3">
        <f t="shared" si="46"/>
        <v>0</v>
      </c>
      <c r="CY31" s="3">
        <f t="shared" si="47"/>
        <v>834.58</v>
      </c>
      <c r="CZ31" s="3">
        <f t="shared" si="48"/>
        <v>465.61</v>
      </c>
      <c r="DB31" s="3">
        <v>7</v>
      </c>
      <c r="DC31" s="3" t="s">
        <v>3</v>
      </c>
      <c r="DD31" s="3" t="s">
        <v>30</v>
      </c>
      <c r="DE31" s="3" t="s">
        <v>31</v>
      </c>
      <c r="DF31" s="3" t="s">
        <v>31</v>
      </c>
      <c r="DG31" s="3" t="s">
        <v>31</v>
      </c>
      <c r="DH31" s="3" t="s">
        <v>3</v>
      </c>
      <c r="DI31" s="3" t="s">
        <v>31</v>
      </c>
      <c r="DJ31" s="3" t="s">
        <v>31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39</v>
      </c>
      <c r="DW31" s="3" t="s">
        <v>39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55393973</v>
      </c>
      <c r="EF31" s="3">
        <v>40</v>
      </c>
      <c r="EG31" s="3" t="s">
        <v>32</v>
      </c>
      <c r="EH31" s="3">
        <v>0</v>
      </c>
      <c r="EI31" s="3" t="s">
        <v>3</v>
      </c>
      <c r="EJ31" s="3">
        <v>2</v>
      </c>
      <c r="EK31" s="3">
        <v>69</v>
      </c>
      <c r="EL31" s="3" t="s">
        <v>41</v>
      </c>
      <c r="EM31" s="3" t="s">
        <v>42</v>
      </c>
      <c r="EO31" s="3" t="s">
        <v>35</v>
      </c>
      <c r="EQ31" s="3">
        <v>0</v>
      </c>
      <c r="ER31" s="3">
        <v>40.03</v>
      </c>
      <c r="ES31" s="3">
        <v>0.18</v>
      </c>
      <c r="ET31" s="3">
        <v>0</v>
      </c>
      <c r="EU31" s="3">
        <v>0</v>
      </c>
      <c r="EV31" s="3">
        <v>39.85</v>
      </c>
      <c r="EW31" s="3">
        <v>2.77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95</v>
      </c>
      <c r="FY31" s="3">
        <v>53</v>
      </c>
      <c r="GA31" s="3" t="s">
        <v>3</v>
      </c>
      <c r="GD31" s="3">
        <v>1</v>
      </c>
      <c r="GF31" s="3">
        <v>338733022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49"/>
        <v>0</v>
      </c>
      <c r="GM31" s="3">
        <f t="shared" si="50"/>
        <v>2178.69</v>
      </c>
      <c r="GN31" s="3">
        <f t="shared" si="51"/>
        <v>0</v>
      </c>
      <c r="GO31" s="3">
        <f t="shared" si="52"/>
        <v>2178.69</v>
      </c>
      <c r="GP31" s="3">
        <f t="shared" si="53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4"/>
        <v>0</v>
      </c>
      <c r="GW31" s="3">
        <v>1</v>
      </c>
      <c r="GX31" s="3">
        <f t="shared" si="55"/>
        <v>0</v>
      </c>
      <c r="HA31" s="3">
        <v>0</v>
      </c>
      <c r="HB31" s="3">
        <v>0</v>
      </c>
      <c r="HC31" s="3">
        <f t="shared" si="56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ROW(SmtRes!A12)</f>
        <v>12</v>
      </c>
      <c r="D32" s="2">
        <f>ROW(EtalonRes!A12)</f>
        <v>12</v>
      </c>
      <c r="E32" s="2" t="s">
        <v>43</v>
      </c>
      <c r="F32" s="2" t="s">
        <v>44</v>
      </c>
      <c r="G32" s="2" t="s">
        <v>45</v>
      </c>
      <c r="H32" s="2" t="s">
        <v>28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4.3099999999999996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4.3099999999999996</v>
      </c>
      <c r="T32" s="2">
        <f t="shared" si="26"/>
        <v>0</v>
      </c>
      <c r="U32" s="2">
        <f t="shared" si="27"/>
        <v>0.31305599999999995</v>
      </c>
      <c r="V32" s="2">
        <f t="shared" si="28"/>
        <v>0</v>
      </c>
      <c r="W32" s="2">
        <f t="shared" si="29"/>
        <v>0</v>
      </c>
      <c r="X32" s="2">
        <f t="shared" si="30"/>
        <v>4.09</v>
      </c>
      <c r="Y32" s="2">
        <f t="shared" si="31"/>
        <v>2.2799999999999998</v>
      </c>
      <c r="Z32" s="2"/>
      <c r="AA32" s="2">
        <v>55942966</v>
      </c>
      <c r="AB32" s="2">
        <f t="shared" si="32"/>
        <v>3.9672000000000001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5"/>
        <v>3.9672000000000001</v>
      </c>
      <c r="AG32" s="2">
        <f t="shared" si="36"/>
        <v>0</v>
      </c>
      <c r="AH32" s="2">
        <f t="shared" si="37"/>
        <v>0.28799999999999998</v>
      </c>
      <c r="AI32" s="2">
        <f t="shared" si="37"/>
        <v>0</v>
      </c>
      <c r="AJ32" s="2">
        <f t="shared" si="38"/>
        <v>0</v>
      </c>
      <c r="AK32" s="2">
        <v>11.32</v>
      </c>
      <c r="AL32" s="2">
        <v>0.3</v>
      </c>
      <c r="AM32" s="2">
        <v>0</v>
      </c>
      <c r="AN32" s="2">
        <v>0</v>
      </c>
      <c r="AO32" s="2">
        <v>11.02</v>
      </c>
      <c r="AP32" s="2">
        <v>0</v>
      </c>
      <c r="AQ32" s="2">
        <v>0.8</v>
      </c>
      <c r="AR32" s="2">
        <v>0</v>
      </c>
      <c r="AS32" s="2">
        <v>0</v>
      </c>
      <c r="AT32" s="2">
        <v>95</v>
      </c>
      <c r="AU32" s="2">
        <v>53</v>
      </c>
      <c r="AV32" s="2">
        <v>1.087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46</v>
      </c>
      <c r="BK32" s="2"/>
      <c r="BL32" s="2"/>
      <c r="BM32" s="2">
        <v>69</v>
      </c>
      <c r="BN32" s="2">
        <v>0</v>
      </c>
      <c r="BO32" s="2" t="s">
        <v>44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95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284</v>
      </c>
      <c r="CO32" s="2">
        <v>0</v>
      </c>
      <c r="CP32" s="2">
        <f t="shared" si="39"/>
        <v>4.3099999999999996</v>
      </c>
      <c r="CQ32" s="2">
        <f t="shared" si="40"/>
        <v>0</v>
      </c>
      <c r="CR32" s="2">
        <f t="shared" si="41"/>
        <v>0</v>
      </c>
      <c r="CS32" s="2">
        <f t="shared" si="42"/>
        <v>0</v>
      </c>
      <c r="CT32" s="2">
        <f t="shared" si="43"/>
        <v>4.3099999999999996</v>
      </c>
      <c r="CU32" s="2">
        <f t="shared" si="44"/>
        <v>0</v>
      </c>
      <c r="CV32" s="2">
        <f t="shared" si="45"/>
        <v>0.31305599999999995</v>
      </c>
      <c r="CW32" s="2">
        <f t="shared" si="46"/>
        <v>0</v>
      </c>
      <c r="CX32" s="2">
        <f t="shared" si="46"/>
        <v>0</v>
      </c>
      <c r="CY32" s="2">
        <f t="shared" si="47"/>
        <v>4.09</v>
      </c>
      <c r="CZ32" s="2">
        <f t="shared" si="48"/>
        <v>2.2799999999999998</v>
      </c>
      <c r="DA32" s="2"/>
      <c r="DB32" s="2">
        <v>9</v>
      </c>
      <c r="DC32" s="2" t="s">
        <v>3</v>
      </c>
      <c r="DD32" s="2" t="s">
        <v>30</v>
      </c>
      <c r="DE32" s="2" t="s">
        <v>31</v>
      </c>
      <c r="DF32" s="2" t="s">
        <v>31</v>
      </c>
      <c r="DG32" s="2" t="s">
        <v>31</v>
      </c>
      <c r="DH32" s="2" t="s">
        <v>3</v>
      </c>
      <c r="DI32" s="2" t="s">
        <v>31</v>
      </c>
      <c r="DJ32" s="2" t="s">
        <v>31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28</v>
      </c>
      <c r="DW32" s="2" t="s">
        <v>28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55393973</v>
      </c>
      <c r="EF32" s="2">
        <v>40</v>
      </c>
      <c r="EG32" s="2" t="s">
        <v>32</v>
      </c>
      <c r="EH32" s="2">
        <v>0</v>
      </c>
      <c r="EI32" s="2" t="s">
        <v>3</v>
      </c>
      <c r="EJ32" s="2">
        <v>2</v>
      </c>
      <c r="EK32" s="2">
        <v>69</v>
      </c>
      <c r="EL32" s="2" t="s">
        <v>41</v>
      </c>
      <c r="EM32" s="2" t="s">
        <v>42</v>
      </c>
      <c r="EN32" s="2"/>
      <c r="EO32" s="2" t="s">
        <v>35</v>
      </c>
      <c r="EP32" s="2"/>
      <c r="EQ32" s="2">
        <v>0</v>
      </c>
      <c r="ER32" s="2">
        <v>11.32</v>
      </c>
      <c r="ES32" s="2">
        <v>0.3</v>
      </c>
      <c r="ET32" s="2">
        <v>0</v>
      </c>
      <c r="EU32" s="2">
        <v>0</v>
      </c>
      <c r="EV32" s="2">
        <v>11.02</v>
      </c>
      <c r="EW32" s="2">
        <v>0.8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95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-1909085749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49"/>
        <v>0</v>
      </c>
      <c r="GM32" s="2">
        <f t="shared" si="50"/>
        <v>10.68</v>
      </c>
      <c r="GN32" s="2">
        <f t="shared" si="51"/>
        <v>0</v>
      </c>
      <c r="GO32" s="2">
        <f t="shared" si="52"/>
        <v>10.68</v>
      </c>
      <c r="GP32" s="2">
        <f t="shared" si="53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4"/>
        <v>0</v>
      </c>
      <c r="GW32" s="2">
        <v>1</v>
      </c>
      <c r="GX32" s="2">
        <f t="shared" si="55"/>
        <v>0</v>
      </c>
      <c r="GY32" s="2"/>
      <c r="GZ32" s="2"/>
      <c r="HA32" s="2">
        <v>0</v>
      </c>
      <c r="HB32" s="2">
        <v>0</v>
      </c>
      <c r="HC32" s="2">
        <f t="shared" si="56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ROW(SmtRes!A14)</f>
        <v>14</v>
      </c>
      <c r="D33" s="3">
        <f>ROW(EtalonRes!A14)</f>
        <v>14</v>
      </c>
      <c r="E33" s="3" t="s">
        <v>43</v>
      </c>
      <c r="F33" s="3" t="s">
        <v>44</v>
      </c>
      <c r="G33" s="3" t="s">
        <v>45</v>
      </c>
      <c r="H33" s="3" t="s">
        <v>28</v>
      </c>
      <c r="I33" s="3">
        <v>1</v>
      </c>
      <c r="J33" s="3">
        <v>0</v>
      </c>
      <c r="K33" s="3">
        <v>1</v>
      </c>
      <c r="O33" s="3">
        <f t="shared" si="21"/>
        <v>242.87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242.87</v>
      </c>
      <c r="T33" s="3">
        <f t="shared" si="26"/>
        <v>0</v>
      </c>
      <c r="U33" s="3">
        <f t="shared" si="27"/>
        <v>0.31305599999999995</v>
      </c>
      <c r="V33" s="3">
        <f t="shared" si="28"/>
        <v>0</v>
      </c>
      <c r="W33" s="3">
        <f t="shared" si="29"/>
        <v>0</v>
      </c>
      <c r="X33" s="3">
        <f t="shared" si="30"/>
        <v>230.73</v>
      </c>
      <c r="Y33" s="3">
        <f t="shared" si="31"/>
        <v>128.72</v>
      </c>
      <c r="AA33" s="3">
        <v>55942968</v>
      </c>
      <c r="AB33" s="3">
        <f t="shared" si="32"/>
        <v>3.9672000000000001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5"/>
        <v>3.9672000000000001</v>
      </c>
      <c r="AG33" s="3">
        <f t="shared" si="36"/>
        <v>0</v>
      </c>
      <c r="AH33" s="3">
        <f t="shared" si="37"/>
        <v>0.28799999999999998</v>
      </c>
      <c r="AI33" s="3">
        <f t="shared" si="37"/>
        <v>0</v>
      </c>
      <c r="AJ33" s="3">
        <f t="shared" si="38"/>
        <v>0</v>
      </c>
      <c r="AK33" s="3">
        <v>11.32</v>
      </c>
      <c r="AL33" s="3">
        <v>0.3</v>
      </c>
      <c r="AM33" s="3">
        <v>0</v>
      </c>
      <c r="AN33" s="3">
        <v>0</v>
      </c>
      <c r="AO33" s="3">
        <v>11.02</v>
      </c>
      <c r="AP33" s="3">
        <v>0</v>
      </c>
      <c r="AQ33" s="3">
        <v>0.8</v>
      </c>
      <c r="AR33" s="3">
        <v>0</v>
      </c>
      <c r="AS33" s="3">
        <v>0</v>
      </c>
      <c r="AT33" s="3">
        <v>95</v>
      </c>
      <c r="AU33" s="3">
        <v>53</v>
      </c>
      <c r="AV33" s="3">
        <v>1.087</v>
      </c>
      <c r="AW33" s="3">
        <v>1</v>
      </c>
      <c r="AZ33" s="3">
        <v>1</v>
      </c>
      <c r="BA33" s="3">
        <v>56.35</v>
      </c>
      <c r="BB33" s="3">
        <v>1</v>
      </c>
      <c r="BC33" s="3">
        <v>7.37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46</v>
      </c>
      <c r="BM33" s="3">
        <v>69</v>
      </c>
      <c r="BN33" s="3">
        <v>0</v>
      </c>
      <c r="BO33" s="3" t="s">
        <v>44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95</v>
      </c>
      <c r="CA33" s="3">
        <v>53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284</v>
      </c>
      <c r="CO33" s="3">
        <v>0</v>
      </c>
      <c r="CP33" s="3">
        <f t="shared" si="39"/>
        <v>242.87</v>
      </c>
      <c r="CQ33" s="3">
        <f t="shared" si="40"/>
        <v>0</v>
      </c>
      <c r="CR33" s="3">
        <f t="shared" si="41"/>
        <v>0</v>
      </c>
      <c r="CS33" s="3">
        <f t="shared" si="42"/>
        <v>0</v>
      </c>
      <c r="CT33" s="3">
        <f t="shared" si="43"/>
        <v>242.87</v>
      </c>
      <c r="CU33" s="3">
        <f t="shared" si="44"/>
        <v>0</v>
      </c>
      <c r="CV33" s="3">
        <f t="shared" si="45"/>
        <v>0.31305599999999995</v>
      </c>
      <c r="CW33" s="3">
        <f t="shared" si="46"/>
        <v>0</v>
      </c>
      <c r="CX33" s="3">
        <f t="shared" si="46"/>
        <v>0</v>
      </c>
      <c r="CY33" s="3">
        <f t="shared" si="47"/>
        <v>230.73</v>
      </c>
      <c r="CZ33" s="3">
        <f t="shared" si="48"/>
        <v>128.72</v>
      </c>
      <c r="DB33" s="3">
        <v>11</v>
      </c>
      <c r="DC33" s="3" t="s">
        <v>3</v>
      </c>
      <c r="DD33" s="3" t="s">
        <v>30</v>
      </c>
      <c r="DE33" s="3" t="s">
        <v>31</v>
      </c>
      <c r="DF33" s="3" t="s">
        <v>31</v>
      </c>
      <c r="DG33" s="3" t="s">
        <v>31</v>
      </c>
      <c r="DH33" s="3" t="s">
        <v>3</v>
      </c>
      <c r="DI33" s="3" t="s">
        <v>31</v>
      </c>
      <c r="DJ33" s="3" t="s">
        <v>31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28</v>
      </c>
      <c r="DW33" s="3" t="s">
        <v>28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55393973</v>
      </c>
      <c r="EF33" s="3">
        <v>40</v>
      </c>
      <c r="EG33" s="3" t="s">
        <v>32</v>
      </c>
      <c r="EH33" s="3">
        <v>0</v>
      </c>
      <c r="EI33" s="3" t="s">
        <v>3</v>
      </c>
      <c r="EJ33" s="3">
        <v>2</v>
      </c>
      <c r="EK33" s="3">
        <v>69</v>
      </c>
      <c r="EL33" s="3" t="s">
        <v>41</v>
      </c>
      <c r="EM33" s="3" t="s">
        <v>42</v>
      </c>
      <c r="EO33" s="3" t="s">
        <v>35</v>
      </c>
      <c r="EQ33" s="3">
        <v>0</v>
      </c>
      <c r="ER33" s="3">
        <v>11.32</v>
      </c>
      <c r="ES33" s="3">
        <v>0.3</v>
      </c>
      <c r="ET33" s="3">
        <v>0</v>
      </c>
      <c r="EU33" s="3">
        <v>0</v>
      </c>
      <c r="EV33" s="3">
        <v>11.02</v>
      </c>
      <c r="EW33" s="3">
        <v>0.8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95</v>
      </c>
      <c r="FY33" s="3">
        <v>53</v>
      </c>
      <c r="GA33" s="3" t="s">
        <v>3</v>
      </c>
      <c r="GD33" s="3">
        <v>1</v>
      </c>
      <c r="GF33" s="3">
        <v>-1909085749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49"/>
        <v>0</v>
      </c>
      <c r="GM33" s="3">
        <f t="shared" si="50"/>
        <v>602.32000000000005</v>
      </c>
      <c r="GN33" s="3">
        <f t="shared" si="51"/>
        <v>0</v>
      </c>
      <c r="GO33" s="3">
        <f t="shared" si="52"/>
        <v>602.32000000000005</v>
      </c>
      <c r="GP33" s="3">
        <f t="shared" si="53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4"/>
        <v>0</v>
      </c>
      <c r="GW33" s="3">
        <v>1</v>
      </c>
      <c r="GX33" s="3">
        <f t="shared" si="55"/>
        <v>0</v>
      </c>
      <c r="HA33" s="3">
        <v>0</v>
      </c>
      <c r="HB33" s="3">
        <v>0</v>
      </c>
      <c r="HC33" s="3">
        <f t="shared" si="56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ROW(SmtRes!A18)</f>
        <v>18</v>
      </c>
      <c r="D34" s="2">
        <f>ROW(EtalonRes!A18)</f>
        <v>18</v>
      </c>
      <c r="E34" s="2" t="s">
        <v>47</v>
      </c>
      <c r="F34" s="2" t="s">
        <v>48</v>
      </c>
      <c r="G34" s="2" t="s">
        <v>49</v>
      </c>
      <c r="H34" s="2" t="s">
        <v>28</v>
      </c>
      <c r="I34" s="2">
        <v>3</v>
      </c>
      <c r="J34" s="2">
        <v>0</v>
      </c>
      <c r="K34" s="2">
        <v>3</v>
      </c>
      <c r="L34" s="2"/>
      <c r="M34" s="2"/>
      <c r="N34" s="2"/>
      <c r="O34" s="2">
        <f t="shared" si="21"/>
        <v>26.91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26.91</v>
      </c>
      <c r="T34" s="2">
        <f t="shared" si="26"/>
        <v>0</v>
      </c>
      <c r="U34" s="2">
        <f t="shared" si="27"/>
        <v>2.26152</v>
      </c>
      <c r="V34" s="2">
        <f t="shared" si="28"/>
        <v>0</v>
      </c>
      <c r="W34" s="2">
        <f t="shared" si="29"/>
        <v>0</v>
      </c>
      <c r="X34" s="2">
        <f t="shared" si="30"/>
        <v>24.22</v>
      </c>
      <c r="Y34" s="2">
        <f t="shared" si="31"/>
        <v>12.38</v>
      </c>
      <c r="Z34" s="2"/>
      <c r="AA34" s="2">
        <v>55942966</v>
      </c>
      <c r="AB34" s="2">
        <f t="shared" si="32"/>
        <v>8.5679999999999996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5"/>
        <v>8.5679999999999996</v>
      </c>
      <c r="AG34" s="2">
        <f t="shared" si="36"/>
        <v>0</v>
      </c>
      <c r="AH34" s="2">
        <f t="shared" si="37"/>
        <v>0.72</v>
      </c>
      <c r="AI34" s="2">
        <f t="shared" si="37"/>
        <v>0</v>
      </c>
      <c r="AJ34" s="2">
        <f t="shared" si="38"/>
        <v>0</v>
      </c>
      <c r="AK34" s="2">
        <v>24.38</v>
      </c>
      <c r="AL34" s="2">
        <v>0.57999999999999996</v>
      </c>
      <c r="AM34" s="2">
        <v>0</v>
      </c>
      <c r="AN34" s="2">
        <v>0</v>
      </c>
      <c r="AO34" s="2">
        <v>23.8</v>
      </c>
      <c r="AP34" s="2">
        <v>0</v>
      </c>
      <c r="AQ34" s="2">
        <v>2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50</v>
      </c>
      <c r="BK34" s="2"/>
      <c r="BL34" s="2"/>
      <c r="BM34" s="2">
        <v>68</v>
      </c>
      <c r="BN34" s="2">
        <v>0</v>
      </c>
      <c r="BO34" s="2" t="s">
        <v>48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284</v>
      </c>
      <c r="CO34" s="2">
        <v>0</v>
      </c>
      <c r="CP34" s="2">
        <f t="shared" si="39"/>
        <v>26.91</v>
      </c>
      <c r="CQ34" s="2">
        <f t="shared" si="40"/>
        <v>0</v>
      </c>
      <c r="CR34" s="2">
        <f t="shared" si="41"/>
        <v>0</v>
      </c>
      <c r="CS34" s="2">
        <f t="shared" si="42"/>
        <v>0</v>
      </c>
      <c r="CT34" s="2">
        <f t="shared" si="43"/>
        <v>8.9700000000000006</v>
      </c>
      <c r="CU34" s="2">
        <f t="shared" si="44"/>
        <v>0</v>
      </c>
      <c r="CV34" s="2">
        <f t="shared" si="45"/>
        <v>0.75383999999999995</v>
      </c>
      <c r="CW34" s="2">
        <f t="shared" si="46"/>
        <v>0</v>
      </c>
      <c r="CX34" s="2">
        <f t="shared" si="46"/>
        <v>0</v>
      </c>
      <c r="CY34" s="2">
        <f t="shared" si="47"/>
        <v>24.22</v>
      </c>
      <c r="CZ34" s="2">
        <f t="shared" si="48"/>
        <v>12.38</v>
      </c>
      <c r="DA34" s="2"/>
      <c r="DB34" s="2">
        <v>13</v>
      </c>
      <c r="DC34" s="2" t="s">
        <v>3</v>
      </c>
      <c r="DD34" s="2" t="s">
        <v>30</v>
      </c>
      <c r="DE34" s="2" t="s">
        <v>31</v>
      </c>
      <c r="DF34" s="2" t="s">
        <v>31</v>
      </c>
      <c r="DG34" s="2" t="s">
        <v>31</v>
      </c>
      <c r="DH34" s="2" t="s">
        <v>3</v>
      </c>
      <c r="DI34" s="2" t="s">
        <v>31</v>
      </c>
      <c r="DJ34" s="2" t="s">
        <v>31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28</v>
      </c>
      <c r="DW34" s="2" t="s">
        <v>28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55393972</v>
      </c>
      <c r="EF34" s="2">
        <v>40</v>
      </c>
      <c r="EG34" s="2" t="s">
        <v>32</v>
      </c>
      <c r="EH34" s="2">
        <v>0</v>
      </c>
      <c r="EI34" s="2" t="s">
        <v>3</v>
      </c>
      <c r="EJ34" s="2">
        <v>2</v>
      </c>
      <c r="EK34" s="2">
        <v>68</v>
      </c>
      <c r="EL34" s="2" t="s">
        <v>33</v>
      </c>
      <c r="EM34" s="2" t="s">
        <v>34</v>
      </c>
      <c r="EN34" s="2"/>
      <c r="EO34" s="2" t="s">
        <v>35</v>
      </c>
      <c r="EP34" s="2"/>
      <c r="EQ34" s="2">
        <v>0</v>
      </c>
      <c r="ER34" s="2">
        <v>24.38</v>
      </c>
      <c r="ES34" s="2">
        <v>0.57999999999999996</v>
      </c>
      <c r="ET34" s="2">
        <v>0</v>
      </c>
      <c r="EU34" s="2">
        <v>0</v>
      </c>
      <c r="EV34" s="2">
        <v>23.8</v>
      </c>
      <c r="EW34" s="2">
        <v>2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-1108641318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49"/>
        <v>0</v>
      </c>
      <c r="GM34" s="2">
        <f t="shared" si="50"/>
        <v>63.51</v>
      </c>
      <c r="GN34" s="2">
        <f t="shared" si="51"/>
        <v>0</v>
      </c>
      <c r="GO34" s="2">
        <f t="shared" si="52"/>
        <v>63.51</v>
      </c>
      <c r="GP34" s="2">
        <f t="shared" si="53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4"/>
        <v>0</v>
      </c>
      <c r="GW34" s="2">
        <v>1</v>
      </c>
      <c r="GX34" s="2">
        <f t="shared" si="55"/>
        <v>0</v>
      </c>
      <c r="GY34" s="2"/>
      <c r="GZ34" s="2"/>
      <c r="HA34" s="2">
        <v>0</v>
      </c>
      <c r="HB34" s="2">
        <v>0</v>
      </c>
      <c r="HC34" s="2">
        <f t="shared" si="56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ROW(SmtRes!A22)</f>
        <v>22</v>
      </c>
      <c r="D35" s="3">
        <f>ROW(EtalonRes!A22)</f>
        <v>22</v>
      </c>
      <c r="E35" s="3" t="s">
        <v>47</v>
      </c>
      <c r="F35" s="3" t="s">
        <v>48</v>
      </c>
      <c r="G35" s="3" t="s">
        <v>49</v>
      </c>
      <c r="H35" s="3" t="s">
        <v>28</v>
      </c>
      <c r="I35" s="3">
        <v>3</v>
      </c>
      <c r="J35" s="3">
        <v>0</v>
      </c>
      <c r="K35" s="3">
        <v>3</v>
      </c>
      <c r="O35" s="3">
        <f t="shared" si="21"/>
        <v>1516.38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1516.38</v>
      </c>
      <c r="T35" s="3">
        <f t="shared" si="26"/>
        <v>0</v>
      </c>
      <c r="U35" s="3">
        <f t="shared" si="27"/>
        <v>2.26152</v>
      </c>
      <c r="V35" s="3">
        <f t="shared" si="28"/>
        <v>0</v>
      </c>
      <c r="W35" s="3">
        <f t="shared" si="29"/>
        <v>0</v>
      </c>
      <c r="X35" s="3">
        <f t="shared" si="30"/>
        <v>1364.74</v>
      </c>
      <c r="Y35" s="3">
        <f t="shared" si="31"/>
        <v>697.53</v>
      </c>
      <c r="AA35" s="3">
        <v>55942968</v>
      </c>
      <c r="AB35" s="3">
        <f t="shared" si="32"/>
        <v>8.5679999999999996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5"/>
        <v>8.5679999999999996</v>
      </c>
      <c r="AG35" s="3">
        <f t="shared" si="36"/>
        <v>0</v>
      </c>
      <c r="AH35" s="3">
        <f t="shared" si="37"/>
        <v>0.72</v>
      </c>
      <c r="AI35" s="3">
        <f t="shared" si="37"/>
        <v>0</v>
      </c>
      <c r="AJ35" s="3">
        <f t="shared" si="38"/>
        <v>0</v>
      </c>
      <c r="AK35" s="3">
        <v>24.38</v>
      </c>
      <c r="AL35" s="3">
        <v>0.57999999999999996</v>
      </c>
      <c r="AM35" s="3">
        <v>0</v>
      </c>
      <c r="AN35" s="3">
        <v>0</v>
      </c>
      <c r="AO35" s="3">
        <v>23.8</v>
      </c>
      <c r="AP35" s="3">
        <v>0</v>
      </c>
      <c r="AQ35" s="3">
        <v>2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7.03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50</v>
      </c>
      <c r="BM35" s="3">
        <v>68</v>
      </c>
      <c r="BN35" s="3">
        <v>0</v>
      </c>
      <c r="BO35" s="3" t="s">
        <v>48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284</v>
      </c>
      <c r="CO35" s="3">
        <v>0</v>
      </c>
      <c r="CP35" s="3">
        <f t="shared" si="39"/>
        <v>1516.38</v>
      </c>
      <c r="CQ35" s="3">
        <f t="shared" si="40"/>
        <v>0</v>
      </c>
      <c r="CR35" s="3">
        <f t="shared" si="41"/>
        <v>0</v>
      </c>
      <c r="CS35" s="3">
        <f t="shared" si="42"/>
        <v>0</v>
      </c>
      <c r="CT35" s="3">
        <f t="shared" si="43"/>
        <v>505.46</v>
      </c>
      <c r="CU35" s="3">
        <f t="shared" si="44"/>
        <v>0</v>
      </c>
      <c r="CV35" s="3">
        <f t="shared" si="45"/>
        <v>0.75383999999999995</v>
      </c>
      <c r="CW35" s="3">
        <f t="shared" si="46"/>
        <v>0</v>
      </c>
      <c r="CX35" s="3">
        <f t="shared" si="46"/>
        <v>0</v>
      </c>
      <c r="CY35" s="3">
        <f t="shared" si="47"/>
        <v>1364.74</v>
      </c>
      <c r="CZ35" s="3">
        <f t="shared" si="48"/>
        <v>697.53</v>
      </c>
      <c r="DB35" s="3">
        <v>15</v>
      </c>
      <c r="DC35" s="3" t="s">
        <v>3</v>
      </c>
      <c r="DD35" s="3" t="s">
        <v>30</v>
      </c>
      <c r="DE35" s="3" t="s">
        <v>31</v>
      </c>
      <c r="DF35" s="3" t="s">
        <v>31</v>
      </c>
      <c r="DG35" s="3" t="s">
        <v>31</v>
      </c>
      <c r="DH35" s="3" t="s">
        <v>3</v>
      </c>
      <c r="DI35" s="3" t="s">
        <v>31</v>
      </c>
      <c r="DJ35" s="3" t="s">
        <v>31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28</v>
      </c>
      <c r="DW35" s="3" t="s">
        <v>28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55393972</v>
      </c>
      <c r="EF35" s="3">
        <v>40</v>
      </c>
      <c r="EG35" s="3" t="s">
        <v>32</v>
      </c>
      <c r="EH35" s="3">
        <v>0</v>
      </c>
      <c r="EI35" s="3" t="s">
        <v>3</v>
      </c>
      <c r="EJ35" s="3">
        <v>2</v>
      </c>
      <c r="EK35" s="3">
        <v>68</v>
      </c>
      <c r="EL35" s="3" t="s">
        <v>33</v>
      </c>
      <c r="EM35" s="3" t="s">
        <v>34</v>
      </c>
      <c r="EO35" s="3" t="s">
        <v>35</v>
      </c>
      <c r="EQ35" s="3">
        <v>0</v>
      </c>
      <c r="ER35" s="3">
        <v>24.38</v>
      </c>
      <c r="ES35" s="3">
        <v>0.57999999999999996</v>
      </c>
      <c r="ET35" s="3">
        <v>0</v>
      </c>
      <c r="EU35" s="3">
        <v>0</v>
      </c>
      <c r="EV35" s="3">
        <v>23.8</v>
      </c>
      <c r="EW35" s="3">
        <v>2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-1108641318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49"/>
        <v>0</v>
      </c>
      <c r="GM35" s="3">
        <f t="shared" si="50"/>
        <v>3578.65</v>
      </c>
      <c r="GN35" s="3">
        <f t="shared" si="51"/>
        <v>0</v>
      </c>
      <c r="GO35" s="3">
        <f t="shared" si="52"/>
        <v>3578.65</v>
      </c>
      <c r="GP35" s="3">
        <f t="shared" si="53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4"/>
        <v>0</v>
      </c>
      <c r="GW35" s="3">
        <v>1</v>
      </c>
      <c r="GX35" s="3">
        <f t="shared" si="55"/>
        <v>0</v>
      </c>
      <c r="HA35" s="3">
        <v>0</v>
      </c>
      <c r="HB35" s="3">
        <v>0</v>
      </c>
      <c r="HC35" s="3">
        <f t="shared" si="56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7" spans="1:255" ht="13" x14ac:dyDescent="0.3">
      <c r="A37" s="11">
        <v>51</v>
      </c>
      <c r="B37" s="11">
        <f>B24</f>
        <v>1</v>
      </c>
      <c r="C37" s="11">
        <f>A24</f>
        <v>4</v>
      </c>
      <c r="D37" s="11">
        <f>ROW(A24)</f>
        <v>24</v>
      </c>
      <c r="E37" s="11"/>
      <c r="F37" s="11" t="str">
        <f>IF(F24&lt;&gt;"",F24,"")</f>
        <v>Новый раздел</v>
      </c>
      <c r="G37" s="11" t="str">
        <f>IF(G24&lt;&gt;"",G24,"")</f>
        <v>Демонтажные работы (Письмо от АНО «РГТ» об утверждении объёмов демонтажных работ)</v>
      </c>
      <c r="H37" s="11">
        <v>0</v>
      </c>
      <c r="I37" s="11"/>
      <c r="J37" s="11"/>
      <c r="K37" s="11"/>
      <c r="L37" s="11"/>
      <c r="M37" s="11"/>
      <c r="N37" s="11"/>
      <c r="O37" s="11">
        <f t="shared" ref="O37:T37" si="57">ROUND(AB37,2)</f>
        <v>62.38</v>
      </c>
      <c r="P37" s="11">
        <f t="shared" si="57"/>
        <v>0</v>
      </c>
      <c r="Q37" s="11">
        <f t="shared" si="57"/>
        <v>0</v>
      </c>
      <c r="R37" s="11">
        <f t="shared" si="57"/>
        <v>0</v>
      </c>
      <c r="S37" s="11">
        <f t="shared" si="57"/>
        <v>62.38</v>
      </c>
      <c r="T37" s="11">
        <f t="shared" si="57"/>
        <v>0</v>
      </c>
      <c r="U37" s="11">
        <f>AH37</f>
        <v>4.789292399999999</v>
      </c>
      <c r="V37" s="11">
        <f>AI37</f>
        <v>0</v>
      </c>
      <c r="W37" s="11">
        <f>ROUND(AJ37,2)</f>
        <v>0</v>
      </c>
      <c r="X37" s="11">
        <f>ROUND(AK37,2)</f>
        <v>57.13</v>
      </c>
      <c r="Y37" s="11">
        <f>ROUND(AL37,2)</f>
        <v>30.08</v>
      </c>
      <c r="Z37" s="11"/>
      <c r="AA37" s="11"/>
      <c r="AB37" s="11">
        <f>ROUND(SUMIF(AA28:AA35,"=55942966",O28:O35),2)</f>
        <v>62.38</v>
      </c>
      <c r="AC37" s="11">
        <f>ROUND(SUMIF(AA28:AA35,"=55942966",P28:P35),2)</f>
        <v>0</v>
      </c>
      <c r="AD37" s="11">
        <f>ROUND(SUMIF(AA28:AA35,"=55942966",Q28:Q35),2)</f>
        <v>0</v>
      </c>
      <c r="AE37" s="11">
        <f>ROUND(SUMIF(AA28:AA35,"=55942966",R28:R35),2)</f>
        <v>0</v>
      </c>
      <c r="AF37" s="11">
        <f>ROUND(SUMIF(AA28:AA35,"=55942966",S28:S35),2)</f>
        <v>62.38</v>
      </c>
      <c r="AG37" s="11">
        <f>ROUND(SUMIF(AA28:AA35,"=55942966",T28:T35),2)</f>
        <v>0</v>
      </c>
      <c r="AH37" s="11">
        <f>SUMIF(AA28:AA35,"=55942966",U28:U35)</f>
        <v>4.789292399999999</v>
      </c>
      <c r="AI37" s="11">
        <f>SUMIF(AA28:AA35,"=55942966",V28:V35)</f>
        <v>0</v>
      </c>
      <c r="AJ37" s="11">
        <f>ROUND(SUMIF(AA28:AA35,"=55942966",W28:W35),2)</f>
        <v>0</v>
      </c>
      <c r="AK37" s="11">
        <f>ROUND(SUMIF(AA28:AA35,"=55942966",X28:X35),2)</f>
        <v>57.13</v>
      </c>
      <c r="AL37" s="11">
        <f>ROUND(SUMIF(AA28:AA35,"=55942966",Y28:Y35),2)</f>
        <v>30.08</v>
      </c>
      <c r="AM37" s="11"/>
      <c r="AN37" s="11"/>
      <c r="AO37" s="11">
        <f t="shared" ref="AO37:BD37" si="58">ROUND(BX37,2)</f>
        <v>0</v>
      </c>
      <c r="AP37" s="11">
        <f t="shared" si="58"/>
        <v>0</v>
      </c>
      <c r="AQ37" s="11">
        <f t="shared" si="58"/>
        <v>0</v>
      </c>
      <c r="AR37" s="11">
        <f t="shared" si="58"/>
        <v>149.59</v>
      </c>
      <c r="AS37" s="11">
        <f t="shared" si="58"/>
        <v>0</v>
      </c>
      <c r="AT37" s="11">
        <f t="shared" si="58"/>
        <v>149.59</v>
      </c>
      <c r="AU37" s="11">
        <f t="shared" si="58"/>
        <v>0</v>
      </c>
      <c r="AV37" s="11">
        <f t="shared" si="58"/>
        <v>0</v>
      </c>
      <c r="AW37" s="11">
        <f t="shared" si="58"/>
        <v>0</v>
      </c>
      <c r="AX37" s="11">
        <f t="shared" si="58"/>
        <v>0</v>
      </c>
      <c r="AY37" s="11">
        <f t="shared" si="58"/>
        <v>0</v>
      </c>
      <c r="AZ37" s="11">
        <f t="shared" si="58"/>
        <v>0</v>
      </c>
      <c r="BA37" s="11">
        <f t="shared" si="58"/>
        <v>0</v>
      </c>
      <c r="BB37" s="11">
        <f t="shared" si="58"/>
        <v>0</v>
      </c>
      <c r="BC37" s="11">
        <f t="shared" si="58"/>
        <v>0</v>
      </c>
      <c r="BD37" s="11">
        <f t="shared" si="58"/>
        <v>0</v>
      </c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>
        <f>ROUND(SUMIF(AA28:AA35,"=55942966",FQ28:FQ35),2)</f>
        <v>0</v>
      </c>
      <c r="BY37" s="11">
        <f>ROUND(SUMIF(AA28:AA35,"=55942966",FR28:FR35),2)</f>
        <v>0</v>
      </c>
      <c r="BZ37" s="11">
        <f>ROUND(SUMIF(AA28:AA35,"=55942966",GL28:GL35),2)</f>
        <v>0</v>
      </c>
      <c r="CA37" s="11">
        <f>ROUND(SUMIF(AA28:AA35,"=55942966",GM28:GM35),2)</f>
        <v>149.59</v>
      </c>
      <c r="CB37" s="11">
        <f>ROUND(SUMIF(AA28:AA35,"=55942966",GN28:GN35),2)</f>
        <v>0</v>
      </c>
      <c r="CC37" s="11">
        <f>ROUND(SUMIF(AA28:AA35,"=55942966",GO28:GO35),2)</f>
        <v>149.59</v>
      </c>
      <c r="CD37" s="11">
        <f>ROUND(SUMIF(AA28:AA35,"=55942966",GP28:GP35),2)</f>
        <v>0</v>
      </c>
      <c r="CE37" s="11">
        <f>AC37-BX37</f>
        <v>0</v>
      </c>
      <c r="CF37" s="11">
        <f>AC37-BY37</f>
        <v>0</v>
      </c>
      <c r="CG37" s="11">
        <f>BX37-BZ37</f>
        <v>0</v>
      </c>
      <c r="CH37" s="11">
        <f>AC37-BX37-BY37+BZ37</f>
        <v>0</v>
      </c>
      <c r="CI37" s="11">
        <f>BY37-BZ37</f>
        <v>0</v>
      </c>
      <c r="CJ37" s="11">
        <f>ROUND(SUMIF(AA28:AA35,"=55942966",GX28:GX35),2)</f>
        <v>0</v>
      </c>
      <c r="CK37" s="11">
        <f>ROUND(SUMIF(AA28:AA35,"=55942966",GY28:GY35),2)</f>
        <v>0</v>
      </c>
      <c r="CL37" s="11">
        <f>ROUND(SUMIF(AA28:AA35,"=55942966",GZ28:GZ35),2)</f>
        <v>0</v>
      </c>
      <c r="CM37" s="11">
        <f>ROUND(SUMIF(AA28:AA35,"=55942966",HD28:HD35),2)</f>
        <v>0</v>
      </c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2">
        <f t="shared" ref="DG37:DL37" si="59">ROUND(DT37,2)</f>
        <v>3515.12</v>
      </c>
      <c r="DH37" s="12">
        <f t="shared" si="59"/>
        <v>0</v>
      </c>
      <c r="DI37" s="12">
        <f t="shared" si="59"/>
        <v>0</v>
      </c>
      <c r="DJ37" s="12">
        <f t="shared" si="59"/>
        <v>0</v>
      </c>
      <c r="DK37" s="12">
        <f t="shared" si="59"/>
        <v>3515.12</v>
      </c>
      <c r="DL37" s="12">
        <f t="shared" si="59"/>
        <v>0</v>
      </c>
      <c r="DM37" s="12">
        <f>DZ37</f>
        <v>4.789292399999999</v>
      </c>
      <c r="DN37" s="12">
        <f>EA37</f>
        <v>0</v>
      </c>
      <c r="DO37" s="12">
        <f>ROUND(EB37,2)</f>
        <v>0</v>
      </c>
      <c r="DP37" s="12">
        <f>ROUND(EC37,2)</f>
        <v>3219.68</v>
      </c>
      <c r="DQ37" s="12">
        <f>ROUND(ED37,2)</f>
        <v>1695.45</v>
      </c>
      <c r="DR37" s="12"/>
      <c r="DS37" s="12"/>
      <c r="DT37" s="12">
        <f>ROUND(SUMIF(AA28:AA35,"=55942968",O28:O35),2)</f>
        <v>3515.12</v>
      </c>
      <c r="DU37" s="12">
        <f>ROUND(SUMIF(AA28:AA35,"=55942968",P28:P35),2)</f>
        <v>0</v>
      </c>
      <c r="DV37" s="12">
        <f>ROUND(SUMIF(AA28:AA35,"=55942968",Q28:Q35),2)</f>
        <v>0</v>
      </c>
      <c r="DW37" s="12">
        <f>ROUND(SUMIF(AA28:AA35,"=55942968",R28:R35),2)</f>
        <v>0</v>
      </c>
      <c r="DX37" s="12">
        <f>ROUND(SUMIF(AA28:AA35,"=55942968",S28:S35),2)</f>
        <v>3515.12</v>
      </c>
      <c r="DY37" s="12">
        <f>ROUND(SUMIF(AA28:AA35,"=55942968",T28:T35),2)</f>
        <v>0</v>
      </c>
      <c r="DZ37" s="12">
        <f>SUMIF(AA28:AA35,"=55942968",U28:U35)</f>
        <v>4.789292399999999</v>
      </c>
      <c r="EA37" s="12">
        <f>SUMIF(AA28:AA35,"=55942968",V28:V35)</f>
        <v>0</v>
      </c>
      <c r="EB37" s="12">
        <f>ROUND(SUMIF(AA28:AA35,"=55942968",W28:W35),2)</f>
        <v>0</v>
      </c>
      <c r="EC37" s="12">
        <f>ROUND(SUMIF(AA28:AA35,"=55942968",X28:X35),2)</f>
        <v>3219.68</v>
      </c>
      <c r="ED37" s="12">
        <f>ROUND(SUMIF(AA28:AA35,"=55942968",Y28:Y35),2)</f>
        <v>1695.45</v>
      </c>
      <c r="EE37" s="12"/>
      <c r="EF37" s="12"/>
      <c r="EG37" s="12">
        <f t="shared" ref="EG37:EV37" si="60">ROUND(FP37,2)</f>
        <v>0</v>
      </c>
      <c r="EH37" s="12">
        <f t="shared" si="60"/>
        <v>0</v>
      </c>
      <c r="EI37" s="12">
        <f t="shared" si="60"/>
        <v>0</v>
      </c>
      <c r="EJ37" s="12">
        <f t="shared" si="60"/>
        <v>8430.25</v>
      </c>
      <c r="EK37" s="12">
        <f t="shared" si="60"/>
        <v>0</v>
      </c>
      <c r="EL37" s="12">
        <f t="shared" si="60"/>
        <v>8430.25</v>
      </c>
      <c r="EM37" s="12">
        <f t="shared" si="60"/>
        <v>0</v>
      </c>
      <c r="EN37" s="12">
        <f t="shared" si="60"/>
        <v>0</v>
      </c>
      <c r="EO37" s="12">
        <f t="shared" si="60"/>
        <v>0</v>
      </c>
      <c r="EP37" s="12">
        <f t="shared" si="60"/>
        <v>0</v>
      </c>
      <c r="EQ37" s="12">
        <f t="shared" si="60"/>
        <v>0</v>
      </c>
      <c r="ER37" s="12">
        <f t="shared" si="60"/>
        <v>0</v>
      </c>
      <c r="ES37" s="12">
        <f t="shared" si="60"/>
        <v>0</v>
      </c>
      <c r="ET37" s="12">
        <f t="shared" si="60"/>
        <v>0</v>
      </c>
      <c r="EU37" s="12">
        <f t="shared" si="60"/>
        <v>0</v>
      </c>
      <c r="EV37" s="12">
        <f t="shared" si="60"/>
        <v>0</v>
      </c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>
        <f>ROUND(SUMIF(AA28:AA35,"=55942968",FQ28:FQ35),2)</f>
        <v>0</v>
      </c>
      <c r="FQ37" s="12">
        <f>ROUND(SUMIF(AA28:AA35,"=55942968",FR28:FR35),2)</f>
        <v>0</v>
      </c>
      <c r="FR37" s="12">
        <f>ROUND(SUMIF(AA28:AA35,"=55942968",GL28:GL35),2)</f>
        <v>0</v>
      </c>
      <c r="FS37" s="12">
        <f>ROUND(SUMIF(AA28:AA35,"=55942968",GM28:GM35),2)</f>
        <v>8430.25</v>
      </c>
      <c r="FT37" s="12">
        <f>ROUND(SUMIF(AA28:AA35,"=55942968",GN28:GN35),2)</f>
        <v>0</v>
      </c>
      <c r="FU37" s="12">
        <f>ROUND(SUMIF(AA28:AA35,"=55942968",GO28:GO35),2)</f>
        <v>8430.25</v>
      </c>
      <c r="FV37" s="12">
        <f>ROUND(SUMIF(AA28:AA35,"=55942968",GP28:GP35),2)</f>
        <v>0</v>
      </c>
      <c r="FW37" s="12">
        <f>DU37-FP37</f>
        <v>0</v>
      </c>
      <c r="FX37" s="12">
        <f>DU37-FQ37</f>
        <v>0</v>
      </c>
      <c r="FY37" s="12">
        <f>FP37-FR37</f>
        <v>0</v>
      </c>
      <c r="FZ37" s="12">
        <f>DU37-FP37-FQ37+FR37</f>
        <v>0</v>
      </c>
      <c r="GA37" s="12">
        <f>FQ37-FR37</f>
        <v>0</v>
      </c>
      <c r="GB37" s="12">
        <f>ROUND(SUMIF(AA28:AA35,"=55942968",GX28:GX35),2)</f>
        <v>0</v>
      </c>
      <c r="GC37" s="12">
        <f>ROUND(SUMIF(AA28:AA35,"=55942968",GY28:GY35),2)</f>
        <v>0</v>
      </c>
      <c r="GD37" s="12">
        <f>ROUND(SUMIF(AA28:AA35,"=55942968",GZ28:GZ35),2)</f>
        <v>0</v>
      </c>
      <c r="GE37" s="12">
        <f>ROUND(SUMIF(AA28:AA35,"=55942968",HD28:HD35),2)</f>
        <v>0</v>
      </c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>
        <v>0</v>
      </c>
    </row>
    <row r="39" spans="1:255" ht="13" x14ac:dyDescent="0.3">
      <c r="A39" s="13">
        <v>50</v>
      </c>
      <c r="B39" s="13">
        <v>0</v>
      </c>
      <c r="C39" s="13">
        <v>0</v>
      </c>
      <c r="D39" s="13">
        <v>1</v>
      </c>
      <c r="E39" s="13">
        <v>201</v>
      </c>
      <c r="F39" s="13">
        <f>ROUND(Source!O37,O39)</f>
        <v>62.38</v>
      </c>
      <c r="G39" s="13" t="s">
        <v>51</v>
      </c>
      <c r="H39" s="13" t="s">
        <v>52</v>
      </c>
      <c r="I39" s="13"/>
      <c r="J39" s="13"/>
      <c r="K39" s="13">
        <v>201</v>
      </c>
      <c r="L39" s="13">
        <v>1</v>
      </c>
      <c r="M39" s="13">
        <v>3</v>
      </c>
      <c r="N39" s="13" t="s">
        <v>3</v>
      </c>
      <c r="O39" s="13">
        <v>2</v>
      </c>
      <c r="P39" s="13">
        <f>ROUND(Source!DG37,O39)</f>
        <v>3515.12</v>
      </c>
      <c r="Q39" s="13"/>
      <c r="R39" s="13"/>
      <c r="S39" s="13"/>
      <c r="T39" s="13"/>
      <c r="U39" s="13"/>
      <c r="V39" s="13"/>
      <c r="W39" s="13">
        <v>62.38</v>
      </c>
      <c r="X39" s="13">
        <v>1</v>
      </c>
      <c r="Y39" s="13">
        <v>62.38</v>
      </c>
      <c r="Z39" s="13">
        <v>3515.12</v>
      </c>
      <c r="AA39" s="13">
        <v>1</v>
      </c>
      <c r="AB39" s="13">
        <v>3515.12</v>
      </c>
    </row>
    <row r="40" spans="1:255" ht="13" x14ac:dyDescent="0.3">
      <c r="A40" s="13">
        <v>50</v>
      </c>
      <c r="B40" s="13">
        <v>0</v>
      </c>
      <c r="C40" s="13">
        <v>0</v>
      </c>
      <c r="D40" s="13">
        <v>1</v>
      </c>
      <c r="E40" s="13">
        <v>202</v>
      </c>
      <c r="F40" s="13">
        <f>ROUND(Source!P37,O40)</f>
        <v>0</v>
      </c>
      <c r="G40" s="13" t="s">
        <v>53</v>
      </c>
      <c r="H40" s="13" t="s">
        <v>54</v>
      </c>
      <c r="I40" s="13"/>
      <c r="J40" s="13"/>
      <c r="K40" s="13">
        <v>202</v>
      </c>
      <c r="L40" s="13">
        <v>2</v>
      </c>
      <c r="M40" s="13">
        <v>3</v>
      </c>
      <c r="N40" s="13" t="s">
        <v>3</v>
      </c>
      <c r="O40" s="13">
        <v>2</v>
      </c>
      <c r="P40" s="13">
        <f>ROUND(Source!DH37,O40)</f>
        <v>0</v>
      </c>
      <c r="Q40" s="13"/>
      <c r="R40" s="13"/>
      <c r="S40" s="13"/>
      <c r="T40" s="13"/>
      <c r="U40" s="13"/>
      <c r="V40" s="13"/>
      <c r="W40" s="13">
        <v>0</v>
      </c>
      <c r="X40" s="13">
        <v>1</v>
      </c>
      <c r="Y40" s="13">
        <v>0</v>
      </c>
      <c r="Z40" s="13">
        <v>0</v>
      </c>
      <c r="AA40" s="13">
        <v>1</v>
      </c>
      <c r="AB40" s="13">
        <v>0</v>
      </c>
    </row>
    <row r="41" spans="1:255" ht="13" x14ac:dyDescent="0.3">
      <c r="A41" s="13">
        <v>50</v>
      </c>
      <c r="B41" s="13">
        <v>0</v>
      </c>
      <c r="C41" s="13">
        <v>0</v>
      </c>
      <c r="D41" s="13">
        <v>1</v>
      </c>
      <c r="E41" s="13">
        <v>222</v>
      </c>
      <c r="F41" s="13">
        <f>ROUND(Source!AO37,O41)</f>
        <v>0</v>
      </c>
      <c r="G41" s="13" t="s">
        <v>55</v>
      </c>
      <c r="H41" s="13" t="s">
        <v>56</v>
      </c>
      <c r="I41" s="13"/>
      <c r="J41" s="13"/>
      <c r="K41" s="13">
        <v>222</v>
      </c>
      <c r="L41" s="13">
        <v>3</v>
      </c>
      <c r="M41" s="13">
        <v>3</v>
      </c>
      <c r="N41" s="13" t="s">
        <v>3</v>
      </c>
      <c r="O41" s="13">
        <v>2</v>
      </c>
      <c r="P41" s="13">
        <f>ROUND(Source!EG37,O41)</f>
        <v>0</v>
      </c>
      <c r="Q41" s="13"/>
      <c r="R41" s="13"/>
      <c r="S41" s="13"/>
      <c r="T41" s="13"/>
      <c r="U41" s="13"/>
      <c r="V41" s="13"/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</row>
    <row r="42" spans="1:255" ht="13" x14ac:dyDescent="0.3">
      <c r="A42" s="13">
        <v>50</v>
      </c>
      <c r="B42" s="13">
        <v>0</v>
      </c>
      <c r="C42" s="13">
        <v>0</v>
      </c>
      <c r="D42" s="13">
        <v>1</v>
      </c>
      <c r="E42" s="13">
        <v>225</v>
      </c>
      <c r="F42" s="13">
        <f>ROUND(Source!AV37,O42)</f>
        <v>0</v>
      </c>
      <c r="G42" s="13" t="s">
        <v>57</v>
      </c>
      <c r="H42" s="13" t="s">
        <v>58</v>
      </c>
      <c r="I42" s="13"/>
      <c r="J42" s="13"/>
      <c r="K42" s="13">
        <v>225</v>
      </c>
      <c r="L42" s="13">
        <v>4</v>
      </c>
      <c r="M42" s="13">
        <v>3</v>
      </c>
      <c r="N42" s="13" t="s">
        <v>3</v>
      </c>
      <c r="O42" s="13">
        <v>2</v>
      </c>
      <c r="P42" s="13">
        <f>ROUND(Source!EN37,O42)</f>
        <v>0</v>
      </c>
      <c r="Q42" s="13"/>
      <c r="R42" s="13"/>
      <c r="S42" s="13"/>
      <c r="T42" s="13"/>
      <c r="U42" s="13"/>
      <c r="V42" s="13"/>
      <c r="W42" s="13">
        <v>0</v>
      </c>
      <c r="X42" s="13">
        <v>1</v>
      </c>
      <c r="Y42" s="13">
        <v>0</v>
      </c>
      <c r="Z42" s="13">
        <v>0</v>
      </c>
      <c r="AA42" s="13">
        <v>1</v>
      </c>
      <c r="AB42" s="13">
        <v>0</v>
      </c>
    </row>
    <row r="43" spans="1:255" ht="13" x14ac:dyDescent="0.3">
      <c r="A43" s="13">
        <v>50</v>
      </c>
      <c r="B43" s="13">
        <v>0</v>
      </c>
      <c r="C43" s="13">
        <v>0</v>
      </c>
      <c r="D43" s="13">
        <v>1</v>
      </c>
      <c r="E43" s="13">
        <v>226</v>
      </c>
      <c r="F43" s="13">
        <f>ROUND(Source!AW37,O43)</f>
        <v>0</v>
      </c>
      <c r="G43" s="13" t="s">
        <v>59</v>
      </c>
      <c r="H43" s="13" t="s">
        <v>60</v>
      </c>
      <c r="I43" s="13"/>
      <c r="J43" s="13"/>
      <c r="K43" s="13">
        <v>226</v>
      </c>
      <c r="L43" s="13">
        <v>5</v>
      </c>
      <c r="M43" s="13">
        <v>3</v>
      </c>
      <c r="N43" s="13" t="s">
        <v>3</v>
      </c>
      <c r="O43" s="13">
        <v>2</v>
      </c>
      <c r="P43" s="13">
        <f>ROUND(Source!EO37,O43)</f>
        <v>0</v>
      </c>
      <c r="Q43" s="13"/>
      <c r="R43" s="13"/>
      <c r="S43" s="13"/>
      <c r="T43" s="13"/>
      <c r="U43" s="13"/>
      <c r="V43" s="13"/>
      <c r="W43" s="13">
        <v>0</v>
      </c>
      <c r="X43" s="13">
        <v>1</v>
      </c>
      <c r="Y43" s="13">
        <v>0</v>
      </c>
      <c r="Z43" s="13">
        <v>0</v>
      </c>
      <c r="AA43" s="13">
        <v>1</v>
      </c>
      <c r="AB43" s="13">
        <v>0</v>
      </c>
    </row>
    <row r="44" spans="1:255" ht="13" x14ac:dyDescent="0.3">
      <c r="A44" s="13">
        <v>50</v>
      </c>
      <c r="B44" s="13">
        <v>0</v>
      </c>
      <c r="C44" s="13">
        <v>0</v>
      </c>
      <c r="D44" s="13">
        <v>1</v>
      </c>
      <c r="E44" s="13">
        <v>227</v>
      </c>
      <c r="F44" s="13">
        <f>ROUND(Source!AX37,O44)</f>
        <v>0</v>
      </c>
      <c r="G44" s="13" t="s">
        <v>61</v>
      </c>
      <c r="H44" s="13" t="s">
        <v>62</v>
      </c>
      <c r="I44" s="13"/>
      <c r="J44" s="13"/>
      <c r="K44" s="13">
        <v>227</v>
      </c>
      <c r="L44" s="13">
        <v>6</v>
      </c>
      <c r="M44" s="13">
        <v>3</v>
      </c>
      <c r="N44" s="13" t="s">
        <v>3</v>
      </c>
      <c r="O44" s="13">
        <v>2</v>
      </c>
      <c r="P44" s="13">
        <f>ROUND(Source!EP37,O44)</f>
        <v>0</v>
      </c>
      <c r="Q44" s="13"/>
      <c r="R44" s="13"/>
      <c r="S44" s="13"/>
      <c r="T44" s="13"/>
      <c r="U44" s="13"/>
      <c r="V44" s="13"/>
      <c r="W44" s="13">
        <v>0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</row>
    <row r="45" spans="1:255" ht="13" x14ac:dyDescent="0.3">
      <c r="A45" s="13">
        <v>50</v>
      </c>
      <c r="B45" s="13">
        <v>0</v>
      </c>
      <c r="C45" s="13">
        <v>0</v>
      </c>
      <c r="D45" s="13">
        <v>1</v>
      </c>
      <c r="E45" s="13">
        <v>228</v>
      </c>
      <c r="F45" s="13">
        <f>ROUND(Source!AY37,O45)</f>
        <v>0</v>
      </c>
      <c r="G45" s="13" t="s">
        <v>63</v>
      </c>
      <c r="H45" s="13" t="s">
        <v>64</v>
      </c>
      <c r="I45" s="13"/>
      <c r="J45" s="13"/>
      <c r="K45" s="13">
        <v>228</v>
      </c>
      <c r="L45" s="13">
        <v>7</v>
      </c>
      <c r="M45" s="13">
        <v>3</v>
      </c>
      <c r="N45" s="13" t="s">
        <v>3</v>
      </c>
      <c r="O45" s="13">
        <v>2</v>
      </c>
      <c r="P45" s="13">
        <f>ROUND(Source!EQ37,O45)</f>
        <v>0</v>
      </c>
      <c r="Q45" s="13"/>
      <c r="R45" s="13"/>
      <c r="S45" s="13"/>
      <c r="T45" s="13"/>
      <c r="U45" s="13"/>
      <c r="V45" s="13"/>
      <c r="W45" s="13">
        <v>0</v>
      </c>
      <c r="X45" s="13">
        <v>1</v>
      </c>
      <c r="Y45" s="13">
        <v>0</v>
      </c>
      <c r="Z45" s="13">
        <v>0</v>
      </c>
      <c r="AA45" s="13">
        <v>1</v>
      </c>
      <c r="AB45" s="13">
        <v>0</v>
      </c>
    </row>
    <row r="46" spans="1:255" ht="13" x14ac:dyDescent="0.3">
      <c r="A46" s="13">
        <v>50</v>
      </c>
      <c r="B46" s="13">
        <v>0</v>
      </c>
      <c r="C46" s="13">
        <v>0</v>
      </c>
      <c r="D46" s="13">
        <v>1</v>
      </c>
      <c r="E46" s="13">
        <v>216</v>
      </c>
      <c r="F46" s="13">
        <f>ROUND(Source!AP37,O46)</f>
        <v>0</v>
      </c>
      <c r="G46" s="13" t="s">
        <v>65</v>
      </c>
      <c r="H46" s="13" t="s">
        <v>66</v>
      </c>
      <c r="I46" s="13"/>
      <c r="J46" s="13"/>
      <c r="K46" s="13">
        <v>216</v>
      </c>
      <c r="L46" s="13">
        <v>8</v>
      </c>
      <c r="M46" s="13">
        <v>3</v>
      </c>
      <c r="N46" s="13" t="s">
        <v>3</v>
      </c>
      <c r="O46" s="13">
        <v>2</v>
      </c>
      <c r="P46" s="13">
        <f>ROUND(Source!EH37,O46)</f>
        <v>0</v>
      </c>
      <c r="Q46" s="13"/>
      <c r="R46" s="13"/>
      <c r="S46" s="13"/>
      <c r="T46" s="13"/>
      <c r="U46" s="13"/>
      <c r="V46" s="13"/>
      <c r="W46" s="13">
        <v>0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</row>
    <row r="47" spans="1:255" ht="13" x14ac:dyDescent="0.3">
      <c r="A47" s="13">
        <v>50</v>
      </c>
      <c r="B47" s="13">
        <v>0</v>
      </c>
      <c r="C47" s="13">
        <v>0</v>
      </c>
      <c r="D47" s="13">
        <v>1</v>
      </c>
      <c r="E47" s="13">
        <v>223</v>
      </c>
      <c r="F47" s="13">
        <f>ROUND(Source!AQ37,O47)</f>
        <v>0</v>
      </c>
      <c r="G47" s="13" t="s">
        <v>67</v>
      </c>
      <c r="H47" s="13" t="s">
        <v>68</v>
      </c>
      <c r="I47" s="13"/>
      <c r="J47" s="13"/>
      <c r="K47" s="13">
        <v>223</v>
      </c>
      <c r="L47" s="13">
        <v>9</v>
      </c>
      <c r="M47" s="13">
        <v>3</v>
      </c>
      <c r="N47" s="13" t="s">
        <v>3</v>
      </c>
      <c r="O47" s="13">
        <v>2</v>
      </c>
      <c r="P47" s="13">
        <f>ROUND(Source!EI37,O47)</f>
        <v>0</v>
      </c>
      <c r="Q47" s="13"/>
      <c r="R47" s="13"/>
      <c r="S47" s="13"/>
      <c r="T47" s="13"/>
      <c r="U47" s="13"/>
      <c r="V47" s="13"/>
      <c r="W47" s="13">
        <v>0</v>
      </c>
      <c r="X47" s="13">
        <v>1</v>
      </c>
      <c r="Y47" s="13">
        <v>0</v>
      </c>
      <c r="Z47" s="13">
        <v>0</v>
      </c>
      <c r="AA47" s="13">
        <v>1</v>
      </c>
      <c r="AB47" s="13">
        <v>0</v>
      </c>
    </row>
    <row r="48" spans="1:255" ht="13" x14ac:dyDescent="0.3">
      <c r="A48" s="13">
        <v>50</v>
      </c>
      <c r="B48" s="13">
        <v>0</v>
      </c>
      <c r="C48" s="13">
        <v>0</v>
      </c>
      <c r="D48" s="13">
        <v>1</v>
      </c>
      <c r="E48" s="13">
        <v>229</v>
      </c>
      <c r="F48" s="13">
        <f>ROUND(Source!AZ37,O48)</f>
        <v>0</v>
      </c>
      <c r="G48" s="13" t="s">
        <v>69</v>
      </c>
      <c r="H48" s="13" t="s">
        <v>70</v>
      </c>
      <c r="I48" s="13"/>
      <c r="J48" s="13"/>
      <c r="K48" s="13">
        <v>229</v>
      </c>
      <c r="L48" s="13">
        <v>10</v>
      </c>
      <c r="M48" s="13">
        <v>3</v>
      </c>
      <c r="N48" s="13" t="s">
        <v>3</v>
      </c>
      <c r="O48" s="13">
        <v>2</v>
      </c>
      <c r="P48" s="13">
        <f>ROUND(Source!ER37,O48)</f>
        <v>0</v>
      </c>
      <c r="Q48" s="13"/>
      <c r="R48" s="13"/>
      <c r="S48" s="13"/>
      <c r="T48" s="13"/>
      <c r="U48" s="13"/>
      <c r="V48" s="13"/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</row>
    <row r="49" spans="1:28" ht="13" x14ac:dyDescent="0.3">
      <c r="A49" s="13">
        <v>50</v>
      </c>
      <c r="B49" s="13">
        <v>0</v>
      </c>
      <c r="C49" s="13">
        <v>0</v>
      </c>
      <c r="D49" s="13">
        <v>1</v>
      </c>
      <c r="E49" s="13">
        <v>203</v>
      </c>
      <c r="F49" s="13">
        <f>ROUND(Source!Q37,O49)</f>
        <v>0</v>
      </c>
      <c r="G49" s="13" t="s">
        <v>71</v>
      </c>
      <c r="H49" s="13" t="s">
        <v>72</v>
      </c>
      <c r="I49" s="13"/>
      <c r="J49" s="13"/>
      <c r="K49" s="13">
        <v>203</v>
      </c>
      <c r="L49" s="13">
        <v>11</v>
      </c>
      <c r="M49" s="13">
        <v>3</v>
      </c>
      <c r="N49" s="13" t="s">
        <v>3</v>
      </c>
      <c r="O49" s="13">
        <v>2</v>
      </c>
      <c r="P49" s="13">
        <f>ROUND(Source!DI37,O49)</f>
        <v>0</v>
      </c>
      <c r="Q49" s="13"/>
      <c r="R49" s="13"/>
      <c r="S49" s="13"/>
      <c r="T49" s="13"/>
      <c r="U49" s="13"/>
      <c r="V49" s="13"/>
      <c r="W49" s="13">
        <v>0</v>
      </c>
      <c r="X49" s="13">
        <v>1</v>
      </c>
      <c r="Y49" s="13">
        <v>0</v>
      </c>
      <c r="Z49" s="13">
        <v>0</v>
      </c>
      <c r="AA49" s="13">
        <v>1</v>
      </c>
      <c r="AB49" s="13">
        <v>0</v>
      </c>
    </row>
    <row r="50" spans="1:28" ht="13" x14ac:dyDescent="0.3">
      <c r="A50" s="13">
        <v>50</v>
      </c>
      <c r="B50" s="13">
        <v>0</v>
      </c>
      <c r="C50" s="13">
        <v>0</v>
      </c>
      <c r="D50" s="13">
        <v>1</v>
      </c>
      <c r="E50" s="13">
        <v>231</v>
      </c>
      <c r="F50" s="13">
        <f>ROUND(Source!BB37,O50)</f>
        <v>0</v>
      </c>
      <c r="G50" s="13" t="s">
        <v>73</v>
      </c>
      <c r="H50" s="13" t="s">
        <v>74</v>
      </c>
      <c r="I50" s="13"/>
      <c r="J50" s="13"/>
      <c r="K50" s="13">
        <v>231</v>
      </c>
      <c r="L50" s="13">
        <v>12</v>
      </c>
      <c r="M50" s="13">
        <v>3</v>
      </c>
      <c r="N50" s="13" t="s">
        <v>3</v>
      </c>
      <c r="O50" s="13">
        <v>2</v>
      </c>
      <c r="P50" s="13">
        <f>ROUND(Source!ET37,O50)</f>
        <v>0</v>
      </c>
      <c r="Q50" s="13"/>
      <c r="R50" s="13"/>
      <c r="S50" s="13"/>
      <c r="T50" s="13"/>
      <c r="U50" s="13"/>
      <c r="V50" s="13"/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</row>
    <row r="51" spans="1:28" ht="13" x14ac:dyDescent="0.3">
      <c r="A51" s="13">
        <v>50</v>
      </c>
      <c r="B51" s="13">
        <v>0</v>
      </c>
      <c r="C51" s="13">
        <v>0</v>
      </c>
      <c r="D51" s="13">
        <v>1</v>
      </c>
      <c r="E51" s="13">
        <v>204</v>
      </c>
      <c r="F51" s="13">
        <f>ROUND(Source!R37,O51)</f>
        <v>0</v>
      </c>
      <c r="G51" s="13" t="s">
        <v>75</v>
      </c>
      <c r="H51" s="13" t="s">
        <v>76</v>
      </c>
      <c r="I51" s="13"/>
      <c r="J51" s="13"/>
      <c r="K51" s="13">
        <v>204</v>
      </c>
      <c r="L51" s="13">
        <v>13</v>
      </c>
      <c r="M51" s="13">
        <v>3</v>
      </c>
      <c r="N51" s="13" t="s">
        <v>3</v>
      </c>
      <c r="O51" s="13">
        <v>2</v>
      </c>
      <c r="P51" s="13">
        <f>ROUND(Source!DJ37,O51)</f>
        <v>0</v>
      </c>
      <c r="Q51" s="13"/>
      <c r="R51" s="13"/>
      <c r="S51" s="13"/>
      <c r="T51" s="13"/>
      <c r="U51" s="13"/>
      <c r="V51" s="13"/>
      <c r="W51" s="13">
        <v>0</v>
      </c>
      <c r="X51" s="13">
        <v>1</v>
      </c>
      <c r="Y51" s="13">
        <v>0</v>
      </c>
      <c r="Z51" s="13">
        <v>0</v>
      </c>
      <c r="AA51" s="13">
        <v>1</v>
      </c>
      <c r="AB51" s="13">
        <v>0</v>
      </c>
    </row>
    <row r="52" spans="1:28" ht="13" x14ac:dyDescent="0.3">
      <c r="A52" s="13">
        <v>50</v>
      </c>
      <c r="B52" s="13">
        <v>0</v>
      </c>
      <c r="C52" s="13">
        <v>0</v>
      </c>
      <c r="D52" s="13">
        <v>1</v>
      </c>
      <c r="E52" s="13">
        <v>205</v>
      </c>
      <c r="F52" s="13">
        <f>ROUND(Source!S37,O52)</f>
        <v>62.38</v>
      </c>
      <c r="G52" s="13" t="s">
        <v>77</v>
      </c>
      <c r="H52" s="13" t="s">
        <v>78</v>
      </c>
      <c r="I52" s="13"/>
      <c r="J52" s="13"/>
      <c r="K52" s="13">
        <v>205</v>
      </c>
      <c r="L52" s="13">
        <v>14</v>
      </c>
      <c r="M52" s="13">
        <v>3</v>
      </c>
      <c r="N52" s="13" t="s">
        <v>3</v>
      </c>
      <c r="O52" s="13">
        <v>2</v>
      </c>
      <c r="P52" s="13">
        <f>ROUND(Source!DK37,O52)</f>
        <v>3515.12</v>
      </c>
      <c r="Q52" s="13"/>
      <c r="R52" s="13"/>
      <c r="S52" s="13"/>
      <c r="T52" s="13"/>
      <c r="U52" s="13"/>
      <c r="V52" s="13"/>
      <c r="W52" s="13">
        <v>62.38</v>
      </c>
      <c r="X52" s="13">
        <v>1</v>
      </c>
      <c r="Y52" s="13">
        <v>62.38</v>
      </c>
      <c r="Z52" s="13">
        <v>3515.12</v>
      </c>
      <c r="AA52" s="13">
        <v>1</v>
      </c>
      <c r="AB52" s="13">
        <v>3515.12</v>
      </c>
    </row>
    <row r="53" spans="1:28" ht="13" x14ac:dyDescent="0.3">
      <c r="A53" s="13">
        <v>50</v>
      </c>
      <c r="B53" s="13">
        <v>0</v>
      </c>
      <c r="C53" s="13">
        <v>0</v>
      </c>
      <c r="D53" s="13">
        <v>1</v>
      </c>
      <c r="E53" s="13">
        <v>232</v>
      </c>
      <c r="F53" s="13">
        <f>ROUND(Source!BC37,O53)</f>
        <v>0</v>
      </c>
      <c r="G53" s="13" t="s">
        <v>79</v>
      </c>
      <c r="H53" s="13" t="s">
        <v>80</v>
      </c>
      <c r="I53" s="13"/>
      <c r="J53" s="13"/>
      <c r="K53" s="13">
        <v>232</v>
      </c>
      <c r="L53" s="13">
        <v>15</v>
      </c>
      <c r="M53" s="13">
        <v>3</v>
      </c>
      <c r="N53" s="13" t="s">
        <v>3</v>
      </c>
      <c r="O53" s="13">
        <v>2</v>
      </c>
      <c r="P53" s="13">
        <f>ROUND(Source!EU37,O53)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8" ht="13" x14ac:dyDescent="0.3">
      <c r="A54" s="13">
        <v>50</v>
      </c>
      <c r="B54" s="13">
        <v>0</v>
      </c>
      <c r="C54" s="13">
        <v>0</v>
      </c>
      <c r="D54" s="13">
        <v>1</v>
      </c>
      <c r="E54" s="13">
        <v>214</v>
      </c>
      <c r="F54" s="13">
        <f>ROUND(Source!AS37,O54)</f>
        <v>0</v>
      </c>
      <c r="G54" s="13" t="s">
        <v>81</v>
      </c>
      <c r="H54" s="13" t="s">
        <v>82</v>
      </c>
      <c r="I54" s="13"/>
      <c r="J54" s="13"/>
      <c r="K54" s="13">
        <v>214</v>
      </c>
      <c r="L54" s="13">
        <v>16</v>
      </c>
      <c r="M54" s="13">
        <v>3</v>
      </c>
      <c r="N54" s="13" t="s">
        <v>3</v>
      </c>
      <c r="O54" s="13">
        <v>2</v>
      </c>
      <c r="P54" s="13">
        <f>ROUND(Source!EK37,O54)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8" ht="13" x14ac:dyDescent="0.3">
      <c r="A55" s="13">
        <v>50</v>
      </c>
      <c r="B55" s="13">
        <v>0</v>
      </c>
      <c r="C55" s="13">
        <v>0</v>
      </c>
      <c r="D55" s="13">
        <v>1</v>
      </c>
      <c r="E55" s="13">
        <v>215</v>
      </c>
      <c r="F55" s="13">
        <f>ROUND(Source!AT37,O55)</f>
        <v>149.59</v>
      </c>
      <c r="G55" s="13" t="s">
        <v>83</v>
      </c>
      <c r="H55" s="13" t="s">
        <v>84</v>
      </c>
      <c r="I55" s="13"/>
      <c r="J55" s="13"/>
      <c r="K55" s="13">
        <v>215</v>
      </c>
      <c r="L55" s="13">
        <v>17</v>
      </c>
      <c r="M55" s="13">
        <v>3</v>
      </c>
      <c r="N55" s="13" t="s">
        <v>3</v>
      </c>
      <c r="O55" s="13">
        <v>2</v>
      </c>
      <c r="P55" s="13">
        <f>ROUND(Source!EL37,O55)</f>
        <v>8430.25</v>
      </c>
      <c r="Q55" s="13"/>
      <c r="R55" s="13"/>
      <c r="S55" s="13"/>
      <c r="T55" s="13"/>
      <c r="U55" s="13"/>
      <c r="V55" s="13"/>
      <c r="W55" s="13">
        <v>149.59</v>
      </c>
      <c r="X55" s="13">
        <v>1</v>
      </c>
      <c r="Y55" s="13">
        <v>149.59</v>
      </c>
      <c r="Z55" s="13">
        <v>8430.25</v>
      </c>
      <c r="AA55" s="13">
        <v>1</v>
      </c>
      <c r="AB55" s="13">
        <v>8430.25</v>
      </c>
    </row>
    <row r="56" spans="1:28" ht="13" x14ac:dyDescent="0.3">
      <c r="A56" s="13">
        <v>50</v>
      </c>
      <c r="B56" s="13">
        <v>0</v>
      </c>
      <c r="C56" s="13">
        <v>0</v>
      </c>
      <c r="D56" s="13">
        <v>1</v>
      </c>
      <c r="E56" s="13">
        <v>217</v>
      </c>
      <c r="F56" s="13">
        <f>ROUND(Source!AU37,O56)</f>
        <v>0</v>
      </c>
      <c r="G56" s="13" t="s">
        <v>85</v>
      </c>
      <c r="H56" s="13" t="s">
        <v>86</v>
      </c>
      <c r="I56" s="13"/>
      <c r="J56" s="13"/>
      <c r="K56" s="13">
        <v>217</v>
      </c>
      <c r="L56" s="13">
        <v>18</v>
      </c>
      <c r="M56" s="13">
        <v>3</v>
      </c>
      <c r="N56" s="13" t="s">
        <v>3</v>
      </c>
      <c r="O56" s="13">
        <v>2</v>
      </c>
      <c r="P56" s="13">
        <f>ROUND(Source!EM37,O56)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8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230</v>
      </c>
      <c r="F57" s="13">
        <f>ROUND(Source!BA37,O57)</f>
        <v>0</v>
      </c>
      <c r="G57" s="13" t="s">
        <v>87</v>
      </c>
      <c r="H57" s="13" t="s">
        <v>88</v>
      </c>
      <c r="I57" s="13"/>
      <c r="J57" s="13"/>
      <c r="K57" s="13">
        <v>230</v>
      </c>
      <c r="L57" s="13">
        <v>19</v>
      </c>
      <c r="M57" s="13">
        <v>3</v>
      </c>
      <c r="N57" s="13" t="s">
        <v>3</v>
      </c>
      <c r="O57" s="13">
        <v>2</v>
      </c>
      <c r="P57" s="13">
        <f>ROUND(Source!ES37,O57)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8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206</v>
      </c>
      <c r="F58" s="13">
        <f>ROUND(Source!T37,O58)</f>
        <v>0</v>
      </c>
      <c r="G58" s="13" t="s">
        <v>89</v>
      </c>
      <c r="H58" s="13" t="s">
        <v>90</v>
      </c>
      <c r="I58" s="13"/>
      <c r="J58" s="13"/>
      <c r="K58" s="13">
        <v>206</v>
      </c>
      <c r="L58" s="13">
        <v>20</v>
      </c>
      <c r="M58" s="13">
        <v>3</v>
      </c>
      <c r="N58" s="13" t="s">
        <v>3</v>
      </c>
      <c r="O58" s="13">
        <v>2</v>
      </c>
      <c r="P58" s="13">
        <f>ROUND(Source!DL37,O58)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8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207</v>
      </c>
      <c r="F59" s="13">
        <f>Source!U37</f>
        <v>4.789292399999999</v>
      </c>
      <c r="G59" s="13" t="s">
        <v>91</v>
      </c>
      <c r="H59" s="13" t="s">
        <v>92</v>
      </c>
      <c r="I59" s="13"/>
      <c r="J59" s="13"/>
      <c r="K59" s="13">
        <v>207</v>
      </c>
      <c r="L59" s="13">
        <v>21</v>
      </c>
      <c r="M59" s="13">
        <v>3</v>
      </c>
      <c r="N59" s="13" t="s">
        <v>3</v>
      </c>
      <c r="O59" s="13">
        <v>-1</v>
      </c>
      <c r="P59" s="13">
        <f>Source!DM37</f>
        <v>4.789292399999999</v>
      </c>
      <c r="Q59" s="13"/>
      <c r="R59" s="13"/>
      <c r="S59" s="13"/>
      <c r="T59" s="13"/>
      <c r="U59" s="13"/>
      <c r="V59" s="13"/>
      <c r="W59" s="13">
        <v>4.7892923999999999</v>
      </c>
      <c r="X59" s="13">
        <v>1</v>
      </c>
      <c r="Y59" s="13">
        <v>4.7892923999999999</v>
      </c>
      <c r="Z59" s="13">
        <v>4.7892923999999999</v>
      </c>
      <c r="AA59" s="13">
        <v>1</v>
      </c>
      <c r="AB59" s="13">
        <v>4.7892923999999999</v>
      </c>
    </row>
    <row r="60" spans="1:28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208</v>
      </c>
      <c r="F60" s="13">
        <f>Source!V37</f>
        <v>0</v>
      </c>
      <c r="G60" s="13" t="s">
        <v>93</v>
      </c>
      <c r="H60" s="13" t="s">
        <v>94</v>
      </c>
      <c r="I60" s="13"/>
      <c r="J60" s="13"/>
      <c r="K60" s="13">
        <v>208</v>
      </c>
      <c r="L60" s="13">
        <v>22</v>
      </c>
      <c r="M60" s="13">
        <v>3</v>
      </c>
      <c r="N60" s="13" t="s">
        <v>3</v>
      </c>
      <c r="O60" s="13">
        <v>-1</v>
      </c>
      <c r="P60" s="13">
        <f>Source!DN37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8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209</v>
      </c>
      <c r="F61" s="13">
        <f>ROUND(Source!W37,O61)</f>
        <v>0</v>
      </c>
      <c r="G61" s="13" t="s">
        <v>95</v>
      </c>
      <c r="H61" s="13" t="s">
        <v>96</v>
      </c>
      <c r="I61" s="13"/>
      <c r="J61" s="13"/>
      <c r="K61" s="13">
        <v>209</v>
      </c>
      <c r="L61" s="13">
        <v>23</v>
      </c>
      <c r="M61" s="13">
        <v>3</v>
      </c>
      <c r="N61" s="13" t="s">
        <v>3</v>
      </c>
      <c r="O61" s="13">
        <v>2</v>
      </c>
      <c r="P61" s="13">
        <f>ROUND(Source!DO37,O61)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8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233</v>
      </c>
      <c r="F62" s="13">
        <f>ROUND(Source!BD37,O62)</f>
        <v>0</v>
      </c>
      <c r="G62" s="13" t="s">
        <v>97</v>
      </c>
      <c r="H62" s="13" t="s">
        <v>98</v>
      </c>
      <c r="I62" s="13"/>
      <c r="J62" s="13"/>
      <c r="K62" s="13">
        <v>233</v>
      </c>
      <c r="L62" s="13">
        <v>24</v>
      </c>
      <c r="M62" s="13">
        <v>3</v>
      </c>
      <c r="N62" s="13" t="s">
        <v>3</v>
      </c>
      <c r="O62" s="13">
        <v>2</v>
      </c>
      <c r="P62" s="13">
        <f>ROUND(Source!EV37,O62)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8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210</v>
      </c>
      <c r="F63" s="13">
        <f>ROUND(Source!X37,O63)</f>
        <v>57.13</v>
      </c>
      <c r="G63" s="13" t="s">
        <v>99</v>
      </c>
      <c r="H63" s="13" t="s">
        <v>100</v>
      </c>
      <c r="I63" s="13"/>
      <c r="J63" s="13"/>
      <c r="K63" s="13">
        <v>210</v>
      </c>
      <c r="L63" s="13">
        <v>25</v>
      </c>
      <c r="M63" s="13">
        <v>3</v>
      </c>
      <c r="N63" s="13" t="s">
        <v>3</v>
      </c>
      <c r="O63" s="13">
        <v>2</v>
      </c>
      <c r="P63" s="13">
        <f>ROUND(Source!DP37,O63)</f>
        <v>3219.68</v>
      </c>
      <c r="Q63" s="13"/>
      <c r="R63" s="13"/>
      <c r="S63" s="13"/>
      <c r="T63" s="13"/>
      <c r="U63" s="13"/>
      <c r="V63" s="13"/>
      <c r="W63" s="13">
        <v>57.13</v>
      </c>
      <c r="X63" s="13">
        <v>1</v>
      </c>
      <c r="Y63" s="13">
        <v>57.13</v>
      </c>
      <c r="Z63" s="13">
        <v>3219.68</v>
      </c>
      <c r="AA63" s="13">
        <v>1</v>
      </c>
      <c r="AB63" s="13">
        <v>3219.68</v>
      </c>
    </row>
    <row r="64" spans="1:28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211</v>
      </c>
      <c r="F64" s="13">
        <f>ROUND(Source!Y37,O64)</f>
        <v>30.08</v>
      </c>
      <c r="G64" s="13" t="s">
        <v>101</v>
      </c>
      <c r="H64" s="13" t="s">
        <v>102</v>
      </c>
      <c r="I64" s="13"/>
      <c r="J64" s="13"/>
      <c r="K64" s="13">
        <v>211</v>
      </c>
      <c r="L64" s="13">
        <v>26</v>
      </c>
      <c r="M64" s="13">
        <v>3</v>
      </c>
      <c r="N64" s="13" t="s">
        <v>3</v>
      </c>
      <c r="O64" s="13">
        <v>2</v>
      </c>
      <c r="P64" s="13">
        <f>ROUND(Source!DQ37,O64)</f>
        <v>1695.45</v>
      </c>
      <c r="Q64" s="13"/>
      <c r="R64" s="13"/>
      <c r="S64" s="13"/>
      <c r="T64" s="13"/>
      <c r="U64" s="13"/>
      <c r="V64" s="13"/>
      <c r="W64" s="13">
        <v>30.08</v>
      </c>
      <c r="X64" s="13">
        <v>1</v>
      </c>
      <c r="Y64" s="13">
        <v>30.08</v>
      </c>
      <c r="Z64" s="13">
        <v>1695.45</v>
      </c>
      <c r="AA64" s="13">
        <v>1</v>
      </c>
      <c r="AB64" s="13">
        <v>1695.45</v>
      </c>
    </row>
    <row r="65" spans="1:255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224</v>
      </c>
      <c r="F65" s="13">
        <f>ROUND(Source!AR37,O65)</f>
        <v>149.59</v>
      </c>
      <c r="G65" s="13" t="s">
        <v>103</v>
      </c>
      <c r="H65" s="13" t="s">
        <v>104</v>
      </c>
      <c r="I65" s="13"/>
      <c r="J65" s="13"/>
      <c r="K65" s="13">
        <v>224</v>
      </c>
      <c r="L65" s="13">
        <v>27</v>
      </c>
      <c r="M65" s="13">
        <v>3</v>
      </c>
      <c r="N65" s="13" t="s">
        <v>3</v>
      </c>
      <c r="O65" s="13">
        <v>2</v>
      </c>
      <c r="P65" s="13">
        <f>ROUND(Source!EJ37,O65)</f>
        <v>8430.25</v>
      </c>
      <c r="Q65" s="13"/>
      <c r="R65" s="13"/>
      <c r="S65" s="13"/>
      <c r="T65" s="13"/>
      <c r="U65" s="13"/>
      <c r="V65" s="13"/>
      <c r="W65" s="13">
        <v>149.59</v>
      </c>
      <c r="X65" s="13">
        <v>1</v>
      </c>
      <c r="Y65" s="13">
        <v>149.59</v>
      </c>
      <c r="Z65" s="13">
        <v>8430.25</v>
      </c>
      <c r="AA65" s="13">
        <v>1</v>
      </c>
      <c r="AB65" s="13">
        <v>8430.25</v>
      </c>
    </row>
    <row r="67" spans="1:255" ht="13" x14ac:dyDescent="0.3">
      <c r="A67" s="10">
        <v>4</v>
      </c>
      <c r="B67" s="10">
        <v>1</v>
      </c>
      <c r="C67" s="10"/>
      <c r="D67" s="10">
        <f>ROW(A88)</f>
        <v>88</v>
      </c>
      <c r="E67" s="10"/>
      <c r="F67" s="10" t="s">
        <v>23</v>
      </c>
      <c r="G67" s="10" t="s">
        <v>105</v>
      </c>
      <c r="H67" s="10" t="s">
        <v>3</v>
      </c>
      <c r="I67" s="10">
        <v>0</v>
      </c>
      <c r="J67" s="10"/>
      <c r="K67" s="10">
        <v>0</v>
      </c>
      <c r="L67" s="10"/>
      <c r="M67" s="10" t="s">
        <v>3</v>
      </c>
      <c r="N67" s="10"/>
      <c r="O67" s="10"/>
      <c r="P67" s="10"/>
      <c r="Q67" s="10"/>
      <c r="R67" s="10"/>
      <c r="S67" s="10">
        <v>0</v>
      </c>
      <c r="T67" s="10">
        <v>0</v>
      </c>
      <c r="U67" s="10" t="s">
        <v>3</v>
      </c>
      <c r="V67" s="10">
        <v>0</v>
      </c>
      <c r="W67" s="10"/>
      <c r="X67" s="10"/>
      <c r="Y67" s="10"/>
      <c r="Z67" s="10"/>
      <c r="AA67" s="10"/>
      <c r="AB67" s="10" t="s">
        <v>3</v>
      </c>
      <c r="AC67" s="10" t="s">
        <v>3</v>
      </c>
      <c r="AD67" s="10" t="s">
        <v>3</v>
      </c>
      <c r="AE67" s="10" t="s">
        <v>3</v>
      </c>
      <c r="AF67" s="10" t="s">
        <v>3</v>
      </c>
      <c r="AG67" s="10" t="s">
        <v>3</v>
      </c>
      <c r="AH67" s="10"/>
      <c r="AI67" s="10"/>
      <c r="AJ67" s="10"/>
      <c r="AK67" s="10"/>
      <c r="AL67" s="10"/>
      <c r="AM67" s="10"/>
      <c r="AN67" s="10"/>
      <c r="AO67" s="10"/>
      <c r="AP67" s="10" t="s">
        <v>3</v>
      </c>
      <c r="AQ67" s="10" t="s">
        <v>3</v>
      </c>
      <c r="AR67" s="10" t="s">
        <v>3</v>
      </c>
      <c r="AS67" s="10"/>
      <c r="AT67" s="10"/>
      <c r="AU67" s="10"/>
      <c r="AV67" s="10"/>
      <c r="AW67" s="10"/>
      <c r="AX67" s="10"/>
      <c r="AY67" s="10"/>
      <c r="AZ67" s="10" t="s">
        <v>3</v>
      </c>
      <c r="BA67" s="10"/>
      <c r="BB67" s="10" t="s">
        <v>3</v>
      </c>
      <c r="BC67" s="10" t="s">
        <v>3</v>
      </c>
      <c r="BD67" s="10" t="s">
        <v>3</v>
      </c>
      <c r="BE67" s="10" t="s">
        <v>3</v>
      </c>
      <c r="BF67" s="10" t="s">
        <v>3</v>
      </c>
      <c r="BG67" s="10" t="s">
        <v>3</v>
      </c>
      <c r="BH67" s="10" t="s">
        <v>3</v>
      </c>
      <c r="BI67" s="10" t="s">
        <v>3</v>
      </c>
      <c r="BJ67" s="10" t="s">
        <v>3</v>
      </c>
      <c r="BK67" s="10" t="s">
        <v>3</v>
      </c>
      <c r="BL67" s="10" t="s">
        <v>3</v>
      </c>
      <c r="BM67" s="10" t="s">
        <v>3</v>
      </c>
      <c r="BN67" s="10" t="s">
        <v>3</v>
      </c>
      <c r="BO67" s="10" t="s">
        <v>3</v>
      </c>
      <c r="BP67" s="10" t="s">
        <v>3</v>
      </c>
      <c r="BQ67" s="10"/>
      <c r="BR67" s="10"/>
      <c r="BS67" s="10"/>
      <c r="BT67" s="10"/>
      <c r="BU67" s="10"/>
      <c r="BV67" s="10"/>
      <c r="BW67" s="10"/>
      <c r="BX67" s="10">
        <v>0</v>
      </c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>
        <v>0</v>
      </c>
    </row>
    <row r="69" spans="1:255" ht="13" x14ac:dyDescent="0.3">
      <c r="A69" s="11">
        <v>52</v>
      </c>
      <c r="B69" s="11">
        <f t="shared" ref="B69:G69" si="61">B88</f>
        <v>1</v>
      </c>
      <c r="C69" s="11">
        <f t="shared" si="61"/>
        <v>4</v>
      </c>
      <c r="D69" s="11">
        <f t="shared" si="61"/>
        <v>67</v>
      </c>
      <c r="E69" s="11">
        <f t="shared" si="61"/>
        <v>0</v>
      </c>
      <c r="F69" s="11" t="str">
        <f t="shared" si="61"/>
        <v>Новый раздел</v>
      </c>
      <c r="G69" s="11" t="str">
        <f t="shared" si="61"/>
        <v>Комплект основного оборудования</v>
      </c>
      <c r="H69" s="11"/>
      <c r="I69" s="11"/>
      <c r="J69" s="11"/>
      <c r="K69" s="11"/>
      <c r="L69" s="11"/>
      <c r="M69" s="11"/>
      <c r="N69" s="11"/>
      <c r="O69" s="11">
        <f t="shared" ref="O69:AT69" si="62">O88</f>
        <v>97162.73</v>
      </c>
      <c r="P69" s="11">
        <f t="shared" si="62"/>
        <v>97047.99</v>
      </c>
      <c r="Q69" s="11">
        <f t="shared" si="62"/>
        <v>0.63</v>
      </c>
      <c r="R69" s="11">
        <f t="shared" si="62"/>
        <v>0.1</v>
      </c>
      <c r="S69" s="11">
        <f t="shared" si="62"/>
        <v>114.11</v>
      </c>
      <c r="T69" s="11">
        <f t="shared" si="62"/>
        <v>0</v>
      </c>
      <c r="U69" s="11">
        <f t="shared" si="62"/>
        <v>8.8324919999999985</v>
      </c>
      <c r="V69" s="11">
        <f t="shared" si="62"/>
        <v>0</v>
      </c>
      <c r="W69" s="11">
        <f t="shared" si="62"/>
        <v>0</v>
      </c>
      <c r="X69" s="11">
        <f t="shared" si="62"/>
        <v>102.79</v>
      </c>
      <c r="Y69" s="11">
        <f t="shared" si="62"/>
        <v>52.53</v>
      </c>
      <c r="Z69" s="11">
        <f t="shared" si="62"/>
        <v>0</v>
      </c>
      <c r="AA69" s="11">
        <f t="shared" si="62"/>
        <v>0</v>
      </c>
      <c r="AB69" s="11">
        <f t="shared" si="62"/>
        <v>97162.73</v>
      </c>
      <c r="AC69" s="11">
        <f t="shared" si="62"/>
        <v>97047.99</v>
      </c>
      <c r="AD69" s="11">
        <f t="shared" si="62"/>
        <v>0.63</v>
      </c>
      <c r="AE69" s="11">
        <f t="shared" si="62"/>
        <v>0.1</v>
      </c>
      <c r="AF69" s="11">
        <f t="shared" si="62"/>
        <v>114.11</v>
      </c>
      <c r="AG69" s="11">
        <f t="shared" si="62"/>
        <v>0</v>
      </c>
      <c r="AH69" s="11">
        <f t="shared" si="62"/>
        <v>8.8324919999999985</v>
      </c>
      <c r="AI69" s="11">
        <f t="shared" si="62"/>
        <v>0</v>
      </c>
      <c r="AJ69" s="11">
        <f t="shared" si="62"/>
        <v>0</v>
      </c>
      <c r="AK69" s="11">
        <f t="shared" si="62"/>
        <v>102.79</v>
      </c>
      <c r="AL69" s="11">
        <f t="shared" si="62"/>
        <v>52.53</v>
      </c>
      <c r="AM69" s="11">
        <f t="shared" si="62"/>
        <v>0</v>
      </c>
      <c r="AN69" s="11">
        <f t="shared" si="62"/>
        <v>0</v>
      </c>
      <c r="AO69" s="11">
        <f t="shared" si="62"/>
        <v>0</v>
      </c>
      <c r="AP69" s="11">
        <f t="shared" si="62"/>
        <v>97004.92</v>
      </c>
      <c r="AQ69" s="11">
        <f t="shared" si="62"/>
        <v>0</v>
      </c>
      <c r="AR69" s="11">
        <f t="shared" si="62"/>
        <v>97318.05</v>
      </c>
      <c r="AS69" s="11">
        <f t="shared" si="62"/>
        <v>0</v>
      </c>
      <c r="AT69" s="11">
        <f t="shared" si="62"/>
        <v>313.13</v>
      </c>
      <c r="AU69" s="11">
        <f t="shared" ref="AU69:BZ69" si="63">AU88</f>
        <v>0</v>
      </c>
      <c r="AV69" s="11">
        <f t="shared" si="63"/>
        <v>97047.99</v>
      </c>
      <c r="AW69" s="11">
        <f t="shared" si="63"/>
        <v>43.07</v>
      </c>
      <c r="AX69" s="11">
        <f t="shared" si="63"/>
        <v>0</v>
      </c>
      <c r="AY69" s="11">
        <f t="shared" si="63"/>
        <v>43.07</v>
      </c>
      <c r="AZ69" s="11">
        <f t="shared" si="63"/>
        <v>97004.92</v>
      </c>
      <c r="BA69" s="11">
        <f t="shared" si="63"/>
        <v>0</v>
      </c>
      <c r="BB69" s="11">
        <f t="shared" si="63"/>
        <v>0</v>
      </c>
      <c r="BC69" s="11">
        <f t="shared" si="63"/>
        <v>0</v>
      </c>
      <c r="BD69" s="11">
        <f t="shared" si="63"/>
        <v>0</v>
      </c>
      <c r="BE69" s="11">
        <f t="shared" si="63"/>
        <v>0</v>
      </c>
      <c r="BF69" s="11">
        <f t="shared" si="63"/>
        <v>0</v>
      </c>
      <c r="BG69" s="11">
        <f t="shared" si="63"/>
        <v>0</v>
      </c>
      <c r="BH69" s="11">
        <f t="shared" si="63"/>
        <v>0</v>
      </c>
      <c r="BI69" s="11">
        <f t="shared" si="63"/>
        <v>0</v>
      </c>
      <c r="BJ69" s="11">
        <f t="shared" si="63"/>
        <v>0</v>
      </c>
      <c r="BK69" s="11">
        <f t="shared" si="63"/>
        <v>0</v>
      </c>
      <c r="BL69" s="11">
        <f t="shared" si="63"/>
        <v>0</v>
      </c>
      <c r="BM69" s="11">
        <f t="shared" si="63"/>
        <v>0</v>
      </c>
      <c r="BN69" s="11">
        <f t="shared" si="63"/>
        <v>0</v>
      </c>
      <c r="BO69" s="11">
        <f t="shared" si="63"/>
        <v>0</v>
      </c>
      <c r="BP69" s="11">
        <f t="shared" si="63"/>
        <v>0</v>
      </c>
      <c r="BQ69" s="11">
        <f t="shared" si="63"/>
        <v>0</v>
      </c>
      <c r="BR69" s="11">
        <f t="shared" si="63"/>
        <v>0</v>
      </c>
      <c r="BS69" s="11">
        <f t="shared" si="63"/>
        <v>0</v>
      </c>
      <c r="BT69" s="11">
        <f t="shared" si="63"/>
        <v>0</v>
      </c>
      <c r="BU69" s="11">
        <f t="shared" si="63"/>
        <v>0</v>
      </c>
      <c r="BV69" s="11">
        <f t="shared" si="63"/>
        <v>0</v>
      </c>
      <c r="BW69" s="11">
        <f t="shared" si="63"/>
        <v>0</v>
      </c>
      <c r="BX69" s="11">
        <f t="shared" si="63"/>
        <v>0</v>
      </c>
      <c r="BY69" s="11">
        <f t="shared" si="63"/>
        <v>97004.92</v>
      </c>
      <c r="BZ69" s="11">
        <f t="shared" si="63"/>
        <v>0</v>
      </c>
      <c r="CA69" s="11">
        <f t="shared" ref="CA69:DF69" si="64">CA88</f>
        <v>97318.05</v>
      </c>
      <c r="CB69" s="11">
        <f t="shared" si="64"/>
        <v>0</v>
      </c>
      <c r="CC69" s="11">
        <f t="shared" si="64"/>
        <v>313.13</v>
      </c>
      <c r="CD69" s="11">
        <f t="shared" si="64"/>
        <v>0</v>
      </c>
      <c r="CE69" s="11">
        <f t="shared" si="64"/>
        <v>97047.99</v>
      </c>
      <c r="CF69" s="11">
        <f t="shared" si="64"/>
        <v>43.070000000006985</v>
      </c>
      <c r="CG69" s="11">
        <f t="shared" si="64"/>
        <v>0</v>
      </c>
      <c r="CH69" s="11">
        <f t="shared" si="64"/>
        <v>43.070000000006985</v>
      </c>
      <c r="CI69" s="11">
        <f t="shared" si="64"/>
        <v>97004.92</v>
      </c>
      <c r="CJ69" s="11">
        <f t="shared" si="64"/>
        <v>0</v>
      </c>
      <c r="CK69" s="11">
        <f t="shared" si="64"/>
        <v>0</v>
      </c>
      <c r="CL69" s="11">
        <f t="shared" si="64"/>
        <v>0</v>
      </c>
      <c r="CM69" s="11">
        <f t="shared" si="64"/>
        <v>0</v>
      </c>
      <c r="CN69" s="11">
        <f t="shared" si="64"/>
        <v>0</v>
      </c>
      <c r="CO69" s="11">
        <f t="shared" si="64"/>
        <v>0</v>
      </c>
      <c r="CP69" s="11">
        <f t="shared" si="64"/>
        <v>0</v>
      </c>
      <c r="CQ69" s="11">
        <f t="shared" si="64"/>
        <v>0</v>
      </c>
      <c r="CR69" s="11">
        <f t="shared" si="64"/>
        <v>0</v>
      </c>
      <c r="CS69" s="11">
        <f t="shared" si="64"/>
        <v>0</v>
      </c>
      <c r="CT69" s="11">
        <f t="shared" si="64"/>
        <v>0</v>
      </c>
      <c r="CU69" s="11">
        <f t="shared" si="64"/>
        <v>0</v>
      </c>
      <c r="CV69" s="11">
        <f t="shared" si="64"/>
        <v>0</v>
      </c>
      <c r="CW69" s="11">
        <f t="shared" si="64"/>
        <v>0</v>
      </c>
      <c r="CX69" s="11">
        <f t="shared" si="64"/>
        <v>0</v>
      </c>
      <c r="CY69" s="11">
        <f t="shared" si="64"/>
        <v>0</v>
      </c>
      <c r="CZ69" s="11">
        <f t="shared" si="64"/>
        <v>0</v>
      </c>
      <c r="DA69" s="11">
        <f t="shared" si="64"/>
        <v>0</v>
      </c>
      <c r="DB69" s="11">
        <f t="shared" si="64"/>
        <v>0</v>
      </c>
      <c r="DC69" s="11">
        <f t="shared" si="64"/>
        <v>0</v>
      </c>
      <c r="DD69" s="11">
        <f t="shared" si="64"/>
        <v>0</v>
      </c>
      <c r="DE69" s="11">
        <f t="shared" si="64"/>
        <v>0</v>
      </c>
      <c r="DF69" s="11">
        <f t="shared" si="64"/>
        <v>0</v>
      </c>
      <c r="DG69" s="12">
        <f t="shared" ref="DG69:EL69" si="65">DG88</f>
        <v>740990.64</v>
      </c>
      <c r="DH69" s="12">
        <f t="shared" si="65"/>
        <v>734549.82</v>
      </c>
      <c r="DI69" s="12">
        <f t="shared" si="65"/>
        <v>10.72</v>
      </c>
      <c r="DJ69" s="12">
        <f t="shared" si="65"/>
        <v>5.64</v>
      </c>
      <c r="DK69" s="12">
        <f t="shared" si="65"/>
        <v>6430.1</v>
      </c>
      <c r="DL69" s="12">
        <f t="shared" si="65"/>
        <v>0</v>
      </c>
      <c r="DM69" s="12">
        <f t="shared" si="65"/>
        <v>8.8324919999999985</v>
      </c>
      <c r="DN69" s="12">
        <f t="shared" si="65"/>
        <v>0</v>
      </c>
      <c r="DO69" s="12">
        <f t="shared" si="65"/>
        <v>0</v>
      </c>
      <c r="DP69" s="12">
        <f t="shared" si="65"/>
        <v>5792.16</v>
      </c>
      <c r="DQ69" s="12">
        <f t="shared" si="65"/>
        <v>2960.44</v>
      </c>
      <c r="DR69" s="12">
        <f t="shared" si="65"/>
        <v>0</v>
      </c>
      <c r="DS69" s="12">
        <f t="shared" si="65"/>
        <v>0</v>
      </c>
      <c r="DT69" s="12">
        <f t="shared" si="65"/>
        <v>740990.64</v>
      </c>
      <c r="DU69" s="12">
        <f t="shared" si="65"/>
        <v>734549.82</v>
      </c>
      <c r="DV69" s="12">
        <f t="shared" si="65"/>
        <v>10.72</v>
      </c>
      <c r="DW69" s="12">
        <f t="shared" si="65"/>
        <v>5.64</v>
      </c>
      <c r="DX69" s="12">
        <f t="shared" si="65"/>
        <v>6430.1</v>
      </c>
      <c r="DY69" s="12">
        <f t="shared" si="65"/>
        <v>0</v>
      </c>
      <c r="DZ69" s="12">
        <f t="shared" si="65"/>
        <v>8.8324919999999985</v>
      </c>
      <c r="EA69" s="12">
        <f t="shared" si="65"/>
        <v>0</v>
      </c>
      <c r="EB69" s="12">
        <f t="shared" si="65"/>
        <v>0</v>
      </c>
      <c r="EC69" s="12">
        <f t="shared" si="65"/>
        <v>5792.16</v>
      </c>
      <c r="ED69" s="12">
        <f t="shared" si="65"/>
        <v>2960.44</v>
      </c>
      <c r="EE69" s="12">
        <f t="shared" si="65"/>
        <v>0</v>
      </c>
      <c r="EF69" s="12">
        <f t="shared" si="65"/>
        <v>0</v>
      </c>
      <c r="EG69" s="12">
        <f t="shared" si="65"/>
        <v>0</v>
      </c>
      <c r="EH69" s="12">
        <f t="shared" si="65"/>
        <v>734327.24</v>
      </c>
      <c r="EI69" s="12">
        <f t="shared" si="65"/>
        <v>0</v>
      </c>
      <c r="EJ69" s="12">
        <f t="shared" si="65"/>
        <v>749743.24</v>
      </c>
      <c r="EK69" s="12">
        <f t="shared" si="65"/>
        <v>0</v>
      </c>
      <c r="EL69" s="12">
        <f t="shared" si="65"/>
        <v>15416</v>
      </c>
      <c r="EM69" s="12">
        <f t="shared" ref="EM69:FR69" si="66">EM88</f>
        <v>0</v>
      </c>
      <c r="EN69" s="12">
        <f t="shared" si="66"/>
        <v>734549.82</v>
      </c>
      <c r="EO69" s="12">
        <f t="shared" si="66"/>
        <v>222.58</v>
      </c>
      <c r="EP69" s="12">
        <f t="shared" si="66"/>
        <v>0</v>
      </c>
      <c r="EQ69" s="12">
        <f t="shared" si="66"/>
        <v>222.58</v>
      </c>
      <c r="ER69" s="12">
        <f t="shared" si="66"/>
        <v>734327.24</v>
      </c>
      <c r="ES69" s="12">
        <f t="shared" si="66"/>
        <v>0</v>
      </c>
      <c r="ET69" s="12">
        <f t="shared" si="66"/>
        <v>0</v>
      </c>
      <c r="EU69" s="12">
        <f t="shared" si="66"/>
        <v>0</v>
      </c>
      <c r="EV69" s="12">
        <f t="shared" si="66"/>
        <v>0</v>
      </c>
      <c r="EW69" s="12">
        <f t="shared" si="66"/>
        <v>0</v>
      </c>
      <c r="EX69" s="12">
        <f t="shared" si="66"/>
        <v>0</v>
      </c>
      <c r="EY69" s="12">
        <f t="shared" si="66"/>
        <v>0</v>
      </c>
      <c r="EZ69" s="12">
        <f t="shared" si="66"/>
        <v>0</v>
      </c>
      <c r="FA69" s="12">
        <f t="shared" si="66"/>
        <v>0</v>
      </c>
      <c r="FB69" s="12">
        <f t="shared" si="66"/>
        <v>0</v>
      </c>
      <c r="FC69" s="12">
        <f t="shared" si="66"/>
        <v>0</v>
      </c>
      <c r="FD69" s="12">
        <f t="shared" si="66"/>
        <v>0</v>
      </c>
      <c r="FE69" s="12">
        <f t="shared" si="66"/>
        <v>0</v>
      </c>
      <c r="FF69" s="12">
        <f t="shared" si="66"/>
        <v>0</v>
      </c>
      <c r="FG69" s="12">
        <f t="shared" si="66"/>
        <v>0</v>
      </c>
      <c r="FH69" s="12">
        <f t="shared" si="66"/>
        <v>0</v>
      </c>
      <c r="FI69" s="12">
        <f t="shared" si="66"/>
        <v>0</v>
      </c>
      <c r="FJ69" s="12">
        <f t="shared" si="66"/>
        <v>0</v>
      </c>
      <c r="FK69" s="12">
        <f t="shared" si="66"/>
        <v>0</v>
      </c>
      <c r="FL69" s="12">
        <f t="shared" si="66"/>
        <v>0</v>
      </c>
      <c r="FM69" s="12">
        <f t="shared" si="66"/>
        <v>0</v>
      </c>
      <c r="FN69" s="12">
        <f t="shared" si="66"/>
        <v>0</v>
      </c>
      <c r="FO69" s="12">
        <f t="shared" si="66"/>
        <v>0</v>
      </c>
      <c r="FP69" s="12">
        <f t="shared" si="66"/>
        <v>0</v>
      </c>
      <c r="FQ69" s="12">
        <f t="shared" si="66"/>
        <v>734327.24</v>
      </c>
      <c r="FR69" s="12">
        <f t="shared" si="66"/>
        <v>0</v>
      </c>
      <c r="FS69" s="12">
        <f t="shared" ref="FS69:GX69" si="67">FS88</f>
        <v>749743.24</v>
      </c>
      <c r="FT69" s="12">
        <f t="shared" si="67"/>
        <v>0</v>
      </c>
      <c r="FU69" s="12">
        <f t="shared" si="67"/>
        <v>15416</v>
      </c>
      <c r="FV69" s="12">
        <f t="shared" si="67"/>
        <v>0</v>
      </c>
      <c r="FW69" s="12">
        <f t="shared" si="67"/>
        <v>734549.82</v>
      </c>
      <c r="FX69" s="12">
        <f t="shared" si="67"/>
        <v>222.57999999995809</v>
      </c>
      <c r="FY69" s="12">
        <f t="shared" si="67"/>
        <v>0</v>
      </c>
      <c r="FZ69" s="12">
        <f t="shared" si="67"/>
        <v>222.57999999995809</v>
      </c>
      <c r="GA69" s="12">
        <f t="shared" si="67"/>
        <v>734327.24</v>
      </c>
      <c r="GB69" s="12">
        <f t="shared" si="67"/>
        <v>0</v>
      </c>
      <c r="GC69" s="12">
        <f t="shared" si="67"/>
        <v>0</v>
      </c>
      <c r="GD69" s="12">
        <f t="shared" si="67"/>
        <v>0</v>
      </c>
      <c r="GE69" s="12">
        <f t="shared" si="67"/>
        <v>0</v>
      </c>
      <c r="GF69" s="12">
        <f t="shared" si="67"/>
        <v>0</v>
      </c>
      <c r="GG69" s="12">
        <f t="shared" si="67"/>
        <v>0</v>
      </c>
      <c r="GH69" s="12">
        <f t="shared" si="67"/>
        <v>0</v>
      </c>
      <c r="GI69" s="12">
        <f t="shared" si="67"/>
        <v>0</v>
      </c>
      <c r="GJ69" s="12">
        <f t="shared" si="67"/>
        <v>0</v>
      </c>
      <c r="GK69" s="12">
        <f t="shared" si="67"/>
        <v>0</v>
      </c>
      <c r="GL69" s="12">
        <f t="shared" si="67"/>
        <v>0</v>
      </c>
      <c r="GM69" s="12">
        <f t="shared" si="67"/>
        <v>0</v>
      </c>
      <c r="GN69" s="12">
        <f t="shared" si="67"/>
        <v>0</v>
      </c>
      <c r="GO69" s="12">
        <f t="shared" si="67"/>
        <v>0</v>
      </c>
      <c r="GP69" s="12">
        <f t="shared" si="67"/>
        <v>0</v>
      </c>
      <c r="GQ69" s="12">
        <f t="shared" si="67"/>
        <v>0</v>
      </c>
      <c r="GR69" s="12">
        <f t="shared" si="67"/>
        <v>0</v>
      </c>
      <c r="GS69" s="12">
        <f t="shared" si="67"/>
        <v>0</v>
      </c>
      <c r="GT69" s="12">
        <f t="shared" si="67"/>
        <v>0</v>
      </c>
      <c r="GU69" s="12">
        <f t="shared" si="67"/>
        <v>0</v>
      </c>
      <c r="GV69" s="12">
        <f t="shared" si="67"/>
        <v>0</v>
      </c>
      <c r="GW69" s="12">
        <f t="shared" si="67"/>
        <v>0</v>
      </c>
      <c r="GX69" s="12">
        <f t="shared" si="67"/>
        <v>0</v>
      </c>
    </row>
    <row r="71" spans="1:255" x14ac:dyDescent="0.25">
      <c r="A71" s="2">
        <v>17</v>
      </c>
      <c r="B71" s="2">
        <v>1</v>
      </c>
      <c r="C71" s="2">
        <f>ROW(SmtRes!A25)</f>
        <v>25</v>
      </c>
      <c r="D71" s="2">
        <f>ROW(EtalonRes!A25)</f>
        <v>25</v>
      </c>
      <c r="E71" s="2" t="s">
        <v>106</v>
      </c>
      <c r="F71" s="2" t="s">
        <v>26</v>
      </c>
      <c r="G71" s="2" t="s">
        <v>107</v>
      </c>
      <c r="H71" s="2" t="s">
        <v>28</v>
      </c>
      <c r="I71" s="2">
        <v>1</v>
      </c>
      <c r="J71" s="2">
        <v>0</v>
      </c>
      <c r="K71" s="2">
        <v>1</v>
      </c>
      <c r="L71" s="2"/>
      <c r="M71" s="2"/>
      <c r="N71" s="2"/>
      <c r="O71" s="2">
        <f t="shared" ref="O71:O86" si="68">ROUND(CP71,2)</f>
        <v>52.36</v>
      </c>
      <c r="P71" s="2">
        <f>ROUND((ROUND((AC71*AW71*I71),2)*BC71),2)</f>
        <v>0.46</v>
      </c>
      <c r="Q71" s="2">
        <f>(ROUND((ROUND((((ET71*1.2))*AV71*I71),2)*BB71),2)+ROUND((ROUND(((AE71-((EU71*1.2)))*AV71*I71),2)*BS71),2))</f>
        <v>0</v>
      </c>
      <c r="R71" s="2">
        <f>(ROUND((ROUND((((EU71*1.2))*AV71*I71),2)*BS71),2)+ROUND((ROUND(((AE71-((EU71*1.2)))*AV71*I71),2)*BS71),2))</f>
        <v>0</v>
      </c>
      <c r="S71" s="2">
        <f t="shared" ref="S71:S86" si="69">ROUND((ROUND((AF71*AV71*I71),2)*BA71),2)</f>
        <v>51.9</v>
      </c>
      <c r="T71" s="2">
        <f t="shared" ref="T71:T86" si="70">ROUND(CU71*I71,2)</f>
        <v>0</v>
      </c>
      <c r="U71" s="2">
        <f t="shared" ref="U71:U86" si="71">CV71*I71</f>
        <v>3.7691999999999992</v>
      </c>
      <c r="V71" s="2">
        <f t="shared" ref="V71:V86" si="72">CW71*I71</f>
        <v>0</v>
      </c>
      <c r="W71" s="2">
        <f t="shared" ref="W71:W86" si="73">ROUND(CX71*I71,2)</f>
        <v>0</v>
      </c>
      <c r="X71" s="2">
        <f>(ROUND((((S71+ROUND((ROUND((((EU71*1.2))*AV71*I71),2)*BS71),2))*AT71)/100),2)+ROUND(((ROUND((ROUND(((AE71-((EU71*1.2)))*AV71*I71),2)*BS71),2)*AT71)/100),2))</f>
        <v>46.71</v>
      </c>
      <c r="Y71" s="2">
        <f>(ROUND((((S71+ROUND((ROUND((((EU71*1.2))*AV71*I71),2)*BS71),2))*AU71)/100),2)+ROUND(((ROUND((ROUND(((AE71-((EU71*1.2)))*AV71*I71),2)*BS71),2)*AU71)/100),2))</f>
        <v>23.87</v>
      </c>
      <c r="Z71" s="2"/>
      <c r="AA71" s="2">
        <v>55942966</v>
      </c>
      <c r="AB71" s="2">
        <f t="shared" ref="AB71:AB86" si="74">ROUND((AC71+AD71+AF71),6)</f>
        <v>50.031999999999996</v>
      </c>
      <c r="AC71" s="2">
        <f>ROUND(((ES71*1)),6)</f>
        <v>0.46</v>
      </c>
      <c r="AD71" s="2">
        <f>ROUND(((((ET71*1.2))-((EU71*1.2)))+AE71),6)</f>
        <v>0</v>
      </c>
      <c r="AE71" s="2">
        <f>ROUND(((EU71*1.2)),6)</f>
        <v>0</v>
      </c>
      <c r="AF71" s="2">
        <f>ROUND(((EV71*1.2)),6)</f>
        <v>49.572000000000003</v>
      </c>
      <c r="AG71" s="2">
        <f t="shared" ref="AG71:AG86" si="75">ROUND((AP71),6)</f>
        <v>0</v>
      </c>
      <c r="AH71" s="2">
        <f>((EW71*1.2))</f>
        <v>3.5999999999999996</v>
      </c>
      <c r="AI71" s="2">
        <f>((EX71*1.2))</f>
        <v>0</v>
      </c>
      <c r="AJ71" s="2">
        <f t="shared" ref="AJ71:AJ86" si="76">(AS71)</f>
        <v>0</v>
      </c>
      <c r="AK71" s="2">
        <v>41.77</v>
      </c>
      <c r="AL71" s="2">
        <v>0.46</v>
      </c>
      <c r="AM71" s="2">
        <v>0</v>
      </c>
      <c r="AN71" s="2">
        <v>0</v>
      </c>
      <c r="AO71" s="2">
        <v>41.31</v>
      </c>
      <c r="AP71" s="2">
        <v>0</v>
      </c>
      <c r="AQ71" s="2">
        <v>3</v>
      </c>
      <c r="AR71" s="2">
        <v>0</v>
      </c>
      <c r="AS71" s="2">
        <v>0</v>
      </c>
      <c r="AT71" s="2">
        <v>90</v>
      </c>
      <c r="AU71" s="2">
        <v>46</v>
      </c>
      <c r="AV71" s="2">
        <v>1.0469999999999999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0</v>
      </c>
      <c r="BI71" s="2">
        <v>2</v>
      </c>
      <c r="BJ71" s="2" t="s">
        <v>29</v>
      </c>
      <c r="BK71" s="2"/>
      <c r="BL71" s="2"/>
      <c r="BM71" s="2">
        <v>68</v>
      </c>
      <c r="BN71" s="2">
        <v>0</v>
      </c>
      <c r="BO71" s="2" t="s">
        <v>26</v>
      </c>
      <c r="BP71" s="2">
        <v>1</v>
      </c>
      <c r="BQ71" s="2">
        <v>40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90</v>
      </c>
      <c r="CA71" s="2">
        <v>46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285</v>
      </c>
      <c r="CO71" s="2">
        <v>0</v>
      </c>
      <c r="CP71" s="2">
        <f t="shared" ref="CP71:CP86" si="77">(P71+Q71+S71)</f>
        <v>52.36</v>
      </c>
      <c r="CQ71" s="2">
        <f>ROUND((ROUND((AC71*AW71*1),2)*BC71),2)</f>
        <v>0.46</v>
      </c>
      <c r="CR71" s="2">
        <f>(ROUND((ROUND((((ET71*1.2))*AV71*1),2)*BB71),2)+ROUND((ROUND(((AE71-((EU71*1.2)))*AV71*1),2)*BS71),2))</f>
        <v>0</v>
      </c>
      <c r="CS71" s="2">
        <f>(ROUND((ROUND((((EU71*1.2))*AV71*1),2)*BS71),2)+ROUND((ROUND(((AE71-((EU71*1.2)))*AV71*1),2)*BS71),2))</f>
        <v>0</v>
      </c>
      <c r="CT71" s="2">
        <f t="shared" ref="CT71:CT86" si="78">ROUND((ROUND((AF71*AV71*1),2)*BA71),2)</f>
        <v>51.9</v>
      </c>
      <c r="CU71" s="2">
        <f t="shared" ref="CU71:CU86" si="79">AG71</f>
        <v>0</v>
      </c>
      <c r="CV71" s="2">
        <f t="shared" ref="CV71:CV86" si="80">(AH71*AV71)</f>
        <v>3.7691999999999992</v>
      </c>
      <c r="CW71" s="2">
        <f t="shared" ref="CW71:CW86" si="81">AI71</f>
        <v>0</v>
      </c>
      <c r="CX71" s="2">
        <f t="shared" ref="CX71:CX86" si="82">AJ71</f>
        <v>0</v>
      </c>
      <c r="CY71" s="2">
        <f>(ROUND((((S71+ROUND((ROUND((((EU71*1.2))*AV71*1),2)*BS71),2))*AT71)/100),2)+ROUND(((ROUND((ROUND(((AE71-((EU71*1.2)))*AV71*1),2)*BS71),2)*AT71)/100),2))</f>
        <v>46.71</v>
      </c>
      <c r="CZ71" s="2">
        <f>(ROUND((((S71+ROUND((ROUND((((EU71*1.2))*AV71*1),2)*BS71),2))*AU71)/100),2)+ROUND(((ROUND((ROUND(((AE71-((EU71*1.2)))*AV71*1),2)*BS71),2)*AU71)/100),2))</f>
        <v>23.87</v>
      </c>
      <c r="DA71" s="2"/>
      <c r="DB71" s="2">
        <v>17</v>
      </c>
      <c r="DC71" s="2" t="s">
        <v>3</v>
      </c>
      <c r="DD71" s="2" t="s">
        <v>108</v>
      </c>
      <c r="DE71" s="2" t="s">
        <v>109</v>
      </c>
      <c r="DF71" s="2" t="s">
        <v>109</v>
      </c>
      <c r="DG71" s="2" t="s">
        <v>109</v>
      </c>
      <c r="DH71" s="2" t="s">
        <v>3</v>
      </c>
      <c r="DI71" s="2" t="s">
        <v>109</v>
      </c>
      <c r="DJ71" s="2" t="s">
        <v>109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1013</v>
      </c>
      <c r="DV71" s="2" t="s">
        <v>28</v>
      </c>
      <c r="DW71" s="2" t="s">
        <v>28</v>
      </c>
      <c r="DX71" s="2">
        <v>1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55393972</v>
      </c>
      <c r="EF71" s="2">
        <v>40</v>
      </c>
      <c r="EG71" s="2" t="s">
        <v>32</v>
      </c>
      <c r="EH71" s="2">
        <v>0</v>
      </c>
      <c r="EI71" s="2" t="s">
        <v>3</v>
      </c>
      <c r="EJ71" s="2">
        <v>2</v>
      </c>
      <c r="EK71" s="2">
        <v>68</v>
      </c>
      <c r="EL71" s="2" t="s">
        <v>33</v>
      </c>
      <c r="EM71" s="2" t="s">
        <v>34</v>
      </c>
      <c r="EN71" s="2"/>
      <c r="EO71" s="2" t="s">
        <v>110</v>
      </c>
      <c r="EP71" s="2"/>
      <c r="EQ71" s="2">
        <v>131072</v>
      </c>
      <c r="ER71" s="2">
        <v>41.77</v>
      </c>
      <c r="ES71" s="2">
        <v>0.46</v>
      </c>
      <c r="ET71" s="2">
        <v>0</v>
      </c>
      <c r="EU71" s="2">
        <v>0</v>
      </c>
      <c r="EV71" s="2">
        <v>41.31</v>
      </c>
      <c r="EW71" s="2">
        <v>3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90</v>
      </c>
      <c r="FY71" s="2">
        <v>46</v>
      </c>
      <c r="FZ71" s="2"/>
      <c r="GA71" s="2" t="s">
        <v>3</v>
      </c>
      <c r="GB71" s="2"/>
      <c r="GC71" s="2"/>
      <c r="GD71" s="2">
        <v>1</v>
      </c>
      <c r="GE71" s="2"/>
      <c r="GF71" s="2">
        <v>-401276944</v>
      </c>
      <c r="GG71" s="2">
        <v>2</v>
      </c>
      <c r="GH71" s="2">
        <v>1</v>
      </c>
      <c r="GI71" s="2">
        <v>2</v>
      </c>
      <c r="GJ71" s="2">
        <v>0</v>
      </c>
      <c r="GK71" s="2">
        <v>0</v>
      </c>
      <c r="GL71" s="2">
        <f t="shared" ref="GL71:GL86" si="83">ROUND(IF(AND(BH71=3,BI71=3,FS71&lt;&gt;0),P71,0),2)</f>
        <v>0</v>
      </c>
      <c r="GM71" s="2">
        <f t="shared" ref="GM71:GM86" si="84">ROUND(O71+X71+Y71,2)+GX71</f>
        <v>122.94</v>
      </c>
      <c r="GN71" s="2">
        <f t="shared" ref="GN71:GN86" si="85">IF(OR(BI71=0,BI71=1),GM71-GX71,0)</f>
        <v>0</v>
      </c>
      <c r="GO71" s="2">
        <f t="shared" ref="GO71:GO86" si="86">IF(BI71=2,GM71-GX71,0)</f>
        <v>122.94</v>
      </c>
      <c r="GP71" s="2">
        <f t="shared" ref="GP71:GP86" si="87">IF(BI71=4,GM71-GX71,0)</f>
        <v>0</v>
      </c>
      <c r="GQ71" s="2"/>
      <c r="GR71" s="2">
        <v>0</v>
      </c>
      <c r="GS71" s="2">
        <v>3</v>
      </c>
      <c r="GT71" s="2">
        <v>0</v>
      </c>
      <c r="GU71" s="2" t="s">
        <v>3</v>
      </c>
      <c r="GV71" s="2">
        <f t="shared" ref="GV71:GV86" si="88">ROUND((GT71),6)</f>
        <v>0</v>
      </c>
      <c r="GW71" s="2">
        <v>1</v>
      </c>
      <c r="GX71" s="2">
        <f t="shared" ref="GX71:GX86" si="89">ROUND(HC71*I71,2)</f>
        <v>0</v>
      </c>
      <c r="GY71" s="2"/>
      <c r="GZ71" s="2"/>
      <c r="HA71" s="2">
        <v>0</v>
      </c>
      <c r="HB71" s="2">
        <v>0</v>
      </c>
      <c r="HC71" s="2">
        <f t="shared" ref="HC71:HC86" si="90">GV71*GW71</f>
        <v>0</v>
      </c>
      <c r="HD71" s="2"/>
      <c r="HE71" s="2" t="s">
        <v>3</v>
      </c>
      <c r="HF71" s="2" t="s">
        <v>3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5">
      <c r="A72" s="3">
        <v>17</v>
      </c>
      <c r="B72" s="3">
        <v>1</v>
      </c>
      <c r="C72" s="3">
        <f>ROW(SmtRes!A28)</f>
        <v>28</v>
      </c>
      <c r="D72" s="3">
        <f>ROW(EtalonRes!A28)</f>
        <v>28</v>
      </c>
      <c r="E72" s="3" t="s">
        <v>106</v>
      </c>
      <c r="F72" s="3" t="s">
        <v>26</v>
      </c>
      <c r="G72" s="3" t="s">
        <v>107</v>
      </c>
      <c r="H72" s="3" t="s">
        <v>28</v>
      </c>
      <c r="I72" s="3">
        <v>1</v>
      </c>
      <c r="J72" s="3">
        <v>0</v>
      </c>
      <c r="K72" s="3">
        <v>1</v>
      </c>
      <c r="O72" s="3">
        <f t="shared" si="68"/>
        <v>2927.71</v>
      </c>
      <c r="P72" s="3">
        <f>ROUND((ROUND((AC72*AW72*I72),2)*BC72),2)</f>
        <v>3.14</v>
      </c>
      <c r="Q72" s="3">
        <f>(ROUND((ROUND((((ET72*1.2))*AV72*I72),2)*BB72),2)+ROUND((ROUND(((AE72-((EU72*1.2)))*AV72*I72),2)*BS72),2))</f>
        <v>0</v>
      </c>
      <c r="R72" s="3">
        <f>(ROUND((ROUND((((EU72*1.2))*AV72*I72),2)*BS72),2)+ROUND((ROUND(((AE72-((EU72*1.2)))*AV72*I72),2)*BS72),2))</f>
        <v>0</v>
      </c>
      <c r="S72" s="3">
        <f t="shared" si="69"/>
        <v>2924.57</v>
      </c>
      <c r="T72" s="3">
        <f t="shared" si="70"/>
        <v>0</v>
      </c>
      <c r="U72" s="3">
        <f t="shared" si="71"/>
        <v>3.7691999999999992</v>
      </c>
      <c r="V72" s="3">
        <f t="shared" si="72"/>
        <v>0</v>
      </c>
      <c r="W72" s="3">
        <f t="shared" si="73"/>
        <v>0</v>
      </c>
      <c r="X72" s="3">
        <f>(ROUND((((S72+ROUND((ROUND((((EU72*1.2))*AV72*I72),2)*BS72),2))*AT72)/100),2)+ROUND(((ROUND((ROUND(((AE72-((EU72*1.2)))*AV72*I72),2)*BS72),2)*AT72)/100),2))</f>
        <v>2632.11</v>
      </c>
      <c r="Y72" s="3">
        <f>(ROUND((((S72+ROUND((ROUND((((EU72*1.2))*AV72*I72),2)*BS72),2))*AU72)/100),2)+ROUND(((ROUND((ROUND(((AE72-((EU72*1.2)))*AV72*I72),2)*BS72),2)*AU72)/100),2))</f>
        <v>1345.3</v>
      </c>
      <c r="AA72" s="3">
        <v>55942968</v>
      </c>
      <c r="AB72" s="3">
        <f t="shared" si="74"/>
        <v>50.031999999999996</v>
      </c>
      <c r="AC72" s="3">
        <f>ROUND(((ES72*1)),6)</f>
        <v>0.46</v>
      </c>
      <c r="AD72" s="3">
        <f>ROUND(((((ET72*1.2))-((EU72*1.2)))+AE72),6)</f>
        <v>0</v>
      </c>
      <c r="AE72" s="3">
        <f>ROUND(((EU72*1.2)),6)</f>
        <v>0</v>
      </c>
      <c r="AF72" s="3">
        <f>ROUND(((EV72*1.2)),6)</f>
        <v>49.572000000000003</v>
      </c>
      <c r="AG72" s="3">
        <f t="shared" si="75"/>
        <v>0</v>
      </c>
      <c r="AH72" s="3">
        <f>((EW72*1.2))</f>
        <v>3.5999999999999996</v>
      </c>
      <c r="AI72" s="3">
        <f>((EX72*1.2))</f>
        <v>0</v>
      </c>
      <c r="AJ72" s="3">
        <f t="shared" si="76"/>
        <v>0</v>
      </c>
      <c r="AK72" s="3">
        <v>41.77</v>
      </c>
      <c r="AL72" s="3">
        <v>0.46</v>
      </c>
      <c r="AM72" s="3">
        <v>0</v>
      </c>
      <c r="AN72" s="3">
        <v>0</v>
      </c>
      <c r="AO72" s="3">
        <v>41.31</v>
      </c>
      <c r="AP72" s="3">
        <v>0</v>
      </c>
      <c r="AQ72" s="3">
        <v>3</v>
      </c>
      <c r="AR72" s="3">
        <v>0</v>
      </c>
      <c r="AS72" s="3">
        <v>0</v>
      </c>
      <c r="AT72" s="3">
        <v>90</v>
      </c>
      <c r="AU72" s="3">
        <v>46</v>
      </c>
      <c r="AV72" s="3">
        <v>1.0469999999999999</v>
      </c>
      <c r="AW72" s="3">
        <v>1</v>
      </c>
      <c r="AZ72" s="3">
        <v>1</v>
      </c>
      <c r="BA72" s="3">
        <v>56.35</v>
      </c>
      <c r="BB72" s="3">
        <v>1</v>
      </c>
      <c r="BC72" s="3">
        <v>6.83</v>
      </c>
      <c r="BD72" s="3" t="s">
        <v>3</v>
      </c>
      <c r="BE72" s="3" t="s">
        <v>3</v>
      </c>
      <c r="BF72" s="3" t="s">
        <v>3</v>
      </c>
      <c r="BG72" s="3" t="s">
        <v>3</v>
      </c>
      <c r="BH72" s="3">
        <v>0</v>
      </c>
      <c r="BI72" s="3">
        <v>2</v>
      </c>
      <c r="BJ72" s="3" t="s">
        <v>29</v>
      </c>
      <c r="BM72" s="3">
        <v>68</v>
      </c>
      <c r="BN72" s="3">
        <v>0</v>
      </c>
      <c r="BO72" s="3" t="s">
        <v>26</v>
      </c>
      <c r="BP72" s="3">
        <v>1</v>
      </c>
      <c r="BQ72" s="3">
        <v>40</v>
      </c>
      <c r="BR72" s="3">
        <v>0</v>
      </c>
      <c r="BS72" s="3">
        <v>56.35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 t="s">
        <v>3</v>
      </c>
      <c r="BZ72" s="3">
        <v>90</v>
      </c>
      <c r="CA72" s="3">
        <v>46</v>
      </c>
      <c r="CB72" s="3" t="s">
        <v>3</v>
      </c>
      <c r="CE72" s="3">
        <v>1566</v>
      </c>
      <c r="CF72" s="3">
        <v>0</v>
      </c>
      <c r="CG72" s="3">
        <v>0</v>
      </c>
      <c r="CM72" s="3">
        <v>0</v>
      </c>
      <c r="CN72" s="3" t="s">
        <v>285</v>
      </c>
      <c r="CO72" s="3">
        <v>0</v>
      </c>
      <c r="CP72" s="3">
        <f t="shared" si="77"/>
        <v>2927.71</v>
      </c>
      <c r="CQ72" s="3">
        <f>ROUND((ROUND((AC72*AW72*1),2)*BC72),2)</f>
        <v>3.14</v>
      </c>
      <c r="CR72" s="3">
        <f>(ROUND((ROUND((((ET72*1.2))*AV72*1),2)*BB72),2)+ROUND((ROUND(((AE72-((EU72*1.2)))*AV72*1),2)*BS72),2))</f>
        <v>0</v>
      </c>
      <c r="CS72" s="3">
        <f>(ROUND((ROUND((((EU72*1.2))*AV72*1),2)*BS72),2)+ROUND((ROUND(((AE72-((EU72*1.2)))*AV72*1),2)*BS72),2))</f>
        <v>0</v>
      </c>
      <c r="CT72" s="3">
        <f t="shared" si="78"/>
        <v>2924.57</v>
      </c>
      <c r="CU72" s="3">
        <f t="shared" si="79"/>
        <v>0</v>
      </c>
      <c r="CV72" s="3">
        <f t="shared" si="80"/>
        <v>3.7691999999999992</v>
      </c>
      <c r="CW72" s="3">
        <f t="shared" si="81"/>
        <v>0</v>
      </c>
      <c r="CX72" s="3">
        <f t="shared" si="82"/>
        <v>0</v>
      </c>
      <c r="CY72" s="3">
        <f>(ROUND((((S72+ROUND((ROUND((((EU72*1.2))*AV72*1),2)*BS72),2))*AT72)/100),2)+ROUND(((ROUND((ROUND(((AE72-((EU72*1.2)))*AV72*1),2)*BS72),2)*AT72)/100),2))</f>
        <v>2632.11</v>
      </c>
      <c r="CZ72" s="3">
        <f>(ROUND((((S72+ROUND((ROUND((((EU72*1.2))*AV72*1),2)*BS72),2))*AU72)/100),2)+ROUND(((ROUND((ROUND(((AE72-((EU72*1.2)))*AV72*1),2)*BS72),2)*AU72)/100),2))</f>
        <v>1345.3</v>
      </c>
      <c r="DB72" s="3">
        <v>18</v>
      </c>
      <c r="DC72" s="3" t="s">
        <v>3</v>
      </c>
      <c r="DD72" s="3" t="s">
        <v>108</v>
      </c>
      <c r="DE72" s="3" t="s">
        <v>109</v>
      </c>
      <c r="DF72" s="3" t="s">
        <v>109</v>
      </c>
      <c r="DG72" s="3" t="s">
        <v>109</v>
      </c>
      <c r="DH72" s="3" t="s">
        <v>3</v>
      </c>
      <c r="DI72" s="3" t="s">
        <v>109</v>
      </c>
      <c r="DJ72" s="3" t="s">
        <v>109</v>
      </c>
      <c r="DK72" s="3" t="s">
        <v>3</v>
      </c>
      <c r="DL72" s="3" t="s">
        <v>3</v>
      </c>
      <c r="DM72" s="3" t="s">
        <v>3</v>
      </c>
      <c r="DN72" s="3">
        <v>0</v>
      </c>
      <c r="DO72" s="3">
        <v>0</v>
      </c>
      <c r="DP72" s="3">
        <v>1</v>
      </c>
      <c r="DQ72" s="3">
        <v>1</v>
      </c>
      <c r="DU72" s="3">
        <v>1013</v>
      </c>
      <c r="DV72" s="3" t="s">
        <v>28</v>
      </c>
      <c r="DW72" s="3" t="s">
        <v>28</v>
      </c>
      <c r="DX72" s="3">
        <v>1</v>
      </c>
      <c r="DZ72" s="3" t="s">
        <v>3</v>
      </c>
      <c r="EA72" s="3" t="s">
        <v>3</v>
      </c>
      <c r="EB72" s="3" t="s">
        <v>3</v>
      </c>
      <c r="EC72" s="3" t="s">
        <v>3</v>
      </c>
      <c r="EE72" s="3">
        <v>55393972</v>
      </c>
      <c r="EF72" s="3">
        <v>40</v>
      </c>
      <c r="EG72" s="3" t="s">
        <v>32</v>
      </c>
      <c r="EH72" s="3">
        <v>0</v>
      </c>
      <c r="EI72" s="3" t="s">
        <v>3</v>
      </c>
      <c r="EJ72" s="3">
        <v>2</v>
      </c>
      <c r="EK72" s="3">
        <v>68</v>
      </c>
      <c r="EL72" s="3" t="s">
        <v>33</v>
      </c>
      <c r="EM72" s="3" t="s">
        <v>34</v>
      </c>
      <c r="EO72" s="3" t="s">
        <v>110</v>
      </c>
      <c r="EQ72" s="3">
        <v>131072</v>
      </c>
      <c r="ER72" s="3">
        <v>41.77</v>
      </c>
      <c r="ES72" s="3">
        <v>0.46</v>
      </c>
      <c r="ET72" s="3">
        <v>0</v>
      </c>
      <c r="EU72" s="3">
        <v>0</v>
      </c>
      <c r="EV72" s="3">
        <v>41.31</v>
      </c>
      <c r="EW72" s="3">
        <v>3</v>
      </c>
      <c r="EX72" s="3">
        <v>0</v>
      </c>
      <c r="EY72" s="3">
        <v>0</v>
      </c>
      <c r="FQ72" s="3">
        <v>0</v>
      </c>
      <c r="FR72" s="3">
        <v>0</v>
      </c>
      <c r="FS72" s="3">
        <v>0</v>
      </c>
      <c r="FX72" s="3">
        <v>90</v>
      </c>
      <c r="FY72" s="3">
        <v>46</v>
      </c>
      <c r="GA72" s="3" t="s">
        <v>3</v>
      </c>
      <c r="GD72" s="3">
        <v>1</v>
      </c>
      <c r="GF72" s="3">
        <v>-401276944</v>
      </c>
      <c r="GG72" s="3">
        <v>2</v>
      </c>
      <c r="GH72" s="3">
        <v>1</v>
      </c>
      <c r="GI72" s="3">
        <v>2</v>
      </c>
      <c r="GJ72" s="3">
        <v>0</v>
      </c>
      <c r="GK72" s="3">
        <v>0</v>
      </c>
      <c r="GL72" s="3">
        <f t="shared" si="83"/>
        <v>0</v>
      </c>
      <c r="GM72" s="3">
        <f t="shared" si="84"/>
        <v>6905.12</v>
      </c>
      <c r="GN72" s="3">
        <f t="shared" si="85"/>
        <v>0</v>
      </c>
      <c r="GO72" s="3">
        <f t="shared" si="86"/>
        <v>6905.12</v>
      </c>
      <c r="GP72" s="3">
        <f t="shared" si="87"/>
        <v>0</v>
      </c>
      <c r="GR72" s="3">
        <v>0</v>
      </c>
      <c r="GS72" s="3">
        <v>3</v>
      </c>
      <c r="GT72" s="3">
        <v>0</v>
      </c>
      <c r="GU72" s="3" t="s">
        <v>3</v>
      </c>
      <c r="GV72" s="3">
        <f t="shared" si="88"/>
        <v>0</v>
      </c>
      <c r="GW72" s="3">
        <v>1</v>
      </c>
      <c r="GX72" s="3">
        <f t="shared" si="89"/>
        <v>0</v>
      </c>
      <c r="HA72" s="3">
        <v>0</v>
      </c>
      <c r="HB72" s="3">
        <v>0</v>
      </c>
      <c r="HC72" s="3">
        <f t="shared" si="90"/>
        <v>0</v>
      </c>
      <c r="HE72" s="3" t="s">
        <v>3</v>
      </c>
      <c r="HF72" s="3" t="s">
        <v>3</v>
      </c>
      <c r="HM72" s="3" t="s">
        <v>3</v>
      </c>
      <c r="HN72" s="3" t="s">
        <v>3</v>
      </c>
      <c r="HO72" s="3" t="s">
        <v>3</v>
      </c>
      <c r="HP72" s="3" t="s">
        <v>3</v>
      </c>
      <c r="HQ72" s="3" t="s">
        <v>3</v>
      </c>
      <c r="HS72" s="3">
        <v>0</v>
      </c>
      <c r="IK72" s="3">
        <v>0</v>
      </c>
    </row>
    <row r="73" spans="1:255" x14ac:dyDescent="0.25">
      <c r="A73" s="2">
        <v>17</v>
      </c>
      <c r="B73" s="2">
        <v>1</v>
      </c>
      <c r="C73" s="2"/>
      <c r="D73" s="2"/>
      <c r="E73" s="2" t="s">
        <v>111</v>
      </c>
      <c r="F73" s="2" t="s">
        <v>112</v>
      </c>
      <c r="G73" s="2" t="s">
        <v>113</v>
      </c>
      <c r="H73" s="2" t="s">
        <v>114</v>
      </c>
      <c r="I73" s="2">
        <v>1</v>
      </c>
      <c r="J73" s="2">
        <v>0</v>
      </c>
      <c r="K73" s="2">
        <v>1</v>
      </c>
      <c r="L73" s="2"/>
      <c r="M73" s="2"/>
      <c r="N73" s="2"/>
      <c r="O73" s="2">
        <f t="shared" si="68"/>
        <v>72464.179999999993</v>
      </c>
      <c r="P73" s="2">
        <f>ROUND((ROUND((AC73*I73),2)*BC73),2)</f>
        <v>72464.179999999993</v>
      </c>
      <c r="Q73" s="2">
        <f>(ROUND((ROUND(((ET73)*AV73*I73),2)*BB73),2)+ROUND((ROUND(((AE73-(EU73))*AV73*I73),2)*BS73),2))</f>
        <v>0</v>
      </c>
      <c r="R73" s="2">
        <f>(ROUND((ROUND(((EU73)*AV73*I73),2)*BS73),2)+ROUND((ROUND(((AE73-(EU73))*AV73*I73),2)*BS73),2))</f>
        <v>0</v>
      </c>
      <c r="S73" s="2">
        <f t="shared" si="69"/>
        <v>0</v>
      </c>
      <c r="T73" s="2">
        <f t="shared" si="70"/>
        <v>0</v>
      </c>
      <c r="U73" s="2">
        <f t="shared" si="71"/>
        <v>0</v>
      </c>
      <c r="V73" s="2">
        <f t="shared" si="72"/>
        <v>0</v>
      </c>
      <c r="W73" s="2">
        <f t="shared" si="73"/>
        <v>0</v>
      </c>
      <c r="X73" s="2">
        <f>(ROUND((((S73+ROUND((ROUND(((EU73)*AV73*I73),2)*BS73),2))*AT73)/100),2)+ROUND(((ROUND((ROUND(((AE73-(EU73))*AV73*I73),2)*BS73),2)*AT73)/100),2))</f>
        <v>0</v>
      </c>
      <c r="Y73" s="2">
        <f>(ROUND((((S73+ROUND((ROUND(((EU73)*AV73*I73),2)*BS73),2))*AU73)/100),2)+ROUND(((ROUND((ROUND(((AE73-(EU73))*AV73*I73),2)*BS73),2)*AU73)/100),2))</f>
        <v>0</v>
      </c>
      <c r="Z73" s="2"/>
      <c r="AA73" s="2">
        <v>55942966</v>
      </c>
      <c r="AB73" s="2">
        <f t="shared" si="74"/>
        <v>72464.179999999993</v>
      </c>
      <c r="AC73" s="2">
        <f>ROUND((ES73),6)</f>
        <v>72464.179999999993</v>
      </c>
      <c r="AD73" s="2">
        <f>ROUND((((ET73)-(EU73))+AE73),6)</f>
        <v>0</v>
      </c>
      <c r="AE73" s="2">
        <f>ROUND((EU73),6)</f>
        <v>0</v>
      </c>
      <c r="AF73" s="2">
        <f>ROUND((EV73),6)</f>
        <v>0</v>
      </c>
      <c r="AG73" s="2">
        <f t="shared" si="75"/>
        <v>0</v>
      </c>
      <c r="AH73" s="2">
        <f>(EW73)</f>
        <v>0</v>
      </c>
      <c r="AI73" s="2">
        <f>(EX73)</f>
        <v>0</v>
      </c>
      <c r="AJ73" s="2">
        <f t="shared" si="76"/>
        <v>0</v>
      </c>
      <c r="AK73" s="2">
        <v>72464.179999999993</v>
      </c>
      <c r="AL73" s="2">
        <v>72464.179999999993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3</v>
      </c>
      <c r="BI73" s="2">
        <v>3</v>
      </c>
      <c r="BJ73" s="2" t="s">
        <v>3</v>
      </c>
      <c r="BK73" s="2"/>
      <c r="BL73" s="2"/>
      <c r="BM73" s="2">
        <v>746</v>
      </c>
      <c r="BN73" s="2">
        <v>0</v>
      </c>
      <c r="BO73" s="2" t="s">
        <v>3</v>
      </c>
      <c r="BP73" s="2">
        <v>0</v>
      </c>
      <c r="BQ73" s="2">
        <v>130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0</v>
      </c>
      <c r="CA73" s="2">
        <v>0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3</v>
      </c>
      <c r="CO73" s="2">
        <v>0</v>
      </c>
      <c r="CP73" s="2">
        <f t="shared" si="77"/>
        <v>72464.179999999993</v>
      </c>
      <c r="CQ73" s="2">
        <f>ROUND((ROUND((AC73*1),2)*BC73),2)</f>
        <v>72464.179999999993</v>
      </c>
      <c r="CR73" s="2">
        <f>(ROUND((ROUND(((ET73)*AV73*1),2)*BB73),2)+ROUND((ROUND(((AE73-(EU73))*AV73*1),2)*BS73),2))</f>
        <v>0</v>
      </c>
      <c r="CS73" s="2">
        <f>(ROUND((ROUND(((EU73)*AV73*1),2)*BS73),2)+ROUND((ROUND(((AE73-(EU73))*AV73*1),2)*BS73),2))</f>
        <v>0</v>
      </c>
      <c r="CT73" s="2">
        <f t="shared" si="78"/>
        <v>0</v>
      </c>
      <c r="CU73" s="2">
        <f t="shared" si="79"/>
        <v>0</v>
      </c>
      <c r="CV73" s="2">
        <f t="shared" si="80"/>
        <v>0</v>
      </c>
      <c r="CW73" s="2">
        <f t="shared" si="81"/>
        <v>0</v>
      </c>
      <c r="CX73" s="2">
        <f t="shared" si="82"/>
        <v>0</v>
      </c>
      <c r="CY73" s="2">
        <f>(ROUND((((S73+ROUND((ROUND(((EU73)*AV73*1),2)*BS73),2))*AT73)/100),2)+ROUND(((ROUND((ROUND(((AE73-(EU73))*AV73*1),2)*BS73),2)*AT73)/100),2))</f>
        <v>0</v>
      </c>
      <c r="CZ73" s="2">
        <f>(ROUND((((S73+ROUND((ROUND(((EU73)*AV73*1),2)*BS73),2))*AU73)/100),2)+ROUND(((ROUND((ROUND(((AE73-(EU73))*AV73*1),2)*BS73),2)*AU73)/100),2))</f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1010</v>
      </c>
      <c r="DV73" s="2" t="s">
        <v>114</v>
      </c>
      <c r="DW73" s="2" t="s">
        <v>114</v>
      </c>
      <c r="DX73" s="2">
        <v>1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55393877</v>
      </c>
      <c r="EF73" s="2">
        <v>130</v>
      </c>
      <c r="EG73" s="2" t="s">
        <v>115</v>
      </c>
      <c r="EH73" s="2">
        <v>0</v>
      </c>
      <c r="EI73" s="2" t="s">
        <v>3</v>
      </c>
      <c r="EJ73" s="2">
        <v>3</v>
      </c>
      <c r="EK73" s="2">
        <v>746</v>
      </c>
      <c r="EL73" s="2" t="s">
        <v>116</v>
      </c>
      <c r="EM73" s="2" t="s">
        <v>117</v>
      </c>
      <c r="EN73" s="2"/>
      <c r="EO73" s="2" t="s">
        <v>3</v>
      </c>
      <c r="EP73" s="2"/>
      <c r="EQ73" s="2">
        <v>131072</v>
      </c>
      <c r="ER73" s="2">
        <v>0</v>
      </c>
      <c r="ES73" s="2">
        <v>72464.179999999993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f>P73</f>
        <v>72464.179999999993</v>
      </c>
      <c r="FS73" s="2">
        <v>0</v>
      </c>
      <c r="FT73" s="2"/>
      <c r="FU73" s="2"/>
      <c r="FV73" s="2"/>
      <c r="FW73" s="2"/>
      <c r="FX73" s="2">
        <v>0</v>
      </c>
      <c r="FY73" s="2">
        <v>0</v>
      </c>
      <c r="FZ73" s="2"/>
      <c r="GA73" s="2" t="s">
        <v>118</v>
      </c>
      <c r="GB73" s="2"/>
      <c r="GC73" s="2"/>
      <c r="GD73" s="2">
        <v>1</v>
      </c>
      <c r="GE73" s="2"/>
      <c r="GF73" s="2">
        <v>-1161085270</v>
      </c>
      <c r="GG73" s="2">
        <v>2</v>
      </c>
      <c r="GH73" s="2">
        <v>4</v>
      </c>
      <c r="GI73" s="2">
        <v>-2</v>
      </c>
      <c r="GJ73" s="2">
        <v>0</v>
      </c>
      <c r="GK73" s="2">
        <v>0</v>
      </c>
      <c r="GL73" s="2">
        <f t="shared" si="83"/>
        <v>0</v>
      </c>
      <c r="GM73" s="2">
        <f t="shared" si="84"/>
        <v>72464.179999999993</v>
      </c>
      <c r="GN73" s="2">
        <f t="shared" si="85"/>
        <v>0</v>
      </c>
      <c r="GO73" s="2">
        <f t="shared" si="86"/>
        <v>0</v>
      </c>
      <c r="GP73" s="2">
        <f t="shared" si="87"/>
        <v>0</v>
      </c>
      <c r="GQ73" s="2"/>
      <c r="GR73" s="2">
        <v>0</v>
      </c>
      <c r="GS73" s="2">
        <v>2</v>
      </c>
      <c r="GT73" s="2">
        <v>0</v>
      </c>
      <c r="GU73" s="2" t="s">
        <v>3</v>
      </c>
      <c r="GV73" s="2">
        <f t="shared" si="88"/>
        <v>0</v>
      </c>
      <c r="GW73" s="2">
        <v>1</v>
      </c>
      <c r="GX73" s="2">
        <f t="shared" si="89"/>
        <v>0</v>
      </c>
      <c r="GY73" s="2"/>
      <c r="GZ73" s="2"/>
      <c r="HA73" s="2">
        <v>0</v>
      </c>
      <c r="HB73" s="2">
        <v>0</v>
      </c>
      <c r="HC73" s="2">
        <f t="shared" si="90"/>
        <v>0</v>
      </c>
      <c r="HD73" s="2"/>
      <c r="HE73" s="2" t="s">
        <v>43</v>
      </c>
      <c r="HF73" s="2" t="s">
        <v>119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5">
      <c r="A74" s="3">
        <v>17</v>
      </c>
      <c r="B74" s="3">
        <v>1</v>
      </c>
      <c r="E74" s="3" t="s">
        <v>111</v>
      </c>
      <c r="F74" s="3" t="s">
        <v>112</v>
      </c>
      <c r="G74" s="3" t="s">
        <v>113</v>
      </c>
      <c r="H74" s="3" t="s">
        <v>114</v>
      </c>
      <c r="I74" s="3">
        <v>1</v>
      </c>
      <c r="J74" s="3">
        <v>0</v>
      </c>
      <c r="K74" s="3">
        <v>1</v>
      </c>
      <c r="O74" s="3">
        <f t="shared" si="68"/>
        <v>548553.84</v>
      </c>
      <c r="P74" s="3">
        <f>ROUND((ROUND((AC74*I74),2)*BC74),2)</f>
        <v>548553.84</v>
      </c>
      <c r="Q74" s="3">
        <f>(ROUND((ROUND(((ET74)*AV74*I74),2)*BB74),2)+ROUND((ROUND(((AE74-(EU74))*AV74*I74),2)*BS74),2))</f>
        <v>0</v>
      </c>
      <c r="R74" s="3">
        <f>(ROUND((ROUND(((EU74)*AV74*I74),2)*BS74),2)+ROUND((ROUND(((AE74-(EU74))*AV74*I74),2)*BS74),2))</f>
        <v>0</v>
      </c>
      <c r="S74" s="3">
        <f t="shared" si="69"/>
        <v>0</v>
      </c>
      <c r="T74" s="3">
        <f t="shared" si="70"/>
        <v>0</v>
      </c>
      <c r="U74" s="3">
        <f t="shared" si="71"/>
        <v>0</v>
      </c>
      <c r="V74" s="3">
        <f t="shared" si="72"/>
        <v>0</v>
      </c>
      <c r="W74" s="3">
        <f t="shared" si="73"/>
        <v>0</v>
      </c>
      <c r="X74" s="3">
        <f>(ROUND((((S74+ROUND((ROUND(((EU74)*AV74*I74),2)*BS74),2))*AT74)/100),2)+ROUND(((ROUND((ROUND(((AE74-(EU74))*AV74*I74),2)*BS74),2)*AT74)/100),2))</f>
        <v>0</v>
      </c>
      <c r="Y74" s="3">
        <f>(ROUND((((S74+ROUND((ROUND(((EU74)*AV74*I74),2)*BS74),2))*AU74)/100),2)+ROUND(((ROUND((ROUND(((AE74-(EU74))*AV74*I74),2)*BS74),2)*AU74)/100),2))</f>
        <v>0</v>
      </c>
      <c r="AA74" s="3">
        <v>55942968</v>
      </c>
      <c r="AB74" s="3">
        <f t="shared" si="74"/>
        <v>72464.179999999993</v>
      </c>
      <c r="AC74" s="3">
        <f>ROUND((ES74),6)</f>
        <v>72464.179999999993</v>
      </c>
      <c r="AD74" s="3">
        <f>ROUND((((ET74)-(EU74))+AE74),6)</f>
        <v>0</v>
      </c>
      <c r="AE74" s="3">
        <f>ROUND((EU74),6)</f>
        <v>0</v>
      </c>
      <c r="AF74" s="3">
        <f>ROUND((EV74),6)</f>
        <v>0</v>
      </c>
      <c r="AG74" s="3">
        <f t="shared" si="75"/>
        <v>0</v>
      </c>
      <c r="AH74" s="3">
        <f>(EW74)</f>
        <v>0</v>
      </c>
      <c r="AI74" s="3">
        <f>(EX74)</f>
        <v>0</v>
      </c>
      <c r="AJ74" s="3">
        <f t="shared" si="76"/>
        <v>0</v>
      </c>
      <c r="AK74" s="3">
        <v>72464.179999999993</v>
      </c>
      <c r="AL74" s="3">
        <v>72464.179999999993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1</v>
      </c>
      <c r="AW74" s="3">
        <v>1</v>
      </c>
      <c r="AZ74" s="3">
        <v>1</v>
      </c>
      <c r="BA74" s="3">
        <v>1</v>
      </c>
      <c r="BB74" s="3">
        <v>1</v>
      </c>
      <c r="BC74" s="3">
        <v>7.57</v>
      </c>
      <c r="BD74" s="3" t="s">
        <v>3</v>
      </c>
      <c r="BE74" s="3" t="s">
        <v>3</v>
      </c>
      <c r="BF74" s="3" t="s">
        <v>3</v>
      </c>
      <c r="BG74" s="3" t="s">
        <v>3</v>
      </c>
      <c r="BH74" s="3">
        <v>3</v>
      </c>
      <c r="BI74" s="3">
        <v>3</v>
      </c>
      <c r="BJ74" s="3" t="s">
        <v>3</v>
      </c>
      <c r="BM74" s="3">
        <v>746</v>
      </c>
      <c r="BN74" s="3">
        <v>0</v>
      </c>
      <c r="BO74" s="3" t="s">
        <v>3</v>
      </c>
      <c r="BP74" s="3">
        <v>0</v>
      </c>
      <c r="BQ74" s="3">
        <v>130</v>
      </c>
      <c r="BR74" s="3">
        <v>0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 t="s">
        <v>3</v>
      </c>
      <c r="BZ74" s="3">
        <v>0</v>
      </c>
      <c r="CA74" s="3">
        <v>0</v>
      </c>
      <c r="CB74" s="3" t="s">
        <v>3</v>
      </c>
      <c r="CE74" s="3">
        <v>1566</v>
      </c>
      <c r="CF74" s="3">
        <v>0</v>
      </c>
      <c r="CG74" s="3">
        <v>0</v>
      </c>
      <c r="CM74" s="3">
        <v>0</v>
      </c>
      <c r="CN74" s="3" t="s">
        <v>3</v>
      </c>
      <c r="CO74" s="3">
        <v>0</v>
      </c>
      <c r="CP74" s="3">
        <f t="shared" si="77"/>
        <v>548553.84</v>
      </c>
      <c r="CQ74" s="3">
        <f>ROUND((ROUND((AC74*1),2)*BC74),2)</f>
        <v>548553.84</v>
      </c>
      <c r="CR74" s="3">
        <f>(ROUND((ROUND(((ET74)*AV74*1),2)*BB74),2)+ROUND((ROUND(((AE74-(EU74))*AV74*1),2)*BS74),2))</f>
        <v>0</v>
      </c>
      <c r="CS74" s="3">
        <f>(ROUND((ROUND(((EU74)*AV74*1),2)*BS74),2)+ROUND((ROUND(((AE74-(EU74))*AV74*1),2)*BS74),2))</f>
        <v>0</v>
      </c>
      <c r="CT74" s="3">
        <f t="shared" si="78"/>
        <v>0</v>
      </c>
      <c r="CU74" s="3">
        <f t="shared" si="79"/>
        <v>0</v>
      </c>
      <c r="CV74" s="3">
        <f t="shared" si="80"/>
        <v>0</v>
      </c>
      <c r="CW74" s="3">
        <f t="shared" si="81"/>
        <v>0</v>
      </c>
      <c r="CX74" s="3">
        <f t="shared" si="82"/>
        <v>0</v>
      </c>
      <c r="CY74" s="3">
        <f>(ROUND((((S74+ROUND((ROUND(((EU74)*AV74*1),2)*BS74),2))*AT74)/100),2)+ROUND(((ROUND((ROUND(((AE74-(EU74))*AV74*1),2)*BS74),2)*AT74)/100),2))</f>
        <v>0</v>
      </c>
      <c r="CZ74" s="3">
        <f>(ROUND((((S74+ROUND((ROUND(((EU74)*AV74*1),2)*BS74),2))*AU74)/100),2)+ROUND(((ROUND((ROUND(((AE74-(EU74))*AV74*1),2)*BS74),2)*AU74)/100),2))</f>
        <v>0</v>
      </c>
      <c r="DC74" s="3" t="s">
        <v>3</v>
      </c>
      <c r="DD74" s="3" t="s">
        <v>3</v>
      </c>
      <c r="DE74" s="3" t="s">
        <v>3</v>
      </c>
      <c r="DF74" s="3" t="s">
        <v>3</v>
      </c>
      <c r="DG74" s="3" t="s">
        <v>3</v>
      </c>
      <c r="DH74" s="3" t="s">
        <v>3</v>
      </c>
      <c r="DI74" s="3" t="s">
        <v>3</v>
      </c>
      <c r="DJ74" s="3" t="s">
        <v>3</v>
      </c>
      <c r="DK74" s="3" t="s">
        <v>3</v>
      </c>
      <c r="DL74" s="3" t="s">
        <v>3</v>
      </c>
      <c r="DM74" s="3" t="s">
        <v>3</v>
      </c>
      <c r="DN74" s="3">
        <v>0</v>
      </c>
      <c r="DO74" s="3">
        <v>0</v>
      </c>
      <c r="DP74" s="3">
        <v>1</v>
      </c>
      <c r="DQ74" s="3">
        <v>1</v>
      </c>
      <c r="DU74" s="3">
        <v>1010</v>
      </c>
      <c r="DV74" s="3" t="s">
        <v>114</v>
      </c>
      <c r="DW74" s="3" t="s">
        <v>114</v>
      </c>
      <c r="DX74" s="3">
        <v>1</v>
      </c>
      <c r="DZ74" s="3" t="s">
        <v>3</v>
      </c>
      <c r="EA74" s="3" t="s">
        <v>3</v>
      </c>
      <c r="EB74" s="3" t="s">
        <v>3</v>
      </c>
      <c r="EC74" s="3" t="s">
        <v>3</v>
      </c>
      <c r="EE74" s="3">
        <v>55393877</v>
      </c>
      <c r="EF74" s="3">
        <v>130</v>
      </c>
      <c r="EG74" s="3" t="s">
        <v>115</v>
      </c>
      <c r="EH74" s="3">
        <v>0</v>
      </c>
      <c r="EI74" s="3" t="s">
        <v>3</v>
      </c>
      <c r="EJ74" s="3">
        <v>3</v>
      </c>
      <c r="EK74" s="3">
        <v>746</v>
      </c>
      <c r="EL74" s="3" t="s">
        <v>116</v>
      </c>
      <c r="EM74" s="3" t="s">
        <v>117</v>
      </c>
      <c r="EO74" s="3" t="s">
        <v>3</v>
      </c>
      <c r="EQ74" s="3">
        <v>131072</v>
      </c>
      <c r="ER74" s="3">
        <v>72464.179999999993</v>
      </c>
      <c r="ES74" s="3">
        <v>72464.179999999993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5</v>
      </c>
      <c r="FC74" s="3">
        <v>1</v>
      </c>
      <c r="FD74" s="3">
        <v>18</v>
      </c>
      <c r="FF74" s="3">
        <v>642038.94999999995</v>
      </c>
      <c r="FQ74" s="3">
        <v>0</v>
      </c>
      <c r="FR74" s="3">
        <f>P74</f>
        <v>548553.84</v>
      </c>
      <c r="FS74" s="3">
        <v>0</v>
      </c>
      <c r="FX74" s="3">
        <v>0</v>
      </c>
      <c r="FY74" s="3">
        <v>0</v>
      </c>
      <c r="GA74" s="3" t="s">
        <v>118</v>
      </c>
      <c r="GD74" s="3">
        <v>1</v>
      </c>
      <c r="GF74" s="3">
        <v>-1161085270</v>
      </c>
      <c r="GG74" s="3">
        <v>2</v>
      </c>
      <c r="GH74" s="3">
        <v>3</v>
      </c>
      <c r="GI74" s="3">
        <v>3</v>
      </c>
      <c r="GJ74" s="3">
        <v>0</v>
      </c>
      <c r="GK74" s="3">
        <v>0</v>
      </c>
      <c r="GL74" s="3">
        <f t="shared" si="83"/>
        <v>0</v>
      </c>
      <c r="GM74" s="3">
        <f t="shared" si="84"/>
        <v>548553.84</v>
      </c>
      <c r="GN74" s="3">
        <f t="shared" si="85"/>
        <v>0</v>
      </c>
      <c r="GO74" s="3">
        <f t="shared" si="86"/>
        <v>0</v>
      </c>
      <c r="GP74" s="3">
        <f t="shared" si="87"/>
        <v>0</v>
      </c>
      <c r="GR74" s="3">
        <v>1</v>
      </c>
      <c r="GS74" s="3">
        <v>1</v>
      </c>
      <c r="GT74" s="3">
        <v>0</v>
      </c>
      <c r="GU74" s="3" t="s">
        <v>3</v>
      </c>
      <c r="GV74" s="3">
        <f t="shared" si="88"/>
        <v>0</v>
      </c>
      <c r="GW74" s="3">
        <v>1</v>
      </c>
      <c r="GX74" s="3">
        <f t="shared" si="89"/>
        <v>0</v>
      </c>
      <c r="HA74" s="3">
        <v>0</v>
      </c>
      <c r="HB74" s="3">
        <v>0</v>
      </c>
      <c r="HC74" s="3">
        <f t="shared" si="90"/>
        <v>0</v>
      </c>
      <c r="HE74" s="3" t="s">
        <v>43</v>
      </c>
      <c r="HF74" s="3" t="s">
        <v>119</v>
      </c>
      <c r="HM74" s="3" t="s">
        <v>3</v>
      </c>
      <c r="HN74" s="3" t="s">
        <v>3</v>
      </c>
      <c r="HO74" s="3" t="s">
        <v>3</v>
      </c>
      <c r="HP74" s="3" t="s">
        <v>3</v>
      </c>
      <c r="HQ74" s="3" t="s">
        <v>3</v>
      </c>
      <c r="HS74" s="3">
        <v>0</v>
      </c>
      <c r="IK74" s="3">
        <v>0</v>
      </c>
    </row>
    <row r="75" spans="1:255" x14ac:dyDescent="0.25">
      <c r="A75" s="2">
        <v>17</v>
      </c>
      <c r="B75" s="2">
        <v>1</v>
      </c>
      <c r="C75" s="2">
        <f>ROW(SmtRes!A30)</f>
        <v>30</v>
      </c>
      <c r="D75" s="2">
        <f>ROW(EtalonRes!A31)</f>
        <v>31</v>
      </c>
      <c r="E75" s="2" t="s">
        <v>120</v>
      </c>
      <c r="F75" s="2" t="s">
        <v>121</v>
      </c>
      <c r="G75" s="2" t="s">
        <v>122</v>
      </c>
      <c r="H75" s="2" t="s">
        <v>28</v>
      </c>
      <c r="I75" s="2">
        <v>1</v>
      </c>
      <c r="J75" s="2">
        <v>0</v>
      </c>
      <c r="K75" s="2">
        <v>1</v>
      </c>
      <c r="L75" s="2"/>
      <c r="M75" s="2"/>
      <c r="N75" s="2"/>
      <c r="O75" s="2">
        <f t="shared" si="68"/>
        <v>15.27</v>
      </c>
      <c r="P75" s="2">
        <f>ROUND((ROUND((AC75*AW75*I75),2)*BC75),2)</f>
        <v>0</v>
      </c>
      <c r="Q75" s="2">
        <f>(ROUND((ROUND((((ET75*1.2))*AV75*I75),2)*BB75),2)+ROUND((ROUND(((AE75-((EU75*1.2)))*AV75*I75),2)*BS75),2))</f>
        <v>0.63</v>
      </c>
      <c r="R75" s="2">
        <f>(ROUND((ROUND((((EU75*1.2))*AV75*I75),2)*BS75),2)+ROUND((ROUND(((AE75-((EU75*1.2)))*AV75*I75),2)*BS75),2))</f>
        <v>0.1</v>
      </c>
      <c r="S75" s="2">
        <f t="shared" si="69"/>
        <v>14.64</v>
      </c>
      <c r="T75" s="2">
        <f t="shared" si="70"/>
        <v>0</v>
      </c>
      <c r="U75" s="2">
        <f t="shared" si="71"/>
        <v>1.2940919999999998</v>
      </c>
      <c r="V75" s="2">
        <f t="shared" si="72"/>
        <v>0</v>
      </c>
      <c r="W75" s="2">
        <f t="shared" si="73"/>
        <v>0</v>
      </c>
      <c r="X75" s="2">
        <f>(ROUND((((S75+ROUND((ROUND((((EU75*1.2))*AV75*I75),2)*BS75),2))*AT75)/100),2)+ROUND(((ROUND((ROUND(((AE75-((EU75*1.2)))*AV75*I75),2)*BS75),2)*AT75)/100),2))</f>
        <v>13.27</v>
      </c>
      <c r="Y75" s="2">
        <f>(ROUND((((S75+ROUND((ROUND((((EU75*1.2))*AV75*I75),2)*BS75),2))*AU75)/100),2)+ROUND(((ROUND((ROUND(((AE75-((EU75*1.2)))*AV75*I75),2)*BS75),2)*AU75)/100),2))</f>
        <v>6.78</v>
      </c>
      <c r="Z75" s="2"/>
      <c r="AA75" s="2">
        <v>55942966</v>
      </c>
      <c r="AB75" s="2">
        <f t="shared" si="74"/>
        <v>14.58</v>
      </c>
      <c r="AC75" s="2">
        <f>ROUND(((ES75*1)),6)</f>
        <v>0</v>
      </c>
      <c r="AD75" s="2">
        <f>ROUND(((((ET75*1.2))-((EU75*1.2)))+AE75),6)</f>
        <v>0.6</v>
      </c>
      <c r="AE75" s="2">
        <f t="shared" ref="AE75:AF78" si="91">ROUND(((EU75*1.2)),6)</f>
        <v>9.6000000000000002E-2</v>
      </c>
      <c r="AF75" s="2">
        <f t="shared" si="91"/>
        <v>13.98</v>
      </c>
      <c r="AG75" s="2">
        <f t="shared" si="75"/>
        <v>0</v>
      </c>
      <c r="AH75" s="2">
        <f t="shared" ref="AH75:AI78" si="92">((EW75*1.2))</f>
        <v>1.236</v>
      </c>
      <c r="AI75" s="2">
        <f t="shared" si="92"/>
        <v>0</v>
      </c>
      <c r="AJ75" s="2">
        <f t="shared" si="76"/>
        <v>0</v>
      </c>
      <c r="AK75" s="2">
        <v>12.15</v>
      </c>
      <c r="AL75" s="2">
        <v>0</v>
      </c>
      <c r="AM75" s="2">
        <v>0.5</v>
      </c>
      <c r="AN75" s="2">
        <v>0.08</v>
      </c>
      <c r="AO75" s="2">
        <v>11.65</v>
      </c>
      <c r="AP75" s="2">
        <v>0</v>
      </c>
      <c r="AQ75" s="2">
        <v>1.03</v>
      </c>
      <c r="AR75" s="2">
        <v>0</v>
      </c>
      <c r="AS75" s="2">
        <v>0</v>
      </c>
      <c r="AT75" s="2">
        <v>90</v>
      </c>
      <c r="AU75" s="2">
        <v>46</v>
      </c>
      <c r="AV75" s="2">
        <v>1.0469999999999999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0</v>
      </c>
      <c r="BI75" s="2">
        <v>2</v>
      </c>
      <c r="BJ75" s="2" t="s">
        <v>123</v>
      </c>
      <c r="BK75" s="2"/>
      <c r="BL75" s="2"/>
      <c r="BM75" s="2">
        <v>72</v>
      </c>
      <c r="BN75" s="2">
        <v>0</v>
      </c>
      <c r="BO75" s="2" t="s">
        <v>121</v>
      </c>
      <c r="BP75" s="2">
        <v>1</v>
      </c>
      <c r="BQ75" s="2">
        <v>40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90</v>
      </c>
      <c r="CA75" s="2">
        <v>46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285</v>
      </c>
      <c r="CO75" s="2">
        <v>0</v>
      </c>
      <c r="CP75" s="2">
        <f t="shared" si="77"/>
        <v>15.270000000000001</v>
      </c>
      <c r="CQ75" s="2">
        <f>ROUND((ROUND((AC75*AW75*1),2)*BC75),2)</f>
        <v>0</v>
      </c>
      <c r="CR75" s="2">
        <f>(ROUND((ROUND((((ET75*1.2))*AV75*1),2)*BB75),2)+ROUND((ROUND(((AE75-((EU75*1.2)))*AV75*1),2)*BS75),2))</f>
        <v>0.63</v>
      </c>
      <c r="CS75" s="2">
        <f>(ROUND((ROUND((((EU75*1.2))*AV75*1),2)*BS75),2)+ROUND((ROUND(((AE75-((EU75*1.2)))*AV75*1),2)*BS75),2))</f>
        <v>0.1</v>
      </c>
      <c r="CT75" s="2">
        <f t="shared" si="78"/>
        <v>14.64</v>
      </c>
      <c r="CU75" s="2">
        <f t="shared" si="79"/>
        <v>0</v>
      </c>
      <c r="CV75" s="2">
        <f t="shared" si="80"/>
        <v>1.2940919999999998</v>
      </c>
      <c r="CW75" s="2">
        <f t="shared" si="81"/>
        <v>0</v>
      </c>
      <c r="CX75" s="2">
        <f t="shared" si="82"/>
        <v>0</v>
      </c>
      <c r="CY75" s="2">
        <f>(ROUND((((S75+ROUND((ROUND((((EU75*1.2))*AV75*1),2)*BS75),2))*AT75)/100),2)+ROUND(((ROUND((ROUND(((AE75-((EU75*1.2)))*AV75*1),2)*BS75),2)*AT75)/100),2))</f>
        <v>13.27</v>
      </c>
      <c r="CZ75" s="2">
        <f>(ROUND((((S75+ROUND((ROUND((((EU75*1.2))*AV75*1),2)*BS75),2))*AU75)/100),2)+ROUND(((ROUND((ROUND(((AE75-((EU75*1.2)))*AV75*1),2)*BS75),2)*AU75)/100),2))</f>
        <v>6.78</v>
      </c>
      <c r="DA75" s="2"/>
      <c r="DB75" s="2">
        <v>19</v>
      </c>
      <c r="DC75" s="2" t="s">
        <v>3</v>
      </c>
      <c r="DD75" s="2" t="s">
        <v>108</v>
      </c>
      <c r="DE75" s="2" t="s">
        <v>109</v>
      </c>
      <c r="DF75" s="2" t="s">
        <v>109</v>
      </c>
      <c r="DG75" s="2" t="s">
        <v>109</v>
      </c>
      <c r="DH75" s="2" t="s">
        <v>3</v>
      </c>
      <c r="DI75" s="2" t="s">
        <v>109</v>
      </c>
      <c r="DJ75" s="2" t="s">
        <v>109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28</v>
      </c>
      <c r="DW75" s="2" t="s">
        <v>28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55393976</v>
      </c>
      <c r="EF75" s="2">
        <v>40</v>
      </c>
      <c r="EG75" s="2" t="s">
        <v>32</v>
      </c>
      <c r="EH75" s="2">
        <v>0</v>
      </c>
      <c r="EI75" s="2" t="s">
        <v>3</v>
      </c>
      <c r="EJ75" s="2">
        <v>2</v>
      </c>
      <c r="EK75" s="2">
        <v>72</v>
      </c>
      <c r="EL75" s="2" t="s">
        <v>124</v>
      </c>
      <c r="EM75" s="2" t="s">
        <v>125</v>
      </c>
      <c r="EN75" s="2"/>
      <c r="EO75" s="2" t="s">
        <v>110</v>
      </c>
      <c r="EP75" s="2"/>
      <c r="EQ75" s="2">
        <v>0</v>
      </c>
      <c r="ER75" s="2">
        <v>12.15</v>
      </c>
      <c r="ES75" s="2">
        <v>0</v>
      </c>
      <c r="ET75" s="2">
        <v>0.5</v>
      </c>
      <c r="EU75" s="2">
        <v>0.08</v>
      </c>
      <c r="EV75" s="2">
        <v>11.65</v>
      </c>
      <c r="EW75" s="2">
        <v>1.03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90</v>
      </c>
      <c r="FY75" s="2">
        <v>46</v>
      </c>
      <c r="FZ75" s="2"/>
      <c r="GA75" s="2" t="s">
        <v>3</v>
      </c>
      <c r="GB75" s="2"/>
      <c r="GC75" s="2"/>
      <c r="GD75" s="2">
        <v>1</v>
      </c>
      <c r="GE75" s="2"/>
      <c r="GF75" s="2">
        <v>-920792427</v>
      </c>
      <c r="GG75" s="2">
        <v>2</v>
      </c>
      <c r="GH75" s="2">
        <v>1</v>
      </c>
      <c r="GI75" s="2">
        <v>2</v>
      </c>
      <c r="GJ75" s="2">
        <v>0</v>
      </c>
      <c r="GK75" s="2">
        <v>0</v>
      </c>
      <c r="GL75" s="2">
        <f t="shared" si="83"/>
        <v>0</v>
      </c>
      <c r="GM75" s="2">
        <f t="shared" si="84"/>
        <v>35.32</v>
      </c>
      <c r="GN75" s="2">
        <f t="shared" si="85"/>
        <v>0</v>
      </c>
      <c r="GO75" s="2">
        <f t="shared" si="86"/>
        <v>35.32</v>
      </c>
      <c r="GP75" s="2">
        <f t="shared" si="87"/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si="88"/>
        <v>0</v>
      </c>
      <c r="GW75" s="2">
        <v>1</v>
      </c>
      <c r="GX75" s="2">
        <f t="shared" si="89"/>
        <v>0</v>
      </c>
      <c r="GY75" s="2"/>
      <c r="GZ75" s="2"/>
      <c r="HA75" s="2">
        <v>0</v>
      </c>
      <c r="HB75" s="2">
        <v>0</v>
      </c>
      <c r="HC75" s="2">
        <f t="shared" si="90"/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5">
      <c r="A76" s="3">
        <v>17</v>
      </c>
      <c r="B76" s="3">
        <v>1</v>
      </c>
      <c r="C76" s="3">
        <f>ROW(SmtRes!A32)</f>
        <v>32</v>
      </c>
      <c r="D76" s="3">
        <f>ROW(EtalonRes!A34)</f>
        <v>34</v>
      </c>
      <c r="E76" s="3" t="s">
        <v>120</v>
      </c>
      <c r="F76" s="3" t="s">
        <v>121</v>
      </c>
      <c r="G76" s="3" t="s">
        <v>122</v>
      </c>
      <c r="H76" s="3" t="s">
        <v>28</v>
      </c>
      <c r="I76" s="3">
        <v>1</v>
      </c>
      <c r="J76" s="3">
        <v>0</v>
      </c>
      <c r="K76" s="3">
        <v>1</v>
      </c>
      <c r="O76" s="3">
        <f t="shared" si="68"/>
        <v>835.68</v>
      </c>
      <c r="P76" s="3">
        <f>ROUND((ROUND((AC76*AW76*I76),2)*BC76),2)</f>
        <v>0</v>
      </c>
      <c r="Q76" s="3">
        <f>(ROUND((ROUND((((ET76*1.2))*AV76*I76),2)*BB76),2)+ROUND((ROUND(((AE76-((EU76*1.2)))*AV76*I76),2)*BS76),2))</f>
        <v>10.72</v>
      </c>
      <c r="R76" s="3">
        <f>(ROUND((ROUND((((EU76*1.2))*AV76*I76),2)*BS76),2)+ROUND((ROUND(((AE76-((EU76*1.2)))*AV76*I76),2)*BS76),2))</f>
        <v>5.64</v>
      </c>
      <c r="S76" s="3">
        <f t="shared" si="69"/>
        <v>824.96</v>
      </c>
      <c r="T76" s="3">
        <f t="shared" si="70"/>
        <v>0</v>
      </c>
      <c r="U76" s="3">
        <f t="shared" si="71"/>
        <v>1.2940919999999998</v>
      </c>
      <c r="V76" s="3">
        <f t="shared" si="72"/>
        <v>0</v>
      </c>
      <c r="W76" s="3">
        <f t="shared" si="73"/>
        <v>0</v>
      </c>
      <c r="X76" s="3">
        <f>(ROUND((((S76+ROUND((ROUND((((EU76*1.2))*AV76*I76),2)*BS76),2))*AT76)/100),2)+ROUND(((ROUND((ROUND(((AE76-((EU76*1.2)))*AV76*I76),2)*BS76),2)*AT76)/100),2))</f>
        <v>747.54</v>
      </c>
      <c r="Y76" s="3">
        <f>(ROUND((((S76+ROUND((ROUND((((EU76*1.2))*AV76*I76),2)*BS76),2))*AU76)/100),2)+ROUND(((ROUND((ROUND(((AE76-((EU76*1.2)))*AV76*I76),2)*BS76),2)*AU76)/100),2))</f>
        <v>382.08</v>
      </c>
      <c r="AA76" s="3">
        <v>55942968</v>
      </c>
      <c r="AB76" s="3">
        <f t="shared" si="74"/>
        <v>14.58</v>
      </c>
      <c r="AC76" s="3">
        <f>ROUND(((ES76*1)),6)</f>
        <v>0</v>
      </c>
      <c r="AD76" s="3">
        <f>ROUND(((((ET76*1.2))-((EU76*1.2)))+AE76),6)</f>
        <v>0.6</v>
      </c>
      <c r="AE76" s="3">
        <f t="shared" si="91"/>
        <v>9.6000000000000002E-2</v>
      </c>
      <c r="AF76" s="3">
        <f t="shared" si="91"/>
        <v>13.98</v>
      </c>
      <c r="AG76" s="3">
        <f t="shared" si="75"/>
        <v>0</v>
      </c>
      <c r="AH76" s="3">
        <f t="shared" si="92"/>
        <v>1.236</v>
      </c>
      <c r="AI76" s="3">
        <f t="shared" si="92"/>
        <v>0</v>
      </c>
      <c r="AJ76" s="3">
        <f t="shared" si="76"/>
        <v>0</v>
      </c>
      <c r="AK76" s="3">
        <v>12.15</v>
      </c>
      <c r="AL76" s="3">
        <v>0</v>
      </c>
      <c r="AM76" s="3">
        <v>0.5</v>
      </c>
      <c r="AN76" s="3">
        <v>0.08</v>
      </c>
      <c r="AO76" s="3">
        <v>11.65</v>
      </c>
      <c r="AP76" s="3">
        <v>0</v>
      </c>
      <c r="AQ76" s="3">
        <v>1.03</v>
      </c>
      <c r="AR76" s="3">
        <v>0</v>
      </c>
      <c r="AS76" s="3">
        <v>0</v>
      </c>
      <c r="AT76" s="3">
        <v>90</v>
      </c>
      <c r="AU76" s="3">
        <v>46</v>
      </c>
      <c r="AV76" s="3">
        <v>1.0469999999999999</v>
      </c>
      <c r="AW76" s="3">
        <v>1</v>
      </c>
      <c r="AZ76" s="3">
        <v>1</v>
      </c>
      <c r="BA76" s="3">
        <v>56.35</v>
      </c>
      <c r="BB76" s="3">
        <v>17.02</v>
      </c>
      <c r="BC76" s="3">
        <v>1</v>
      </c>
      <c r="BD76" s="3" t="s">
        <v>3</v>
      </c>
      <c r="BE76" s="3" t="s">
        <v>3</v>
      </c>
      <c r="BF76" s="3" t="s">
        <v>3</v>
      </c>
      <c r="BG76" s="3" t="s">
        <v>3</v>
      </c>
      <c r="BH76" s="3">
        <v>0</v>
      </c>
      <c r="BI76" s="3">
        <v>2</v>
      </c>
      <c r="BJ76" s="3" t="s">
        <v>123</v>
      </c>
      <c r="BM76" s="3">
        <v>72</v>
      </c>
      <c r="BN76" s="3">
        <v>0</v>
      </c>
      <c r="BO76" s="3" t="s">
        <v>121</v>
      </c>
      <c r="BP76" s="3">
        <v>1</v>
      </c>
      <c r="BQ76" s="3">
        <v>40</v>
      </c>
      <c r="BR76" s="3">
        <v>0</v>
      </c>
      <c r="BS76" s="3">
        <v>56.35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 t="s">
        <v>3</v>
      </c>
      <c r="BZ76" s="3">
        <v>90</v>
      </c>
      <c r="CA76" s="3">
        <v>46</v>
      </c>
      <c r="CB76" s="3" t="s">
        <v>3</v>
      </c>
      <c r="CE76" s="3">
        <v>1566</v>
      </c>
      <c r="CF76" s="3">
        <v>0</v>
      </c>
      <c r="CG76" s="3">
        <v>0</v>
      </c>
      <c r="CM76" s="3">
        <v>0</v>
      </c>
      <c r="CN76" s="3" t="s">
        <v>285</v>
      </c>
      <c r="CO76" s="3">
        <v>0</v>
      </c>
      <c r="CP76" s="3">
        <f t="shared" si="77"/>
        <v>835.68000000000006</v>
      </c>
      <c r="CQ76" s="3">
        <f>ROUND((ROUND((AC76*AW76*1),2)*BC76),2)</f>
        <v>0</v>
      </c>
      <c r="CR76" s="3">
        <f>(ROUND((ROUND((((ET76*1.2))*AV76*1),2)*BB76),2)+ROUND((ROUND(((AE76-((EU76*1.2)))*AV76*1),2)*BS76),2))</f>
        <v>10.72</v>
      </c>
      <c r="CS76" s="3">
        <f>(ROUND((ROUND((((EU76*1.2))*AV76*1),2)*BS76),2)+ROUND((ROUND(((AE76-((EU76*1.2)))*AV76*1),2)*BS76),2))</f>
        <v>5.64</v>
      </c>
      <c r="CT76" s="3">
        <f t="shared" si="78"/>
        <v>824.96</v>
      </c>
      <c r="CU76" s="3">
        <f t="shared" si="79"/>
        <v>0</v>
      </c>
      <c r="CV76" s="3">
        <f t="shared" si="80"/>
        <v>1.2940919999999998</v>
      </c>
      <c r="CW76" s="3">
        <f t="shared" si="81"/>
        <v>0</v>
      </c>
      <c r="CX76" s="3">
        <f t="shared" si="82"/>
        <v>0</v>
      </c>
      <c r="CY76" s="3">
        <f>(ROUND((((S76+ROUND((ROUND((((EU76*1.2))*AV76*1),2)*BS76),2))*AT76)/100),2)+ROUND(((ROUND((ROUND(((AE76-((EU76*1.2)))*AV76*1),2)*BS76),2)*AT76)/100),2))</f>
        <v>747.54</v>
      </c>
      <c r="CZ76" s="3">
        <f>(ROUND((((S76+ROUND((ROUND((((EU76*1.2))*AV76*1),2)*BS76),2))*AU76)/100),2)+ROUND(((ROUND((ROUND(((AE76-((EU76*1.2)))*AV76*1),2)*BS76),2)*AU76)/100),2))</f>
        <v>382.08</v>
      </c>
      <c r="DB76" s="3">
        <v>20</v>
      </c>
      <c r="DC76" s="3" t="s">
        <v>3</v>
      </c>
      <c r="DD76" s="3" t="s">
        <v>108</v>
      </c>
      <c r="DE76" s="3" t="s">
        <v>109</v>
      </c>
      <c r="DF76" s="3" t="s">
        <v>109</v>
      </c>
      <c r="DG76" s="3" t="s">
        <v>109</v>
      </c>
      <c r="DH76" s="3" t="s">
        <v>3</v>
      </c>
      <c r="DI76" s="3" t="s">
        <v>109</v>
      </c>
      <c r="DJ76" s="3" t="s">
        <v>109</v>
      </c>
      <c r="DK76" s="3" t="s">
        <v>3</v>
      </c>
      <c r="DL76" s="3" t="s">
        <v>3</v>
      </c>
      <c r="DM76" s="3" t="s">
        <v>3</v>
      </c>
      <c r="DN76" s="3">
        <v>0</v>
      </c>
      <c r="DO76" s="3">
        <v>0</v>
      </c>
      <c r="DP76" s="3">
        <v>1</v>
      </c>
      <c r="DQ76" s="3">
        <v>1</v>
      </c>
      <c r="DU76" s="3">
        <v>1013</v>
      </c>
      <c r="DV76" s="3" t="s">
        <v>28</v>
      </c>
      <c r="DW76" s="3" t="s">
        <v>28</v>
      </c>
      <c r="DX76" s="3">
        <v>1</v>
      </c>
      <c r="DZ76" s="3" t="s">
        <v>3</v>
      </c>
      <c r="EA76" s="3" t="s">
        <v>3</v>
      </c>
      <c r="EB76" s="3" t="s">
        <v>3</v>
      </c>
      <c r="EC76" s="3" t="s">
        <v>3</v>
      </c>
      <c r="EE76" s="3">
        <v>55393976</v>
      </c>
      <c r="EF76" s="3">
        <v>40</v>
      </c>
      <c r="EG76" s="3" t="s">
        <v>32</v>
      </c>
      <c r="EH76" s="3">
        <v>0</v>
      </c>
      <c r="EI76" s="3" t="s">
        <v>3</v>
      </c>
      <c r="EJ76" s="3">
        <v>2</v>
      </c>
      <c r="EK76" s="3">
        <v>72</v>
      </c>
      <c r="EL76" s="3" t="s">
        <v>124</v>
      </c>
      <c r="EM76" s="3" t="s">
        <v>125</v>
      </c>
      <c r="EO76" s="3" t="s">
        <v>110</v>
      </c>
      <c r="EQ76" s="3">
        <v>0</v>
      </c>
      <c r="ER76" s="3">
        <v>12.15</v>
      </c>
      <c r="ES76" s="3">
        <v>0</v>
      </c>
      <c r="ET76" s="3">
        <v>0.5</v>
      </c>
      <c r="EU76" s="3">
        <v>0.08</v>
      </c>
      <c r="EV76" s="3">
        <v>11.65</v>
      </c>
      <c r="EW76" s="3">
        <v>1.03</v>
      </c>
      <c r="EX76" s="3">
        <v>0</v>
      </c>
      <c r="EY76" s="3">
        <v>0</v>
      </c>
      <c r="FQ76" s="3">
        <v>0</v>
      </c>
      <c r="FR76" s="3">
        <v>0</v>
      </c>
      <c r="FS76" s="3">
        <v>0</v>
      </c>
      <c r="FX76" s="3">
        <v>90</v>
      </c>
      <c r="FY76" s="3">
        <v>46</v>
      </c>
      <c r="GA76" s="3" t="s">
        <v>3</v>
      </c>
      <c r="GD76" s="3">
        <v>1</v>
      </c>
      <c r="GF76" s="3">
        <v>-920792427</v>
      </c>
      <c r="GG76" s="3">
        <v>2</v>
      </c>
      <c r="GH76" s="3">
        <v>1</v>
      </c>
      <c r="GI76" s="3">
        <v>2</v>
      </c>
      <c r="GJ76" s="3">
        <v>0</v>
      </c>
      <c r="GK76" s="3">
        <v>0</v>
      </c>
      <c r="GL76" s="3">
        <f t="shared" si="83"/>
        <v>0</v>
      </c>
      <c r="GM76" s="3">
        <f t="shared" si="84"/>
        <v>1965.3</v>
      </c>
      <c r="GN76" s="3">
        <f t="shared" si="85"/>
        <v>0</v>
      </c>
      <c r="GO76" s="3">
        <f t="shared" si="86"/>
        <v>1965.3</v>
      </c>
      <c r="GP76" s="3">
        <f t="shared" si="87"/>
        <v>0</v>
      </c>
      <c r="GR76" s="3">
        <v>0</v>
      </c>
      <c r="GS76" s="3">
        <v>3</v>
      </c>
      <c r="GT76" s="3">
        <v>0</v>
      </c>
      <c r="GU76" s="3" t="s">
        <v>3</v>
      </c>
      <c r="GV76" s="3">
        <f t="shared" si="88"/>
        <v>0</v>
      </c>
      <c r="GW76" s="3">
        <v>1</v>
      </c>
      <c r="GX76" s="3">
        <f t="shared" si="89"/>
        <v>0</v>
      </c>
      <c r="HA76" s="3">
        <v>0</v>
      </c>
      <c r="HB76" s="3">
        <v>0</v>
      </c>
      <c r="HC76" s="3">
        <f t="shared" si="90"/>
        <v>0</v>
      </c>
      <c r="HE76" s="3" t="s">
        <v>3</v>
      </c>
      <c r="HF76" s="3" t="s">
        <v>3</v>
      </c>
      <c r="HM76" s="3" t="s">
        <v>3</v>
      </c>
      <c r="HN76" s="3" t="s">
        <v>3</v>
      </c>
      <c r="HO76" s="3" t="s">
        <v>3</v>
      </c>
      <c r="HP76" s="3" t="s">
        <v>3</v>
      </c>
      <c r="HQ76" s="3" t="s">
        <v>3</v>
      </c>
      <c r="HS76" s="3">
        <v>0</v>
      </c>
      <c r="IK76" s="3">
        <v>0</v>
      </c>
    </row>
    <row r="77" spans="1:255" x14ac:dyDescent="0.25">
      <c r="A77" s="2">
        <v>17</v>
      </c>
      <c r="B77" s="2">
        <v>1</v>
      </c>
      <c r="C77" s="2">
        <f>ROW(SmtRes!A34)</f>
        <v>34</v>
      </c>
      <c r="D77" s="2">
        <f>ROW(EtalonRes!A36)</f>
        <v>36</v>
      </c>
      <c r="E77" s="2" t="s">
        <v>3</v>
      </c>
      <c r="F77" s="2" t="s">
        <v>37</v>
      </c>
      <c r="G77" s="2" t="s">
        <v>126</v>
      </c>
      <c r="H77" s="2" t="s">
        <v>39</v>
      </c>
      <c r="I77" s="2">
        <v>1</v>
      </c>
      <c r="J77" s="2">
        <v>0</v>
      </c>
      <c r="K77" s="2">
        <v>1</v>
      </c>
      <c r="L77" s="2"/>
      <c r="M77" s="2"/>
      <c r="N77" s="2"/>
      <c r="O77" s="2">
        <f t="shared" si="68"/>
        <v>52.16</v>
      </c>
      <c r="P77" s="2">
        <f>ROUND((ROUND((AC77*AW77*I77),2)*BC77),2)</f>
        <v>0.18</v>
      </c>
      <c r="Q77" s="2">
        <f>(ROUND((ROUND((((ET77*1.2))*AV77*I77),2)*BB77),2)+ROUND((ROUND(((AE77-((EU77*1.2)))*AV77*I77),2)*BS77),2))</f>
        <v>0</v>
      </c>
      <c r="R77" s="2">
        <f>(ROUND((ROUND((((EU77*1.2))*AV77*I77),2)*BS77),2)+ROUND((ROUND(((AE77-((EU77*1.2)))*AV77*I77),2)*BS77),2))</f>
        <v>0</v>
      </c>
      <c r="S77" s="2">
        <f t="shared" si="69"/>
        <v>51.98</v>
      </c>
      <c r="T77" s="2">
        <f t="shared" si="70"/>
        <v>0</v>
      </c>
      <c r="U77" s="2">
        <f t="shared" si="71"/>
        <v>3.6131879999999996</v>
      </c>
      <c r="V77" s="2">
        <f t="shared" si="72"/>
        <v>0</v>
      </c>
      <c r="W77" s="2">
        <f t="shared" si="73"/>
        <v>0</v>
      </c>
      <c r="X77" s="2">
        <f>(ROUND((((S77+ROUND((ROUND((((EU77*1.2))*AV77*I77),2)*BS77),2))*AT77)/100),2)+ROUND(((ROUND((ROUND(((AE77-((EU77*1.2)))*AV77*I77),2)*BS77),2)*AT77)/100),2))</f>
        <v>49.38</v>
      </c>
      <c r="Y77" s="2">
        <f>(ROUND((((S77+ROUND((ROUND((((EU77*1.2))*AV77*I77),2)*BS77),2))*AU77)/100),2)+ROUND(((ROUND((ROUND(((AE77-((EU77*1.2)))*AV77*I77),2)*BS77),2)*AU77)/100),2))</f>
        <v>27.55</v>
      </c>
      <c r="Z77" s="2"/>
      <c r="AA77" s="2">
        <v>-1</v>
      </c>
      <c r="AB77" s="2">
        <f t="shared" si="74"/>
        <v>48</v>
      </c>
      <c r="AC77" s="2">
        <f>ROUND(((ES77*1)),6)</f>
        <v>0.18</v>
      </c>
      <c r="AD77" s="2">
        <f>ROUND(((((ET77*1.2))-((EU77*1.2)))+AE77),6)</f>
        <v>0</v>
      </c>
      <c r="AE77" s="2">
        <f t="shared" si="91"/>
        <v>0</v>
      </c>
      <c r="AF77" s="2">
        <f t="shared" si="91"/>
        <v>47.82</v>
      </c>
      <c r="AG77" s="2">
        <f t="shared" si="75"/>
        <v>0</v>
      </c>
      <c r="AH77" s="2">
        <f t="shared" si="92"/>
        <v>3.3239999999999998</v>
      </c>
      <c r="AI77" s="2">
        <f t="shared" si="92"/>
        <v>0</v>
      </c>
      <c r="AJ77" s="2">
        <f t="shared" si="76"/>
        <v>0</v>
      </c>
      <c r="AK77" s="2">
        <v>40.03</v>
      </c>
      <c r="AL77" s="2">
        <v>0.18</v>
      </c>
      <c r="AM77" s="2">
        <v>0</v>
      </c>
      <c r="AN77" s="2">
        <v>0</v>
      </c>
      <c r="AO77" s="2">
        <v>39.85</v>
      </c>
      <c r="AP77" s="2">
        <v>0</v>
      </c>
      <c r="AQ77" s="2">
        <v>2.77</v>
      </c>
      <c r="AR77" s="2">
        <v>0</v>
      </c>
      <c r="AS77" s="2">
        <v>0</v>
      </c>
      <c r="AT77" s="2">
        <v>95</v>
      </c>
      <c r="AU77" s="2">
        <v>53</v>
      </c>
      <c r="AV77" s="2">
        <v>1.087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0</v>
      </c>
      <c r="BI77" s="2">
        <v>2</v>
      </c>
      <c r="BJ77" s="2" t="s">
        <v>40</v>
      </c>
      <c r="BK77" s="2"/>
      <c r="BL77" s="2"/>
      <c r="BM77" s="2">
        <v>69</v>
      </c>
      <c r="BN77" s="2">
        <v>0</v>
      </c>
      <c r="BO77" s="2" t="s">
        <v>37</v>
      </c>
      <c r="BP77" s="2">
        <v>1</v>
      </c>
      <c r="BQ77" s="2">
        <v>40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95</v>
      </c>
      <c r="CA77" s="2">
        <v>53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285</v>
      </c>
      <c r="CO77" s="2">
        <v>0</v>
      </c>
      <c r="CP77" s="2">
        <f t="shared" si="77"/>
        <v>52.16</v>
      </c>
      <c r="CQ77" s="2">
        <f>ROUND((ROUND((AC77*AW77*1),2)*BC77),2)</f>
        <v>0.18</v>
      </c>
      <c r="CR77" s="2">
        <f>(ROUND((ROUND((((ET77*1.2))*AV77*1),2)*BB77),2)+ROUND((ROUND(((AE77-((EU77*1.2)))*AV77*1),2)*BS77),2))</f>
        <v>0</v>
      </c>
      <c r="CS77" s="2">
        <f>(ROUND((ROUND((((EU77*1.2))*AV77*1),2)*BS77),2)+ROUND((ROUND(((AE77-((EU77*1.2)))*AV77*1),2)*BS77),2))</f>
        <v>0</v>
      </c>
      <c r="CT77" s="2">
        <f t="shared" si="78"/>
        <v>51.98</v>
      </c>
      <c r="CU77" s="2">
        <f t="shared" si="79"/>
        <v>0</v>
      </c>
      <c r="CV77" s="2">
        <f t="shared" si="80"/>
        <v>3.6131879999999996</v>
      </c>
      <c r="CW77" s="2">
        <f t="shared" si="81"/>
        <v>0</v>
      </c>
      <c r="CX77" s="2">
        <f t="shared" si="82"/>
        <v>0</v>
      </c>
      <c r="CY77" s="2">
        <f>(ROUND((((S77+ROUND((ROUND((((EU77*1.2))*AV77*1),2)*BS77),2))*AT77)/100),2)+ROUND(((ROUND((ROUND(((AE77-((EU77*1.2)))*AV77*1),2)*BS77),2)*AT77)/100),2))</f>
        <v>49.38</v>
      </c>
      <c r="CZ77" s="2">
        <f>(ROUND((((S77+ROUND((ROUND((((EU77*1.2))*AV77*1),2)*BS77),2))*AU77)/100),2)+ROUND(((ROUND((ROUND(((AE77-((EU77*1.2)))*AV77*1),2)*BS77),2)*AU77)/100),2))</f>
        <v>27.55</v>
      </c>
      <c r="DA77" s="2"/>
      <c r="DB77" s="2">
        <v>21</v>
      </c>
      <c r="DC77" s="2" t="s">
        <v>3</v>
      </c>
      <c r="DD77" s="2" t="s">
        <v>108</v>
      </c>
      <c r="DE77" s="2" t="s">
        <v>109</v>
      </c>
      <c r="DF77" s="2" t="s">
        <v>109</v>
      </c>
      <c r="DG77" s="2" t="s">
        <v>109</v>
      </c>
      <c r="DH77" s="2" t="s">
        <v>3</v>
      </c>
      <c r="DI77" s="2" t="s">
        <v>109</v>
      </c>
      <c r="DJ77" s="2" t="s">
        <v>109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1013</v>
      </c>
      <c r="DV77" s="2" t="s">
        <v>39</v>
      </c>
      <c r="DW77" s="2" t="s">
        <v>39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55393973</v>
      </c>
      <c r="EF77" s="2">
        <v>40</v>
      </c>
      <c r="EG77" s="2" t="s">
        <v>32</v>
      </c>
      <c r="EH77" s="2">
        <v>0</v>
      </c>
      <c r="EI77" s="2" t="s">
        <v>3</v>
      </c>
      <c r="EJ77" s="2">
        <v>2</v>
      </c>
      <c r="EK77" s="2">
        <v>69</v>
      </c>
      <c r="EL77" s="2" t="s">
        <v>41</v>
      </c>
      <c r="EM77" s="2" t="s">
        <v>42</v>
      </c>
      <c r="EN77" s="2"/>
      <c r="EO77" s="2" t="s">
        <v>110</v>
      </c>
      <c r="EP77" s="2"/>
      <c r="EQ77" s="2">
        <v>132096</v>
      </c>
      <c r="ER77" s="2">
        <v>40.03</v>
      </c>
      <c r="ES77" s="2">
        <v>0.18</v>
      </c>
      <c r="ET77" s="2">
        <v>0</v>
      </c>
      <c r="EU77" s="2">
        <v>0</v>
      </c>
      <c r="EV77" s="2">
        <v>39.85</v>
      </c>
      <c r="EW77" s="2">
        <v>2.77</v>
      </c>
      <c r="EX77" s="2">
        <v>0</v>
      </c>
      <c r="EY77" s="2">
        <v>0</v>
      </c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95</v>
      </c>
      <c r="FY77" s="2">
        <v>53</v>
      </c>
      <c r="FZ77" s="2"/>
      <c r="GA77" s="2" t="s">
        <v>3</v>
      </c>
      <c r="GB77" s="2"/>
      <c r="GC77" s="2"/>
      <c r="GD77" s="2">
        <v>1</v>
      </c>
      <c r="GE77" s="2"/>
      <c r="GF77" s="2">
        <v>2002393274</v>
      </c>
      <c r="GG77" s="2">
        <v>2</v>
      </c>
      <c r="GH77" s="2">
        <v>1</v>
      </c>
      <c r="GI77" s="2">
        <v>2</v>
      </c>
      <c r="GJ77" s="2">
        <v>0</v>
      </c>
      <c r="GK77" s="2">
        <v>0</v>
      </c>
      <c r="GL77" s="2">
        <f t="shared" si="83"/>
        <v>0</v>
      </c>
      <c r="GM77" s="2">
        <f t="shared" si="84"/>
        <v>129.09</v>
      </c>
      <c r="GN77" s="2">
        <f t="shared" si="85"/>
        <v>0</v>
      </c>
      <c r="GO77" s="2">
        <f t="shared" si="86"/>
        <v>129.09</v>
      </c>
      <c r="GP77" s="2">
        <f t="shared" si="87"/>
        <v>0</v>
      </c>
      <c r="GQ77" s="2"/>
      <c r="GR77" s="2">
        <v>0</v>
      </c>
      <c r="GS77" s="2">
        <v>3</v>
      </c>
      <c r="GT77" s="2">
        <v>0</v>
      </c>
      <c r="GU77" s="2" t="s">
        <v>3</v>
      </c>
      <c r="GV77" s="2">
        <f t="shared" si="88"/>
        <v>0</v>
      </c>
      <c r="GW77" s="2">
        <v>1</v>
      </c>
      <c r="GX77" s="2">
        <f t="shared" si="89"/>
        <v>0</v>
      </c>
      <c r="GY77" s="2"/>
      <c r="GZ77" s="2"/>
      <c r="HA77" s="2">
        <v>0</v>
      </c>
      <c r="HB77" s="2">
        <v>0</v>
      </c>
      <c r="HC77" s="2">
        <f t="shared" si="90"/>
        <v>0</v>
      </c>
      <c r="HD77" s="2"/>
      <c r="HE77" s="2" t="s">
        <v>3</v>
      </c>
      <c r="HF77" s="2" t="s">
        <v>3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5">
      <c r="A78" s="3">
        <v>17</v>
      </c>
      <c r="B78" s="3">
        <v>1</v>
      </c>
      <c r="C78" s="3">
        <f>ROW(SmtRes!A36)</f>
        <v>36</v>
      </c>
      <c r="D78" s="3">
        <f>ROW(EtalonRes!A38)</f>
        <v>38</v>
      </c>
      <c r="E78" s="3" t="s">
        <v>3</v>
      </c>
      <c r="F78" s="3" t="s">
        <v>37</v>
      </c>
      <c r="G78" s="3" t="s">
        <v>126</v>
      </c>
      <c r="H78" s="3" t="s">
        <v>39</v>
      </c>
      <c r="I78" s="3">
        <v>1</v>
      </c>
      <c r="J78" s="3">
        <v>0</v>
      </c>
      <c r="K78" s="3">
        <v>1</v>
      </c>
      <c r="O78" s="3">
        <f t="shared" si="68"/>
        <v>2930.08</v>
      </c>
      <c r="P78" s="3">
        <f>ROUND((ROUND((AC78*AW78*I78),2)*BC78),2)</f>
        <v>1.01</v>
      </c>
      <c r="Q78" s="3">
        <f>(ROUND((ROUND((((ET78*1.2))*AV78*I78),2)*BB78),2)+ROUND((ROUND(((AE78-((EU78*1.2)))*AV78*I78),2)*BS78),2))</f>
        <v>0</v>
      </c>
      <c r="R78" s="3">
        <f>(ROUND((ROUND((((EU78*1.2))*AV78*I78),2)*BS78),2)+ROUND((ROUND(((AE78-((EU78*1.2)))*AV78*I78),2)*BS78),2))</f>
        <v>0</v>
      </c>
      <c r="S78" s="3">
        <f t="shared" si="69"/>
        <v>2929.07</v>
      </c>
      <c r="T78" s="3">
        <f t="shared" si="70"/>
        <v>0</v>
      </c>
      <c r="U78" s="3">
        <f t="shared" si="71"/>
        <v>3.6131879999999996</v>
      </c>
      <c r="V78" s="3">
        <f t="shared" si="72"/>
        <v>0</v>
      </c>
      <c r="W78" s="3">
        <f t="shared" si="73"/>
        <v>0</v>
      </c>
      <c r="X78" s="3">
        <f>(ROUND((((S78+ROUND((ROUND((((EU78*1.2))*AV78*I78),2)*BS78),2))*AT78)/100),2)+ROUND(((ROUND((ROUND(((AE78-((EU78*1.2)))*AV78*I78),2)*BS78),2)*AT78)/100),2))</f>
        <v>2782.62</v>
      </c>
      <c r="Y78" s="3">
        <f>(ROUND((((S78+ROUND((ROUND((((EU78*1.2))*AV78*I78),2)*BS78),2))*AU78)/100),2)+ROUND(((ROUND((ROUND(((AE78-((EU78*1.2)))*AV78*I78),2)*BS78),2)*AU78)/100),2))</f>
        <v>1552.41</v>
      </c>
      <c r="AA78" s="3">
        <v>-1</v>
      </c>
      <c r="AB78" s="3">
        <f t="shared" si="74"/>
        <v>48</v>
      </c>
      <c r="AC78" s="3">
        <f>ROUND(((ES78*1)),6)</f>
        <v>0.18</v>
      </c>
      <c r="AD78" s="3">
        <f>ROUND(((((ET78*1.2))-((EU78*1.2)))+AE78),6)</f>
        <v>0</v>
      </c>
      <c r="AE78" s="3">
        <f t="shared" si="91"/>
        <v>0</v>
      </c>
      <c r="AF78" s="3">
        <f t="shared" si="91"/>
        <v>47.82</v>
      </c>
      <c r="AG78" s="3">
        <f t="shared" si="75"/>
        <v>0</v>
      </c>
      <c r="AH78" s="3">
        <f t="shared" si="92"/>
        <v>3.3239999999999998</v>
      </c>
      <c r="AI78" s="3">
        <f t="shared" si="92"/>
        <v>0</v>
      </c>
      <c r="AJ78" s="3">
        <f t="shared" si="76"/>
        <v>0</v>
      </c>
      <c r="AK78" s="3">
        <v>40.03</v>
      </c>
      <c r="AL78" s="3">
        <v>0.18</v>
      </c>
      <c r="AM78" s="3">
        <v>0</v>
      </c>
      <c r="AN78" s="3">
        <v>0</v>
      </c>
      <c r="AO78" s="3">
        <v>39.85</v>
      </c>
      <c r="AP78" s="3">
        <v>0</v>
      </c>
      <c r="AQ78" s="3">
        <v>2.77</v>
      </c>
      <c r="AR78" s="3">
        <v>0</v>
      </c>
      <c r="AS78" s="3">
        <v>0</v>
      </c>
      <c r="AT78" s="3">
        <v>95</v>
      </c>
      <c r="AU78" s="3">
        <v>53</v>
      </c>
      <c r="AV78" s="3">
        <v>1.087</v>
      </c>
      <c r="AW78" s="3">
        <v>1</v>
      </c>
      <c r="AZ78" s="3">
        <v>1</v>
      </c>
      <c r="BA78" s="3">
        <v>56.35</v>
      </c>
      <c r="BB78" s="3">
        <v>1</v>
      </c>
      <c r="BC78" s="3">
        <v>5.61</v>
      </c>
      <c r="BD78" s="3" t="s">
        <v>3</v>
      </c>
      <c r="BE78" s="3" t="s">
        <v>3</v>
      </c>
      <c r="BF78" s="3" t="s">
        <v>3</v>
      </c>
      <c r="BG78" s="3" t="s">
        <v>3</v>
      </c>
      <c r="BH78" s="3">
        <v>0</v>
      </c>
      <c r="BI78" s="3">
        <v>2</v>
      </c>
      <c r="BJ78" s="3" t="s">
        <v>40</v>
      </c>
      <c r="BM78" s="3">
        <v>69</v>
      </c>
      <c r="BN78" s="3">
        <v>0</v>
      </c>
      <c r="BO78" s="3" t="s">
        <v>37</v>
      </c>
      <c r="BP78" s="3">
        <v>1</v>
      </c>
      <c r="BQ78" s="3">
        <v>40</v>
      </c>
      <c r="BR78" s="3">
        <v>0</v>
      </c>
      <c r="BS78" s="3">
        <v>56.35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 t="s">
        <v>3</v>
      </c>
      <c r="BZ78" s="3">
        <v>95</v>
      </c>
      <c r="CA78" s="3">
        <v>53</v>
      </c>
      <c r="CB78" s="3" t="s">
        <v>3</v>
      </c>
      <c r="CE78" s="3">
        <v>1566</v>
      </c>
      <c r="CF78" s="3">
        <v>0</v>
      </c>
      <c r="CG78" s="3">
        <v>0</v>
      </c>
      <c r="CM78" s="3">
        <v>0</v>
      </c>
      <c r="CN78" s="3" t="s">
        <v>285</v>
      </c>
      <c r="CO78" s="3">
        <v>0</v>
      </c>
      <c r="CP78" s="3">
        <f t="shared" si="77"/>
        <v>2930.0800000000004</v>
      </c>
      <c r="CQ78" s="3">
        <f>ROUND((ROUND((AC78*AW78*1),2)*BC78),2)</f>
        <v>1.01</v>
      </c>
      <c r="CR78" s="3">
        <f>(ROUND((ROUND((((ET78*1.2))*AV78*1),2)*BB78),2)+ROUND((ROUND(((AE78-((EU78*1.2)))*AV78*1),2)*BS78),2))</f>
        <v>0</v>
      </c>
      <c r="CS78" s="3">
        <f>(ROUND((ROUND((((EU78*1.2))*AV78*1),2)*BS78),2)+ROUND((ROUND(((AE78-((EU78*1.2)))*AV78*1),2)*BS78),2))</f>
        <v>0</v>
      </c>
      <c r="CT78" s="3">
        <f t="shared" si="78"/>
        <v>2929.07</v>
      </c>
      <c r="CU78" s="3">
        <f t="shared" si="79"/>
        <v>0</v>
      </c>
      <c r="CV78" s="3">
        <f t="shared" si="80"/>
        <v>3.6131879999999996</v>
      </c>
      <c r="CW78" s="3">
        <f t="shared" si="81"/>
        <v>0</v>
      </c>
      <c r="CX78" s="3">
        <f t="shared" si="82"/>
        <v>0</v>
      </c>
      <c r="CY78" s="3">
        <f>(ROUND((((S78+ROUND((ROUND((((EU78*1.2))*AV78*1),2)*BS78),2))*AT78)/100),2)+ROUND(((ROUND((ROUND(((AE78-((EU78*1.2)))*AV78*1),2)*BS78),2)*AT78)/100),2))</f>
        <v>2782.62</v>
      </c>
      <c r="CZ78" s="3">
        <f>(ROUND((((S78+ROUND((ROUND((((EU78*1.2))*AV78*1),2)*BS78),2))*AU78)/100),2)+ROUND(((ROUND((ROUND(((AE78-((EU78*1.2)))*AV78*1),2)*BS78),2)*AU78)/100),2))</f>
        <v>1552.41</v>
      </c>
      <c r="DB78" s="3">
        <v>22</v>
      </c>
      <c r="DC78" s="3" t="s">
        <v>3</v>
      </c>
      <c r="DD78" s="3" t="s">
        <v>108</v>
      </c>
      <c r="DE78" s="3" t="s">
        <v>109</v>
      </c>
      <c r="DF78" s="3" t="s">
        <v>109</v>
      </c>
      <c r="DG78" s="3" t="s">
        <v>109</v>
      </c>
      <c r="DH78" s="3" t="s">
        <v>3</v>
      </c>
      <c r="DI78" s="3" t="s">
        <v>109</v>
      </c>
      <c r="DJ78" s="3" t="s">
        <v>109</v>
      </c>
      <c r="DK78" s="3" t="s">
        <v>3</v>
      </c>
      <c r="DL78" s="3" t="s">
        <v>3</v>
      </c>
      <c r="DM78" s="3" t="s">
        <v>3</v>
      </c>
      <c r="DN78" s="3">
        <v>0</v>
      </c>
      <c r="DO78" s="3">
        <v>0</v>
      </c>
      <c r="DP78" s="3">
        <v>1</v>
      </c>
      <c r="DQ78" s="3">
        <v>1</v>
      </c>
      <c r="DU78" s="3">
        <v>1013</v>
      </c>
      <c r="DV78" s="3" t="s">
        <v>39</v>
      </c>
      <c r="DW78" s="3" t="s">
        <v>39</v>
      </c>
      <c r="DX78" s="3">
        <v>1</v>
      </c>
      <c r="DZ78" s="3" t="s">
        <v>3</v>
      </c>
      <c r="EA78" s="3" t="s">
        <v>3</v>
      </c>
      <c r="EB78" s="3" t="s">
        <v>3</v>
      </c>
      <c r="EC78" s="3" t="s">
        <v>3</v>
      </c>
      <c r="EE78" s="3">
        <v>55393973</v>
      </c>
      <c r="EF78" s="3">
        <v>40</v>
      </c>
      <c r="EG78" s="3" t="s">
        <v>32</v>
      </c>
      <c r="EH78" s="3">
        <v>0</v>
      </c>
      <c r="EI78" s="3" t="s">
        <v>3</v>
      </c>
      <c r="EJ78" s="3">
        <v>2</v>
      </c>
      <c r="EK78" s="3">
        <v>69</v>
      </c>
      <c r="EL78" s="3" t="s">
        <v>41</v>
      </c>
      <c r="EM78" s="3" t="s">
        <v>42</v>
      </c>
      <c r="EO78" s="3" t="s">
        <v>110</v>
      </c>
      <c r="EQ78" s="3">
        <v>132096</v>
      </c>
      <c r="ER78" s="3">
        <v>40.03</v>
      </c>
      <c r="ES78" s="3">
        <v>0.18</v>
      </c>
      <c r="ET78" s="3">
        <v>0</v>
      </c>
      <c r="EU78" s="3">
        <v>0</v>
      </c>
      <c r="EV78" s="3">
        <v>39.85</v>
      </c>
      <c r="EW78" s="3">
        <v>2.77</v>
      </c>
      <c r="EX78" s="3">
        <v>0</v>
      </c>
      <c r="EY78" s="3">
        <v>0</v>
      </c>
      <c r="FQ78" s="3">
        <v>0</v>
      </c>
      <c r="FR78" s="3">
        <v>0</v>
      </c>
      <c r="FS78" s="3">
        <v>0</v>
      </c>
      <c r="FX78" s="3">
        <v>95</v>
      </c>
      <c r="FY78" s="3">
        <v>53</v>
      </c>
      <c r="GA78" s="3" t="s">
        <v>3</v>
      </c>
      <c r="GD78" s="3">
        <v>1</v>
      </c>
      <c r="GF78" s="3">
        <v>2002393274</v>
      </c>
      <c r="GG78" s="3">
        <v>2</v>
      </c>
      <c r="GH78" s="3">
        <v>1</v>
      </c>
      <c r="GI78" s="3">
        <v>2</v>
      </c>
      <c r="GJ78" s="3">
        <v>0</v>
      </c>
      <c r="GK78" s="3">
        <v>0</v>
      </c>
      <c r="GL78" s="3">
        <f t="shared" si="83"/>
        <v>0</v>
      </c>
      <c r="GM78" s="3">
        <f t="shared" si="84"/>
        <v>7265.11</v>
      </c>
      <c r="GN78" s="3">
        <f t="shared" si="85"/>
        <v>0</v>
      </c>
      <c r="GO78" s="3">
        <f t="shared" si="86"/>
        <v>7265.11</v>
      </c>
      <c r="GP78" s="3">
        <f t="shared" si="87"/>
        <v>0</v>
      </c>
      <c r="GR78" s="3">
        <v>0</v>
      </c>
      <c r="GS78" s="3">
        <v>3</v>
      </c>
      <c r="GT78" s="3">
        <v>0</v>
      </c>
      <c r="GU78" s="3" t="s">
        <v>3</v>
      </c>
      <c r="GV78" s="3">
        <f t="shared" si="88"/>
        <v>0</v>
      </c>
      <c r="GW78" s="3">
        <v>1</v>
      </c>
      <c r="GX78" s="3">
        <f t="shared" si="89"/>
        <v>0</v>
      </c>
      <c r="HA78" s="3">
        <v>0</v>
      </c>
      <c r="HB78" s="3">
        <v>0</v>
      </c>
      <c r="HC78" s="3">
        <f t="shared" si="90"/>
        <v>0</v>
      </c>
      <c r="HE78" s="3" t="s">
        <v>3</v>
      </c>
      <c r="HF78" s="3" t="s">
        <v>3</v>
      </c>
      <c r="HM78" s="3" t="s">
        <v>3</v>
      </c>
      <c r="HN78" s="3" t="s">
        <v>3</v>
      </c>
      <c r="HO78" s="3" t="s">
        <v>3</v>
      </c>
      <c r="HP78" s="3" t="s">
        <v>3</v>
      </c>
      <c r="HQ78" s="3" t="s">
        <v>3</v>
      </c>
      <c r="HS78" s="3">
        <v>0</v>
      </c>
      <c r="IK78" s="3">
        <v>0</v>
      </c>
    </row>
    <row r="79" spans="1:255" x14ac:dyDescent="0.25">
      <c r="A79" s="2">
        <v>17</v>
      </c>
      <c r="B79" s="2">
        <v>1</v>
      </c>
      <c r="C79" s="2"/>
      <c r="D79" s="2"/>
      <c r="E79" s="2" t="s">
        <v>127</v>
      </c>
      <c r="F79" s="2" t="s">
        <v>128</v>
      </c>
      <c r="G79" s="2" t="s">
        <v>129</v>
      </c>
      <c r="H79" s="2" t="s">
        <v>114</v>
      </c>
      <c r="I79" s="2">
        <v>1</v>
      </c>
      <c r="J79" s="2">
        <v>0</v>
      </c>
      <c r="K79" s="2">
        <v>1</v>
      </c>
      <c r="L79" s="2"/>
      <c r="M79" s="2"/>
      <c r="N79" s="2"/>
      <c r="O79" s="2">
        <f t="shared" si="68"/>
        <v>12282.39</v>
      </c>
      <c r="P79" s="2">
        <f>ROUND((ROUND((AC79*I79),2)*BC79),2)</f>
        <v>12282.39</v>
      </c>
      <c r="Q79" s="2">
        <f>(ROUND((ROUND(((ET79)*AV79*I79),2)*BB79),2)+ROUND((ROUND(((AE79-(EU79))*AV79*I79),2)*BS79),2))</f>
        <v>0</v>
      </c>
      <c r="R79" s="2">
        <f>(ROUND((ROUND(((EU79)*AV79*I79),2)*BS79),2)+ROUND((ROUND(((AE79-(EU79))*AV79*I79),2)*BS79),2))</f>
        <v>0</v>
      </c>
      <c r="S79" s="2">
        <f t="shared" si="69"/>
        <v>0</v>
      </c>
      <c r="T79" s="2">
        <f t="shared" si="70"/>
        <v>0</v>
      </c>
      <c r="U79" s="2">
        <f t="shared" si="71"/>
        <v>0</v>
      </c>
      <c r="V79" s="2">
        <f t="shared" si="72"/>
        <v>0</v>
      </c>
      <c r="W79" s="2">
        <f t="shared" si="73"/>
        <v>0</v>
      </c>
      <c r="X79" s="2">
        <f>(ROUND((((S79+ROUND((ROUND(((EU79)*AV79*I79),2)*BS79),2))*AT79)/100),2)+ROUND(((ROUND((ROUND(((AE79-(EU79))*AV79*I79),2)*BS79),2)*AT79)/100),2))</f>
        <v>0</v>
      </c>
      <c r="Y79" s="2">
        <f>(ROUND((((S79+ROUND((ROUND(((EU79)*AV79*I79),2)*BS79),2))*AU79)/100),2)+ROUND(((ROUND((ROUND(((AE79-(EU79))*AV79*I79),2)*BS79),2)*AU79)/100),2))</f>
        <v>0</v>
      </c>
      <c r="Z79" s="2"/>
      <c r="AA79" s="2">
        <v>55942966</v>
      </c>
      <c r="AB79" s="2">
        <f t="shared" si="74"/>
        <v>12282.39</v>
      </c>
      <c r="AC79" s="2">
        <f>ROUND((ES79),6)</f>
        <v>12282.39</v>
      </c>
      <c r="AD79" s="2">
        <f>ROUND((((ET79)-(EU79))+AE79),6)</f>
        <v>0</v>
      </c>
      <c r="AE79" s="2">
        <f>ROUND((EU79),6)</f>
        <v>0</v>
      </c>
      <c r="AF79" s="2">
        <f>ROUND((EV79),6)</f>
        <v>0</v>
      </c>
      <c r="AG79" s="2">
        <f t="shared" si="75"/>
        <v>0</v>
      </c>
      <c r="AH79" s="2">
        <f>(EW79)</f>
        <v>0</v>
      </c>
      <c r="AI79" s="2">
        <f>(EX79)</f>
        <v>0</v>
      </c>
      <c r="AJ79" s="2">
        <f t="shared" si="76"/>
        <v>0</v>
      </c>
      <c r="AK79" s="2">
        <v>12282.39</v>
      </c>
      <c r="AL79" s="2">
        <v>12282.39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1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3</v>
      </c>
      <c r="BI79" s="2">
        <v>3</v>
      </c>
      <c r="BJ79" s="2" t="s">
        <v>3</v>
      </c>
      <c r="BK79" s="2"/>
      <c r="BL79" s="2"/>
      <c r="BM79" s="2">
        <v>746</v>
      </c>
      <c r="BN79" s="2">
        <v>0</v>
      </c>
      <c r="BO79" s="2" t="s">
        <v>3</v>
      </c>
      <c r="BP79" s="2">
        <v>0</v>
      </c>
      <c r="BQ79" s="2">
        <v>130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0</v>
      </c>
      <c r="CA79" s="2">
        <v>0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3</v>
      </c>
      <c r="CO79" s="2">
        <v>0</v>
      </c>
      <c r="CP79" s="2">
        <f t="shared" si="77"/>
        <v>12282.39</v>
      </c>
      <c r="CQ79" s="2">
        <f>ROUND((ROUND((AC79*1),2)*BC79),2)</f>
        <v>12282.39</v>
      </c>
      <c r="CR79" s="2">
        <f>(ROUND((ROUND(((ET79)*AV79*1),2)*BB79),2)+ROUND((ROUND(((AE79-(EU79))*AV79*1),2)*BS79),2))</f>
        <v>0</v>
      </c>
      <c r="CS79" s="2">
        <f>(ROUND((ROUND(((EU79)*AV79*1),2)*BS79),2)+ROUND((ROUND(((AE79-(EU79))*AV79*1),2)*BS79),2))</f>
        <v>0</v>
      </c>
      <c r="CT79" s="2">
        <f t="shared" si="78"/>
        <v>0</v>
      </c>
      <c r="CU79" s="2">
        <f t="shared" si="79"/>
        <v>0</v>
      </c>
      <c r="CV79" s="2">
        <f t="shared" si="80"/>
        <v>0</v>
      </c>
      <c r="CW79" s="2">
        <f t="shared" si="81"/>
        <v>0</v>
      </c>
      <c r="CX79" s="2">
        <f t="shared" si="82"/>
        <v>0</v>
      </c>
      <c r="CY79" s="2">
        <f>(ROUND((((S79+ROUND((ROUND(((EU79)*AV79*1),2)*BS79),2))*AT79)/100),2)+ROUND(((ROUND((ROUND(((AE79-(EU79))*AV79*1),2)*BS79),2)*AT79)/100),2))</f>
        <v>0</v>
      </c>
      <c r="CZ79" s="2">
        <f>(ROUND((((S79+ROUND((ROUND(((EU79)*AV79*1),2)*BS79),2))*AU79)/100),2)+ROUND(((ROUND((ROUND(((AE79-(EU79))*AV79*1),2)*BS79),2)*AU79)/100),2))</f>
        <v>0</v>
      </c>
      <c r="DA79" s="2"/>
      <c r="DB79" s="2"/>
      <c r="DC79" s="2" t="s">
        <v>3</v>
      </c>
      <c r="DD79" s="2" t="s">
        <v>3</v>
      </c>
      <c r="DE79" s="2" t="s">
        <v>3</v>
      </c>
      <c r="DF79" s="2" t="s">
        <v>3</v>
      </c>
      <c r="DG79" s="2" t="s">
        <v>3</v>
      </c>
      <c r="DH79" s="2" t="s">
        <v>3</v>
      </c>
      <c r="DI79" s="2" t="s">
        <v>3</v>
      </c>
      <c r="DJ79" s="2" t="s">
        <v>3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1010</v>
      </c>
      <c r="DV79" s="2" t="s">
        <v>114</v>
      </c>
      <c r="DW79" s="2" t="s">
        <v>114</v>
      </c>
      <c r="DX79" s="2">
        <v>1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55393877</v>
      </c>
      <c r="EF79" s="2">
        <v>130</v>
      </c>
      <c r="EG79" s="2" t="s">
        <v>115</v>
      </c>
      <c r="EH79" s="2">
        <v>0</v>
      </c>
      <c r="EI79" s="2" t="s">
        <v>3</v>
      </c>
      <c r="EJ79" s="2">
        <v>3</v>
      </c>
      <c r="EK79" s="2">
        <v>746</v>
      </c>
      <c r="EL79" s="2" t="s">
        <v>116</v>
      </c>
      <c r="EM79" s="2" t="s">
        <v>117</v>
      </c>
      <c r="EN79" s="2"/>
      <c r="EO79" s="2" t="s">
        <v>3</v>
      </c>
      <c r="EP79" s="2"/>
      <c r="EQ79" s="2">
        <v>131072</v>
      </c>
      <c r="ER79" s="2">
        <v>0</v>
      </c>
      <c r="ES79" s="2">
        <v>12282.39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f>P79</f>
        <v>12282.39</v>
      </c>
      <c r="FS79" s="2">
        <v>0</v>
      </c>
      <c r="FT79" s="2"/>
      <c r="FU79" s="2"/>
      <c r="FV79" s="2"/>
      <c r="FW79" s="2"/>
      <c r="FX79" s="2">
        <v>0</v>
      </c>
      <c r="FY79" s="2">
        <v>0</v>
      </c>
      <c r="FZ79" s="2"/>
      <c r="GA79" s="2" t="s">
        <v>130</v>
      </c>
      <c r="GB79" s="2"/>
      <c r="GC79" s="2"/>
      <c r="GD79" s="2">
        <v>1</v>
      </c>
      <c r="GE79" s="2"/>
      <c r="GF79" s="2">
        <v>1166323966</v>
      </c>
      <c r="GG79" s="2">
        <v>2</v>
      </c>
      <c r="GH79" s="2">
        <v>4</v>
      </c>
      <c r="GI79" s="2">
        <v>-2</v>
      </c>
      <c r="GJ79" s="2">
        <v>0</v>
      </c>
      <c r="GK79" s="2">
        <v>0</v>
      </c>
      <c r="GL79" s="2">
        <f t="shared" si="83"/>
        <v>0</v>
      </c>
      <c r="GM79" s="2">
        <f t="shared" si="84"/>
        <v>12282.39</v>
      </c>
      <c r="GN79" s="2">
        <f t="shared" si="85"/>
        <v>0</v>
      </c>
      <c r="GO79" s="2">
        <f t="shared" si="86"/>
        <v>0</v>
      </c>
      <c r="GP79" s="2">
        <f t="shared" si="87"/>
        <v>0</v>
      </c>
      <c r="GQ79" s="2"/>
      <c r="GR79" s="2">
        <v>0</v>
      </c>
      <c r="GS79" s="2">
        <v>2</v>
      </c>
      <c r="GT79" s="2">
        <v>0</v>
      </c>
      <c r="GU79" s="2" t="s">
        <v>3</v>
      </c>
      <c r="GV79" s="2">
        <f t="shared" si="88"/>
        <v>0</v>
      </c>
      <c r="GW79" s="2">
        <v>1</v>
      </c>
      <c r="GX79" s="2">
        <f t="shared" si="89"/>
        <v>0</v>
      </c>
      <c r="GY79" s="2"/>
      <c r="GZ79" s="2"/>
      <c r="HA79" s="2">
        <v>0</v>
      </c>
      <c r="HB79" s="2">
        <v>0</v>
      </c>
      <c r="HC79" s="2">
        <f t="shared" si="90"/>
        <v>0</v>
      </c>
      <c r="HD79" s="2"/>
      <c r="HE79" s="2" t="s">
        <v>43</v>
      </c>
      <c r="HF79" s="2" t="s">
        <v>119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5">
      <c r="A80" s="3">
        <v>17</v>
      </c>
      <c r="B80" s="3">
        <v>1</v>
      </c>
      <c r="E80" s="3" t="s">
        <v>127</v>
      </c>
      <c r="F80" s="3" t="s">
        <v>128</v>
      </c>
      <c r="G80" s="3" t="s">
        <v>129</v>
      </c>
      <c r="H80" s="3" t="s">
        <v>114</v>
      </c>
      <c r="I80" s="3">
        <v>1</v>
      </c>
      <c r="J80" s="3">
        <v>0</v>
      </c>
      <c r="K80" s="3">
        <v>1</v>
      </c>
      <c r="O80" s="3">
        <f t="shared" si="68"/>
        <v>92977.69</v>
      </c>
      <c r="P80" s="3">
        <f>ROUND((ROUND((AC80*I80),2)*BC80),2)</f>
        <v>92977.69</v>
      </c>
      <c r="Q80" s="3">
        <f>(ROUND((ROUND(((ET80)*AV80*I80),2)*BB80),2)+ROUND((ROUND(((AE80-(EU80))*AV80*I80),2)*BS80),2))</f>
        <v>0</v>
      </c>
      <c r="R80" s="3">
        <f>(ROUND((ROUND(((EU80)*AV80*I80),2)*BS80),2)+ROUND((ROUND(((AE80-(EU80))*AV80*I80),2)*BS80),2))</f>
        <v>0</v>
      </c>
      <c r="S80" s="3">
        <f t="shared" si="69"/>
        <v>0</v>
      </c>
      <c r="T80" s="3">
        <f t="shared" si="70"/>
        <v>0</v>
      </c>
      <c r="U80" s="3">
        <f t="shared" si="71"/>
        <v>0</v>
      </c>
      <c r="V80" s="3">
        <f t="shared" si="72"/>
        <v>0</v>
      </c>
      <c r="W80" s="3">
        <f t="shared" si="73"/>
        <v>0</v>
      </c>
      <c r="X80" s="3">
        <f>(ROUND((((S80+ROUND((ROUND(((EU80)*AV80*I80),2)*BS80),2))*AT80)/100),2)+ROUND(((ROUND((ROUND(((AE80-(EU80))*AV80*I80),2)*BS80),2)*AT80)/100),2))</f>
        <v>0</v>
      </c>
      <c r="Y80" s="3">
        <f>(ROUND((((S80+ROUND((ROUND(((EU80)*AV80*I80),2)*BS80),2))*AU80)/100),2)+ROUND(((ROUND((ROUND(((AE80-(EU80))*AV80*I80),2)*BS80),2)*AU80)/100),2))</f>
        <v>0</v>
      </c>
      <c r="AA80" s="3">
        <v>55942968</v>
      </c>
      <c r="AB80" s="3">
        <f t="shared" si="74"/>
        <v>12282.39</v>
      </c>
      <c r="AC80" s="3">
        <f>ROUND((ES80),6)</f>
        <v>12282.39</v>
      </c>
      <c r="AD80" s="3">
        <f>ROUND((((ET80)-(EU80))+AE80),6)</f>
        <v>0</v>
      </c>
      <c r="AE80" s="3">
        <f>ROUND((EU80),6)</f>
        <v>0</v>
      </c>
      <c r="AF80" s="3">
        <f>ROUND((EV80),6)</f>
        <v>0</v>
      </c>
      <c r="AG80" s="3">
        <f t="shared" si="75"/>
        <v>0</v>
      </c>
      <c r="AH80" s="3">
        <f>(EW80)</f>
        <v>0</v>
      </c>
      <c r="AI80" s="3">
        <f>(EX80)</f>
        <v>0</v>
      </c>
      <c r="AJ80" s="3">
        <f t="shared" si="76"/>
        <v>0</v>
      </c>
      <c r="AK80" s="3">
        <v>12282.39</v>
      </c>
      <c r="AL80" s="3">
        <v>12282.39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1</v>
      </c>
      <c r="AW80" s="3">
        <v>1</v>
      </c>
      <c r="AZ80" s="3">
        <v>1</v>
      </c>
      <c r="BA80" s="3">
        <v>1</v>
      </c>
      <c r="BB80" s="3">
        <v>1</v>
      </c>
      <c r="BC80" s="3">
        <v>7.57</v>
      </c>
      <c r="BD80" s="3" t="s">
        <v>3</v>
      </c>
      <c r="BE80" s="3" t="s">
        <v>3</v>
      </c>
      <c r="BF80" s="3" t="s">
        <v>3</v>
      </c>
      <c r="BG80" s="3" t="s">
        <v>3</v>
      </c>
      <c r="BH80" s="3">
        <v>3</v>
      </c>
      <c r="BI80" s="3">
        <v>3</v>
      </c>
      <c r="BJ80" s="3" t="s">
        <v>3</v>
      </c>
      <c r="BM80" s="3">
        <v>746</v>
      </c>
      <c r="BN80" s="3">
        <v>0</v>
      </c>
      <c r="BO80" s="3" t="s">
        <v>3</v>
      </c>
      <c r="BP80" s="3">
        <v>0</v>
      </c>
      <c r="BQ80" s="3">
        <v>130</v>
      </c>
      <c r="BR80" s="3">
        <v>0</v>
      </c>
      <c r="BS80" s="3">
        <v>1</v>
      </c>
      <c r="BT80" s="3">
        <v>1</v>
      </c>
      <c r="BU80" s="3">
        <v>1</v>
      </c>
      <c r="BV80" s="3">
        <v>1</v>
      </c>
      <c r="BW80" s="3">
        <v>1</v>
      </c>
      <c r="BX80" s="3">
        <v>1</v>
      </c>
      <c r="BY80" s="3" t="s">
        <v>3</v>
      </c>
      <c r="BZ80" s="3">
        <v>0</v>
      </c>
      <c r="CA80" s="3">
        <v>0</v>
      </c>
      <c r="CB80" s="3" t="s">
        <v>3</v>
      </c>
      <c r="CE80" s="3">
        <v>1566</v>
      </c>
      <c r="CF80" s="3">
        <v>0</v>
      </c>
      <c r="CG80" s="3">
        <v>0</v>
      </c>
      <c r="CM80" s="3">
        <v>0</v>
      </c>
      <c r="CN80" s="3" t="s">
        <v>3</v>
      </c>
      <c r="CO80" s="3">
        <v>0</v>
      </c>
      <c r="CP80" s="3">
        <f t="shared" si="77"/>
        <v>92977.69</v>
      </c>
      <c r="CQ80" s="3">
        <f>ROUND((ROUND((AC80*1),2)*BC80),2)</f>
        <v>92977.69</v>
      </c>
      <c r="CR80" s="3">
        <f>(ROUND((ROUND(((ET80)*AV80*1),2)*BB80),2)+ROUND((ROUND(((AE80-(EU80))*AV80*1),2)*BS80),2))</f>
        <v>0</v>
      </c>
      <c r="CS80" s="3">
        <f>(ROUND((ROUND(((EU80)*AV80*1),2)*BS80),2)+ROUND((ROUND(((AE80-(EU80))*AV80*1),2)*BS80),2))</f>
        <v>0</v>
      </c>
      <c r="CT80" s="3">
        <f t="shared" si="78"/>
        <v>0</v>
      </c>
      <c r="CU80" s="3">
        <f t="shared" si="79"/>
        <v>0</v>
      </c>
      <c r="CV80" s="3">
        <f t="shared" si="80"/>
        <v>0</v>
      </c>
      <c r="CW80" s="3">
        <f t="shared" si="81"/>
        <v>0</v>
      </c>
      <c r="CX80" s="3">
        <f t="shared" si="82"/>
        <v>0</v>
      </c>
      <c r="CY80" s="3">
        <f>(ROUND((((S80+ROUND((ROUND(((EU80)*AV80*1),2)*BS80),2))*AT80)/100),2)+ROUND(((ROUND((ROUND(((AE80-(EU80))*AV80*1),2)*BS80),2)*AT80)/100),2))</f>
        <v>0</v>
      </c>
      <c r="CZ80" s="3">
        <f>(ROUND((((S80+ROUND((ROUND(((EU80)*AV80*1),2)*BS80),2))*AU80)/100),2)+ROUND(((ROUND((ROUND(((AE80-(EU80))*AV80*1),2)*BS80),2)*AU80)/100),2))</f>
        <v>0</v>
      </c>
      <c r="DC80" s="3" t="s">
        <v>3</v>
      </c>
      <c r="DD80" s="3" t="s">
        <v>3</v>
      </c>
      <c r="DE80" s="3" t="s">
        <v>3</v>
      </c>
      <c r="DF80" s="3" t="s">
        <v>3</v>
      </c>
      <c r="DG80" s="3" t="s">
        <v>3</v>
      </c>
      <c r="DH80" s="3" t="s">
        <v>3</v>
      </c>
      <c r="DI80" s="3" t="s">
        <v>3</v>
      </c>
      <c r="DJ80" s="3" t="s">
        <v>3</v>
      </c>
      <c r="DK80" s="3" t="s">
        <v>3</v>
      </c>
      <c r="DL80" s="3" t="s">
        <v>3</v>
      </c>
      <c r="DM80" s="3" t="s">
        <v>3</v>
      </c>
      <c r="DN80" s="3">
        <v>0</v>
      </c>
      <c r="DO80" s="3">
        <v>0</v>
      </c>
      <c r="DP80" s="3">
        <v>1</v>
      </c>
      <c r="DQ80" s="3">
        <v>1</v>
      </c>
      <c r="DU80" s="3">
        <v>1010</v>
      </c>
      <c r="DV80" s="3" t="s">
        <v>114</v>
      </c>
      <c r="DW80" s="3" t="s">
        <v>114</v>
      </c>
      <c r="DX80" s="3">
        <v>1</v>
      </c>
      <c r="DZ80" s="3" t="s">
        <v>3</v>
      </c>
      <c r="EA80" s="3" t="s">
        <v>3</v>
      </c>
      <c r="EB80" s="3" t="s">
        <v>3</v>
      </c>
      <c r="EC80" s="3" t="s">
        <v>3</v>
      </c>
      <c r="EE80" s="3">
        <v>55393877</v>
      </c>
      <c r="EF80" s="3">
        <v>130</v>
      </c>
      <c r="EG80" s="3" t="s">
        <v>115</v>
      </c>
      <c r="EH80" s="3">
        <v>0</v>
      </c>
      <c r="EI80" s="3" t="s">
        <v>3</v>
      </c>
      <c r="EJ80" s="3">
        <v>3</v>
      </c>
      <c r="EK80" s="3">
        <v>746</v>
      </c>
      <c r="EL80" s="3" t="s">
        <v>116</v>
      </c>
      <c r="EM80" s="3" t="s">
        <v>117</v>
      </c>
      <c r="EO80" s="3" t="s">
        <v>3</v>
      </c>
      <c r="EQ80" s="3">
        <v>131072</v>
      </c>
      <c r="ER80" s="3">
        <v>12282.39</v>
      </c>
      <c r="ES80" s="3">
        <v>12282.39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5</v>
      </c>
      <c r="FC80" s="3">
        <v>1</v>
      </c>
      <c r="FD80" s="3">
        <v>18</v>
      </c>
      <c r="FF80" s="3">
        <v>108823</v>
      </c>
      <c r="FQ80" s="3">
        <v>0</v>
      </c>
      <c r="FR80" s="3">
        <f>P80</f>
        <v>92977.69</v>
      </c>
      <c r="FS80" s="3">
        <v>0</v>
      </c>
      <c r="FX80" s="3">
        <v>0</v>
      </c>
      <c r="FY80" s="3">
        <v>0</v>
      </c>
      <c r="GA80" s="3" t="s">
        <v>130</v>
      </c>
      <c r="GD80" s="3">
        <v>1</v>
      </c>
      <c r="GF80" s="3">
        <v>1166323966</v>
      </c>
      <c r="GG80" s="3">
        <v>2</v>
      </c>
      <c r="GH80" s="3">
        <v>3</v>
      </c>
      <c r="GI80" s="3">
        <v>3</v>
      </c>
      <c r="GJ80" s="3">
        <v>0</v>
      </c>
      <c r="GK80" s="3">
        <v>0</v>
      </c>
      <c r="GL80" s="3">
        <f t="shared" si="83"/>
        <v>0</v>
      </c>
      <c r="GM80" s="3">
        <f t="shared" si="84"/>
        <v>92977.69</v>
      </c>
      <c r="GN80" s="3">
        <f t="shared" si="85"/>
        <v>0</v>
      </c>
      <c r="GO80" s="3">
        <f t="shared" si="86"/>
        <v>0</v>
      </c>
      <c r="GP80" s="3">
        <f t="shared" si="87"/>
        <v>0</v>
      </c>
      <c r="GR80" s="3">
        <v>1</v>
      </c>
      <c r="GS80" s="3">
        <v>1</v>
      </c>
      <c r="GT80" s="3">
        <v>0</v>
      </c>
      <c r="GU80" s="3" t="s">
        <v>3</v>
      </c>
      <c r="GV80" s="3">
        <f t="shared" si="88"/>
        <v>0</v>
      </c>
      <c r="GW80" s="3">
        <v>1</v>
      </c>
      <c r="GX80" s="3">
        <f t="shared" si="89"/>
        <v>0</v>
      </c>
      <c r="HA80" s="3">
        <v>0</v>
      </c>
      <c r="HB80" s="3">
        <v>0</v>
      </c>
      <c r="HC80" s="3">
        <f t="shared" si="90"/>
        <v>0</v>
      </c>
      <c r="HE80" s="3" t="s">
        <v>43</v>
      </c>
      <c r="HF80" s="3" t="s">
        <v>119</v>
      </c>
      <c r="HM80" s="3" t="s">
        <v>3</v>
      </c>
      <c r="HN80" s="3" t="s">
        <v>3</v>
      </c>
      <c r="HO80" s="3" t="s">
        <v>3</v>
      </c>
      <c r="HP80" s="3" t="s">
        <v>3</v>
      </c>
      <c r="HQ80" s="3" t="s">
        <v>3</v>
      </c>
      <c r="HS80" s="3">
        <v>0</v>
      </c>
      <c r="IK80" s="3">
        <v>0</v>
      </c>
    </row>
    <row r="81" spans="1:255" x14ac:dyDescent="0.25">
      <c r="A81" s="2">
        <v>17</v>
      </c>
      <c r="B81" s="2">
        <v>1</v>
      </c>
      <c r="C81" s="2">
        <f>ROW(SmtRes!A51)</f>
        <v>51</v>
      </c>
      <c r="D81" s="2">
        <f>ROW(EtalonRes!A55)</f>
        <v>55</v>
      </c>
      <c r="E81" s="2" t="s">
        <v>131</v>
      </c>
      <c r="F81" s="2" t="s">
        <v>132</v>
      </c>
      <c r="G81" s="2" t="s">
        <v>133</v>
      </c>
      <c r="H81" s="2" t="s">
        <v>134</v>
      </c>
      <c r="I81" s="2">
        <v>1</v>
      </c>
      <c r="J81" s="2">
        <v>0</v>
      </c>
      <c r="K81" s="2">
        <v>1</v>
      </c>
      <c r="L81" s="2"/>
      <c r="M81" s="2"/>
      <c r="N81" s="2"/>
      <c r="O81" s="2">
        <f t="shared" si="68"/>
        <v>90.18</v>
      </c>
      <c r="P81" s="2">
        <f>ROUND((ROUND((AC81*AW81*I81),2)*BC81),2)</f>
        <v>42.61</v>
      </c>
      <c r="Q81" s="2">
        <f>(ROUND((ROUND((((ET81*1.2))*AV81*I81),2)*BB81),2)+ROUND((ROUND(((AE81-((EU81*1.2)))*AV81*I81),2)*BS81),2))</f>
        <v>0</v>
      </c>
      <c r="R81" s="2">
        <f>(ROUND((ROUND((((EU81*1.2))*AV81*I81),2)*BS81),2)+ROUND((ROUND(((AE81-((EU81*1.2)))*AV81*I81),2)*BS81),2))</f>
        <v>0</v>
      </c>
      <c r="S81" s="2">
        <f t="shared" si="69"/>
        <v>47.57</v>
      </c>
      <c r="T81" s="2">
        <f t="shared" si="70"/>
        <v>0</v>
      </c>
      <c r="U81" s="2">
        <f t="shared" si="71"/>
        <v>3.7691999999999992</v>
      </c>
      <c r="V81" s="2">
        <f t="shared" si="72"/>
        <v>0</v>
      </c>
      <c r="W81" s="2">
        <f t="shared" si="73"/>
        <v>0</v>
      </c>
      <c r="X81" s="2">
        <f>(ROUND((((S81+ROUND((ROUND((((EU81*1.2))*AV81*I81),2)*BS81),2))*AT81)/100),2)+ROUND(((ROUND((ROUND(((AE81-((EU81*1.2)))*AV81*I81),2)*BS81),2)*AT81)/100),2))</f>
        <v>42.81</v>
      </c>
      <c r="Y81" s="2">
        <f>(ROUND((((S81+ROUND((ROUND((((EU81*1.2))*AV81*I81),2)*BS81),2))*AU81)/100),2)+ROUND(((ROUND((ROUND(((AE81-((EU81*1.2)))*AV81*I81),2)*BS81),2)*AU81)/100),2))</f>
        <v>21.88</v>
      </c>
      <c r="Z81" s="2"/>
      <c r="AA81" s="2">
        <v>55942966</v>
      </c>
      <c r="AB81" s="2">
        <f t="shared" si="74"/>
        <v>88.042000000000002</v>
      </c>
      <c r="AC81" s="2">
        <f>ROUND(((ES81*1)),6)</f>
        <v>42.61</v>
      </c>
      <c r="AD81" s="2">
        <f>ROUND(((((ET81*1.2))-((EU81*1.2)))+AE81),6)</f>
        <v>0</v>
      </c>
      <c r="AE81" s="2">
        <f t="shared" ref="AE81:AF84" si="93">ROUND(((EU81*1.2)),6)</f>
        <v>0</v>
      </c>
      <c r="AF81" s="2">
        <f t="shared" si="93"/>
        <v>45.432000000000002</v>
      </c>
      <c r="AG81" s="2">
        <f t="shared" si="75"/>
        <v>0</v>
      </c>
      <c r="AH81" s="2">
        <f t="shared" ref="AH81:AI84" si="94">((EW81*1.2))</f>
        <v>3.5999999999999996</v>
      </c>
      <c r="AI81" s="2">
        <f t="shared" si="94"/>
        <v>0</v>
      </c>
      <c r="AJ81" s="2">
        <f t="shared" si="76"/>
        <v>0</v>
      </c>
      <c r="AK81" s="2">
        <v>80.47</v>
      </c>
      <c r="AL81" s="2">
        <v>42.61</v>
      </c>
      <c r="AM81" s="2">
        <v>0</v>
      </c>
      <c r="AN81" s="2">
        <v>0</v>
      </c>
      <c r="AO81" s="2">
        <v>37.86</v>
      </c>
      <c r="AP81" s="2">
        <v>0</v>
      </c>
      <c r="AQ81" s="2">
        <v>3</v>
      </c>
      <c r="AR81" s="2">
        <v>0</v>
      </c>
      <c r="AS81" s="2">
        <v>0</v>
      </c>
      <c r="AT81" s="2">
        <v>90</v>
      </c>
      <c r="AU81" s="2">
        <v>46</v>
      </c>
      <c r="AV81" s="2">
        <v>1.0469999999999999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0</v>
      </c>
      <c r="BI81" s="2">
        <v>2</v>
      </c>
      <c r="BJ81" s="2" t="s">
        <v>135</v>
      </c>
      <c r="BK81" s="2"/>
      <c r="BL81" s="2"/>
      <c r="BM81" s="2">
        <v>68</v>
      </c>
      <c r="BN81" s="2">
        <v>0</v>
      </c>
      <c r="BO81" s="2" t="s">
        <v>132</v>
      </c>
      <c r="BP81" s="2">
        <v>1</v>
      </c>
      <c r="BQ81" s="2">
        <v>40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90</v>
      </c>
      <c r="CA81" s="2">
        <v>46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285</v>
      </c>
      <c r="CO81" s="2">
        <v>0</v>
      </c>
      <c r="CP81" s="2">
        <f t="shared" si="77"/>
        <v>90.18</v>
      </c>
      <c r="CQ81" s="2">
        <f>ROUND((ROUND((AC81*AW81*1),2)*BC81),2)</f>
        <v>42.61</v>
      </c>
      <c r="CR81" s="2">
        <f>(ROUND((ROUND((((ET81*1.2))*AV81*1),2)*BB81),2)+ROUND((ROUND(((AE81-((EU81*1.2)))*AV81*1),2)*BS81),2))</f>
        <v>0</v>
      </c>
      <c r="CS81" s="2">
        <f>(ROUND((ROUND((((EU81*1.2))*AV81*1),2)*BS81),2)+ROUND((ROUND(((AE81-((EU81*1.2)))*AV81*1),2)*BS81),2))</f>
        <v>0</v>
      </c>
      <c r="CT81" s="2">
        <f t="shared" si="78"/>
        <v>47.57</v>
      </c>
      <c r="CU81" s="2">
        <f t="shared" si="79"/>
        <v>0</v>
      </c>
      <c r="CV81" s="2">
        <f t="shared" si="80"/>
        <v>3.7691999999999992</v>
      </c>
      <c r="CW81" s="2">
        <f t="shared" si="81"/>
        <v>0</v>
      </c>
      <c r="CX81" s="2">
        <f t="shared" si="82"/>
        <v>0</v>
      </c>
      <c r="CY81" s="2">
        <f>(ROUND((((S81+ROUND((ROUND((((EU81*1.2))*AV81*1),2)*BS81),2))*AT81)/100),2)+ROUND(((ROUND((ROUND(((AE81-((EU81*1.2)))*AV81*1),2)*BS81),2)*AT81)/100),2))</f>
        <v>42.81</v>
      </c>
      <c r="CZ81" s="2">
        <f>(ROUND((((S81+ROUND((ROUND((((EU81*1.2))*AV81*1),2)*BS81),2))*AU81)/100),2)+ROUND(((ROUND((ROUND(((AE81-((EU81*1.2)))*AV81*1),2)*BS81),2)*AU81)/100),2))</f>
        <v>21.88</v>
      </c>
      <c r="DA81" s="2"/>
      <c r="DB81" s="2">
        <v>23</v>
      </c>
      <c r="DC81" s="2" t="s">
        <v>3</v>
      </c>
      <c r="DD81" s="2" t="s">
        <v>108</v>
      </c>
      <c r="DE81" s="2" t="s">
        <v>109</v>
      </c>
      <c r="DF81" s="2" t="s">
        <v>109</v>
      </c>
      <c r="DG81" s="2" t="s">
        <v>109</v>
      </c>
      <c r="DH81" s="2" t="s">
        <v>3</v>
      </c>
      <c r="DI81" s="2" t="s">
        <v>109</v>
      </c>
      <c r="DJ81" s="2" t="s">
        <v>109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1013</v>
      </c>
      <c r="DV81" s="2" t="s">
        <v>134</v>
      </c>
      <c r="DW81" s="2" t="s">
        <v>134</v>
      </c>
      <c r="DX81" s="2">
        <v>1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55393972</v>
      </c>
      <c r="EF81" s="2">
        <v>40</v>
      </c>
      <c r="EG81" s="2" t="s">
        <v>32</v>
      </c>
      <c r="EH81" s="2">
        <v>0</v>
      </c>
      <c r="EI81" s="2" t="s">
        <v>3</v>
      </c>
      <c r="EJ81" s="2">
        <v>2</v>
      </c>
      <c r="EK81" s="2">
        <v>68</v>
      </c>
      <c r="EL81" s="2" t="s">
        <v>33</v>
      </c>
      <c r="EM81" s="2" t="s">
        <v>34</v>
      </c>
      <c r="EN81" s="2"/>
      <c r="EO81" s="2" t="s">
        <v>110</v>
      </c>
      <c r="EP81" s="2"/>
      <c r="EQ81" s="2">
        <v>0</v>
      </c>
      <c r="ER81" s="2">
        <v>80.47</v>
      </c>
      <c r="ES81" s="2">
        <v>42.61</v>
      </c>
      <c r="ET81" s="2">
        <v>0</v>
      </c>
      <c r="EU81" s="2">
        <v>0</v>
      </c>
      <c r="EV81" s="2">
        <v>37.86</v>
      </c>
      <c r="EW81" s="2">
        <v>3</v>
      </c>
      <c r="EX81" s="2">
        <v>0</v>
      </c>
      <c r="EY81" s="2">
        <v>0</v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v>0</v>
      </c>
      <c r="FS81" s="2">
        <v>0</v>
      </c>
      <c r="FT81" s="2"/>
      <c r="FU81" s="2"/>
      <c r="FV81" s="2"/>
      <c r="FW81" s="2"/>
      <c r="FX81" s="2">
        <v>90</v>
      </c>
      <c r="FY81" s="2">
        <v>46</v>
      </c>
      <c r="FZ81" s="2"/>
      <c r="GA81" s="2" t="s">
        <v>3</v>
      </c>
      <c r="GB81" s="2"/>
      <c r="GC81" s="2"/>
      <c r="GD81" s="2">
        <v>1</v>
      </c>
      <c r="GE81" s="2"/>
      <c r="GF81" s="2">
        <v>-1785550083</v>
      </c>
      <c r="GG81" s="2">
        <v>2</v>
      </c>
      <c r="GH81" s="2">
        <v>1</v>
      </c>
      <c r="GI81" s="2">
        <v>2</v>
      </c>
      <c r="GJ81" s="2">
        <v>0</v>
      </c>
      <c r="GK81" s="2">
        <v>0</v>
      </c>
      <c r="GL81" s="2">
        <f t="shared" si="83"/>
        <v>0</v>
      </c>
      <c r="GM81" s="2">
        <f t="shared" si="84"/>
        <v>154.87</v>
      </c>
      <c r="GN81" s="2">
        <f t="shared" si="85"/>
        <v>0</v>
      </c>
      <c r="GO81" s="2">
        <f t="shared" si="86"/>
        <v>154.87</v>
      </c>
      <c r="GP81" s="2">
        <f t="shared" si="87"/>
        <v>0</v>
      </c>
      <c r="GQ81" s="2"/>
      <c r="GR81" s="2">
        <v>0</v>
      </c>
      <c r="GS81" s="2">
        <v>3</v>
      </c>
      <c r="GT81" s="2">
        <v>0</v>
      </c>
      <c r="GU81" s="2" t="s">
        <v>3</v>
      </c>
      <c r="GV81" s="2">
        <f t="shared" si="88"/>
        <v>0</v>
      </c>
      <c r="GW81" s="2">
        <v>1</v>
      </c>
      <c r="GX81" s="2">
        <f t="shared" si="89"/>
        <v>0</v>
      </c>
      <c r="GY81" s="2"/>
      <c r="GZ81" s="2"/>
      <c r="HA81" s="2">
        <v>0</v>
      </c>
      <c r="HB81" s="2">
        <v>0</v>
      </c>
      <c r="HC81" s="2">
        <f t="shared" si="90"/>
        <v>0</v>
      </c>
      <c r="HD81" s="2"/>
      <c r="HE81" s="2" t="s">
        <v>3</v>
      </c>
      <c r="HF81" s="2" t="s">
        <v>3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5">
      <c r="A82" s="3">
        <v>17</v>
      </c>
      <c r="B82" s="3">
        <v>1</v>
      </c>
      <c r="C82" s="3">
        <f>ROW(SmtRes!A66)</f>
        <v>66</v>
      </c>
      <c r="D82" s="3">
        <f>ROW(EtalonRes!A72)</f>
        <v>72</v>
      </c>
      <c r="E82" s="3" t="s">
        <v>131</v>
      </c>
      <c r="F82" s="3" t="s">
        <v>132</v>
      </c>
      <c r="G82" s="3" t="s">
        <v>133</v>
      </c>
      <c r="H82" s="3" t="s">
        <v>134</v>
      </c>
      <c r="I82" s="3">
        <v>1</v>
      </c>
      <c r="J82" s="3">
        <v>0</v>
      </c>
      <c r="K82" s="3">
        <v>1</v>
      </c>
      <c r="O82" s="3">
        <f t="shared" si="68"/>
        <v>2900.01</v>
      </c>
      <c r="P82" s="3">
        <f>ROUND((ROUND((AC82*AW82*I82),2)*BC82),2)</f>
        <v>219.44</v>
      </c>
      <c r="Q82" s="3">
        <f>(ROUND((ROUND((((ET82*1.2))*AV82*I82),2)*BB82),2)+ROUND((ROUND(((AE82-((EU82*1.2)))*AV82*I82),2)*BS82),2))</f>
        <v>0</v>
      </c>
      <c r="R82" s="3">
        <f>(ROUND((ROUND((((EU82*1.2))*AV82*I82),2)*BS82),2)+ROUND((ROUND(((AE82-((EU82*1.2)))*AV82*I82),2)*BS82),2))</f>
        <v>0</v>
      </c>
      <c r="S82" s="3">
        <f t="shared" si="69"/>
        <v>2680.57</v>
      </c>
      <c r="T82" s="3">
        <f t="shared" si="70"/>
        <v>0</v>
      </c>
      <c r="U82" s="3">
        <f t="shared" si="71"/>
        <v>3.7691999999999992</v>
      </c>
      <c r="V82" s="3">
        <f t="shared" si="72"/>
        <v>0</v>
      </c>
      <c r="W82" s="3">
        <f t="shared" si="73"/>
        <v>0</v>
      </c>
      <c r="X82" s="3">
        <f>(ROUND((((S82+ROUND((ROUND((((EU82*1.2))*AV82*I82),2)*BS82),2))*AT82)/100),2)+ROUND(((ROUND((ROUND(((AE82-((EU82*1.2)))*AV82*I82),2)*BS82),2)*AT82)/100),2))</f>
        <v>2412.5100000000002</v>
      </c>
      <c r="Y82" s="3">
        <f>(ROUND((((S82+ROUND((ROUND((((EU82*1.2))*AV82*I82),2)*BS82),2))*AU82)/100),2)+ROUND(((ROUND((ROUND(((AE82-((EU82*1.2)))*AV82*I82),2)*BS82),2)*AU82)/100),2))</f>
        <v>1233.06</v>
      </c>
      <c r="AA82" s="3">
        <v>55942968</v>
      </c>
      <c r="AB82" s="3">
        <f t="shared" si="74"/>
        <v>88.042000000000002</v>
      </c>
      <c r="AC82" s="3">
        <f>ROUND(((ES82*1)),6)</f>
        <v>42.61</v>
      </c>
      <c r="AD82" s="3">
        <f>ROUND(((((ET82*1.2))-((EU82*1.2)))+AE82),6)</f>
        <v>0</v>
      </c>
      <c r="AE82" s="3">
        <f t="shared" si="93"/>
        <v>0</v>
      </c>
      <c r="AF82" s="3">
        <f t="shared" si="93"/>
        <v>45.432000000000002</v>
      </c>
      <c r="AG82" s="3">
        <f t="shared" si="75"/>
        <v>0</v>
      </c>
      <c r="AH82" s="3">
        <f t="shared" si="94"/>
        <v>3.5999999999999996</v>
      </c>
      <c r="AI82" s="3">
        <f t="shared" si="94"/>
        <v>0</v>
      </c>
      <c r="AJ82" s="3">
        <f t="shared" si="76"/>
        <v>0</v>
      </c>
      <c r="AK82" s="3">
        <v>80.47</v>
      </c>
      <c r="AL82" s="3">
        <v>42.61</v>
      </c>
      <c r="AM82" s="3">
        <v>0</v>
      </c>
      <c r="AN82" s="3">
        <v>0</v>
      </c>
      <c r="AO82" s="3">
        <v>37.86</v>
      </c>
      <c r="AP82" s="3">
        <v>0</v>
      </c>
      <c r="AQ82" s="3">
        <v>3</v>
      </c>
      <c r="AR82" s="3">
        <v>0</v>
      </c>
      <c r="AS82" s="3">
        <v>0</v>
      </c>
      <c r="AT82" s="3">
        <v>90</v>
      </c>
      <c r="AU82" s="3">
        <v>46</v>
      </c>
      <c r="AV82" s="3">
        <v>1.0469999999999999</v>
      </c>
      <c r="AW82" s="3">
        <v>1</v>
      </c>
      <c r="AZ82" s="3">
        <v>1</v>
      </c>
      <c r="BA82" s="3">
        <v>56.35</v>
      </c>
      <c r="BB82" s="3">
        <v>1</v>
      </c>
      <c r="BC82" s="3">
        <v>5.15</v>
      </c>
      <c r="BD82" s="3" t="s">
        <v>3</v>
      </c>
      <c r="BE82" s="3" t="s">
        <v>3</v>
      </c>
      <c r="BF82" s="3" t="s">
        <v>3</v>
      </c>
      <c r="BG82" s="3" t="s">
        <v>3</v>
      </c>
      <c r="BH82" s="3">
        <v>0</v>
      </c>
      <c r="BI82" s="3">
        <v>2</v>
      </c>
      <c r="BJ82" s="3" t="s">
        <v>135</v>
      </c>
      <c r="BM82" s="3">
        <v>68</v>
      </c>
      <c r="BN82" s="3">
        <v>0</v>
      </c>
      <c r="BO82" s="3" t="s">
        <v>132</v>
      </c>
      <c r="BP82" s="3">
        <v>1</v>
      </c>
      <c r="BQ82" s="3">
        <v>40</v>
      </c>
      <c r="BR82" s="3">
        <v>0</v>
      </c>
      <c r="BS82" s="3">
        <v>56.35</v>
      </c>
      <c r="BT82" s="3">
        <v>1</v>
      </c>
      <c r="BU82" s="3">
        <v>1</v>
      </c>
      <c r="BV82" s="3">
        <v>1</v>
      </c>
      <c r="BW82" s="3">
        <v>1</v>
      </c>
      <c r="BX82" s="3">
        <v>1</v>
      </c>
      <c r="BY82" s="3" t="s">
        <v>3</v>
      </c>
      <c r="BZ82" s="3">
        <v>90</v>
      </c>
      <c r="CA82" s="3">
        <v>46</v>
      </c>
      <c r="CB82" s="3" t="s">
        <v>3</v>
      </c>
      <c r="CE82" s="3">
        <v>1566</v>
      </c>
      <c r="CF82" s="3">
        <v>0</v>
      </c>
      <c r="CG82" s="3">
        <v>0</v>
      </c>
      <c r="CM82" s="3">
        <v>0</v>
      </c>
      <c r="CN82" s="3" t="s">
        <v>285</v>
      </c>
      <c r="CO82" s="3">
        <v>0</v>
      </c>
      <c r="CP82" s="3">
        <f t="shared" si="77"/>
        <v>2900.01</v>
      </c>
      <c r="CQ82" s="3">
        <f>ROUND((ROUND((AC82*AW82*1),2)*BC82),2)</f>
        <v>219.44</v>
      </c>
      <c r="CR82" s="3">
        <f>(ROUND((ROUND((((ET82*1.2))*AV82*1),2)*BB82),2)+ROUND((ROUND(((AE82-((EU82*1.2)))*AV82*1),2)*BS82),2))</f>
        <v>0</v>
      </c>
      <c r="CS82" s="3">
        <f>(ROUND((ROUND((((EU82*1.2))*AV82*1),2)*BS82),2)+ROUND((ROUND(((AE82-((EU82*1.2)))*AV82*1),2)*BS82),2))</f>
        <v>0</v>
      </c>
      <c r="CT82" s="3">
        <f t="shared" si="78"/>
        <v>2680.57</v>
      </c>
      <c r="CU82" s="3">
        <f t="shared" si="79"/>
        <v>0</v>
      </c>
      <c r="CV82" s="3">
        <f t="shared" si="80"/>
        <v>3.7691999999999992</v>
      </c>
      <c r="CW82" s="3">
        <f t="shared" si="81"/>
        <v>0</v>
      </c>
      <c r="CX82" s="3">
        <f t="shared" si="82"/>
        <v>0</v>
      </c>
      <c r="CY82" s="3">
        <f>(ROUND((((S82+ROUND((ROUND((((EU82*1.2))*AV82*1),2)*BS82),2))*AT82)/100),2)+ROUND(((ROUND((ROUND(((AE82-((EU82*1.2)))*AV82*1),2)*BS82),2)*AT82)/100),2))</f>
        <v>2412.5100000000002</v>
      </c>
      <c r="CZ82" s="3">
        <f>(ROUND((((S82+ROUND((ROUND((((EU82*1.2))*AV82*1),2)*BS82),2))*AU82)/100),2)+ROUND(((ROUND((ROUND(((AE82-((EU82*1.2)))*AV82*1),2)*BS82),2)*AU82)/100),2))</f>
        <v>1233.06</v>
      </c>
      <c r="DB82" s="3">
        <v>24</v>
      </c>
      <c r="DC82" s="3" t="s">
        <v>3</v>
      </c>
      <c r="DD82" s="3" t="s">
        <v>108</v>
      </c>
      <c r="DE82" s="3" t="s">
        <v>109</v>
      </c>
      <c r="DF82" s="3" t="s">
        <v>109</v>
      </c>
      <c r="DG82" s="3" t="s">
        <v>109</v>
      </c>
      <c r="DH82" s="3" t="s">
        <v>3</v>
      </c>
      <c r="DI82" s="3" t="s">
        <v>109</v>
      </c>
      <c r="DJ82" s="3" t="s">
        <v>109</v>
      </c>
      <c r="DK82" s="3" t="s">
        <v>3</v>
      </c>
      <c r="DL82" s="3" t="s">
        <v>3</v>
      </c>
      <c r="DM82" s="3" t="s">
        <v>3</v>
      </c>
      <c r="DN82" s="3">
        <v>0</v>
      </c>
      <c r="DO82" s="3">
        <v>0</v>
      </c>
      <c r="DP82" s="3">
        <v>1</v>
      </c>
      <c r="DQ82" s="3">
        <v>1</v>
      </c>
      <c r="DU82" s="3">
        <v>1013</v>
      </c>
      <c r="DV82" s="3" t="s">
        <v>134</v>
      </c>
      <c r="DW82" s="3" t="s">
        <v>134</v>
      </c>
      <c r="DX82" s="3">
        <v>1</v>
      </c>
      <c r="DZ82" s="3" t="s">
        <v>3</v>
      </c>
      <c r="EA82" s="3" t="s">
        <v>3</v>
      </c>
      <c r="EB82" s="3" t="s">
        <v>3</v>
      </c>
      <c r="EC82" s="3" t="s">
        <v>3</v>
      </c>
      <c r="EE82" s="3">
        <v>55393972</v>
      </c>
      <c r="EF82" s="3">
        <v>40</v>
      </c>
      <c r="EG82" s="3" t="s">
        <v>32</v>
      </c>
      <c r="EH82" s="3">
        <v>0</v>
      </c>
      <c r="EI82" s="3" t="s">
        <v>3</v>
      </c>
      <c r="EJ82" s="3">
        <v>2</v>
      </c>
      <c r="EK82" s="3">
        <v>68</v>
      </c>
      <c r="EL82" s="3" t="s">
        <v>33</v>
      </c>
      <c r="EM82" s="3" t="s">
        <v>34</v>
      </c>
      <c r="EO82" s="3" t="s">
        <v>110</v>
      </c>
      <c r="EQ82" s="3">
        <v>0</v>
      </c>
      <c r="ER82" s="3">
        <v>80.47</v>
      </c>
      <c r="ES82" s="3">
        <v>42.61</v>
      </c>
      <c r="ET82" s="3">
        <v>0</v>
      </c>
      <c r="EU82" s="3">
        <v>0</v>
      </c>
      <c r="EV82" s="3">
        <v>37.86</v>
      </c>
      <c r="EW82" s="3">
        <v>3</v>
      </c>
      <c r="EX82" s="3">
        <v>0</v>
      </c>
      <c r="EY82" s="3">
        <v>0</v>
      </c>
      <c r="FQ82" s="3">
        <v>0</v>
      </c>
      <c r="FR82" s="3">
        <v>0</v>
      </c>
      <c r="FS82" s="3">
        <v>0</v>
      </c>
      <c r="FX82" s="3">
        <v>90</v>
      </c>
      <c r="FY82" s="3">
        <v>46</v>
      </c>
      <c r="GA82" s="3" t="s">
        <v>3</v>
      </c>
      <c r="GD82" s="3">
        <v>1</v>
      </c>
      <c r="GF82" s="3">
        <v>-1785550083</v>
      </c>
      <c r="GG82" s="3">
        <v>2</v>
      </c>
      <c r="GH82" s="3">
        <v>1</v>
      </c>
      <c r="GI82" s="3">
        <v>2</v>
      </c>
      <c r="GJ82" s="3">
        <v>0</v>
      </c>
      <c r="GK82" s="3">
        <v>0</v>
      </c>
      <c r="GL82" s="3">
        <f t="shared" si="83"/>
        <v>0</v>
      </c>
      <c r="GM82" s="3">
        <f t="shared" si="84"/>
        <v>6545.58</v>
      </c>
      <c r="GN82" s="3">
        <f t="shared" si="85"/>
        <v>0</v>
      </c>
      <c r="GO82" s="3">
        <f t="shared" si="86"/>
        <v>6545.58</v>
      </c>
      <c r="GP82" s="3">
        <f t="shared" si="87"/>
        <v>0</v>
      </c>
      <c r="GR82" s="3">
        <v>0</v>
      </c>
      <c r="GS82" s="3">
        <v>3</v>
      </c>
      <c r="GT82" s="3">
        <v>0</v>
      </c>
      <c r="GU82" s="3" t="s">
        <v>3</v>
      </c>
      <c r="GV82" s="3">
        <f t="shared" si="88"/>
        <v>0</v>
      </c>
      <c r="GW82" s="3">
        <v>1</v>
      </c>
      <c r="GX82" s="3">
        <f t="shared" si="89"/>
        <v>0</v>
      </c>
      <c r="HA82" s="3">
        <v>0</v>
      </c>
      <c r="HB82" s="3">
        <v>0</v>
      </c>
      <c r="HC82" s="3">
        <f t="shared" si="90"/>
        <v>0</v>
      </c>
      <c r="HE82" s="3" t="s">
        <v>3</v>
      </c>
      <c r="HF82" s="3" t="s">
        <v>3</v>
      </c>
      <c r="HM82" s="3" t="s">
        <v>3</v>
      </c>
      <c r="HN82" s="3" t="s">
        <v>3</v>
      </c>
      <c r="HO82" s="3" t="s">
        <v>3</v>
      </c>
      <c r="HP82" s="3" t="s">
        <v>3</v>
      </c>
      <c r="HQ82" s="3" t="s">
        <v>3</v>
      </c>
      <c r="HS82" s="3">
        <v>0</v>
      </c>
      <c r="IK82" s="3">
        <v>0</v>
      </c>
    </row>
    <row r="83" spans="1:255" x14ac:dyDescent="0.25">
      <c r="A83" s="2">
        <v>17</v>
      </c>
      <c r="B83" s="2">
        <v>1</v>
      </c>
      <c r="C83" s="2">
        <f>ROW(SmtRes!A68)</f>
        <v>68</v>
      </c>
      <c r="D83" s="2">
        <f>ROW(EtalonRes!A74)</f>
        <v>74</v>
      </c>
      <c r="E83" s="2" t="s">
        <v>3</v>
      </c>
      <c r="F83" s="2" t="s">
        <v>44</v>
      </c>
      <c r="G83" s="2" t="s">
        <v>136</v>
      </c>
      <c r="H83" s="2" t="s">
        <v>28</v>
      </c>
      <c r="I83" s="2">
        <v>1</v>
      </c>
      <c r="J83" s="2">
        <v>0</v>
      </c>
      <c r="K83" s="2">
        <v>1</v>
      </c>
      <c r="L83" s="2"/>
      <c r="M83" s="2"/>
      <c r="N83" s="2"/>
      <c r="O83" s="2">
        <f t="shared" si="68"/>
        <v>14.67</v>
      </c>
      <c r="P83" s="2">
        <f>ROUND((ROUND((AC83*AW83*I83),2)*BC83),2)</f>
        <v>0.3</v>
      </c>
      <c r="Q83" s="2">
        <f>(ROUND((ROUND((((ET83*1.2))*AV83*I83),2)*BB83),2)+ROUND((ROUND(((AE83-((EU83*1.2)))*AV83*I83),2)*BS83),2))</f>
        <v>0</v>
      </c>
      <c r="R83" s="2">
        <f>(ROUND((ROUND((((EU83*1.2))*AV83*I83),2)*BS83),2)+ROUND((ROUND(((AE83-((EU83*1.2)))*AV83*I83),2)*BS83),2))</f>
        <v>0</v>
      </c>
      <c r="S83" s="2">
        <f t="shared" si="69"/>
        <v>14.37</v>
      </c>
      <c r="T83" s="2">
        <f t="shared" si="70"/>
        <v>0</v>
      </c>
      <c r="U83" s="2">
        <f t="shared" si="71"/>
        <v>1.04352</v>
      </c>
      <c r="V83" s="2">
        <f t="shared" si="72"/>
        <v>0</v>
      </c>
      <c r="W83" s="2">
        <f t="shared" si="73"/>
        <v>0</v>
      </c>
      <c r="X83" s="2">
        <f>(ROUND((((S83+ROUND((ROUND((((EU83*1.2))*AV83*I83),2)*BS83),2))*AT83)/100),2)+ROUND(((ROUND((ROUND(((AE83-((EU83*1.2)))*AV83*I83),2)*BS83),2)*AT83)/100),2))</f>
        <v>13.65</v>
      </c>
      <c r="Y83" s="2">
        <f>(ROUND((((S83+ROUND((ROUND((((EU83*1.2))*AV83*I83),2)*BS83),2))*AU83)/100),2)+ROUND(((ROUND((ROUND(((AE83-((EU83*1.2)))*AV83*I83),2)*BS83),2)*AU83)/100),2))</f>
        <v>7.62</v>
      </c>
      <c r="Z83" s="2"/>
      <c r="AA83" s="2">
        <v>-1</v>
      </c>
      <c r="AB83" s="2">
        <f t="shared" si="74"/>
        <v>13.523999999999999</v>
      </c>
      <c r="AC83" s="2">
        <f>ROUND(((ES83*1)),6)</f>
        <v>0.3</v>
      </c>
      <c r="AD83" s="2">
        <f>ROUND(((((ET83*1.2))-((EU83*1.2)))+AE83),6)</f>
        <v>0</v>
      </c>
      <c r="AE83" s="2">
        <f t="shared" si="93"/>
        <v>0</v>
      </c>
      <c r="AF83" s="2">
        <f t="shared" si="93"/>
        <v>13.224</v>
      </c>
      <c r="AG83" s="2">
        <f t="shared" si="75"/>
        <v>0</v>
      </c>
      <c r="AH83" s="2">
        <f t="shared" si="94"/>
        <v>0.96</v>
      </c>
      <c r="AI83" s="2">
        <f t="shared" si="94"/>
        <v>0</v>
      </c>
      <c r="AJ83" s="2">
        <f t="shared" si="76"/>
        <v>0</v>
      </c>
      <c r="AK83" s="2">
        <v>11.32</v>
      </c>
      <c r="AL83" s="2">
        <v>0.3</v>
      </c>
      <c r="AM83" s="2">
        <v>0</v>
      </c>
      <c r="AN83" s="2">
        <v>0</v>
      </c>
      <c r="AO83" s="2">
        <v>11.02</v>
      </c>
      <c r="AP83" s="2">
        <v>0</v>
      </c>
      <c r="AQ83" s="2">
        <v>0.8</v>
      </c>
      <c r="AR83" s="2">
        <v>0</v>
      </c>
      <c r="AS83" s="2">
        <v>0</v>
      </c>
      <c r="AT83" s="2">
        <v>95</v>
      </c>
      <c r="AU83" s="2">
        <v>53</v>
      </c>
      <c r="AV83" s="2">
        <v>1.087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2</v>
      </c>
      <c r="BJ83" s="2" t="s">
        <v>46</v>
      </c>
      <c r="BK83" s="2"/>
      <c r="BL83" s="2"/>
      <c r="BM83" s="2">
        <v>69</v>
      </c>
      <c r="BN83" s="2">
        <v>0</v>
      </c>
      <c r="BO83" s="2" t="s">
        <v>44</v>
      </c>
      <c r="BP83" s="2">
        <v>1</v>
      </c>
      <c r="BQ83" s="2">
        <v>40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95</v>
      </c>
      <c r="CA83" s="2">
        <v>53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285</v>
      </c>
      <c r="CO83" s="2">
        <v>0</v>
      </c>
      <c r="CP83" s="2">
        <f t="shared" si="77"/>
        <v>14.67</v>
      </c>
      <c r="CQ83" s="2">
        <f>ROUND((ROUND((AC83*AW83*1),2)*BC83),2)</f>
        <v>0.3</v>
      </c>
      <c r="CR83" s="2">
        <f>(ROUND((ROUND((((ET83*1.2))*AV83*1),2)*BB83),2)+ROUND((ROUND(((AE83-((EU83*1.2)))*AV83*1),2)*BS83),2))</f>
        <v>0</v>
      </c>
      <c r="CS83" s="2">
        <f>(ROUND((ROUND((((EU83*1.2))*AV83*1),2)*BS83),2)+ROUND((ROUND(((AE83-((EU83*1.2)))*AV83*1),2)*BS83),2))</f>
        <v>0</v>
      </c>
      <c r="CT83" s="2">
        <f t="shared" si="78"/>
        <v>14.37</v>
      </c>
      <c r="CU83" s="2">
        <f t="shared" si="79"/>
        <v>0</v>
      </c>
      <c r="CV83" s="2">
        <f t="shared" si="80"/>
        <v>1.04352</v>
      </c>
      <c r="CW83" s="2">
        <f t="shared" si="81"/>
        <v>0</v>
      </c>
      <c r="CX83" s="2">
        <f t="shared" si="82"/>
        <v>0</v>
      </c>
      <c r="CY83" s="2">
        <f>(ROUND((((S83+ROUND((ROUND((((EU83*1.2))*AV83*1),2)*BS83),2))*AT83)/100),2)+ROUND(((ROUND((ROUND(((AE83-((EU83*1.2)))*AV83*1),2)*BS83),2)*AT83)/100),2))</f>
        <v>13.65</v>
      </c>
      <c r="CZ83" s="2">
        <f>(ROUND((((S83+ROUND((ROUND((((EU83*1.2))*AV83*1),2)*BS83),2))*AU83)/100),2)+ROUND(((ROUND((ROUND(((AE83-((EU83*1.2)))*AV83*1),2)*BS83),2)*AU83)/100),2))</f>
        <v>7.62</v>
      </c>
      <c r="DA83" s="2"/>
      <c r="DB83" s="2">
        <v>25</v>
      </c>
      <c r="DC83" s="2" t="s">
        <v>3</v>
      </c>
      <c r="DD83" s="2" t="s">
        <v>108</v>
      </c>
      <c r="DE83" s="2" t="s">
        <v>109</v>
      </c>
      <c r="DF83" s="2" t="s">
        <v>109</v>
      </c>
      <c r="DG83" s="2" t="s">
        <v>109</v>
      </c>
      <c r="DH83" s="2" t="s">
        <v>3</v>
      </c>
      <c r="DI83" s="2" t="s">
        <v>109</v>
      </c>
      <c r="DJ83" s="2" t="s">
        <v>109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28</v>
      </c>
      <c r="DW83" s="2" t="s">
        <v>28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55393973</v>
      </c>
      <c r="EF83" s="2">
        <v>40</v>
      </c>
      <c r="EG83" s="2" t="s">
        <v>32</v>
      </c>
      <c r="EH83" s="2">
        <v>0</v>
      </c>
      <c r="EI83" s="2" t="s">
        <v>3</v>
      </c>
      <c r="EJ83" s="2">
        <v>2</v>
      </c>
      <c r="EK83" s="2">
        <v>69</v>
      </c>
      <c r="EL83" s="2" t="s">
        <v>41</v>
      </c>
      <c r="EM83" s="2" t="s">
        <v>42</v>
      </c>
      <c r="EN83" s="2"/>
      <c r="EO83" s="2" t="s">
        <v>110</v>
      </c>
      <c r="EP83" s="2"/>
      <c r="EQ83" s="2">
        <v>132096</v>
      </c>
      <c r="ER83" s="2">
        <v>11.32</v>
      </c>
      <c r="ES83" s="2">
        <v>0.3</v>
      </c>
      <c r="ET83" s="2">
        <v>0</v>
      </c>
      <c r="EU83" s="2">
        <v>0</v>
      </c>
      <c r="EV83" s="2">
        <v>11.02</v>
      </c>
      <c r="EW83" s="2">
        <v>0.8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95</v>
      </c>
      <c r="FY83" s="2">
        <v>53</v>
      </c>
      <c r="FZ83" s="2"/>
      <c r="GA83" s="2" t="s">
        <v>3</v>
      </c>
      <c r="GB83" s="2"/>
      <c r="GC83" s="2"/>
      <c r="GD83" s="2">
        <v>1</v>
      </c>
      <c r="GE83" s="2"/>
      <c r="GF83" s="2">
        <v>765090221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si="83"/>
        <v>0</v>
      </c>
      <c r="GM83" s="2">
        <f t="shared" si="84"/>
        <v>35.94</v>
      </c>
      <c r="GN83" s="2">
        <f t="shared" si="85"/>
        <v>0</v>
      </c>
      <c r="GO83" s="2">
        <f t="shared" si="86"/>
        <v>35.94</v>
      </c>
      <c r="GP83" s="2">
        <f t="shared" si="87"/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si="88"/>
        <v>0</v>
      </c>
      <c r="GW83" s="2">
        <v>1</v>
      </c>
      <c r="GX83" s="2">
        <f t="shared" si="89"/>
        <v>0</v>
      </c>
      <c r="GY83" s="2"/>
      <c r="GZ83" s="2"/>
      <c r="HA83" s="2">
        <v>0</v>
      </c>
      <c r="HB83" s="2">
        <v>0</v>
      </c>
      <c r="HC83" s="2">
        <f t="shared" si="90"/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5">
      <c r="A84" s="3">
        <v>17</v>
      </c>
      <c r="B84" s="3">
        <v>1</v>
      </c>
      <c r="C84" s="3">
        <f>ROW(SmtRes!A70)</f>
        <v>70</v>
      </c>
      <c r="D84" s="3">
        <f>ROW(EtalonRes!A76)</f>
        <v>76</v>
      </c>
      <c r="E84" s="3" t="s">
        <v>3</v>
      </c>
      <c r="F84" s="3" t="s">
        <v>44</v>
      </c>
      <c r="G84" s="3" t="s">
        <v>136</v>
      </c>
      <c r="H84" s="3" t="s">
        <v>28</v>
      </c>
      <c r="I84" s="3">
        <v>1</v>
      </c>
      <c r="J84" s="3">
        <v>0</v>
      </c>
      <c r="K84" s="3">
        <v>1</v>
      </c>
      <c r="O84" s="3">
        <f t="shared" si="68"/>
        <v>811.96</v>
      </c>
      <c r="P84" s="3">
        <f>ROUND((ROUND((AC84*AW84*I84),2)*BC84),2)</f>
        <v>2.21</v>
      </c>
      <c r="Q84" s="3">
        <f>(ROUND((ROUND((((ET84*1.2))*AV84*I84),2)*BB84),2)+ROUND((ROUND(((AE84-((EU84*1.2)))*AV84*I84),2)*BS84),2))</f>
        <v>0</v>
      </c>
      <c r="R84" s="3">
        <f>(ROUND((ROUND((((EU84*1.2))*AV84*I84),2)*BS84),2)+ROUND((ROUND(((AE84-((EU84*1.2)))*AV84*I84),2)*BS84),2))</f>
        <v>0</v>
      </c>
      <c r="S84" s="3">
        <f t="shared" si="69"/>
        <v>809.75</v>
      </c>
      <c r="T84" s="3">
        <f t="shared" si="70"/>
        <v>0</v>
      </c>
      <c r="U84" s="3">
        <f t="shared" si="71"/>
        <v>1.04352</v>
      </c>
      <c r="V84" s="3">
        <f t="shared" si="72"/>
        <v>0</v>
      </c>
      <c r="W84" s="3">
        <f t="shared" si="73"/>
        <v>0</v>
      </c>
      <c r="X84" s="3">
        <f>(ROUND((((S84+ROUND((ROUND((((EU84*1.2))*AV84*I84),2)*BS84),2))*AT84)/100),2)+ROUND(((ROUND((ROUND(((AE84-((EU84*1.2)))*AV84*I84),2)*BS84),2)*AT84)/100),2))</f>
        <v>769.26</v>
      </c>
      <c r="Y84" s="3">
        <f>(ROUND((((S84+ROUND((ROUND((((EU84*1.2))*AV84*I84),2)*BS84),2))*AU84)/100),2)+ROUND(((ROUND((ROUND(((AE84-((EU84*1.2)))*AV84*I84),2)*BS84),2)*AU84)/100),2))</f>
        <v>429.17</v>
      </c>
      <c r="AA84" s="3">
        <v>-1</v>
      </c>
      <c r="AB84" s="3">
        <f t="shared" si="74"/>
        <v>13.523999999999999</v>
      </c>
      <c r="AC84" s="3">
        <f>ROUND(((ES84*1)),6)</f>
        <v>0.3</v>
      </c>
      <c r="AD84" s="3">
        <f>ROUND(((((ET84*1.2))-((EU84*1.2)))+AE84),6)</f>
        <v>0</v>
      </c>
      <c r="AE84" s="3">
        <f t="shared" si="93"/>
        <v>0</v>
      </c>
      <c r="AF84" s="3">
        <f t="shared" si="93"/>
        <v>13.224</v>
      </c>
      <c r="AG84" s="3">
        <f t="shared" si="75"/>
        <v>0</v>
      </c>
      <c r="AH84" s="3">
        <f t="shared" si="94"/>
        <v>0.96</v>
      </c>
      <c r="AI84" s="3">
        <f t="shared" si="94"/>
        <v>0</v>
      </c>
      <c r="AJ84" s="3">
        <f t="shared" si="76"/>
        <v>0</v>
      </c>
      <c r="AK84" s="3">
        <v>11.32</v>
      </c>
      <c r="AL84" s="3">
        <v>0.3</v>
      </c>
      <c r="AM84" s="3">
        <v>0</v>
      </c>
      <c r="AN84" s="3">
        <v>0</v>
      </c>
      <c r="AO84" s="3">
        <v>11.02</v>
      </c>
      <c r="AP84" s="3">
        <v>0</v>
      </c>
      <c r="AQ84" s="3">
        <v>0.8</v>
      </c>
      <c r="AR84" s="3">
        <v>0</v>
      </c>
      <c r="AS84" s="3">
        <v>0</v>
      </c>
      <c r="AT84" s="3">
        <v>95</v>
      </c>
      <c r="AU84" s="3">
        <v>53</v>
      </c>
      <c r="AV84" s="3">
        <v>1.087</v>
      </c>
      <c r="AW84" s="3">
        <v>1</v>
      </c>
      <c r="AZ84" s="3">
        <v>1</v>
      </c>
      <c r="BA84" s="3">
        <v>56.35</v>
      </c>
      <c r="BB84" s="3">
        <v>1</v>
      </c>
      <c r="BC84" s="3">
        <v>7.37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2</v>
      </c>
      <c r="BJ84" s="3" t="s">
        <v>46</v>
      </c>
      <c r="BM84" s="3">
        <v>69</v>
      </c>
      <c r="BN84" s="3">
        <v>0</v>
      </c>
      <c r="BO84" s="3" t="s">
        <v>44</v>
      </c>
      <c r="BP84" s="3">
        <v>1</v>
      </c>
      <c r="BQ84" s="3">
        <v>40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95</v>
      </c>
      <c r="CA84" s="3">
        <v>53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285</v>
      </c>
      <c r="CO84" s="3">
        <v>0</v>
      </c>
      <c r="CP84" s="3">
        <f t="shared" si="77"/>
        <v>811.96</v>
      </c>
      <c r="CQ84" s="3">
        <f>ROUND((ROUND((AC84*AW84*1),2)*BC84),2)</f>
        <v>2.21</v>
      </c>
      <c r="CR84" s="3">
        <f>(ROUND((ROUND((((ET84*1.2))*AV84*1),2)*BB84),2)+ROUND((ROUND(((AE84-((EU84*1.2)))*AV84*1),2)*BS84),2))</f>
        <v>0</v>
      </c>
      <c r="CS84" s="3">
        <f>(ROUND((ROUND((((EU84*1.2))*AV84*1),2)*BS84),2)+ROUND((ROUND(((AE84-((EU84*1.2)))*AV84*1),2)*BS84),2))</f>
        <v>0</v>
      </c>
      <c r="CT84" s="3">
        <f t="shared" si="78"/>
        <v>809.75</v>
      </c>
      <c r="CU84" s="3">
        <f t="shared" si="79"/>
        <v>0</v>
      </c>
      <c r="CV84" s="3">
        <f t="shared" si="80"/>
        <v>1.04352</v>
      </c>
      <c r="CW84" s="3">
        <f t="shared" si="81"/>
        <v>0</v>
      </c>
      <c r="CX84" s="3">
        <f t="shared" si="82"/>
        <v>0</v>
      </c>
      <c r="CY84" s="3">
        <f>(ROUND((((S84+ROUND((ROUND((((EU84*1.2))*AV84*1),2)*BS84),2))*AT84)/100),2)+ROUND(((ROUND((ROUND(((AE84-((EU84*1.2)))*AV84*1),2)*BS84),2)*AT84)/100),2))</f>
        <v>769.26</v>
      </c>
      <c r="CZ84" s="3">
        <f>(ROUND((((S84+ROUND((ROUND((((EU84*1.2))*AV84*1),2)*BS84),2))*AU84)/100),2)+ROUND(((ROUND((ROUND(((AE84-((EU84*1.2)))*AV84*1),2)*BS84),2)*AU84)/100),2))</f>
        <v>429.17</v>
      </c>
      <c r="DB84" s="3">
        <v>26</v>
      </c>
      <c r="DC84" s="3" t="s">
        <v>3</v>
      </c>
      <c r="DD84" s="3" t="s">
        <v>108</v>
      </c>
      <c r="DE84" s="3" t="s">
        <v>109</v>
      </c>
      <c r="DF84" s="3" t="s">
        <v>109</v>
      </c>
      <c r="DG84" s="3" t="s">
        <v>109</v>
      </c>
      <c r="DH84" s="3" t="s">
        <v>3</v>
      </c>
      <c r="DI84" s="3" t="s">
        <v>109</v>
      </c>
      <c r="DJ84" s="3" t="s">
        <v>109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1013</v>
      </c>
      <c r="DV84" s="3" t="s">
        <v>28</v>
      </c>
      <c r="DW84" s="3" t="s">
        <v>28</v>
      </c>
      <c r="DX84" s="3">
        <v>1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55393973</v>
      </c>
      <c r="EF84" s="3">
        <v>40</v>
      </c>
      <c r="EG84" s="3" t="s">
        <v>32</v>
      </c>
      <c r="EH84" s="3">
        <v>0</v>
      </c>
      <c r="EI84" s="3" t="s">
        <v>3</v>
      </c>
      <c r="EJ84" s="3">
        <v>2</v>
      </c>
      <c r="EK84" s="3">
        <v>69</v>
      </c>
      <c r="EL84" s="3" t="s">
        <v>41</v>
      </c>
      <c r="EM84" s="3" t="s">
        <v>42</v>
      </c>
      <c r="EO84" s="3" t="s">
        <v>110</v>
      </c>
      <c r="EQ84" s="3">
        <v>132096</v>
      </c>
      <c r="ER84" s="3">
        <v>11.32</v>
      </c>
      <c r="ES84" s="3">
        <v>0.3</v>
      </c>
      <c r="ET84" s="3">
        <v>0</v>
      </c>
      <c r="EU84" s="3">
        <v>0</v>
      </c>
      <c r="EV84" s="3">
        <v>11.02</v>
      </c>
      <c r="EW84" s="3">
        <v>0.8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95</v>
      </c>
      <c r="FY84" s="3">
        <v>53</v>
      </c>
      <c r="GA84" s="3" t="s">
        <v>3</v>
      </c>
      <c r="GD84" s="3">
        <v>1</v>
      </c>
      <c r="GF84" s="3">
        <v>765090221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83"/>
        <v>0</v>
      </c>
      <c r="GM84" s="3">
        <f t="shared" si="84"/>
        <v>2010.39</v>
      </c>
      <c r="GN84" s="3">
        <f t="shared" si="85"/>
        <v>0</v>
      </c>
      <c r="GO84" s="3">
        <f t="shared" si="86"/>
        <v>2010.39</v>
      </c>
      <c r="GP84" s="3">
        <f t="shared" si="87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88"/>
        <v>0</v>
      </c>
      <c r="GW84" s="3">
        <v>1</v>
      </c>
      <c r="GX84" s="3">
        <f t="shared" si="89"/>
        <v>0</v>
      </c>
      <c r="HA84" s="3">
        <v>0</v>
      </c>
      <c r="HB84" s="3">
        <v>0</v>
      </c>
      <c r="HC84" s="3">
        <f t="shared" si="90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5">
      <c r="A85" s="2">
        <v>17</v>
      </c>
      <c r="B85" s="2">
        <v>1</v>
      </c>
      <c r="C85" s="2"/>
      <c r="D85" s="2"/>
      <c r="E85" s="2" t="s">
        <v>137</v>
      </c>
      <c r="F85" s="2" t="s">
        <v>138</v>
      </c>
      <c r="G85" s="2" t="s">
        <v>139</v>
      </c>
      <c r="H85" s="2" t="s">
        <v>114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68"/>
        <v>12258.35</v>
      </c>
      <c r="P85" s="2">
        <f>ROUND((ROUND((AC85*I85),2)*BC85),2)</f>
        <v>12258.35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69"/>
        <v>0</v>
      </c>
      <c r="T85" s="2">
        <f t="shared" si="70"/>
        <v>0</v>
      </c>
      <c r="U85" s="2">
        <f t="shared" si="71"/>
        <v>0</v>
      </c>
      <c r="V85" s="2">
        <f t="shared" si="72"/>
        <v>0</v>
      </c>
      <c r="W85" s="2">
        <f t="shared" si="73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55942966</v>
      </c>
      <c r="AB85" s="2">
        <f t="shared" si="74"/>
        <v>12258.35</v>
      </c>
      <c r="AC85" s="2">
        <f>ROUND((ES85),6)</f>
        <v>12258.35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75"/>
        <v>0</v>
      </c>
      <c r="AH85" s="2">
        <f>(EW85)</f>
        <v>0</v>
      </c>
      <c r="AI85" s="2">
        <f>(EX85)</f>
        <v>0</v>
      </c>
      <c r="AJ85" s="2">
        <f t="shared" si="76"/>
        <v>0</v>
      </c>
      <c r="AK85" s="2">
        <v>12258.35</v>
      </c>
      <c r="AL85" s="2">
        <v>12258.35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3</v>
      </c>
      <c r="BJ85" s="2" t="s">
        <v>3</v>
      </c>
      <c r="BK85" s="2"/>
      <c r="BL85" s="2"/>
      <c r="BM85" s="2">
        <v>746</v>
      </c>
      <c r="BN85" s="2">
        <v>0</v>
      </c>
      <c r="BO85" s="2" t="s">
        <v>3</v>
      </c>
      <c r="BP85" s="2">
        <v>0</v>
      </c>
      <c r="BQ85" s="2">
        <v>130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95</v>
      </c>
      <c r="CA85" s="2">
        <v>53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3</v>
      </c>
      <c r="CO85" s="2">
        <v>0</v>
      </c>
      <c r="CP85" s="2">
        <f t="shared" si="77"/>
        <v>12258.35</v>
      </c>
      <c r="CQ85" s="2">
        <f>ROUND((ROUND((AC85*1),2)*BC85),2)</f>
        <v>12258.35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78"/>
        <v>0</v>
      </c>
      <c r="CU85" s="2">
        <f t="shared" si="79"/>
        <v>0</v>
      </c>
      <c r="CV85" s="2">
        <f t="shared" si="80"/>
        <v>0</v>
      </c>
      <c r="CW85" s="2">
        <f t="shared" si="81"/>
        <v>0</v>
      </c>
      <c r="CX85" s="2">
        <f t="shared" si="82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1010</v>
      </c>
      <c r="DV85" s="2" t="s">
        <v>114</v>
      </c>
      <c r="DW85" s="2" t="s">
        <v>114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55393877</v>
      </c>
      <c r="EF85" s="2">
        <v>130</v>
      </c>
      <c r="EG85" s="2" t="s">
        <v>115</v>
      </c>
      <c r="EH85" s="2">
        <v>0</v>
      </c>
      <c r="EI85" s="2" t="s">
        <v>3</v>
      </c>
      <c r="EJ85" s="2">
        <v>3</v>
      </c>
      <c r="EK85" s="2">
        <v>746</v>
      </c>
      <c r="EL85" s="2" t="s">
        <v>116</v>
      </c>
      <c r="EM85" s="2" t="s">
        <v>117</v>
      </c>
      <c r="EN85" s="2"/>
      <c r="EO85" s="2" t="s">
        <v>3</v>
      </c>
      <c r="EP85" s="2"/>
      <c r="EQ85" s="2">
        <v>0</v>
      </c>
      <c r="ER85" s="2">
        <v>0</v>
      </c>
      <c r="ES85" s="2">
        <v>12258.35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f>P85</f>
        <v>12258.35</v>
      </c>
      <c r="FS85" s="2">
        <v>0</v>
      </c>
      <c r="FT85" s="2"/>
      <c r="FU85" s="2"/>
      <c r="FV85" s="2"/>
      <c r="FW85" s="2"/>
      <c r="FX85" s="2">
        <v>95</v>
      </c>
      <c r="FY85" s="2">
        <v>53</v>
      </c>
      <c r="FZ85" s="2"/>
      <c r="GA85" s="2" t="s">
        <v>140</v>
      </c>
      <c r="GB85" s="2"/>
      <c r="GC85" s="2"/>
      <c r="GD85" s="2">
        <v>1</v>
      </c>
      <c r="GE85" s="2"/>
      <c r="GF85" s="2">
        <v>253220946</v>
      </c>
      <c r="GG85" s="2">
        <v>2</v>
      </c>
      <c r="GH85" s="2">
        <v>4</v>
      </c>
      <c r="GI85" s="2">
        <v>-2</v>
      </c>
      <c r="GJ85" s="2">
        <v>0</v>
      </c>
      <c r="GK85" s="2">
        <v>0</v>
      </c>
      <c r="GL85" s="2">
        <f t="shared" si="83"/>
        <v>0</v>
      </c>
      <c r="GM85" s="2">
        <f t="shared" si="84"/>
        <v>12258.35</v>
      </c>
      <c r="GN85" s="2">
        <f t="shared" si="85"/>
        <v>0</v>
      </c>
      <c r="GO85" s="2">
        <f t="shared" si="86"/>
        <v>0</v>
      </c>
      <c r="GP85" s="2">
        <f t="shared" si="87"/>
        <v>0</v>
      </c>
      <c r="GQ85" s="2"/>
      <c r="GR85" s="2">
        <v>0</v>
      </c>
      <c r="GS85" s="2">
        <v>2</v>
      </c>
      <c r="GT85" s="2">
        <v>0</v>
      </c>
      <c r="GU85" s="2" t="s">
        <v>3</v>
      </c>
      <c r="GV85" s="2">
        <f t="shared" si="88"/>
        <v>0</v>
      </c>
      <c r="GW85" s="2">
        <v>1</v>
      </c>
      <c r="GX85" s="2">
        <f t="shared" si="89"/>
        <v>0</v>
      </c>
      <c r="GY85" s="2"/>
      <c r="GZ85" s="2"/>
      <c r="HA85" s="2">
        <v>0</v>
      </c>
      <c r="HB85" s="2">
        <v>0</v>
      </c>
      <c r="HC85" s="2">
        <f t="shared" si="90"/>
        <v>0</v>
      </c>
      <c r="HD85" s="2"/>
      <c r="HE85" s="2" t="s">
        <v>43</v>
      </c>
      <c r="HF85" s="2" t="s">
        <v>119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5">
      <c r="A86" s="3">
        <v>17</v>
      </c>
      <c r="B86" s="3">
        <v>1</v>
      </c>
      <c r="E86" s="3" t="s">
        <v>137</v>
      </c>
      <c r="F86" s="3" t="s">
        <v>138</v>
      </c>
      <c r="G86" s="3" t="s">
        <v>139</v>
      </c>
      <c r="H86" s="3" t="s">
        <v>114</v>
      </c>
      <c r="I86" s="3">
        <v>1</v>
      </c>
      <c r="J86" s="3">
        <v>0</v>
      </c>
      <c r="K86" s="3">
        <v>1</v>
      </c>
      <c r="O86" s="3">
        <f t="shared" si="68"/>
        <v>92795.71</v>
      </c>
      <c r="P86" s="3">
        <f>ROUND((ROUND((AC86*I86),2)*BC86),2)</f>
        <v>92795.71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69"/>
        <v>0</v>
      </c>
      <c r="T86" s="3">
        <f t="shared" si="70"/>
        <v>0</v>
      </c>
      <c r="U86" s="3">
        <f t="shared" si="71"/>
        <v>0</v>
      </c>
      <c r="V86" s="3">
        <f t="shared" si="72"/>
        <v>0</v>
      </c>
      <c r="W86" s="3">
        <f t="shared" si="73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55942968</v>
      </c>
      <c r="AB86" s="3">
        <f t="shared" si="74"/>
        <v>12258.35</v>
      </c>
      <c r="AC86" s="3">
        <f>ROUND((ES86),6)</f>
        <v>12258.35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75"/>
        <v>0</v>
      </c>
      <c r="AH86" s="3">
        <f>(EW86)</f>
        <v>0</v>
      </c>
      <c r="AI86" s="3">
        <f>(EX86)</f>
        <v>0</v>
      </c>
      <c r="AJ86" s="3">
        <f t="shared" si="76"/>
        <v>0</v>
      </c>
      <c r="AK86" s="3">
        <v>12258.35</v>
      </c>
      <c r="AL86" s="3">
        <v>12258.35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7.57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3</v>
      </c>
      <c r="BJ86" s="3" t="s">
        <v>3</v>
      </c>
      <c r="BM86" s="3">
        <v>746</v>
      </c>
      <c r="BN86" s="3">
        <v>0</v>
      </c>
      <c r="BO86" s="3" t="s">
        <v>3</v>
      </c>
      <c r="BP86" s="3">
        <v>0</v>
      </c>
      <c r="BQ86" s="3">
        <v>130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95</v>
      </c>
      <c r="CA86" s="3">
        <v>53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3</v>
      </c>
      <c r="CO86" s="3">
        <v>0</v>
      </c>
      <c r="CP86" s="3">
        <f t="shared" si="77"/>
        <v>92795.71</v>
      </c>
      <c r="CQ86" s="3">
        <f>ROUND((ROUND((AC86*1),2)*BC86),2)</f>
        <v>92795.71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78"/>
        <v>0</v>
      </c>
      <c r="CU86" s="3">
        <f t="shared" si="79"/>
        <v>0</v>
      </c>
      <c r="CV86" s="3">
        <f t="shared" si="80"/>
        <v>0</v>
      </c>
      <c r="CW86" s="3">
        <f t="shared" si="81"/>
        <v>0</v>
      </c>
      <c r="CX86" s="3">
        <f t="shared" si="82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1010</v>
      </c>
      <c r="DV86" s="3" t="s">
        <v>114</v>
      </c>
      <c r="DW86" s="3" t="s">
        <v>114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55393877</v>
      </c>
      <c r="EF86" s="3">
        <v>130</v>
      </c>
      <c r="EG86" s="3" t="s">
        <v>115</v>
      </c>
      <c r="EH86" s="3">
        <v>0</v>
      </c>
      <c r="EI86" s="3" t="s">
        <v>3</v>
      </c>
      <c r="EJ86" s="3">
        <v>3</v>
      </c>
      <c r="EK86" s="3">
        <v>746</v>
      </c>
      <c r="EL86" s="3" t="s">
        <v>116</v>
      </c>
      <c r="EM86" s="3" t="s">
        <v>117</v>
      </c>
      <c r="EO86" s="3" t="s">
        <v>3</v>
      </c>
      <c r="EQ86" s="3">
        <v>0</v>
      </c>
      <c r="ER86" s="3">
        <v>12258.35</v>
      </c>
      <c r="ES86" s="3">
        <v>12258.35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5</v>
      </c>
      <c r="FC86" s="3">
        <v>1</v>
      </c>
      <c r="FD86" s="3">
        <v>18</v>
      </c>
      <c r="FF86" s="3">
        <v>108610</v>
      </c>
      <c r="FQ86" s="3">
        <v>0</v>
      </c>
      <c r="FR86" s="3">
        <f>P86</f>
        <v>92795.71</v>
      </c>
      <c r="FS86" s="3">
        <v>0</v>
      </c>
      <c r="FX86" s="3">
        <v>95</v>
      </c>
      <c r="FY86" s="3">
        <v>53</v>
      </c>
      <c r="GA86" s="3" t="s">
        <v>140</v>
      </c>
      <c r="GD86" s="3">
        <v>1</v>
      </c>
      <c r="GF86" s="3">
        <v>253220946</v>
      </c>
      <c r="GG86" s="3">
        <v>2</v>
      </c>
      <c r="GH86" s="3">
        <v>3</v>
      </c>
      <c r="GI86" s="3">
        <v>3</v>
      </c>
      <c r="GJ86" s="3">
        <v>0</v>
      </c>
      <c r="GK86" s="3">
        <v>0</v>
      </c>
      <c r="GL86" s="3">
        <f t="shared" si="83"/>
        <v>0</v>
      </c>
      <c r="GM86" s="3">
        <f t="shared" si="84"/>
        <v>92795.71</v>
      </c>
      <c r="GN86" s="3">
        <f t="shared" si="85"/>
        <v>0</v>
      </c>
      <c r="GO86" s="3">
        <f t="shared" si="86"/>
        <v>0</v>
      </c>
      <c r="GP86" s="3">
        <f t="shared" si="87"/>
        <v>0</v>
      </c>
      <c r="GR86" s="3">
        <v>1</v>
      </c>
      <c r="GS86" s="3">
        <v>1</v>
      </c>
      <c r="GT86" s="3">
        <v>0</v>
      </c>
      <c r="GU86" s="3" t="s">
        <v>3</v>
      </c>
      <c r="GV86" s="3">
        <f t="shared" si="88"/>
        <v>0</v>
      </c>
      <c r="GW86" s="3">
        <v>1</v>
      </c>
      <c r="GX86" s="3">
        <f t="shared" si="89"/>
        <v>0</v>
      </c>
      <c r="HA86" s="3">
        <v>0</v>
      </c>
      <c r="HB86" s="3">
        <v>0</v>
      </c>
      <c r="HC86" s="3">
        <f t="shared" si="90"/>
        <v>0</v>
      </c>
      <c r="HE86" s="3" t="s">
        <v>43</v>
      </c>
      <c r="HF86" s="3" t="s">
        <v>119</v>
      </c>
      <c r="HM86" s="3" t="s">
        <v>3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8" spans="1:255" ht="13" x14ac:dyDescent="0.3">
      <c r="A88" s="11">
        <v>51</v>
      </c>
      <c r="B88" s="11">
        <f>B67</f>
        <v>1</v>
      </c>
      <c r="C88" s="11">
        <f>A67</f>
        <v>4</v>
      </c>
      <c r="D88" s="11">
        <f>ROW(A67)</f>
        <v>67</v>
      </c>
      <c r="E88" s="11"/>
      <c r="F88" s="11" t="str">
        <f>IF(F67&lt;&gt;"",F67,"")</f>
        <v>Новый раздел</v>
      </c>
      <c r="G88" s="11" t="str">
        <f>IF(G67&lt;&gt;"",G67,"")</f>
        <v>Комплект основного оборудования</v>
      </c>
      <c r="H88" s="11">
        <v>0</v>
      </c>
      <c r="I88" s="11"/>
      <c r="J88" s="11"/>
      <c r="K88" s="11"/>
      <c r="L88" s="11"/>
      <c r="M88" s="11"/>
      <c r="N88" s="11"/>
      <c r="O88" s="11">
        <f t="shared" ref="O88:T88" si="95">ROUND(AB88,2)</f>
        <v>97162.73</v>
      </c>
      <c r="P88" s="11">
        <f t="shared" si="95"/>
        <v>97047.99</v>
      </c>
      <c r="Q88" s="11">
        <f t="shared" si="95"/>
        <v>0.63</v>
      </c>
      <c r="R88" s="11">
        <f t="shared" si="95"/>
        <v>0.1</v>
      </c>
      <c r="S88" s="11">
        <f t="shared" si="95"/>
        <v>114.11</v>
      </c>
      <c r="T88" s="11">
        <f t="shared" si="95"/>
        <v>0</v>
      </c>
      <c r="U88" s="11">
        <f>AH88</f>
        <v>8.8324919999999985</v>
      </c>
      <c r="V88" s="11">
        <f>AI88</f>
        <v>0</v>
      </c>
      <c r="W88" s="11">
        <f>ROUND(AJ88,2)</f>
        <v>0</v>
      </c>
      <c r="X88" s="11">
        <f>ROUND(AK88,2)</f>
        <v>102.79</v>
      </c>
      <c r="Y88" s="11">
        <f>ROUND(AL88,2)</f>
        <v>52.53</v>
      </c>
      <c r="Z88" s="11"/>
      <c r="AA88" s="11"/>
      <c r="AB88" s="11">
        <f>ROUND(SUMIF(AA71:AA86,"=55942966",O71:O86),2)</f>
        <v>97162.73</v>
      </c>
      <c r="AC88" s="11">
        <f>ROUND(SUMIF(AA71:AA86,"=55942966",P71:P86),2)</f>
        <v>97047.99</v>
      </c>
      <c r="AD88" s="11">
        <f>ROUND(SUMIF(AA71:AA86,"=55942966",Q71:Q86),2)</f>
        <v>0.63</v>
      </c>
      <c r="AE88" s="11">
        <f>ROUND(SUMIF(AA71:AA86,"=55942966",R71:R86),2)</f>
        <v>0.1</v>
      </c>
      <c r="AF88" s="11">
        <f>ROUND(SUMIF(AA71:AA86,"=55942966",S71:S86),2)</f>
        <v>114.11</v>
      </c>
      <c r="AG88" s="11">
        <f>ROUND(SUMIF(AA71:AA86,"=55942966",T71:T86),2)</f>
        <v>0</v>
      </c>
      <c r="AH88" s="11">
        <f>SUMIF(AA71:AA86,"=55942966",U71:U86)</f>
        <v>8.8324919999999985</v>
      </c>
      <c r="AI88" s="11">
        <f>SUMIF(AA71:AA86,"=55942966",V71:V86)</f>
        <v>0</v>
      </c>
      <c r="AJ88" s="11">
        <f>ROUND(SUMIF(AA71:AA86,"=55942966",W71:W86),2)</f>
        <v>0</v>
      </c>
      <c r="AK88" s="11">
        <f>ROUND(SUMIF(AA71:AA86,"=55942966",X71:X86),2)</f>
        <v>102.79</v>
      </c>
      <c r="AL88" s="11">
        <f>ROUND(SUMIF(AA71:AA86,"=55942966",Y71:Y86),2)</f>
        <v>52.53</v>
      </c>
      <c r="AM88" s="11"/>
      <c r="AN88" s="11"/>
      <c r="AO88" s="11">
        <f t="shared" ref="AO88:BD88" si="96">ROUND(BX88,2)</f>
        <v>0</v>
      </c>
      <c r="AP88" s="11">
        <f t="shared" si="96"/>
        <v>97004.92</v>
      </c>
      <c r="AQ88" s="11">
        <f t="shared" si="96"/>
        <v>0</v>
      </c>
      <c r="AR88" s="11">
        <f t="shared" si="96"/>
        <v>97318.05</v>
      </c>
      <c r="AS88" s="11">
        <f t="shared" si="96"/>
        <v>0</v>
      </c>
      <c r="AT88" s="11">
        <f t="shared" si="96"/>
        <v>313.13</v>
      </c>
      <c r="AU88" s="11">
        <f t="shared" si="96"/>
        <v>0</v>
      </c>
      <c r="AV88" s="11">
        <f t="shared" si="96"/>
        <v>97047.99</v>
      </c>
      <c r="AW88" s="11">
        <f t="shared" si="96"/>
        <v>43.07</v>
      </c>
      <c r="AX88" s="11">
        <f t="shared" si="96"/>
        <v>0</v>
      </c>
      <c r="AY88" s="11">
        <f t="shared" si="96"/>
        <v>43.07</v>
      </c>
      <c r="AZ88" s="11">
        <f t="shared" si="96"/>
        <v>97004.92</v>
      </c>
      <c r="BA88" s="11">
        <f t="shared" si="96"/>
        <v>0</v>
      </c>
      <c r="BB88" s="11">
        <f t="shared" si="96"/>
        <v>0</v>
      </c>
      <c r="BC88" s="11">
        <f t="shared" si="96"/>
        <v>0</v>
      </c>
      <c r="BD88" s="11">
        <f t="shared" si="96"/>
        <v>0</v>
      </c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>
        <f>ROUND(SUMIF(AA71:AA86,"=55942966",FQ71:FQ86),2)</f>
        <v>0</v>
      </c>
      <c r="BY88" s="11">
        <f>ROUND(SUMIF(AA71:AA86,"=55942966",FR71:FR86),2)</f>
        <v>97004.92</v>
      </c>
      <c r="BZ88" s="11">
        <f>ROUND(SUMIF(AA71:AA86,"=55942966",GL71:GL86),2)</f>
        <v>0</v>
      </c>
      <c r="CA88" s="11">
        <f>ROUND(SUMIF(AA71:AA86,"=55942966",GM71:GM86),2)</f>
        <v>97318.05</v>
      </c>
      <c r="CB88" s="11">
        <f>ROUND(SUMIF(AA71:AA86,"=55942966",GN71:GN86),2)</f>
        <v>0</v>
      </c>
      <c r="CC88" s="11">
        <f>ROUND(SUMIF(AA71:AA86,"=55942966",GO71:GO86),2)</f>
        <v>313.13</v>
      </c>
      <c r="CD88" s="11">
        <f>ROUND(SUMIF(AA71:AA86,"=55942966",GP71:GP86),2)</f>
        <v>0</v>
      </c>
      <c r="CE88" s="11">
        <f>AC88-BX88</f>
        <v>97047.99</v>
      </c>
      <c r="CF88" s="11">
        <f>AC88-BY88</f>
        <v>43.070000000006985</v>
      </c>
      <c r="CG88" s="11">
        <f>BX88-BZ88</f>
        <v>0</v>
      </c>
      <c r="CH88" s="11">
        <f>AC88-BX88-BY88+BZ88</f>
        <v>43.070000000006985</v>
      </c>
      <c r="CI88" s="11">
        <f>BY88-BZ88</f>
        <v>97004.92</v>
      </c>
      <c r="CJ88" s="11">
        <f>ROUND(SUMIF(AA71:AA86,"=55942966",GX71:GX86),2)</f>
        <v>0</v>
      </c>
      <c r="CK88" s="11">
        <f>ROUND(SUMIF(AA71:AA86,"=55942966",GY71:GY86),2)</f>
        <v>0</v>
      </c>
      <c r="CL88" s="11">
        <f>ROUND(SUMIF(AA71:AA86,"=55942966",GZ71:GZ86),2)</f>
        <v>0</v>
      </c>
      <c r="CM88" s="11">
        <f>ROUND(SUMIF(AA71:AA86,"=55942966",HD71:HD86),2)</f>
        <v>0</v>
      </c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2">
        <f t="shared" ref="DG88:DL88" si="97">ROUND(DT88,2)</f>
        <v>740990.64</v>
      </c>
      <c r="DH88" s="12">
        <f t="shared" si="97"/>
        <v>734549.82</v>
      </c>
      <c r="DI88" s="12">
        <f t="shared" si="97"/>
        <v>10.72</v>
      </c>
      <c r="DJ88" s="12">
        <f t="shared" si="97"/>
        <v>5.64</v>
      </c>
      <c r="DK88" s="12">
        <f t="shared" si="97"/>
        <v>6430.1</v>
      </c>
      <c r="DL88" s="12">
        <f t="shared" si="97"/>
        <v>0</v>
      </c>
      <c r="DM88" s="12">
        <f>DZ88</f>
        <v>8.8324919999999985</v>
      </c>
      <c r="DN88" s="12">
        <f>EA88</f>
        <v>0</v>
      </c>
      <c r="DO88" s="12">
        <f>ROUND(EB88,2)</f>
        <v>0</v>
      </c>
      <c r="DP88" s="12">
        <f>ROUND(EC88,2)</f>
        <v>5792.16</v>
      </c>
      <c r="DQ88" s="12">
        <f>ROUND(ED88,2)</f>
        <v>2960.44</v>
      </c>
      <c r="DR88" s="12"/>
      <c r="DS88" s="12"/>
      <c r="DT88" s="12">
        <f>ROUND(SUMIF(AA71:AA86,"=55942968",O71:O86),2)</f>
        <v>740990.64</v>
      </c>
      <c r="DU88" s="12">
        <f>ROUND(SUMIF(AA71:AA86,"=55942968",P71:P86),2)</f>
        <v>734549.82</v>
      </c>
      <c r="DV88" s="12">
        <f>ROUND(SUMIF(AA71:AA86,"=55942968",Q71:Q86),2)</f>
        <v>10.72</v>
      </c>
      <c r="DW88" s="12">
        <f>ROUND(SUMIF(AA71:AA86,"=55942968",R71:R86),2)</f>
        <v>5.64</v>
      </c>
      <c r="DX88" s="12">
        <f>ROUND(SUMIF(AA71:AA86,"=55942968",S71:S86),2)</f>
        <v>6430.1</v>
      </c>
      <c r="DY88" s="12">
        <f>ROUND(SUMIF(AA71:AA86,"=55942968",T71:T86),2)</f>
        <v>0</v>
      </c>
      <c r="DZ88" s="12">
        <f>SUMIF(AA71:AA86,"=55942968",U71:U86)</f>
        <v>8.8324919999999985</v>
      </c>
      <c r="EA88" s="12">
        <f>SUMIF(AA71:AA86,"=55942968",V71:V86)</f>
        <v>0</v>
      </c>
      <c r="EB88" s="12">
        <f>ROUND(SUMIF(AA71:AA86,"=55942968",W71:W86),2)</f>
        <v>0</v>
      </c>
      <c r="EC88" s="12">
        <f>ROUND(SUMIF(AA71:AA86,"=55942968",X71:X86),2)</f>
        <v>5792.16</v>
      </c>
      <c r="ED88" s="12">
        <f>ROUND(SUMIF(AA71:AA86,"=55942968",Y71:Y86),2)</f>
        <v>2960.44</v>
      </c>
      <c r="EE88" s="12"/>
      <c r="EF88" s="12"/>
      <c r="EG88" s="12">
        <f t="shared" ref="EG88:EV88" si="98">ROUND(FP88,2)</f>
        <v>0</v>
      </c>
      <c r="EH88" s="12">
        <f t="shared" si="98"/>
        <v>734327.24</v>
      </c>
      <c r="EI88" s="12">
        <f t="shared" si="98"/>
        <v>0</v>
      </c>
      <c r="EJ88" s="12">
        <f t="shared" si="98"/>
        <v>749743.24</v>
      </c>
      <c r="EK88" s="12">
        <f t="shared" si="98"/>
        <v>0</v>
      </c>
      <c r="EL88" s="12">
        <f t="shared" si="98"/>
        <v>15416</v>
      </c>
      <c r="EM88" s="12">
        <f t="shared" si="98"/>
        <v>0</v>
      </c>
      <c r="EN88" s="12">
        <f t="shared" si="98"/>
        <v>734549.82</v>
      </c>
      <c r="EO88" s="12">
        <f t="shared" si="98"/>
        <v>222.58</v>
      </c>
      <c r="EP88" s="12">
        <f t="shared" si="98"/>
        <v>0</v>
      </c>
      <c r="EQ88" s="12">
        <f t="shared" si="98"/>
        <v>222.58</v>
      </c>
      <c r="ER88" s="12">
        <f t="shared" si="98"/>
        <v>734327.24</v>
      </c>
      <c r="ES88" s="12">
        <f t="shared" si="98"/>
        <v>0</v>
      </c>
      <c r="ET88" s="12">
        <f t="shared" si="98"/>
        <v>0</v>
      </c>
      <c r="EU88" s="12">
        <f t="shared" si="98"/>
        <v>0</v>
      </c>
      <c r="EV88" s="12">
        <f t="shared" si="98"/>
        <v>0</v>
      </c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>
        <f>ROUND(SUMIF(AA71:AA86,"=55942968",FQ71:FQ86),2)</f>
        <v>0</v>
      </c>
      <c r="FQ88" s="12">
        <f>ROUND(SUMIF(AA71:AA86,"=55942968",FR71:FR86),2)</f>
        <v>734327.24</v>
      </c>
      <c r="FR88" s="12">
        <f>ROUND(SUMIF(AA71:AA86,"=55942968",GL71:GL86),2)</f>
        <v>0</v>
      </c>
      <c r="FS88" s="12">
        <f>ROUND(SUMIF(AA71:AA86,"=55942968",GM71:GM86),2)</f>
        <v>749743.24</v>
      </c>
      <c r="FT88" s="12">
        <f>ROUND(SUMIF(AA71:AA86,"=55942968",GN71:GN86),2)</f>
        <v>0</v>
      </c>
      <c r="FU88" s="12">
        <f>ROUND(SUMIF(AA71:AA86,"=55942968",GO71:GO86),2)</f>
        <v>15416</v>
      </c>
      <c r="FV88" s="12">
        <f>ROUND(SUMIF(AA71:AA86,"=55942968",GP71:GP86),2)</f>
        <v>0</v>
      </c>
      <c r="FW88" s="12">
        <f>DU88-FP88</f>
        <v>734549.82</v>
      </c>
      <c r="FX88" s="12">
        <f>DU88-FQ88</f>
        <v>222.57999999995809</v>
      </c>
      <c r="FY88" s="12">
        <f>FP88-FR88</f>
        <v>0</v>
      </c>
      <c r="FZ88" s="12">
        <f>DU88-FP88-FQ88+FR88</f>
        <v>222.57999999995809</v>
      </c>
      <c r="GA88" s="12">
        <f>FQ88-FR88</f>
        <v>734327.24</v>
      </c>
      <c r="GB88" s="12">
        <f>ROUND(SUMIF(AA71:AA86,"=55942968",GX71:GX86),2)</f>
        <v>0</v>
      </c>
      <c r="GC88" s="12">
        <f>ROUND(SUMIF(AA71:AA86,"=55942968",GY71:GY86),2)</f>
        <v>0</v>
      </c>
      <c r="GD88" s="12">
        <f>ROUND(SUMIF(AA71:AA86,"=55942968",GZ71:GZ86),2)</f>
        <v>0</v>
      </c>
      <c r="GE88" s="12">
        <f>ROUND(SUMIF(AA71:AA86,"=55942968",HD71:HD86),2)</f>
        <v>0</v>
      </c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>
        <v>0</v>
      </c>
    </row>
    <row r="90" spans="1:255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201</v>
      </c>
      <c r="F90" s="13">
        <f>ROUND(Source!O88,O90)</f>
        <v>97162.73</v>
      </c>
      <c r="G90" s="13" t="s">
        <v>51</v>
      </c>
      <c r="H90" s="13" t="s">
        <v>52</v>
      </c>
      <c r="I90" s="13"/>
      <c r="J90" s="13"/>
      <c r="K90" s="13">
        <v>201</v>
      </c>
      <c r="L90" s="13">
        <v>1</v>
      </c>
      <c r="M90" s="13">
        <v>3</v>
      </c>
      <c r="N90" s="13" t="s">
        <v>3</v>
      </c>
      <c r="O90" s="13">
        <v>2</v>
      </c>
      <c r="P90" s="13">
        <f>ROUND(Source!DG88,O90)</f>
        <v>740990.64</v>
      </c>
      <c r="Q90" s="13"/>
      <c r="R90" s="13"/>
      <c r="S90" s="13"/>
      <c r="T90" s="13"/>
      <c r="U90" s="13"/>
      <c r="V90" s="13"/>
      <c r="W90" s="13">
        <v>97162.73</v>
      </c>
      <c r="X90" s="13">
        <v>1</v>
      </c>
      <c r="Y90" s="13">
        <v>97162.73</v>
      </c>
      <c r="Z90" s="13">
        <v>740990.64</v>
      </c>
      <c r="AA90" s="13">
        <v>1</v>
      </c>
      <c r="AB90" s="13">
        <v>740990.64</v>
      </c>
    </row>
    <row r="91" spans="1:255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202</v>
      </c>
      <c r="F91" s="13">
        <f>ROUND(Source!P88,O91)</f>
        <v>97047.99</v>
      </c>
      <c r="G91" s="13" t="s">
        <v>53</v>
      </c>
      <c r="H91" s="13" t="s">
        <v>54</v>
      </c>
      <c r="I91" s="13"/>
      <c r="J91" s="13"/>
      <c r="K91" s="13">
        <v>202</v>
      </c>
      <c r="L91" s="13">
        <v>2</v>
      </c>
      <c r="M91" s="13">
        <v>3</v>
      </c>
      <c r="N91" s="13" t="s">
        <v>3</v>
      </c>
      <c r="O91" s="13">
        <v>2</v>
      </c>
      <c r="P91" s="13">
        <f>ROUND(Source!DH88,O91)</f>
        <v>734549.82</v>
      </c>
      <c r="Q91" s="13"/>
      <c r="R91" s="13"/>
      <c r="S91" s="13"/>
      <c r="T91" s="13"/>
      <c r="U91" s="13"/>
      <c r="V91" s="13"/>
      <c r="W91" s="13">
        <v>97047.99</v>
      </c>
      <c r="X91" s="13">
        <v>1</v>
      </c>
      <c r="Y91" s="13">
        <v>97047.99</v>
      </c>
      <c r="Z91" s="13">
        <v>734549.82</v>
      </c>
      <c r="AA91" s="13">
        <v>1</v>
      </c>
      <c r="AB91" s="13">
        <v>734549.82</v>
      </c>
    </row>
    <row r="92" spans="1:255" ht="13" x14ac:dyDescent="0.3">
      <c r="A92" s="13">
        <v>50</v>
      </c>
      <c r="B92" s="13">
        <v>0</v>
      </c>
      <c r="C92" s="13">
        <v>0</v>
      </c>
      <c r="D92" s="13">
        <v>1</v>
      </c>
      <c r="E92" s="13">
        <v>222</v>
      </c>
      <c r="F92" s="13">
        <f>ROUND(Source!AO88,O92)</f>
        <v>0</v>
      </c>
      <c r="G92" s="13" t="s">
        <v>55</v>
      </c>
      <c r="H92" s="13" t="s">
        <v>56</v>
      </c>
      <c r="I92" s="13"/>
      <c r="J92" s="13"/>
      <c r="K92" s="13">
        <v>222</v>
      </c>
      <c r="L92" s="13">
        <v>3</v>
      </c>
      <c r="M92" s="13">
        <v>3</v>
      </c>
      <c r="N92" s="13" t="s">
        <v>3</v>
      </c>
      <c r="O92" s="13">
        <v>2</v>
      </c>
      <c r="P92" s="13">
        <f>ROUND(Source!EG88,O92)</f>
        <v>0</v>
      </c>
      <c r="Q92" s="13"/>
      <c r="R92" s="13"/>
      <c r="S92" s="13"/>
      <c r="T92" s="13"/>
      <c r="U92" s="13"/>
      <c r="V92" s="13"/>
      <c r="W92" s="13">
        <v>0</v>
      </c>
      <c r="X92" s="13">
        <v>1</v>
      </c>
      <c r="Y92" s="13">
        <v>0</v>
      </c>
      <c r="Z92" s="13">
        <v>0</v>
      </c>
      <c r="AA92" s="13">
        <v>1</v>
      </c>
      <c r="AB92" s="13">
        <v>0</v>
      </c>
    </row>
    <row r="93" spans="1:255" ht="13" x14ac:dyDescent="0.3">
      <c r="A93" s="13">
        <v>50</v>
      </c>
      <c r="B93" s="13">
        <v>0</v>
      </c>
      <c r="C93" s="13">
        <v>0</v>
      </c>
      <c r="D93" s="13">
        <v>1</v>
      </c>
      <c r="E93" s="13">
        <v>225</v>
      </c>
      <c r="F93" s="13">
        <f>ROUND(Source!AV88,O93)</f>
        <v>97047.99</v>
      </c>
      <c r="G93" s="13" t="s">
        <v>57</v>
      </c>
      <c r="H93" s="13" t="s">
        <v>58</v>
      </c>
      <c r="I93" s="13"/>
      <c r="J93" s="13"/>
      <c r="K93" s="13">
        <v>225</v>
      </c>
      <c r="L93" s="13">
        <v>4</v>
      </c>
      <c r="M93" s="13">
        <v>3</v>
      </c>
      <c r="N93" s="13" t="s">
        <v>3</v>
      </c>
      <c r="O93" s="13">
        <v>2</v>
      </c>
      <c r="P93" s="13">
        <f>ROUND(Source!EN88,O93)</f>
        <v>734549.82</v>
      </c>
      <c r="Q93" s="13"/>
      <c r="R93" s="13"/>
      <c r="S93" s="13"/>
      <c r="T93" s="13"/>
      <c r="U93" s="13"/>
      <c r="V93" s="13"/>
      <c r="W93" s="13">
        <v>97047.99</v>
      </c>
      <c r="X93" s="13">
        <v>1</v>
      </c>
      <c r="Y93" s="13">
        <v>97047.99</v>
      </c>
      <c r="Z93" s="13">
        <v>734549.82</v>
      </c>
      <c r="AA93" s="13">
        <v>1</v>
      </c>
      <c r="AB93" s="13">
        <v>734549.82</v>
      </c>
    </row>
    <row r="94" spans="1:255" ht="13" x14ac:dyDescent="0.3">
      <c r="A94" s="13">
        <v>50</v>
      </c>
      <c r="B94" s="13">
        <v>0</v>
      </c>
      <c r="C94" s="13">
        <v>0</v>
      </c>
      <c r="D94" s="13">
        <v>1</v>
      </c>
      <c r="E94" s="13">
        <v>226</v>
      </c>
      <c r="F94" s="13">
        <f>ROUND(Source!AW88,O94)</f>
        <v>43.07</v>
      </c>
      <c r="G94" s="13" t="s">
        <v>59</v>
      </c>
      <c r="H94" s="13" t="s">
        <v>60</v>
      </c>
      <c r="I94" s="13"/>
      <c r="J94" s="13"/>
      <c r="K94" s="13">
        <v>226</v>
      </c>
      <c r="L94" s="13">
        <v>5</v>
      </c>
      <c r="M94" s="13">
        <v>3</v>
      </c>
      <c r="N94" s="13" t="s">
        <v>3</v>
      </c>
      <c r="O94" s="13">
        <v>2</v>
      </c>
      <c r="P94" s="13">
        <f>ROUND(Source!EO88,O94)</f>
        <v>222.58</v>
      </c>
      <c r="Q94" s="13"/>
      <c r="R94" s="13"/>
      <c r="S94" s="13"/>
      <c r="T94" s="13"/>
      <c r="U94" s="13"/>
      <c r="V94" s="13"/>
      <c r="W94" s="13">
        <v>43.07</v>
      </c>
      <c r="X94" s="13">
        <v>1</v>
      </c>
      <c r="Y94" s="13">
        <v>43.07</v>
      </c>
      <c r="Z94" s="13">
        <v>222.58</v>
      </c>
      <c r="AA94" s="13">
        <v>1</v>
      </c>
      <c r="AB94" s="13">
        <v>222.58</v>
      </c>
    </row>
    <row r="95" spans="1:255" ht="13" x14ac:dyDescent="0.3">
      <c r="A95" s="13">
        <v>50</v>
      </c>
      <c r="B95" s="13">
        <v>0</v>
      </c>
      <c r="C95" s="13">
        <v>0</v>
      </c>
      <c r="D95" s="13">
        <v>1</v>
      </c>
      <c r="E95" s="13">
        <v>227</v>
      </c>
      <c r="F95" s="13">
        <f>ROUND(Source!AX88,O95)</f>
        <v>0</v>
      </c>
      <c r="G95" s="13" t="s">
        <v>61</v>
      </c>
      <c r="H95" s="13" t="s">
        <v>62</v>
      </c>
      <c r="I95" s="13"/>
      <c r="J95" s="13"/>
      <c r="K95" s="13">
        <v>227</v>
      </c>
      <c r="L95" s="13">
        <v>6</v>
      </c>
      <c r="M95" s="13">
        <v>3</v>
      </c>
      <c r="N95" s="13" t="s">
        <v>3</v>
      </c>
      <c r="O95" s="13">
        <v>2</v>
      </c>
      <c r="P95" s="13">
        <f>ROUND(Source!EP88,O95)</f>
        <v>0</v>
      </c>
      <c r="Q95" s="13"/>
      <c r="R95" s="13"/>
      <c r="S95" s="13"/>
      <c r="T95" s="13"/>
      <c r="U95" s="13"/>
      <c r="V95" s="13"/>
      <c r="W95" s="13">
        <v>0</v>
      </c>
      <c r="X95" s="13">
        <v>1</v>
      </c>
      <c r="Y95" s="13">
        <v>0</v>
      </c>
      <c r="Z95" s="13">
        <v>0</v>
      </c>
      <c r="AA95" s="13">
        <v>1</v>
      </c>
      <c r="AB95" s="13">
        <v>0</v>
      </c>
    </row>
    <row r="96" spans="1:255" ht="13" x14ac:dyDescent="0.3">
      <c r="A96" s="13">
        <v>50</v>
      </c>
      <c r="B96" s="13">
        <v>0</v>
      </c>
      <c r="C96" s="13">
        <v>0</v>
      </c>
      <c r="D96" s="13">
        <v>1</v>
      </c>
      <c r="E96" s="13">
        <v>228</v>
      </c>
      <c r="F96" s="13">
        <f>ROUND(Source!AY88,O96)</f>
        <v>43.07</v>
      </c>
      <c r="G96" s="13" t="s">
        <v>63</v>
      </c>
      <c r="H96" s="13" t="s">
        <v>64</v>
      </c>
      <c r="I96" s="13"/>
      <c r="J96" s="13"/>
      <c r="K96" s="13">
        <v>228</v>
      </c>
      <c r="L96" s="13">
        <v>7</v>
      </c>
      <c r="M96" s="13">
        <v>3</v>
      </c>
      <c r="N96" s="13" t="s">
        <v>3</v>
      </c>
      <c r="O96" s="13">
        <v>2</v>
      </c>
      <c r="P96" s="13">
        <f>ROUND(Source!EQ88,O96)</f>
        <v>222.58</v>
      </c>
      <c r="Q96" s="13"/>
      <c r="R96" s="13"/>
      <c r="S96" s="13"/>
      <c r="T96" s="13"/>
      <c r="U96" s="13"/>
      <c r="V96" s="13"/>
      <c r="W96" s="13">
        <v>43.07</v>
      </c>
      <c r="X96" s="13">
        <v>1</v>
      </c>
      <c r="Y96" s="13">
        <v>43.07</v>
      </c>
      <c r="Z96" s="13">
        <v>222.58</v>
      </c>
      <c r="AA96" s="13">
        <v>1</v>
      </c>
      <c r="AB96" s="13">
        <v>222.58</v>
      </c>
    </row>
    <row r="97" spans="1:28" ht="13" x14ac:dyDescent="0.3">
      <c r="A97" s="13">
        <v>50</v>
      </c>
      <c r="B97" s="13">
        <v>0</v>
      </c>
      <c r="C97" s="13">
        <v>0</v>
      </c>
      <c r="D97" s="13">
        <v>1</v>
      </c>
      <c r="E97" s="13">
        <v>216</v>
      </c>
      <c r="F97" s="13">
        <f>ROUND(Source!AP88,O97)</f>
        <v>97004.92</v>
      </c>
      <c r="G97" s="13" t="s">
        <v>65</v>
      </c>
      <c r="H97" s="13" t="s">
        <v>66</v>
      </c>
      <c r="I97" s="13"/>
      <c r="J97" s="13"/>
      <c r="K97" s="13">
        <v>216</v>
      </c>
      <c r="L97" s="13">
        <v>8</v>
      </c>
      <c r="M97" s="13">
        <v>3</v>
      </c>
      <c r="N97" s="13" t="s">
        <v>3</v>
      </c>
      <c r="O97" s="13">
        <v>2</v>
      </c>
      <c r="P97" s="13">
        <f>ROUND(Source!EH88,O97)</f>
        <v>734327.24</v>
      </c>
      <c r="Q97" s="13"/>
      <c r="R97" s="13"/>
      <c r="S97" s="13"/>
      <c r="T97" s="13"/>
      <c r="U97" s="13"/>
      <c r="V97" s="13"/>
      <c r="W97" s="13">
        <v>97004.92</v>
      </c>
      <c r="X97" s="13">
        <v>1</v>
      </c>
      <c r="Y97" s="13">
        <v>97004.92</v>
      </c>
      <c r="Z97" s="13">
        <v>734327.24</v>
      </c>
      <c r="AA97" s="13">
        <v>1</v>
      </c>
      <c r="AB97" s="13">
        <v>734327.24</v>
      </c>
    </row>
    <row r="98" spans="1:28" ht="13" x14ac:dyDescent="0.3">
      <c r="A98" s="13">
        <v>50</v>
      </c>
      <c r="B98" s="13">
        <v>0</v>
      </c>
      <c r="C98" s="13">
        <v>0</v>
      </c>
      <c r="D98" s="13">
        <v>1</v>
      </c>
      <c r="E98" s="13">
        <v>223</v>
      </c>
      <c r="F98" s="13">
        <f>ROUND(Source!AQ88,O98)</f>
        <v>0</v>
      </c>
      <c r="G98" s="13" t="s">
        <v>67</v>
      </c>
      <c r="H98" s="13" t="s">
        <v>68</v>
      </c>
      <c r="I98" s="13"/>
      <c r="J98" s="13"/>
      <c r="K98" s="13">
        <v>223</v>
      </c>
      <c r="L98" s="13">
        <v>9</v>
      </c>
      <c r="M98" s="13">
        <v>3</v>
      </c>
      <c r="N98" s="13" t="s">
        <v>3</v>
      </c>
      <c r="O98" s="13">
        <v>2</v>
      </c>
      <c r="P98" s="13">
        <f>ROUND(Source!EI88,O98)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8" ht="13" x14ac:dyDescent="0.3">
      <c r="A99" s="13">
        <v>50</v>
      </c>
      <c r="B99" s="13">
        <v>0</v>
      </c>
      <c r="C99" s="13">
        <v>0</v>
      </c>
      <c r="D99" s="13">
        <v>1</v>
      </c>
      <c r="E99" s="13">
        <v>229</v>
      </c>
      <c r="F99" s="13">
        <f>ROUND(Source!AZ88,O99)</f>
        <v>97004.92</v>
      </c>
      <c r="G99" s="13" t="s">
        <v>69</v>
      </c>
      <c r="H99" s="13" t="s">
        <v>70</v>
      </c>
      <c r="I99" s="13"/>
      <c r="J99" s="13"/>
      <c r="K99" s="13">
        <v>229</v>
      </c>
      <c r="L99" s="13">
        <v>10</v>
      </c>
      <c r="M99" s="13">
        <v>3</v>
      </c>
      <c r="N99" s="13" t="s">
        <v>3</v>
      </c>
      <c r="O99" s="13">
        <v>2</v>
      </c>
      <c r="P99" s="13">
        <f>ROUND(Source!ER88,O99)</f>
        <v>734327.24</v>
      </c>
      <c r="Q99" s="13"/>
      <c r="R99" s="13"/>
      <c r="S99" s="13"/>
      <c r="T99" s="13"/>
      <c r="U99" s="13"/>
      <c r="V99" s="13"/>
      <c r="W99" s="13">
        <v>97004.92</v>
      </c>
      <c r="X99" s="13">
        <v>1</v>
      </c>
      <c r="Y99" s="13">
        <v>97004.92</v>
      </c>
      <c r="Z99" s="13">
        <v>734327.24</v>
      </c>
      <c r="AA99" s="13">
        <v>1</v>
      </c>
      <c r="AB99" s="13">
        <v>734327.24</v>
      </c>
    </row>
    <row r="100" spans="1:28" ht="13" x14ac:dyDescent="0.3">
      <c r="A100" s="13">
        <v>50</v>
      </c>
      <c r="B100" s="13">
        <v>0</v>
      </c>
      <c r="C100" s="13">
        <v>0</v>
      </c>
      <c r="D100" s="13">
        <v>1</v>
      </c>
      <c r="E100" s="13">
        <v>203</v>
      </c>
      <c r="F100" s="13">
        <f>ROUND(Source!Q88,O100)</f>
        <v>0.63</v>
      </c>
      <c r="G100" s="13" t="s">
        <v>71</v>
      </c>
      <c r="H100" s="13" t="s">
        <v>72</v>
      </c>
      <c r="I100" s="13"/>
      <c r="J100" s="13"/>
      <c r="K100" s="13">
        <v>203</v>
      </c>
      <c r="L100" s="13">
        <v>11</v>
      </c>
      <c r="M100" s="13">
        <v>3</v>
      </c>
      <c r="N100" s="13" t="s">
        <v>3</v>
      </c>
      <c r="O100" s="13">
        <v>2</v>
      </c>
      <c r="P100" s="13">
        <f>ROUND(Source!DI88,O100)</f>
        <v>10.72</v>
      </c>
      <c r="Q100" s="13"/>
      <c r="R100" s="13"/>
      <c r="S100" s="13"/>
      <c r="T100" s="13"/>
      <c r="U100" s="13"/>
      <c r="V100" s="13"/>
      <c r="W100" s="13">
        <v>0.63</v>
      </c>
      <c r="X100" s="13">
        <v>1</v>
      </c>
      <c r="Y100" s="13">
        <v>0.63</v>
      </c>
      <c r="Z100" s="13">
        <v>10.72</v>
      </c>
      <c r="AA100" s="13">
        <v>1</v>
      </c>
      <c r="AB100" s="13">
        <v>10.72</v>
      </c>
    </row>
    <row r="101" spans="1:28" ht="13" x14ac:dyDescent="0.3">
      <c r="A101" s="13">
        <v>50</v>
      </c>
      <c r="B101" s="13">
        <v>0</v>
      </c>
      <c r="C101" s="13">
        <v>0</v>
      </c>
      <c r="D101" s="13">
        <v>1</v>
      </c>
      <c r="E101" s="13">
        <v>231</v>
      </c>
      <c r="F101" s="13">
        <f>ROUND(Source!BB88,O101)</f>
        <v>0</v>
      </c>
      <c r="G101" s="13" t="s">
        <v>73</v>
      </c>
      <c r="H101" s="13" t="s">
        <v>74</v>
      </c>
      <c r="I101" s="13"/>
      <c r="J101" s="13"/>
      <c r="K101" s="13">
        <v>231</v>
      </c>
      <c r="L101" s="13">
        <v>12</v>
      </c>
      <c r="M101" s="13">
        <v>3</v>
      </c>
      <c r="N101" s="13" t="s">
        <v>3</v>
      </c>
      <c r="O101" s="13">
        <v>2</v>
      </c>
      <c r="P101" s="13">
        <f>ROUND(Source!ET88,O101)</f>
        <v>0</v>
      </c>
      <c r="Q101" s="13"/>
      <c r="R101" s="13"/>
      <c r="S101" s="13"/>
      <c r="T101" s="13"/>
      <c r="U101" s="13"/>
      <c r="V101" s="13"/>
      <c r="W101" s="13">
        <v>0</v>
      </c>
      <c r="X101" s="13">
        <v>1</v>
      </c>
      <c r="Y101" s="13">
        <v>0</v>
      </c>
      <c r="Z101" s="13">
        <v>0</v>
      </c>
      <c r="AA101" s="13">
        <v>1</v>
      </c>
      <c r="AB101" s="13">
        <v>0</v>
      </c>
    </row>
    <row r="102" spans="1:28" ht="13" x14ac:dyDescent="0.3">
      <c r="A102" s="13">
        <v>50</v>
      </c>
      <c r="B102" s="13">
        <v>0</v>
      </c>
      <c r="C102" s="13">
        <v>0</v>
      </c>
      <c r="D102" s="13">
        <v>1</v>
      </c>
      <c r="E102" s="13">
        <v>204</v>
      </c>
      <c r="F102" s="13">
        <f>ROUND(Source!R88,O102)</f>
        <v>0.1</v>
      </c>
      <c r="G102" s="13" t="s">
        <v>75</v>
      </c>
      <c r="H102" s="13" t="s">
        <v>76</v>
      </c>
      <c r="I102" s="13"/>
      <c r="J102" s="13"/>
      <c r="K102" s="13">
        <v>204</v>
      </c>
      <c r="L102" s="13">
        <v>13</v>
      </c>
      <c r="M102" s="13">
        <v>3</v>
      </c>
      <c r="N102" s="13" t="s">
        <v>3</v>
      </c>
      <c r="O102" s="13">
        <v>2</v>
      </c>
      <c r="P102" s="13">
        <f>ROUND(Source!DJ88,O102)</f>
        <v>5.64</v>
      </c>
      <c r="Q102" s="13"/>
      <c r="R102" s="13"/>
      <c r="S102" s="13"/>
      <c r="T102" s="13"/>
      <c r="U102" s="13"/>
      <c r="V102" s="13"/>
      <c r="W102" s="13">
        <v>0.1</v>
      </c>
      <c r="X102" s="13">
        <v>1</v>
      </c>
      <c r="Y102" s="13">
        <v>0.1</v>
      </c>
      <c r="Z102" s="13">
        <v>5.64</v>
      </c>
      <c r="AA102" s="13">
        <v>1</v>
      </c>
      <c r="AB102" s="13">
        <v>5.64</v>
      </c>
    </row>
    <row r="103" spans="1:28" ht="13" x14ac:dyDescent="0.3">
      <c r="A103" s="13">
        <v>50</v>
      </c>
      <c r="B103" s="13">
        <v>0</v>
      </c>
      <c r="C103" s="13">
        <v>0</v>
      </c>
      <c r="D103" s="13">
        <v>1</v>
      </c>
      <c r="E103" s="13">
        <v>205</v>
      </c>
      <c r="F103" s="13">
        <f>ROUND(Source!S88,O103)</f>
        <v>114.11</v>
      </c>
      <c r="G103" s="13" t="s">
        <v>77</v>
      </c>
      <c r="H103" s="13" t="s">
        <v>78</v>
      </c>
      <c r="I103" s="13"/>
      <c r="J103" s="13"/>
      <c r="K103" s="13">
        <v>205</v>
      </c>
      <c r="L103" s="13">
        <v>14</v>
      </c>
      <c r="M103" s="13">
        <v>3</v>
      </c>
      <c r="N103" s="13" t="s">
        <v>3</v>
      </c>
      <c r="O103" s="13">
        <v>2</v>
      </c>
      <c r="P103" s="13">
        <f>ROUND(Source!DK88,O103)</f>
        <v>6430.1</v>
      </c>
      <c r="Q103" s="13"/>
      <c r="R103" s="13"/>
      <c r="S103" s="13"/>
      <c r="T103" s="13"/>
      <c r="U103" s="13"/>
      <c r="V103" s="13"/>
      <c r="W103" s="13">
        <v>114.11</v>
      </c>
      <c r="X103" s="13">
        <v>1</v>
      </c>
      <c r="Y103" s="13">
        <v>114.11</v>
      </c>
      <c r="Z103" s="13">
        <v>6430.1</v>
      </c>
      <c r="AA103" s="13">
        <v>1</v>
      </c>
      <c r="AB103" s="13">
        <v>6430.1</v>
      </c>
    </row>
    <row r="104" spans="1:28" ht="13" x14ac:dyDescent="0.3">
      <c r="A104" s="13">
        <v>50</v>
      </c>
      <c r="B104" s="13">
        <v>0</v>
      </c>
      <c r="C104" s="13">
        <v>0</v>
      </c>
      <c r="D104" s="13">
        <v>1</v>
      </c>
      <c r="E104" s="13">
        <v>232</v>
      </c>
      <c r="F104" s="13">
        <f>ROUND(Source!BC88,O104)</f>
        <v>0</v>
      </c>
      <c r="G104" s="13" t="s">
        <v>79</v>
      </c>
      <c r="H104" s="13" t="s">
        <v>80</v>
      </c>
      <c r="I104" s="13"/>
      <c r="J104" s="13"/>
      <c r="K104" s="13">
        <v>232</v>
      </c>
      <c r="L104" s="13">
        <v>15</v>
      </c>
      <c r="M104" s="13">
        <v>3</v>
      </c>
      <c r="N104" s="13" t="s">
        <v>3</v>
      </c>
      <c r="O104" s="13">
        <v>2</v>
      </c>
      <c r="P104" s="13">
        <f>ROUND(Source!EU88,O104)</f>
        <v>0</v>
      </c>
      <c r="Q104" s="13"/>
      <c r="R104" s="13"/>
      <c r="S104" s="13"/>
      <c r="T104" s="13"/>
      <c r="U104" s="13"/>
      <c r="V104" s="13"/>
      <c r="W104" s="13">
        <v>0</v>
      </c>
      <c r="X104" s="13">
        <v>1</v>
      </c>
      <c r="Y104" s="13">
        <v>0</v>
      </c>
      <c r="Z104" s="13">
        <v>0</v>
      </c>
      <c r="AA104" s="13">
        <v>1</v>
      </c>
      <c r="AB104" s="13">
        <v>0</v>
      </c>
    </row>
    <row r="105" spans="1:28" ht="13" x14ac:dyDescent="0.3">
      <c r="A105" s="13">
        <v>50</v>
      </c>
      <c r="B105" s="13">
        <v>0</v>
      </c>
      <c r="C105" s="13">
        <v>0</v>
      </c>
      <c r="D105" s="13">
        <v>1</v>
      </c>
      <c r="E105" s="13">
        <v>214</v>
      </c>
      <c r="F105" s="13">
        <f>ROUND(Source!AS88,O105)</f>
        <v>0</v>
      </c>
      <c r="G105" s="13" t="s">
        <v>81</v>
      </c>
      <c r="H105" s="13" t="s">
        <v>82</v>
      </c>
      <c r="I105" s="13"/>
      <c r="J105" s="13"/>
      <c r="K105" s="13">
        <v>214</v>
      </c>
      <c r="L105" s="13">
        <v>16</v>
      </c>
      <c r="M105" s="13">
        <v>3</v>
      </c>
      <c r="N105" s="13" t="s">
        <v>3</v>
      </c>
      <c r="O105" s="13">
        <v>2</v>
      </c>
      <c r="P105" s="13">
        <f>ROUND(Source!EK88,O105)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8" ht="13" x14ac:dyDescent="0.3">
      <c r="A106" s="13">
        <v>50</v>
      </c>
      <c r="B106" s="13">
        <v>0</v>
      </c>
      <c r="C106" s="13">
        <v>0</v>
      </c>
      <c r="D106" s="13">
        <v>1</v>
      </c>
      <c r="E106" s="13">
        <v>215</v>
      </c>
      <c r="F106" s="13">
        <f>ROUND(Source!AT88,O106)</f>
        <v>313.13</v>
      </c>
      <c r="G106" s="13" t="s">
        <v>83</v>
      </c>
      <c r="H106" s="13" t="s">
        <v>84</v>
      </c>
      <c r="I106" s="13"/>
      <c r="J106" s="13"/>
      <c r="K106" s="13">
        <v>215</v>
      </c>
      <c r="L106" s="13">
        <v>17</v>
      </c>
      <c r="M106" s="13">
        <v>3</v>
      </c>
      <c r="N106" s="13" t="s">
        <v>3</v>
      </c>
      <c r="O106" s="13">
        <v>2</v>
      </c>
      <c r="P106" s="13">
        <f>ROUND(Source!EL88,O106)</f>
        <v>15416</v>
      </c>
      <c r="Q106" s="13"/>
      <c r="R106" s="13"/>
      <c r="S106" s="13"/>
      <c r="T106" s="13"/>
      <c r="U106" s="13"/>
      <c r="V106" s="13"/>
      <c r="W106" s="13">
        <v>313.13</v>
      </c>
      <c r="X106" s="13">
        <v>1</v>
      </c>
      <c r="Y106" s="13">
        <v>313.13</v>
      </c>
      <c r="Z106" s="13">
        <v>15416</v>
      </c>
      <c r="AA106" s="13">
        <v>1</v>
      </c>
      <c r="AB106" s="13">
        <v>15416</v>
      </c>
    </row>
    <row r="107" spans="1:28" ht="13" x14ac:dyDescent="0.3">
      <c r="A107" s="13">
        <v>50</v>
      </c>
      <c r="B107" s="13">
        <v>0</v>
      </c>
      <c r="C107" s="13">
        <v>0</v>
      </c>
      <c r="D107" s="13">
        <v>1</v>
      </c>
      <c r="E107" s="13">
        <v>217</v>
      </c>
      <c r="F107" s="13">
        <f>ROUND(Source!AU88,O107)</f>
        <v>0</v>
      </c>
      <c r="G107" s="13" t="s">
        <v>85</v>
      </c>
      <c r="H107" s="13" t="s">
        <v>86</v>
      </c>
      <c r="I107" s="13"/>
      <c r="J107" s="13"/>
      <c r="K107" s="13">
        <v>217</v>
      </c>
      <c r="L107" s="13">
        <v>18</v>
      </c>
      <c r="M107" s="13">
        <v>3</v>
      </c>
      <c r="N107" s="13" t="s">
        <v>3</v>
      </c>
      <c r="O107" s="13">
        <v>2</v>
      </c>
      <c r="P107" s="13">
        <f>ROUND(Source!EM88,O107)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8" ht="13" x14ac:dyDescent="0.3">
      <c r="A108" s="13">
        <v>50</v>
      </c>
      <c r="B108" s="13">
        <v>0</v>
      </c>
      <c r="C108" s="13">
        <v>0</v>
      </c>
      <c r="D108" s="13">
        <v>1</v>
      </c>
      <c r="E108" s="13">
        <v>230</v>
      </c>
      <c r="F108" s="13">
        <f>ROUND(Source!BA88,O108)</f>
        <v>0</v>
      </c>
      <c r="G108" s="13" t="s">
        <v>87</v>
      </c>
      <c r="H108" s="13" t="s">
        <v>88</v>
      </c>
      <c r="I108" s="13"/>
      <c r="J108" s="13"/>
      <c r="K108" s="13">
        <v>230</v>
      </c>
      <c r="L108" s="13">
        <v>19</v>
      </c>
      <c r="M108" s="13">
        <v>3</v>
      </c>
      <c r="N108" s="13" t="s">
        <v>3</v>
      </c>
      <c r="O108" s="13">
        <v>2</v>
      </c>
      <c r="P108" s="13">
        <f>ROUND(Source!ES88,O108)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8" ht="13" x14ac:dyDescent="0.3">
      <c r="A109" s="13">
        <v>50</v>
      </c>
      <c r="B109" s="13">
        <v>0</v>
      </c>
      <c r="C109" s="13">
        <v>0</v>
      </c>
      <c r="D109" s="13">
        <v>1</v>
      </c>
      <c r="E109" s="13">
        <v>206</v>
      </c>
      <c r="F109" s="13">
        <f>ROUND(Source!T88,O109)</f>
        <v>0</v>
      </c>
      <c r="G109" s="13" t="s">
        <v>89</v>
      </c>
      <c r="H109" s="13" t="s">
        <v>90</v>
      </c>
      <c r="I109" s="13"/>
      <c r="J109" s="13"/>
      <c r="K109" s="13">
        <v>206</v>
      </c>
      <c r="L109" s="13">
        <v>20</v>
      </c>
      <c r="M109" s="13">
        <v>3</v>
      </c>
      <c r="N109" s="13" t="s">
        <v>3</v>
      </c>
      <c r="O109" s="13">
        <v>2</v>
      </c>
      <c r="P109" s="13">
        <f>ROUND(Source!DL88,O109)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8" ht="13" x14ac:dyDescent="0.3">
      <c r="A110" s="13">
        <v>50</v>
      </c>
      <c r="B110" s="13">
        <v>0</v>
      </c>
      <c r="C110" s="13">
        <v>0</v>
      </c>
      <c r="D110" s="13">
        <v>1</v>
      </c>
      <c r="E110" s="13">
        <v>207</v>
      </c>
      <c r="F110" s="13">
        <f>Source!U88</f>
        <v>8.8324919999999985</v>
      </c>
      <c r="G110" s="13" t="s">
        <v>91</v>
      </c>
      <c r="H110" s="13" t="s">
        <v>92</v>
      </c>
      <c r="I110" s="13"/>
      <c r="J110" s="13"/>
      <c r="K110" s="13">
        <v>207</v>
      </c>
      <c r="L110" s="13">
        <v>21</v>
      </c>
      <c r="M110" s="13">
        <v>3</v>
      </c>
      <c r="N110" s="13" t="s">
        <v>3</v>
      </c>
      <c r="O110" s="13">
        <v>-1</v>
      </c>
      <c r="P110" s="13">
        <f>Source!DM88</f>
        <v>8.8324919999999985</v>
      </c>
      <c r="Q110" s="13"/>
      <c r="R110" s="13"/>
      <c r="S110" s="13"/>
      <c r="T110" s="13"/>
      <c r="U110" s="13"/>
      <c r="V110" s="13"/>
      <c r="W110" s="13">
        <v>8.8324920000000002</v>
      </c>
      <c r="X110" s="13">
        <v>1</v>
      </c>
      <c r="Y110" s="13">
        <v>8.8324920000000002</v>
      </c>
      <c r="Z110" s="13">
        <v>8.8324920000000002</v>
      </c>
      <c r="AA110" s="13">
        <v>1</v>
      </c>
      <c r="AB110" s="13">
        <v>8.8324920000000002</v>
      </c>
    </row>
    <row r="111" spans="1:28" ht="13" x14ac:dyDescent="0.3">
      <c r="A111" s="13">
        <v>50</v>
      </c>
      <c r="B111" s="13">
        <v>0</v>
      </c>
      <c r="C111" s="13">
        <v>0</v>
      </c>
      <c r="D111" s="13">
        <v>1</v>
      </c>
      <c r="E111" s="13">
        <v>208</v>
      </c>
      <c r="F111" s="13">
        <f>Source!V88</f>
        <v>0</v>
      </c>
      <c r="G111" s="13" t="s">
        <v>93</v>
      </c>
      <c r="H111" s="13" t="s">
        <v>94</v>
      </c>
      <c r="I111" s="13"/>
      <c r="J111" s="13"/>
      <c r="K111" s="13">
        <v>208</v>
      </c>
      <c r="L111" s="13">
        <v>22</v>
      </c>
      <c r="M111" s="13">
        <v>3</v>
      </c>
      <c r="N111" s="13" t="s">
        <v>3</v>
      </c>
      <c r="O111" s="13">
        <v>-1</v>
      </c>
      <c r="P111" s="13">
        <f>Source!DN88</f>
        <v>0</v>
      </c>
      <c r="Q111" s="13"/>
      <c r="R111" s="13"/>
      <c r="S111" s="13"/>
      <c r="T111" s="13"/>
      <c r="U111" s="13"/>
      <c r="V111" s="13"/>
      <c r="W111" s="13">
        <v>0</v>
      </c>
      <c r="X111" s="13">
        <v>1</v>
      </c>
      <c r="Y111" s="13">
        <v>0</v>
      </c>
      <c r="Z111" s="13">
        <v>0</v>
      </c>
      <c r="AA111" s="13">
        <v>1</v>
      </c>
      <c r="AB111" s="13">
        <v>0</v>
      </c>
    </row>
    <row r="112" spans="1:28" ht="13" x14ac:dyDescent="0.3">
      <c r="A112" s="13">
        <v>50</v>
      </c>
      <c r="B112" s="13">
        <v>0</v>
      </c>
      <c r="C112" s="13">
        <v>0</v>
      </c>
      <c r="D112" s="13">
        <v>1</v>
      </c>
      <c r="E112" s="13">
        <v>209</v>
      </c>
      <c r="F112" s="13">
        <f>ROUND(Source!W88,O112)</f>
        <v>0</v>
      </c>
      <c r="G112" s="13" t="s">
        <v>95</v>
      </c>
      <c r="H112" s="13" t="s">
        <v>96</v>
      </c>
      <c r="I112" s="13"/>
      <c r="J112" s="13"/>
      <c r="K112" s="13">
        <v>209</v>
      </c>
      <c r="L112" s="13">
        <v>23</v>
      </c>
      <c r="M112" s="13">
        <v>3</v>
      </c>
      <c r="N112" s="13" t="s">
        <v>3</v>
      </c>
      <c r="O112" s="13">
        <v>2</v>
      </c>
      <c r="P112" s="13">
        <f>ROUND(Source!DO88,O112)</f>
        <v>0</v>
      </c>
      <c r="Q112" s="13"/>
      <c r="R112" s="13"/>
      <c r="S112" s="13"/>
      <c r="T112" s="13"/>
      <c r="U112" s="13"/>
      <c r="V112" s="13"/>
      <c r="W112" s="13">
        <v>0</v>
      </c>
      <c r="X112" s="13">
        <v>1</v>
      </c>
      <c r="Y112" s="13">
        <v>0</v>
      </c>
      <c r="Z112" s="13">
        <v>0</v>
      </c>
      <c r="AA112" s="13">
        <v>1</v>
      </c>
      <c r="AB112" s="13">
        <v>0</v>
      </c>
    </row>
    <row r="113" spans="1:255" ht="13" x14ac:dyDescent="0.3">
      <c r="A113" s="13">
        <v>50</v>
      </c>
      <c r="B113" s="13">
        <v>0</v>
      </c>
      <c r="C113" s="13">
        <v>0</v>
      </c>
      <c r="D113" s="13">
        <v>1</v>
      </c>
      <c r="E113" s="13">
        <v>233</v>
      </c>
      <c r="F113" s="13">
        <f>ROUND(Source!BD88,O113)</f>
        <v>0</v>
      </c>
      <c r="G113" s="13" t="s">
        <v>97</v>
      </c>
      <c r="H113" s="13" t="s">
        <v>98</v>
      </c>
      <c r="I113" s="13"/>
      <c r="J113" s="13"/>
      <c r="K113" s="13">
        <v>233</v>
      </c>
      <c r="L113" s="13">
        <v>24</v>
      </c>
      <c r="M113" s="13">
        <v>3</v>
      </c>
      <c r="N113" s="13" t="s">
        <v>3</v>
      </c>
      <c r="O113" s="13">
        <v>2</v>
      </c>
      <c r="P113" s="13">
        <f>ROUND(Source!EV88,O113)</f>
        <v>0</v>
      </c>
      <c r="Q113" s="13"/>
      <c r="R113" s="13"/>
      <c r="S113" s="13"/>
      <c r="T113" s="13"/>
      <c r="U113" s="13"/>
      <c r="V113" s="13"/>
      <c r="W113" s="13">
        <v>0</v>
      </c>
      <c r="X113" s="13">
        <v>1</v>
      </c>
      <c r="Y113" s="13">
        <v>0</v>
      </c>
      <c r="Z113" s="13">
        <v>0</v>
      </c>
      <c r="AA113" s="13">
        <v>1</v>
      </c>
      <c r="AB113" s="13">
        <v>0</v>
      </c>
    </row>
    <row r="114" spans="1:255" ht="13" x14ac:dyDescent="0.3">
      <c r="A114" s="13">
        <v>50</v>
      </c>
      <c r="B114" s="13">
        <v>0</v>
      </c>
      <c r="C114" s="13">
        <v>0</v>
      </c>
      <c r="D114" s="13">
        <v>1</v>
      </c>
      <c r="E114" s="13">
        <v>210</v>
      </c>
      <c r="F114" s="13">
        <f>ROUND(Source!X88,O114)</f>
        <v>102.79</v>
      </c>
      <c r="G114" s="13" t="s">
        <v>99</v>
      </c>
      <c r="H114" s="13" t="s">
        <v>100</v>
      </c>
      <c r="I114" s="13"/>
      <c r="J114" s="13"/>
      <c r="K114" s="13">
        <v>210</v>
      </c>
      <c r="L114" s="13">
        <v>25</v>
      </c>
      <c r="M114" s="13">
        <v>3</v>
      </c>
      <c r="N114" s="13" t="s">
        <v>3</v>
      </c>
      <c r="O114" s="13">
        <v>2</v>
      </c>
      <c r="P114" s="13">
        <f>ROUND(Source!DP88,O114)</f>
        <v>5792.16</v>
      </c>
      <c r="Q114" s="13"/>
      <c r="R114" s="13"/>
      <c r="S114" s="13"/>
      <c r="T114" s="13"/>
      <c r="U114" s="13"/>
      <c r="V114" s="13"/>
      <c r="W114" s="13">
        <v>102.79</v>
      </c>
      <c r="X114" s="13">
        <v>1</v>
      </c>
      <c r="Y114" s="13">
        <v>102.79</v>
      </c>
      <c r="Z114" s="13">
        <v>5792.16</v>
      </c>
      <c r="AA114" s="13">
        <v>1</v>
      </c>
      <c r="AB114" s="13">
        <v>5792.16</v>
      </c>
    </row>
    <row r="115" spans="1:255" ht="13" x14ac:dyDescent="0.3">
      <c r="A115" s="13">
        <v>50</v>
      </c>
      <c r="B115" s="13">
        <v>0</v>
      </c>
      <c r="C115" s="13">
        <v>0</v>
      </c>
      <c r="D115" s="13">
        <v>1</v>
      </c>
      <c r="E115" s="13">
        <v>211</v>
      </c>
      <c r="F115" s="13">
        <f>ROUND(Source!Y88,O115)</f>
        <v>52.53</v>
      </c>
      <c r="G115" s="13" t="s">
        <v>101</v>
      </c>
      <c r="H115" s="13" t="s">
        <v>102</v>
      </c>
      <c r="I115" s="13"/>
      <c r="J115" s="13"/>
      <c r="K115" s="13">
        <v>211</v>
      </c>
      <c r="L115" s="13">
        <v>26</v>
      </c>
      <c r="M115" s="13">
        <v>3</v>
      </c>
      <c r="N115" s="13" t="s">
        <v>3</v>
      </c>
      <c r="O115" s="13">
        <v>2</v>
      </c>
      <c r="P115" s="13">
        <f>ROUND(Source!DQ88,O115)</f>
        <v>2960.44</v>
      </c>
      <c r="Q115" s="13"/>
      <c r="R115" s="13"/>
      <c r="S115" s="13"/>
      <c r="T115" s="13"/>
      <c r="U115" s="13"/>
      <c r="V115" s="13"/>
      <c r="W115" s="13">
        <v>52.53</v>
      </c>
      <c r="X115" s="13">
        <v>1</v>
      </c>
      <c r="Y115" s="13">
        <v>52.53</v>
      </c>
      <c r="Z115" s="13">
        <v>2960.44</v>
      </c>
      <c r="AA115" s="13">
        <v>1</v>
      </c>
      <c r="AB115" s="13">
        <v>2960.44</v>
      </c>
    </row>
    <row r="116" spans="1:255" ht="13" x14ac:dyDescent="0.3">
      <c r="A116" s="13">
        <v>50</v>
      </c>
      <c r="B116" s="13">
        <v>0</v>
      </c>
      <c r="C116" s="13">
        <v>0</v>
      </c>
      <c r="D116" s="13">
        <v>1</v>
      </c>
      <c r="E116" s="13">
        <v>224</v>
      </c>
      <c r="F116" s="13">
        <f>ROUND(Source!AR88,O116)</f>
        <v>97318.05</v>
      </c>
      <c r="G116" s="13" t="s">
        <v>103</v>
      </c>
      <c r="H116" s="13" t="s">
        <v>104</v>
      </c>
      <c r="I116" s="13"/>
      <c r="J116" s="13"/>
      <c r="K116" s="13">
        <v>224</v>
      </c>
      <c r="L116" s="13">
        <v>27</v>
      </c>
      <c r="M116" s="13">
        <v>3</v>
      </c>
      <c r="N116" s="13" t="s">
        <v>3</v>
      </c>
      <c r="O116" s="13">
        <v>2</v>
      </c>
      <c r="P116" s="13">
        <f>ROUND(Source!EJ88,O116)</f>
        <v>749743.24</v>
      </c>
      <c r="Q116" s="13"/>
      <c r="R116" s="13"/>
      <c r="S116" s="13"/>
      <c r="T116" s="13"/>
      <c r="U116" s="13"/>
      <c r="V116" s="13"/>
      <c r="W116" s="13">
        <v>97318.05</v>
      </c>
      <c r="X116" s="13">
        <v>1</v>
      </c>
      <c r="Y116" s="13">
        <v>97318.05</v>
      </c>
      <c r="Z116" s="13">
        <v>749743.24</v>
      </c>
      <c r="AA116" s="13">
        <v>1</v>
      </c>
      <c r="AB116" s="13">
        <v>749743.24</v>
      </c>
    </row>
    <row r="118" spans="1:255" ht="13" x14ac:dyDescent="0.3">
      <c r="A118" s="10">
        <v>4</v>
      </c>
      <c r="B118" s="10">
        <v>1</v>
      </c>
      <c r="C118" s="10"/>
      <c r="D118" s="10">
        <f>ROW(A127)</f>
        <v>127</v>
      </c>
      <c r="E118" s="10"/>
      <c r="F118" s="10" t="s">
        <v>23</v>
      </c>
      <c r="G118" s="10" t="s">
        <v>141</v>
      </c>
      <c r="H118" s="10" t="s">
        <v>3</v>
      </c>
      <c r="I118" s="10">
        <v>0</v>
      </c>
      <c r="J118" s="10"/>
      <c r="K118" s="10">
        <v>0</v>
      </c>
      <c r="L118" s="10"/>
      <c r="M118" s="10" t="s">
        <v>3</v>
      </c>
      <c r="N118" s="10"/>
      <c r="O118" s="10"/>
      <c r="P118" s="10"/>
      <c r="Q118" s="10"/>
      <c r="R118" s="10"/>
      <c r="S118" s="10">
        <v>0</v>
      </c>
      <c r="T118" s="10">
        <v>0</v>
      </c>
      <c r="U118" s="10" t="s">
        <v>3</v>
      </c>
      <c r="V118" s="10">
        <v>0</v>
      </c>
      <c r="W118" s="10"/>
      <c r="X118" s="10"/>
      <c r="Y118" s="10"/>
      <c r="Z118" s="10"/>
      <c r="AA118" s="10"/>
      <c r="AB118" s="10" t="s">
        <v>3</v>
      </c>
      <c r="AC118" s="10" t="s">
        <v>3</v>
      </c>
      <c r="AD118" s="10" t="s">
        <v>3</v>
      </c>
      <c r="AE118" s="10" t="s">
        <v>3</v>
      </c>
      <c r="AF118" s="10" t="s">
        <v>3</v>
      </c>
      <c r="AG118" s="10" t="s">
        <v>3</v>
      </c>
      <c r="AH118" s="10"/>
      <c r="AI118" s="10"/>
      <c r="AJ118" s="10"/>
      <c r="AK118" s="10"/>
      <c r="AL118" s="10"/>
      <c r="AM118" s="10"/>
      <c r="AN118" s="10"/>
      <c r="AO118" s="10"/>
      <c r="AP118" s="10" t="s">
        <v>3</v>
      </c>
      <c r="AQ118" s="10" t="s">
        <v>3</v>
      </c>
      <c r="AR118" s="10" t="s">
        <v>3</v>
      </c>
      <c r="AS118" s="10"/>
      <c r="AT118" s="10"/>
      <c r="AU118" s="10"/>
      <c r="AV118" s="10"/>
      <c r="AW118" s="10"/>
      <c r="AX118" s="10"/>
      <c r="AY118" s="10"/>
      <c r="AZ118" s="10" t="s">
        <v>3</v>
      </c>
      <c r="BA118" s="10"/>
      <c r="BB118" s="10" t="s">
        <v>3</v>
      </c>
      <c r="BC118" s="10" t="s">
        <v>3</v>
      </c>
      <c r="BD118" s="10" t="s">
        <v>3</v>
      </c>
      <c r="BE118" s="10" t="s">
        <v>3</v>
      </c>
      <c r="BF118" s="10" t="s">
        <v>3</v>
      </c>
      <c r="BG118" s="10" t="s">
        <v>3</v>
      </c>
      <c r="BH118" s="10" t="s">
        <v>3</v>
      </c>
      <c r="BI118" s="10" t="s">
        <v>3</v>
      </c>
      <c r="BJ118" s="10" t="s">
        <v>3</v>
      </c>
      <c r="BK118" s="10" t="s">
        <v>3</v>
      </c>
      <c r="BL118" s="10" t="s">
        <v>3</v>
      </c>
      <c r="BM118" s="10" t="s">
        <v>3</v>
      </c>
      <c r="BN118" s="10" t="s">
        <v>3</v>
      </c>
      <c r="BO118" s="10" t="s">
        <v>3</v>
      </c>
      <c r="BP118" s="10" t="s">
        <v>3</v>
      </c>
      <c r="BQ118" s="10"/>
      <c r="BR118" s="10"/>
      <c r="BS118" s="10"/>
      <c r="BT118" s="10"/>
      <c r="BU118" s="10"/>
      <c r="BV118" s="10"/>
      <c r="BW118" s="10"/>
      <c r="BX118" s="10">
        <v>0</v>
      </c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>
        <v>0</v>
      </c>
    </row>
    <row r="120" spans="1:255" ht="13" x14ac:dyDescent="0.3">
      <c r="A120" s="11">
        <v>52</v>
      </c>
      <c r="B120" s="11">
        <f t="shared" ref="B120:G120" si="99">B127</f>
        <v>1</v>
      </c>
      <c r="C120" s="11">
        <f t="shared" si="99"/>
        <v>4</v>
      </c>
      <c r="D120" s="11">
        <f t="shared" si="99"/>
        <v>118</v>
      </c>
      <c r="E120" s="11">
        <f t="shared" si="99"/>
        <v>0</v>
      </c>
      <c r="F120" s="11" t="str">
        <f t="shared" si="99"/>
        <v>Новый раздел</v>
      </c>
      <c r="G120" s="11" t="str">
        <f t="shared" si="99"/>
        <v>Оборудование устанавливаемое по месту</v>
      </c>
      <c r="H120" s="11"/>
      <c r="I120" s="11"/>
      <c r="J120" s="11"/>
      <c r="K120" s="11"/>
      <c r="L120" s="11"/>
      <c r="M120" s="11"/>
      <c r="N120" s="11"/>
      <c r="O120" s="11">
        <f t="shared" ref="O120:AT120" si="100">O127</f>
        <v>37564.33</v>
      </c>
      <c r="P120" s="11">
        <f t="shared" si="100"/>
        <v>37474.620000000003</v>
      </c>
      <c r="Q120" s="11">
        <f t="shared" si="100"/>
        <v>0</v>
      </c>
      <c r="R120" s="11">
        <f t="shared" si="100"/>
        <v>0</v>
      </c>
      <c r="S120" s="11">
        <f t="shared" si="100"/>
        <v>89.71</v>
      </c>
      <c r="T120" s="11">
        <f t="shared" si="100"/>
        <v>0</v>
      </c>
      <c r="U120" s="11">
        <f t="shared" si="100"/>
        <v>7.5383999999999993</v>
      </c>
      <c r="V120" s="11">
        <f t="shared" si="100"/>
        <v>0</v>
      </c>
      <c r="W120" s="11">
        <f t="shared" si="100"/>
        <v>0</v>
      </c>
      <c r="X120" s="11">
        <f t="shared" si="100"/>
        <v>80.739999999999995</v>
      </c>
      <c r="Y120" s="11">
        <f t="shared" si="100"/>
        <v>41.27</v>
      </c>
      <c r="Z120" s="11">
        <f t="shared" si="100"/>
        <v>0</v>
      </c>
      <c r="AA120" s="11">
        <f t="shared" si="100"/>
        <v>0</v>
      </c>
      <c r="AB120" s="11">
        <f t="shared" si="100"/>
        <v>37564.33</v>
      </c>
      <c r="AC120" s="11">
        <f t="shared" si="100"/>
        <v>37474.620000000003</v>
      </c>
      <c r="AD120" s="11">
        <f t="shared" si="100"/>
        <v>0</v>
      </c>
      <c r="AE120" s="11">
        <f t="shared" si="100"/>
        <v>0</v>
      </c>
      <c r="AF120" s="11">
        <f t="shared" si="100"/>
        <v>89.71</v>
      </c>
      <c r="AG120" s="11">
        <f t="shared" si="100"/>
        <v>0</v>
      </c>
      <c r="AH120" s="11">
        <f t="shared" si="100"/>
        <v>7.5383999999999993</v>
      </c>
      <c r="AI120" s="11">
        <f t="shared" si="100"/>
        <v>0</v>
      </c>
      <c r="AJ120" s="11">
        <f t="shared" si="100"/>
        <v>0</v>
      </c>
      <c r="AK120" s="11">
        <f t="shared" si="100"/>
        <v>80.739999999999995</v>
      </c>
      <c r="AL120" s="11">
        <f t="shared" si="100"/>
        <v>41.27</v>
      </c>
      <c r="AM120" s="11">
        <f t="shared" si="100"/>
        <v>0</v>
      </c>
      <c r="AN120" s="11">
        <f t="shared" si="100"/>
        <v>0</v>
      </c>
      <c r="AO120" s="11">
        <f t="shared" si="100"/>
        <v>0</v>
      </c>
      <c r="AP120" s="11">
        <f t="shared" si="100"/>
        <v>37472.879999999997</v>
      </c>
      <c r="AQ120" s="11">
        <f t="shared" si="100"/>
        <v>0</v>
      </c>
      <c r="AR120" s="11">
        <f t="shared" si="100"/>
        <v>37686.339999999997</v>
      </c>
      <c r="AS120" s="11">
        <f t="shared" si="100"/>
        <v>0</v>
      </c>
      <c r="AT120" s="11">
        <f t="shared" si="100"/>
        <v>213.46</v>
      </c>
      <c r="AU120" s="11">
        <f t="shared" ref="AU120:BZ120" si="101">AU127</f>
        <v>0</v>
      </c>
      <c r="AV120" s="11">
        <f t="shared" si="101"/>
        <v>37474.620000000003</v>
      </c>
      <c r="AW120" s="11">
        <f t="shared" si="101"/>
        <v>1.74</v>
      </c>
      <c r="AX120" s="11">
        <f t="shared" si="101"/>
        <v>0</v>
      </c>
      <c r="AY120" s="11">
        <f t="shared" si="101"/>
        <v>1.74</v>
      </c>
      <c r="AZ120" s="11">
        <f t="shared" si="101"/>
        <v>37472.879999999997</v>
      </c>
      <c r="BA120" s="11">
        <f t="shared" si="101"/>
        <v>0</v>
      </c>
      <c r="BB120" s="11">
        <f t="shared" si="101"/>
        <v>0</v>
      </c>
      <c r="BC120" s="11">
        <f t="shared" si="101"/>
        <v>0</v>
      </c>
      <c r="BD120" s="11">
        <f t="shared" si="101"/>
        <v>0</v>
      </c>
      <c r="BE120" s="11">
        <f t="shared" si="101"/>
        <v>0</v>
      </c>
      <c r="BF120" s="11">
        <f t="shared" si="101"/>
        <v>0</v>
      </c>
      <c r="BG120" s="11">
        <f t="shared" si="101"/>
        <v>0</v>
      </c>
      <c r="BH120" s="11">
        <f t="shared" si="101"/>
        <v>0</v>
      </c>
      <c r="BI120" s="11">
        <f t="shared" si="101"/>
        <v>0</v>
      </c>
      <c r="BJ120" s="11">
        <f t="shared" si="101"/>
        <v>0</v>
      </c>
      <c r="BK120" s="11">
        <f t="shared" si="101"/>
        <v>0</v>
      </c>
      <c r="BL120" s="11">
        <f t="shared" si="101"/>
        <v>0</v>
      </c>
      <c r="BM120" s="11">
        <f t="shared" si="101"/>
        <v>0</v>
      </c>
      <c r="BN120" s="11">
        <f t="shared" si="101"/>
        <v>0</v>
      </c>
      <c r="BO120" s="11">
        <f t="shared" si="101"/>
        <v>0</v>
      </c>
      <c r="BP120" s="11">
        <f t="shared" si="101"/>
        <v>0</v>
      </c>
      <c r="BQ120" s="11">
        <f t="shared" si="101"/>
        <v>0</v>
      </c>
      <c r="BR120" s="11">
        <f t="shared" si="101"/>
        <v>0</v>
      </c>
      <c r="BS120" s="11">
        <f t="shared" si="101"/>
        <v>0</v>
      </c>
      <c r="BT120" s="11">
        <f t="shared" si="101"/>
        <v>0</v>
      </c>
      <c r="BU120" s="11">
        <f t="shared" si="101"/>
        <v>0</v>
      </c>
      <c r="BV120" s="11">
        <f t="shared" si="101"/>
        <v>0</v>
      </c>
      <c r="BW120" s="11">
        <f t="shared" si="101"/>
        <v>0</v>
      </c>
      <c r="BX120" s="11">
        <f t="shared" si="101"/>
        <v>0</v>
      </c>
      <c r="BY120" s="11">
        <f t="shared" si="101"/>
        <v>37472.879999999997</v>
      </c>
      <c r="BZ120" s="11">
        <f t="shared" si="101"/>
        <v>0</v>
      </c>
      <c r="CA120" s="11">
        <f t="shared" ref="CA120:DF120" si="102">CA127</f>
        <v>37686.339999999997</v>
      </c>
      <c r="CB120" s="11">
        <f t="shared" si="102"/>
        <v>0</v>
      </c>
      <c r="CC120" s="11">
        <f t="shared" si="102"/>
        <v>213.46</v>
      </c>
      <c r="CD120" s="11">
        <f t="shared" si="102"/>
        <v>0</v>
      </c>
      <c r="CE120" s="11">
        <f t="shared" si="102"/>
        <v>37474.620000000003</v>
      </c>
      <c r="CF120" s="11">
        <f t="shared" si="102"/>
        <v>1.7400000000052387</v>
      </c>
      <c r="CG120" s="11">
        <f t="shared" si="102"/>
        <v>0</v>
      </c>
      <c r="CH120" s="11">
        <f t="shared" si="102"/>
        <v>1.7400000000052387</v>
      </c>
      <c r="CI120" s="11">
        <f t="shared" si="102"/>
        <v>37472.879999999997</v>
      </c>
      <c r="CJ120" s="11">
        <f t="shared" si="102"/>
        <v>0</v>
      </c>
      <c r="CK120" s="11">
        <f t="shared" si="102"/>
        <v>0</v>
      </c>
      <c r="CL120" s="11">
        <f t="shared" si="102"/>
        <v>0</v>
      </c>
      <c r="CM120" s="11">
        <f t="shared" si="102"/>
        <v>0</v>
      </c>
      <c r="CN120" s="11">
        <f t="shared" si="102"/>
        <v>0</v>
      </c>
      <c r="CO120" s="11">
        <f t="shared" si="102"/>
        <v>0</v>
      </c>
      <c r="CP120" s="11">
        <f t="shared" si="102"/>
        <v>0</v>
      </c>
      <c r="CQ120" s="11">
        <f t="shared" si="102"/>
        <v>0</v>
      </c>
      <c r="CR120" s="11">
        <f t="shared" si="102"/>
        <v>0</v>
      </c>
      <c r="CS120" s="11">
        <f t="shared" si="102"/>
        <v>0</v>
      </c>
      <c r="CT120" s="11">
        <f t="shared" si="102"/>
        <v>0</v>
      </c>
      <c r="CU120" s="11">
        <f t="shared" si="102"/>
        <v>0</v>
      </c>
      <c r="CV120" s="11">
        <f t="shared" si="102"/>
        <v>0</v>
      </c>
      <c r="CW120" s="11">
        <f t="shared" si="102"/>
        <v>0</v>
      </c>
      <c r="CX120" s="11">
        <f t="shared" si="102"/>
        <v>0</v>
      </c>
      <c r="CY120" s="11">
        <f t="shared" si="102"/>
        <v>0</v>
      </c>
      <c r="CZ120" s="11">
        <f t="shared" si="102"/>
        <v>0</v>
      </c>
      <c r="DA120" s="11">
        <f t="shared" si="102"/>
        <v>0</v>
      </c>
      <c r="DB120" s="11">
        <f t="shared" si="102"/>
        <v>0</v>
      </c>
      <c r="DC120" s="11">
        <f t="shared" si="102"/>
        <v>0</v>
      </c>
      <c r="DD120" s="11">
        <f t="shared" si="102"/>
        <v>0</v>
      </c>
      <c r="DE120" s="11">
        <f t="shared" si="102"/>
        <v>0</v>
      </c>
      <c r="DF120" s="11">
        <f t="shared" si="102"/>
        <v>0</v>
      </c>
      <c r="DG120" s="12">
        <f t="shared" ref="DG120:EL120" si="103">DG127</f>
        <v>288737.09000000003</v>
      </c>
      <c r="DH120" s="12">
        <f t="shared" si="103"/>
        <v>283681.93</v>
      </c>
      <c r="DI120" s="12">
        <f t="shared" si="103"/>
        <v>0</v>
      </c>
      <c r="DJ120" s="12">
        <f t="shared" si="103"/>
        <v>0</v>
      </c>
      <c r="DK120" s="12">
        <f t="shared" si="103"/>
        <v>5055.16</v>
      </c>
      <c r="DL120" s="12">
        <f t="shared" si="103"/>
        <v>0</v>
      </c>
      <c r="DM120" s="12">
        <f t="shared" si="103"/>
        <v>7.5383999999999993</v>
      </c>
      <c r="DN120" s="12">
        <f t="shared" si="103"/>
        <v>0</v>
      </c>
      <c r="DO120" s="12">
        <f t="shared" si="103"/>
        <v>0</v>
      </c>
      <c r="DP120" s="12">
        <f t="shared" si="103"/>
        <v>4549.6400000000003</v>
      </c>
      <c r="DQ120" s="12">
        <f t="shared" si="103"/>
        <v>2325.37</v>
      </c>
      <c r="DR120" s="12">
        <f t="shared" si="103"/>
        <v>0</v>
      </c>
      <c r="DS120" s="12">
        <f t="shared" si="103"/>
        <v>0</v>
      </c>
      <c r="DT120" s="12">
        <f t="shared" si="103"/>
        <v>288737.09000000003</v>
      </c>
      <c r="DU120" s="12">
        <f t="shared" si="103"/>
        <v>283681.93</v>
      </c>
      <c r="DV120" s="12">
        <f t="shared" si="103"/>
        <v>0</v>
      </c>
      <c r="DW120" s="12">
        <f t="shared" si="103"/>
        <v>0</v>
      </c>
      <c r="DX120" s="12">
        <f t="shared" si="103"/>
        <v>5055.16</v>
      </c>
      <c r="DY120" s="12">
        <f t="shared" si="103"/>
        <v>0</v>
      </c>
      <c r="DZ120" s="12">
        <f t="shared" si="103"/>
        <v>7.5383999999999993</v>
      </c>
      <c r="EA120" s="12">
        <f t="shared" si="103"/>
        <v>0</v>
      </c>
      <c r="EB120" s="12">
        <f t="shared" si="103"/>
        <v>0</v>
      </c>
      <c r="EC120" s="12">
        <f t="shared" si="103"/>
        <v>4549.6400000000003</v>
      </c>
      <c r="ED120" s="12">
        <f t="shared" si="103"/>
        <v>2325.37</v>
      </c>
      <c r="EE120" s="12">
        <f t="shared" si="103"/>
        <v>0</v>
      </c>
      <c r="EF120" s="12">
        <f t="shared" si="103"/>
        <v>0</v>
      </c>
      <c r="EG120" s="12">
        <f t="shared" si="103"/>
        <v>0</v>
      </c>
      <c r="EH120" s="12">
        <f t="shared" si="103"/>
        <v>283669.7</v>
      </c>
      <c r="EI120" s="12">
        <f t="shared" si="103"/>
        <v>0</v>
      </c>
      <c r="EJ120" s="12">
        <f t="shared" si="103"/>
        <v>295612.09999999998</v>
      </c>
      <c r="EK120" s="12">
        <f t="shared" si="103"/>
        <v>0</v>
      </c>
      <c r="EL120" s="12">
        <f t="shared" si="103"/>
        <v>11942.4</v>
      </c>
      <c r="EM120" s="12">
        <f t="shared" ref="EM120:FR120" si="104">EM127</f>
        <v>0</v>
      </c>
      <c r="EN120" s="12">
        <f t="shared" si="104"/>
        <v>283681.93</v>
      </c>
      <c r="EO120" s="12">
        <f t="shared" si="104"/>
        <v>12.23</v>
      </c>
      <c r="EP120" s="12">
        <f t="shared" si="104"/>
        <v>0</v>
      </c>
      <c r="EQ120" s="12">
        <f t="shared" si="104"/>
        <v>12.23</v>
      </c>
      <c r="ER120" s="12">
        <f t="shared" si="104"/>
        <v>283669.7</v>
      </c>
      <c r="ES120" s="12">
        <f t="shared" si="104"/>
        <v>0</v>
      </c>
      <c r="ET120" s="12">
        <f t="shared" si="104"/>
        <v>0</v>
      </c>
      <c r="EU120" s="12">
        <f t="shared" si="104"/>
        <v>0</v>
      </c>
      <c r="EV120" s="12">
        <f t="shared" si="104"/>
        <v>0</v>
      </c>
      <c r="EW120" s="12">
        <f t="shared" si="104"/>
        <v>0</v>
      </c>
      <c r="EX120" s="12">
        <f t="shared" si="104"/>
        <v>0</v>
      </c>
      <c r="EY120" s="12">
        <f t="shared" si="104"/>
        <v>0</v>
      </c>
      <c r="EZ120" s="12">
        <f t="shared" si="104"/>
        <v>0</v>
      </c>
      <c r="FA120" s="12">
        <f t="shared" si="104"/>
        <v>0</v>
      </c>
      <c r="FB120" s="12">
        <f t="shared" si="104"/>
        <v>0</v>
      </c>
      <c r="FC120" s="12">
        <f t="shared" si="104"/>
        <v>0</v>
      </c>
      <c r="FD120" s="12">
        <f t="shared" si="104"/>
        <v>0</v>
      </c>
      <c r="FE120" s="12">
        <f t="shared" si="104"/>
        <v>0</v>
      </c>
      <c r="FF120" s="12">
        <f t="shared" si="104"/>
        <v>0</v>
      </c>
      <c r="FG120" s="12">
        <f t="shared" si="104"/>
        <v>0</v>
      </c>
      <c r="FH120" s="12">
        <f t="shared" si="104"/>
        <v>0</v>
      </c>
      <c r="FI120" s="12">
        <f t="shared" si="104"/>
        <v>0</v>
      </c>
      <c r="FJ120" s="12">
        <f t="shared" si="104"/>
        <v>0</v>
      </c>
      <c r="FK120" s="12">
        <f t="shared" si="104"/>
        <v>0</v>
      </c>
      <c r="FL120" s="12">
        <f t="shared" si="104"/>
        <v>0</v>
      </c>
      <c r="FM120" s="12">
        <f t="shared" si="104"/>
        <v>0</v>
      </c>
      <c r="FN120" s="12">
        <f t="shared" si="104"/>
        <v>0</v>
      </c>
      <c r="FO120" s="12">
        <f t="shared" si="104"/>
        <v>0</v>
      </c>
      <c r="FP120" s="12">
        <f t="shared" si="104"/>
        <v>0</v>
      </c>
      <c r="FQ120" s="12">
        <f t="shared" si="104"/>
        <v>283669.7</v>
      </c>
      <c r="FR120" s="12">
        <f t="shared" si="104"/>
        <v>0</v>
      </c>
      <c r="FS120" s="12">
        <f t="shared" ref="FS120:GX120" si="105">FS127</f>
        <v>295612.09999999998</v>
      </c>
      <c r="FT120" s="12">
        <f t="shared" si="105"/>
        <v>0</v>
      </c>
      <c r="FU120" s="12">
        <f t="shared" si="105"/>
        <v>11942.4</v>
      </c>
      <c r="FV120" s="12">
        <f t="shared" si="105"/>
        <v>0</v>
      </c>
      <c r="FW120" s="12">
        <f t="shared" si="105"/>
        <v>283681.93</v>
      </c>
      <c r="FX120" s="12">
        <f t="shared" si="105"/>
        <v>12.229999999981374</v>
      </c>
      <c r="FY120" s="12">
        <f t="shared" si="105"/>
        <v>0</v>
      </c>
      <c r="FZ120" s="12">
        <f t="shared" si="105"/>
        <v>12.229999999981374</v>
      </c>
      <c r="GA120" s="12">
        <f t="shared" si="105"/>
        <v>283669.7</v>
      </c>
      <c r="GB120" s="12">
        <f t="shared" si="105"/>
        <v>0</v>
      </c>
      <c r="GC120" s="12">
        <f t="shared" si="105"/>
        <v>0</v>
      </c>
      <c r="GD120" s="12">
        <f t="shared" si="105"/>
        <v>0</v>
      </c>
      <c r="GE120" s="12">
        <f t="shared" si="105"/>
        <v>0</v>
      </c>
      <c r="GF120" s="12">
        <f t="shared" si="105"/>
        <v>0</v>
      </c>
      <c r="GG120" s="12">
        <f t="shared" si="105"/>
        <v>0</v>
      </c>
      <c r="GH120" s="12">
        <f t="shared" si="105"/>
        <v>0</v>
      </c>
      <c r="GI120" s="12">
        <f t="shared" si="105"/>
        <v>0</v>
      </c>
      <c r="GJ120" s="12">
        <f t="shared" si="105"/>
        <v>0</v>
      </c>
      <c r="GK120" s="12">
        <f t="shared" si="105"/>
        <v>0</v>
      </c>
      <c r="GL120" s="12">
        <f t="shared" si="105"/>
        <v>0</v>
      </c>
      <c r="GM120" s="12">
        <f t="shared" si="105"/>
        <v>0</v>
      </c>
      <c r="GN120" s="12">
        <f t="shared" si="105"/>
        <v>0</v>
      </c>
      <c r="GO120" s="12">
        <f t="shared" si="105"/>
        <v>0</v>
      </c>
      <c r="GP120" s="12">
        <f t="shared" si="105"/>
        <v>0</v>
      </c>
      <c r="GQ120" s="12">
        <f t="shared" si="105"/>
        <v>0</v>
      </c>
      <c r="GR120" s="12">
        <f t="shared" si="105"/>
        <v>0</v>
      </c>
      <c r="GS120" s="12">
        <f t="shared" si="105"/>
        <v>0</v>
      </c>
      <c r="GT120" s="12">
        <f t="shared" si="105"/>
        <v>0</v>
      </c>
      <c r="GU120" s="12">
        <f t="shared" si="105"/>
        <v>0</v>
      </c>
      <c r="GV120" s="12">
        <f t="shared" si="105"/>
        <v>0</v>
      </c>
      <c r="GW120" s="12">
        <f t="shared" si="105"/>
        <v>0</v>
      </c>
      <c r="GX120" s="12">
        <f t="shared" si="105"/>
        <v>0</v>
      </c>
    </row>
    <row r="122" spans="1:255" x14ac:dyDescent="0.25">
      <c r="A122" s="2">
        <v>17</v>
      </c>
      <c r="B122" s="2">
        <v>1</v>
      </c>
      <c r="C122" s="2">
        <f>ROW(SmtRes!A74)</f>
        <v>74</v>
      </c>
      <c r="D122" s="2">
        <f>ROW(EtalonRes!A80)</f>
        <v>80</v>
      </c>
      <c r="E122" s="2" t="s">
        <v>142</v>
      </c>
      <c r="F122" s="2" t="s">
        <v>48</v>
      </c>
      <c r="G122" s="2" t="s">
        <v>143</v>
      </c>
      <c r="H122" s="2" t="s">
        <v>28</v>
      </c>
      <c r="I122" s="2">
        <v>3</v>
      </c>
      <c r="J122" s="2">
        <v>0</v>
      </c>
      <c r="K122" s="2">
        <v>3</v>
      </c>
      <c r="L122" s="2"/>
      <c r="M122" s="2"/>
      <c r="N122" s="2"/>
      <c r="O122" s="2">
        <f>ROUND(CP122,2)</f>
        <v>91.45</v>
      </c>
      <c r="P122" s="2">
        <f>ROUND((ROUND((AC122*AW122*I122),2)*BC122),2)</f>
        <v>1.74</v>
      </c>
      <c r="Q122" s="2">
        <f>(ROUND((ROUND((((ET122*1.2))*AV122*I122),2)*BB122),2)+ROUND((ROUND(((AE122-((EU122*1.2)))*AV122*I122),2)*BS122),2))</f>
        <v>0</v>
      </c>
      <c r="R122" s="2">
        <f>(ROUND((ROUND((((EU122*1.2))*AV122*I122),2)*BS122),2)+ROUND((ROUND(((AE122-((EU122*1.2)))*AV122*I122),2)*BS122),2))</f>
        <v>0</v>
      </c>
      <c r="S122" s="2">
        <f>ROUND((ROUND((AF122*AV122*I122),2)*BA122),2)</f>
        <v>89.71</v>
      </c>
      <c r="T122" s="2">
        <f>ROUND(CU122*I122,2)</f>
        <v>0</v>
      </c>
      <c r="U122" s="2">
        <f>CV122*I122</f>
        <v>7.5383999999999993</v>
      </c>
      <c r="V122" s="2">
        <f>CW122*I122</f>
        <v>0</v>
      </c>
      <c r="W122" s="2">
        <f>ROUND(CX122*I122,2)</f>
        <v>0</v>
      </c>
      <c r="X122" s="2">
        <f>(ROUND((((S122+ROUND((ROUND((((EU122*1.2))*AV122*I122),2)*BS122),2))*AT122)/100),2)+ROUND(((ROUND((ROUND(((AE122-((EU122*1.2)))*AV122*I122),2)*BS122),2)*AT122)/100),2))</f>
        <v>80.739999999999995</v>
      </c>
      <c r="Y122" s="2">
        <f>(ROUND((((S122+ROUND((ROUND((((EU122*1.2))*AV122*I122),2)*BS122),2))*AU122)/100),2)+ROUND(((ROUND((ROUND(((AE122-((EU122*1.2)))*AV122*I122),2)*BS122),2)*AU122)/100),2))</f>
        <v>41.27</v>
      </c>
      <c r="Z122" s="2"/>
      <c r="AA122" s="2">
        <v>55942966</v>
      </c>
      <c r="AB122" s="2">
        <f>ROUND((AC122+AD122+AF122),6)</f>
        <v>29.14</v>
      </c>
      <c r="AC122" s="2">
        <f>ROUND(((ES122*1)),6)</f>
        <v>0.57999999999999996</v>
      </c>
      <c r="AD122" s="2">
        <f>ROUND(((((ET122*1.2))-((EU122*1.2)))+AE122),6)</f>
        <v>0</v>
      </c>
      <c r="AE122" s="2">
        <f>ROUND(((EU122*1.2)),6)</f>
        <v>0</v>
      </c>
      <c r="AF122" s="2">
        <f>ROUND(((EV122*1.2)),6)</f>
        <v>28.56</v>
      </c>
      <c r="AG122" s="2">
        <f>ROUND((AP122),6)</f>
        <v>0</v>
      </c>
      <c r="AH122" s="2">
        <f>((EW122*1.2))</f>
        <v>2.4</v>
      </c>
      <c r="AI122" s="2">
        <f>((EX122*1.2))</f>
        <v>0</v>
      </c>
      <c r="AJ122" s="2">
        <f>(AS122)</f>
        <v>0</v>
      </c>
      <c r="AK122" s="2">
        <v>24.38</v>
      </c>
      <c r="AL122" s="2">
        <v>0.57999999999999996</v>
      </c>
      <c r="AM122" s="2">
        <v>0</v>
      </c>
      <c r="AN122" s="2">
        <v>0</v>
      </c>
      <c r="AO122" s="2">
        <v>23.8</v>
      </c>
      <c r="AP122" s="2">
        <v>0</v>
      </c>
      <c r="AQ122" s="2">
        <v>2</v>
      </c>
      <c r="AR122" s="2">
        <v>0</v>
      </c>
      <c r="AS122" s="2">
        <v>0</v>
      </c>
      <c r="AT122" s="2">
        <v>90</v>
      </c>
      <c r="AU122" s="2">
        <v>46</v>
      </c>
      <c r="AV122" s="2">
        <v>1.0469999999999999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0</v>
      </c>
      <c r="BI122" s="2">
        <v>2</v>
      </c>
      <c r="BJ122" s="2" t="s">
        <v>50</v>
      </c>
      <c r="BK122" s="2"/>
      <c r="BL122" s="2"/>
      <c r="BM122" s="2">
        <v>68</v>
      </c>
      <c r="BN122" s="2">
        <v>0</v>
      </c>
      <c r="BO122" s="2" t="s">
        <v>48</v>
      </c>
      <c r="BP122" s="2">
        <v>1</v>
      </c>
      <c r="BQ122" s="2">
        <v>40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90</v>
      </c>
      <c r="CA122" s="2">
        <v>46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285</v>
      </c>
      <c r="CO122" s="2">
        <v>0</v>
      </c>
      <c r="CP122" s="2">
        <f>(P122+Q122+S122)</f>
        <v>91.449999999999989</v>
      </c>
      <c r="CQ122" s="2">
        <f>ROUND((ROUND((AC122*AW122*1),2)*BC122),2)</f>
        <v>0.57999999999999996</v>
      </c>
      <c r="CR122" s="2">
        <f>(ROUND((ROUND((((ET122*1.2))*AV122*1),2)*BB122),2)+ROUND((ROUND(((AE122-((EU122*1.2)))*AV122*1),2)*BS122),2))</f>
        <v>0</v>
      </c>
      <c r="CS122" s="2">
        <f>(ROUND((ROUND((((EU122*1.2))*AV122*1),2)*BS122),2)+ROUND((ROUND(((AE122-((EU122*1.2)))*AV122*1),2)*BS122),2))</f>
        <v>0</v>
      </c>
      <c r="CT122" s="2">
        <f>ROUND((ROUND((AF122*AV122*1),2)*BA122),2)</f>
        <v>29.9</v>
      </c>
      <c r="CU122" s="2">
        <f>AG122</f>
        <v>0</v>
      </c>
      <c r="CV122" s="2">
        <f>(AH122*AV122)</f>
        <v>2.5127999999999999</v>
      </c>
      <c r="CW122" s="2">
        <f t="shared" ref="CW122:CX125" si="106">AI122</f>
        <v>0</v>
      </c>
      <c r="CX122" s="2">
        <f t="shared" si="106"/>
        <v>0</v>
      </c>
      <c r="CY122" s="2">
        <f>(ROUND((((S122+ROUND((ROUND((((EU122*1.2))*AV122*1),2)*BS122),2))*AT122)/100),2)+ROUND(((ROUND((ROUND(((AE122-((EU122*1.2)))*AV122*1),2)*BS122),2)*AT122)/100),2))</f>
        <v>80.739999999999995</v>
      </c>
      <c r="CZ122" s="2">
        <f>(ROUND((((S122+ROUND((ROUND((((EU122*1.2))*AV122*1),2)*BS122),2))*AU122)/100),2)+ROUND(((ROUND((ROUND(((AE122-((EU122*1.2)))*AV122*1),2)*BS122),2)*AU122)/100),2))</f>
        <v>41.27</v>
      </c>
      <c r="DA122" s="2"/>
      <c r="DB122" s="2">
        <v>27</v>
      </c>
      <c r="DC122" s="2" t="s">
        <v>3</v>
      </c>
      <c r="DD122" s="2" t="s">
        <v>108</v>
      </c>
      <c r="DE122" s="2" t="s">
        <v>109</v>
      </c>
      <c r="DF122" s="2" t="s">
        <v>109</v>
      </c>
      <c r="DG122" s="2" t="s">
        <v>109</v>
      </c>
      <c r="DH122" s="2" t="s">
        <v>3</v>
      </c>
      <c r="DI122" s="2" t="s">
        <v>109</v>
      </c>
      <c r="DJ122" s="2" t="s">
        <v>109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1013</v>
      </c>
      <c r="DV122" s="2" t="s">
        <v>28</v>
      </c>
      <c r="DW122" s="2" t="s">
        <v>28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55393972</v>
      </c>
      <c r="EF122" s="2">
        <v>40</v>
      </c>
      <c r="EG122" s="2" t="s">
        <v>32</v>
      </c>
      <c r="EH122" s="2">
        <v>0</v>
      </c>
      <c r="EI122" s="2" t="s">
        <v>3</v>
      </c>
      <c r="EJ122" s="2">
        <v>2</v>
      </c>
      <c r="EK122" s="2">
        <v>68</v>
      </c>
      <c r="EL122" s="2" t="s">
        <v>33</v>
      </c>
      <c r="EM122" s="2" t="s">
        <v>34</v>
      </c>
      <c r="EN122" s="2"/>
      <c r="EO122" s="2" t="s">
        <v>110</v>
      </c>
      <c r="EP122" s="2"/>
      <c r="EQ122" s="2">
        <v>131072</v>
      </c>
      <c r="ER122" s="2">
        <v>24.38</v>
      </c>
      <c r="ES122" s="2">
        <v>0.57999999999999996</v>
      </c>
      <c r="ET122" s="2">
        <v>0</v>
      </c>
      <c r="EU122" s="2">
        <v>0</v>
      </c>
      <c r="EV122" s="2">
        <v>23.8</v>
      </c>
      <c r="EW122" s="2">
        <v>2</v>
      </c>
      <c r="EX122" s="2">
        <v>0</v>
      </c>
      <c r="EY122" s="2">
        <v>0</v>
      </c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v>0</v>
      </c>
      <c r="FS122" s="2">
        <v>0</v>
      </c>
      <c r="FT122" s="2"/>
      <c r="FU122" s="2"/>
      <c r="FV122" s="2"/>
      <c r="FW122" s="2"/>
      <c r="FX122" s="2">
        <v>90</v>
      </c>
      <c r="FY122" s="2">
        <v>46</v>
      </c>
      <c r="FZ122" s="2"/>
      <c r="GA122" s="2" t="s">
        <v>3</v>
      </c>
      <c r="GB122" s="2"/>
      <c r="GC122" s="2"/>
      <c r="GD122" s="2">
        <v>1</v>
      </c>
      <c r="GE122" s="2"/>
      <c r="GF122" s="2">
        <v>1819152192</v>
      </c>
      <c r="GG122" s="2">
        <v>2</v>
      </c>
      <c r="GH122" s="2">
        <v>1</v>
      </c>
      <c r="GI122" s="2">
        <v>2</v>
      </c>
      <c r="GJ122" s="2">
        <v>0</v>
      </c>
      <c r="GK122" s="2">
        <v>0</v>
      </c>
      <c r="GL122" s="2">
        <f>ROUND(IF(AND(BH122=3,BI122=3,FS122&lt;&gt;0),P122,0),2)</f>
        <v>0</v>
      </c>
      <c r="GM122" s="2">
        <f>ROUND(O122+X122+Y122,2)+GX122</f>
        <v>213.46</v>
      </c>
      <c r="GN122" s="2">
        <f>IF(OR(BI122=0,BI122=1),GM122-GX122,0)</f>
        <v>0</v>
      </c>
      <c r="GO122" s="2">
        <f>IF(BI122=2,GM122-GX122,0)</f>
        <v>213.46</v>
      </c>
      <c r="GP122" s="2">
        <f>IF(BI122=4,GM122-GX122,0)</f>
        <v>0</v>
      </c>
      <c r="GQ122" s="2"/>
      <c r="GR122" s="2">
        <v>0</v>
      </c>
      <c r="GS122" s="2">
        <v>3</v>
      </c>
      <c r="GT122" s="2">
        <v>0</v>
      </c>
      <c r="GU122" s="2" t="s">
        <v>3</v>
      </c>
      <c r="GV122" s="2">
        <f>ROUND((GT122),6)</f>
        <v>0</v>
      </c>
      <c r="GW122" s="2">
        <v>1</v>
      </c>
      <c r="GX122" s="2">
        <f>ROUND(HC122*I122,2)</f>
        <v>0</v>
      </c>
      <c r="GY122" s="2"/>
      <c r="GZ122" s="2"/>
      <c r="HA122" s="2">
        <v>0</v>
      </c>
      <c r="HB122" s="2">
        <v>0</v>
      </c>
      <c r="HC122" s="2">
        <f>GV122*GW122</f>
        <v>0</v>
      </c>
      <c r="HD122" s="2"/>
      <c r="HE122" s="2" t="s">
        <v>3</v>
      </c>
      <c r="HF122" s="2" t="s">
        <v>3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5">
      <c r="A123" s="3">
        <v>17</v>
      </c>
      <c r="B123" s="3">
        <v>1</v>
      </c>
      <c r="C123" s="3">
        <f>ROW(SmtRes!A78)</f>
        <v>78</v>
      </c>
      <c r="D123" s="3">
        <f>ROW(EtalonRes!A84)</f>
        <v>84</v>
      </c>
      <c r="E123" s="3" t="s">
        <v>142</v>
      </c>
      <c r="F123" s="3" t="s">
        <v>48</v>
      </c>
      <c r="G123" s="3" t="s">
        <v>143</v>
      </c>
      <c r="H123" s="3" t="s">
        <v>28</v>
      </c>
      <c r="I123" s="3">
        <v>3</v>
      </c>
      <c r="J123" s="3">
        <v>0</v>
      </c>
      <c r="K123" s="3">
        <v>3</v>
      </c>
      <c r="O123" s="3">
        <f>ROUND(CP123,2)</f>
        <v>5067.3900000000003</v>
      </c>
      <c r="P123" s="3">
        <f>ROUND((ROUND((AC123*AW123*I123),2)*BC123),2)</f>
        <v>12.23</v>
      </c>
      <c r="Q123" s="3">
        <f>(ROUND((ROUND((((ET123*1.2))*AV123*I123),2)*BB123),2)+ROUND((ROUND(((AE123-((EU123*1.2)))*AV123*I123),2)*BS123),2))</f>
        <v>0</v>
      </c>
      <c r="R123" s="3">
        <f>(ROUND((ROUND((((EU123*1.2))*AV123*I123),2)*BS123),2)+ROUND((ROUND(((AE123-((EU123*1.2)))*AV123*I123),2)*BS123),2))</f>
        <v>0</v>
      </c>
      <c r="S123" s="3">
        <f>ROUND((ROUND((AF123*AV123*I123),2)*BA123),2)</f>
        <v>5055.16</v>
      </c>
      <c r="T123" s="3">
        <f>ROUND(CU123*I123,2)</f>
        <v>0</v>
      </c>
      <c r="U123" s="3">
        <f>CV123*I123</f>
        <v>7.5383999999999993</v>
      </c>
      <c r="V123" s="3">
        <f>CW123*I123</f>
        <v>0</v>
      </c>
      <c r="W123" s="3">
        <f>ROUND(CX123*I123,2)</f>
        <v>0</v>
      </c>
      <c r="X123" s="3">
        <f>(ROUND((((S123+ROUND((ROUND((((EU123*1.2))*AV123*I123),2)*BS123),2))*AT123)/100),2)+ROUND(((ROUND((ROUND(((AE123-((EU123*1.2)))*AV123*I123),2)*BS123),2)*AT123)/100),2))</f>
        <v>4549.6400000000003</v>
      </c>
      <c r="Y123" s="3">
        <f>(ROUND((((S123+ROUND((ROUND((((EU123*1.2))*AV123*I123),2)*BS123),2))*AU123)/100),2)+ROUND(((ROUND((ROUND(((AE123-((EU123*1.2)))*AV123*I123),2)*BS123),2)*AU123)/100),2))</f>
        <v>2325.37</v>
      </c>
      <c r="AA123" s="3">
        <v>55942968</v>
      </c>
      <c r="AB123" s="3">
        <f>ROUND((AC123+AD123+AF123),6)</f>
        <v>29.14</v>
      </c>
      <c r="AC123" s="3">
        <f>ROUND(((ES123*1)),6)</f>
        <v>0.57999999999999996</v>
      </c>
      <c r="AD123" s="3">
        <f>ROUND(((((ET123*1.2))-((EU123*1.2)))+AE123),6)</f>
        <v>0</v>
      </c>
      <c r="AE123" s="3">
        <f>ROUND(((EU123*1.2)),6)</f>
        <v>0</v>
      </c>
      <c r="AF123" s="3">
        <f>ROUND(((EV123*1.2)),6)</f>
        <v>28.56</v>
      </c>
      <c r="AG123" s="3">
        <f>ROUND((AP123),6)</f>
        <v>0</v>
      </c>
      <c r="AH123" s="3">
        <f>((EW123*1.2))</f>
        <v>2.4</v>
      </c>
      <c r="AI123" s="3">
        <f>((EX123*1.2))</f>
        <v>0</v>
      </c>
      <c r="AJ123" s="3">
        <f>(AS123)</f>
        <v>0</v>
      </c>
      <c r="AK123" s="3">
        <v>24.38</v>
      </c>
      <c r="AL123" s="3">
        <v>0.57999999999999996</v>
      </c>
      <c r="AM123" s="3">
        <v>0</v>
      </c>
      <c r="AN123" s="3">
        <v>0</v>
      </c>
      <c r="AO123" s="3">
        <v>23.8</v>
      </c>
      <c r="AP123" s="3">
        <v>0</v>
      </c>
      <c r="AQ123" s="3">
        <v>2</v>
      </c>
      <c r="AR123" s="3">
        <v>0</v>
      </c>
      <c r="AS123" s="3">
        <v>0</v>
      </c>
      <c r="AT123" s="3">
        <v>90</v>
      </c>
      <c r="AU123" s="3">
        <v>46</v>
      </c>
      <c r="AV123" s="3">
        <v>1.0469999999999999</v>
      </c>
      <c r="AW123" s="3">
        <v>1</v>
      </c>
      <c r="AZ123" s="3">
        <v>1</v>
      </c>
      <c r="BA123" s="3">
        <v>56.35</v>
      </c>
      <c r="BB123" s="3">
        <v>1</v>
      </c>
      <c r="BC123" s="3">
        <v>7.03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0</v>
      </c>
      <c r="BI123" s="3">
        <v>2</v>
      </c>
      <c r="BJ123" s="3" t="s">
        <v>50</v>
      </c>
      <c r="BM123" s="3">
        <v>68</v>
      </c>
      <c r="BN123" s="3">
        <v>0</v>
      </c>
      <c r="BO123" s="3" t="s">
        <v>48</v>
      </c>
      <c r="BP123" s="3">
        <v>1</v>
      </c>
      <c r="BQ123" s="3">
        <v>40</v>
      </c>
      <c r="BR123" s="3">
        <v>0</v>
      </c>
      <c r="BS123" s="3">
        <v>56.35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90</v>
      </c>
      <c r="CA123" s="3">
        <v>46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285</v>
      </c>
      <c r="CO123" s="3">
        <v>0</v>
      </c>
      <c r="CP123" s="3">
        <f>(P123+Q123+S123)</f>
        <v>5067.3899999999994</v>
      </c>
      <c r="CQ123" s="3">
        <f>ROUND((ROUND((AC123*AW123*1),2)*BC123),2)</f>
        <v>4.08</v>
      </c>
      <c r="CR123" s="3">
        <f>(ROUND((ROUND((((ET123*1.2))*AV123*1),2)*BB123),2)+ROUND((ROUND(((AE123-((EU123*1.2)))*AV123*1),2)*BS123),2))</f>
        <v>0</v>
      </c>
      <c r="CS123" s="3">
        <f>(ROUND((ROUND((((EU123*1.2))*AV123*1),2)*BS123),2)+ROUND((ROUND(((AE123-((EU123*1.2)))*AV123*1),2)*BS123),2))</f>
        <v>0</v>
      </c>
      <c r="CT123" s="3">
        <f>ROUND((ROUND((AF123*AV123*1),2)*BA123),2)</f>
        <v>1684.87</v>
      </c>
      <c r="CU123" s="3">
        <f>AG123</f>
        <v>0</v>
      </c>
      <c r="CV123" s="3">
        <f>(AH123*AV123)</f>
        <v>2.5127999999999999</v>
      </c>
      <c r="CW123" s="3">
        <f t="shared" si="106"/>
        <v>0</v>
      </c>
      <c r="CX123" s="3">
        <f t="shared" si="106"/>
        <v>0</v>
      </c>
      <c r="CY123" s="3">
        <f>(ROUND((((S123+ROUND((ROUND((((EU123*1.2))*AV123*1),2)*BS123),2))*AT123)/100),2)+ROUND(((ROUND((ROUND(((AE123-((EU123*1.2)))*AV123*1),2)*BS123),2)*AT123)/100),2))</f>
        <v>4549.6400000000003</v>
      </c>
      <c r="CZ123" s="3">
        <f>(ROUND((((S123+ROUND((ROUND((((EU123*1.2))*AV123*1),2)*BS123),2))*AU123)/100),2)+ROUND(((ROUND((ROUND(((AE123-((EU123*1.2)))*AV123*1),2)*BS123),2)*AU123)/100),2))</f>
        <v>2325.37</v>
      </c>
      <c r="DB123" s="3">
        <v>28</v>
      </c>
      <c r="DC123" s="3" t="s">
        <v>3</v>
      </c>
      <c r="DD123" s="3" t="s">
        <v>108</v>
      </c>
      <c r="DE123" s="3" t="s">
        <v>109</v>
      </c>
      <c r="DF123" s="3" t="s">
        <v>109</v>
      </c>
      <c r="DG123" s="3" t="s">
        <v>109</v>
      </c>
      <c r="DH123" s="3" t="s">
        <v>3</v>
      </c>
      <c r="DI123" s="3" t="s">
        <v>109</v>
      </c>
      <c r="DJ123" s="3" t="s">
        <v>109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1013</v>
      </c>
      <c r="DV123" s="3" t="s">
        <v>28</v>
      </c>
      <c r="DW123" s="3" t="s">
        <v>28</v>
      </c>
      <c r="DX123" s="3">
        <v>1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55393972</v>
      </c>
      <c r="EF123" s="3">
        <v>40</v>
      </c>
      <c r="EG123" s="3" t="s">
        <v>32</v>
      </c>
      <c r="EH123" s="3">
        <v>0</v>
      </c>
      <c r="EI123" s="3" t="s">
        <v>3</v>
      </c>
      <c r="EJ123" s="3">
        <v>2</v>
      </c>
      <c r="EK123" s="3">
        <v>68</v>
      </c>
      <c r="EL123" s="3" t="s">
        <v>33</v>
      </c>
      <c r="EM123" s="3" t="s">
        <v>34</v>
      </c>
      <c r="EO123" s="3" t="s">
        <v>110</v>
      </c>
      <c r="EQ123" s="3">
        <v>131072</v>
      </c>
      <c r="ER123" s="3">
        <v>24.38</v>
      </c>
      <c r="ES123" s="3">
        <v>0.57999999999999996</v>
      </c>
      <c r="ET123" s="3">
        <v>0</v>
      </c>
      <c r="EU123" s="3">
        <v>0</v>
      </c>
      <c r="EV123" s="3">
        <v>23.8</v>
      </c>
      <c r="EW123" s="3">
        <v>2</v>
      </c>
      <c r="EX123" s="3">
        <v>0</v>
      </c>
      <c r="EY123" s="3">
        <v>0</v>
      </c>
      <c r="FQ123" s="3">
        <v>0</v>
      </c>
      <c r="FR123" s="3">
        <v>0</v>
      </c>
      <c r="FS123" s="3">
        <v>0</v>
      </c>
      <c r="FX123" s="3">
        <v>90</v>
      </c>
      <c r="FY123" s="3">
        <v>46</v>
      </c>
      <c r="GA123" s="3" t="s">
        <v>3</v>
      </c>
      <c r="GD123" s="3">
        <v>1</v>
      </c>
      <c r="GF123" s="3">
        <v>1819152192</v>
      </c>
      <c r="GG123" s="3">
        <v>2</v>
      </c>
      <c r="GH123" s="3">
        <v>1</v>
      </c>
      <c r="GI123" s="3">
        <v>2</v>
      </c>
      <c r="GJ123" s="3">
        <v>0</v>
      </c>
      <c r="GK123" s="3">
        <v>0</v>
      </c>
      <c r="GL123" s="3">
        <f>ROUND(IF(AND(BH123=3,BI123=3,FS123&lt;&gt;0),P123,0),2)</f>
        <v>0</v>
      </c>
      <c r="GM123" s="3">
        <f>ROUND(O123+X123+Y123,2)+GX123</f>
        <v>11942.4</v>
      </c>
      <c r="GN123" s="3">
        <f>IF(OR(BI123=0,BI123=1),GM123-GX123,0)</f>
        <v>0</v>
      </c>
      <c r="GO123" s="3">
        <f>IF(BI123=2,GM123-GX123,0)</f>
        <v>11942.4</v>
      </c>
      <c r="GP123" s="3">
        <f>IF(BI123=4,GM123-GX123,0)</f>
        <v>0</v>
      </c>
      <c r="GR123" s="3">
        <v>0</v>
      </c>
      <c r="GS123" s="3">
        <v>3</v>
      </c>
      <c r="GT123" s="3">
        <v>0</v>
      </c>
      <c r="GU123" s="3" t="s">
        <v>3</v>
      </c>
      <c r="GV123" s="3">
        <f>ROUND((GT123),6)</f>
        <v>0</v>
      </c>
      <c r="GW123" s="3">
        <v>1</v>
      </c>
      <c r="GX123" s="3">
        <f>ROUND(HC123*I123,2)</f>
        <v>0</v>
      </c>
      <c r="HA123" s="3">
        <v>0</v>
      </c>
      <c r="HB123" s="3">
        <v>0</v>
      </c>
      <c r="HC123" s="3">
        <f>GV123*GW123</f>
        <v>0</v>
      </c>
      <c r="HE123" s="3" t="s">
        <v>3</v>
      </c>
      <c r="HF123" s="3" t="s">
        <v>3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5">
      <c r="A124" s="2">
        <v>17</v>
      </c>
      <c r="B124" s="2">
        <v>1</v>
      </c>
      <c r="C124" s="2"/>
      <c r="D124" s="2"/>
      <c r="E124" s="2" t="s">
        <v>144</v>
      </c>
      <c r="F124" s="2" t="s">
        <v>145</v>
      </c>
      <c r="G124" s="2" t="s">
        <v>146</v>
      </c>
      <c r="H124" s="2" t="s">
        <v>114</v>
      </c>
      <c r="I124" s="2">
        <v>3</v>
      </c>
      <c r="J124" s="2">
        <v>0</v>
      </c>
      <c r="K124" s="2">
        <v>3</v>
      </c>
      <c r="L124" s="2"/>
      <c r="M124" s="2"/>
      <c r="N124" s="2"/>
      <c r="O124" s="2">
        <f>ROUND(CP124,2)</f>
        <v>37472.879999999997</v>
      </c>
      <c r="P124" s="2">
        <f>ROUND((ROUND((AC124*I124),2)*BC124),2)</f>
        <v>37472.879999999997</v>
      </c>
      <c r="Q124" s="2">
        <f>(ROUND((ROUND(((ET124)*AV124*I124),2)*BB124),2)+ROUND((ROUND(((AE124-(EU124))*AV124*I124),2)*BS124),2))</f>
        <v>0</v>
      </c>
      <c r="R124" s="2">
        <f>(ROUND((ROUND(((EU124)*AV124*I124),2)*BS124),2)+ROUND((ROUND(((AE124-(EU124))*AV124*I124),2)*BS124),2))</f>
        <v>0</v>
      </c>
      <c r="S124" s="2">
        <f>ROUND((ROUND((AF124*AV124*I124),2)*BA124),2)</f>
        <v>0</v>
      </c>
      <c r="T124" s="2">
        <f>ROUND(CU124*I124,2)</f>
        <v>0</v>
      </c>
      <c r="U124" s="2">
        <f>CV124*I124</f>
        <v>0</v>
      </c>
      <c r="V124" s="2">
        <f>CW124*I124</f>
        <v>0</v>
      </c>
      <c r="W124" s="2">
        <f>ROUND(CX124*I124,2)</f>
        <v>0</v>
      </c>
      <c r="X124" s="2">
        <f>(ROUND((((S124+ROUND((ROUND(((EU124)*AV124*I124),2)*BS124),2))*AT124)/100),2)+ROUND(((ROUND((ROUND(((AE124-(EU124))*AV124*I124),2)*BS124),2)*AT124)/100),2))</f>
        <v>0</v>
      </c>
      <c r="Y124" s="2">
        <f>(ROUND((((S124+ROUND((ROUND(((EU124)*AV124*I124),2)*BS124),2))*AU124)/100),2)+ROUND(((ROUND((ROUND(((AE124-(EU124))*AV124*I124),2)*BS124),2)*AU124)/100),2))</f>
        <v>0</v>
      </c>
      <c r="Z124" s="2"/>
      <c r="AA124" s="2">
        <v>55942966</v>
      </c>
      <c r="AB124" s="2">
        <f>ROUND((AC124+AD124+AF124),6)</f>
        <v>12490.96</v>
      </c>
      <c r="AC124" s="2">
        <f>ROUND((ES124),6)</f>
        <v>12490.96</v>
      </c>
      <c r="AD124" s="2">
        <f>ROUND((((ET124)-(EU124))+AE124),6)</f>
        <v>0</v>
      </c>
      <c r="AE124" s="2">
        <f>ROUND((EU124),6)</f>
        <v>0</v>
      </c>
      <c r="AF124" s="2">
        <f>ROUND((EV124),6)</f>
        <v>0</v>
      </c>
      <c r="AG124" s="2">
        <f>ROUND((AP124),6)</f>
        <v>0</v>
      </c>
      <c r="AH124" s="2">
        <f>(EW124)</f>
        <v>0</v>
      </c>
      <c r="AI124" s="2">
        <f>(EX124)</f>
        <v>0</v>
      </c>
      <c r="AJ124" s="2">
        <f>(AS124)</f>
        <v>0</v>
      </c>
      <c r="AK124" s="2">
        <v>12490.960000000001</v>
      </c>
      <c r="AL124" s="2">
        <v>12490.960000000001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1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3</v>
      </c>
      <c r="BI124" s="2">
        <v>3</v>
      </c>
      <c r="BJ124" s="2" t="s">
        <v>3</v>
      </c>
      <c r="BK124" s="2"/>
      <c r="BL124" s="2"/>
      <c r="BM124" s="2">
        <v>746</v>
      </c>
      <c r="BN124" s="2">
        <v>0</v>
      </c>
      <c r="BO124" s="2" t="s">
        <v>3</v>
      </c>
      <c r="BP124" s="2">
        <v>0</v>
      </c>
      <c r="BQ124" s="2">
        <v>130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0</v>
      </c>
      <c r="CA124" s="2">
        <v>0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3</v>
      </c>
      <c r="CO124" s="2">
        <v>0</v>
      </c>
      <c r="CP124" s="2">
        <f>(P124+Q124+S124)</f>
        <v>37472.879999999997</v>
      </c>
      <c r="CQ124" s="2">
        <f>ROUND((ROUND((AC124*1),2)*BC124),2)</f>
        <v>12490.96</v>
      </c>
      <c r="CR124" s="2">
        <f>(ROUND((ROUND(((ET124)*AV124*1),2)*BB124),2)+ROUND((ROUND(((AE124-(EU124))*AV124*1),2)*BS124),2))</f>
        <v>0</v>
      </c>
      <c r="CS124" s="2">
        <f>(ROUND((ROUND(((EU124)*AV124*1),2)*BS124),2)+ROUND((ROUND(((AE124-(EU124))*AV124*1),2)*BS124),2))</f>
        <v>0</v>
      </c>
      <c r="CT124" s="2">
        <f>ROUND((ROUND((AF124*AV124*1),2)*BA124),2)</f>
        <v>0</v>
      </c>
      <c r="CU124" s="2">
        <f>AG124</f>
        <v>0</v>
      </c>
      <c r="CV124" s="2">
        <f>(AH124*AV124)</f>
        <v>0</v>
      </c>
      <c r="CW124" s="2">
        <f t="shared" si="106"/>
        <v>0</v>
      </c>
      <c r="CX124" s="2">
        <f t="shared" si="106"/>
        <v>0</v>
      </c>
      <c r="CY124" s="2">
        <f>(ROUND((((S124+ROUND((ROUND(((EU124)*AV124*1),2)*BS124),2))*AT124)/100),2)+ROUND(((ROUND((ROUND(((AE124-(EU124))*AV124*1),2)*BS124),2)*AT124)/100),2))</f>
        <v>0</v>
      </c>
      <c r="CZ124" s="2">
        <f>(ROUND((((S124+ROUND((ROUND(((EU124)*AV124*1),2)*BS124),2))*AU124)/100),2)+ROUND(((ROUND((ROUND(((AE124-(EU124))*AV124*1),2)*BS124),2)*AU124)/100),2))</f>
        <v>0</v>
      </c>
      <c r="DA124" s="2"/>
      <c r="DB124" s="2"/>
      <c r="DC124" s="2" t="s">
        <v>3</v>
      </c>
      <c r="DD124" s="2" t="s">
        <v>3</v>
      </c>
      <c r="DE124" s="2" t="s">
        <v>3</v>
      </c>
      <c r="DF124" s="2" t="s">
        <v>3</v>
      </c>
      <c r="DG124" s="2" t="s">
        <v>3</v>
      </c>
      <c r="DH124" s="2" t="s">
        <v>3</v>
      </c>
      <c r="DI124" s="2" t="s">
        <v>3</v>
      </c>
      <c r="DJ124" s="2" t="s">
        <v>3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1010</v>
      </c>
      <c r="DV124" s="2" t="s">
        <v>114</v>
      </c>
      <c r="DW124" s="2" t="s">
        <v>114</v>
      </c>
      <c r="DX124" s="2">
        <v>1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55393877</v>
      </c>
      <c r="EF124" s="2">
        <v>130</v>
      </c>
      <c r="EG124" s="2" t="s">
        <v>115</v>
      </c>
      <c r="EH124" s="2">
        <v>0</v>
      </c>
      <c r="EI124" s="2" t="s">
        <v>3</v>
      </c>
      <c r="EJ124" s="2">
        <v>3</v>
      </c>
      <c r="EK124" s="2">
        <v>746</v>
      </c>
      <c r="EL124" s="2" t="s">
        <v>116</v>
      </c>
      <c r="EM124" s="2" t="s">
        <v>117</v>
      </c>
      <c r="EN124" s="2"/>
      <c r="EO124" s="2" t="s">
        <v>3</v>
      </c>
      <c r="EP124" s="2"/>
      <c r="EQ124" s="2">
        <v>131072</v>
      </c>
      <c r="ER124" s="2">
        <v>0</v>
      </c>
      <c r="ES124" s="2">
        <v>12490.960000000001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f>P124</f>
        <v>37472.879999999997</v>
      </c>
      <c r="FS124" s="2">
        <v>0</v>
      </c>
      <c r="FT124" s="2"/>
      <c r="FU124" s="2"/>
      <c r="FV124" s="2"/>
      <c r="FW124" s="2"/>
      <c r="FX124" s="2">
        <v>0</v>
      </c>
      <c r="FY124" s="2">
        <v>0</v>
      </c>
      <c r="FZ124" s="2"/>
      <c r="GA124" s="2" t="s">
        <v>147</v>
      </c>
      <c r="GB124" s="2"/>
      <c r="GC124" s="2"/>
      <c r="GD124" s="2">
        <v>1</v>
      </c>
      <c r="GE124" s="2"/>
      <c r="GF124" s="2">
        <v>313033476</v>
      </c>
      <c r="GG124" s="2">
        <v>2</v>
      </c>
      <c r="GH124" s="2">
        <v>4</v>
      </c>
      <c r="GI124" s="2">
        <v>-2</v>
      </c>
      <c r="GJ124" s="2">
        <v>0</v>
      </c>
      <c r="GK124" s="2">
        <v>0</v>
      </c>
      <c r="GL124" s="2">
        <f>ROUND(IF(AND(BH124=3,BI124=3,FS124&lt;&gt;0),P124,0),2)</f>
        <v>0</v>
      </c>
      <c r="GM124" s="2">
        <f>ROUND(O124+X124+Y124,2)+GX124</f>
        <v>37472.879999999997</v>
      </c>
      <c r="GN124" s="2">
        <f>IF(OR(BI124=0,BI124=1),GM124-GX124,0)</f>
        <v>0</v>
      </c>
      <c r="GO124" s="2">
        <f>IF(BI124=2,GM124-GX124,0)</f>
        <v>0</v>
      </c>
      <c r="GP124" s="2">
        <f>IF(BI124=4,GM124-GX124,0)</f>
        <v>0</v>
      </c>
      <c r="GQ124" s="2"/>
      <c r="GR124" s="2">
        <v>0</v>
      </c>
      <c r="GS124" s="2">
        <v>2</v>
      </c>
      <c r="GT124" s="2">
        <v>0</v>
      </c>
      <c r="GU124" s="2" t="s">
        <v>3</v>
      </c>
      <c r="GV124" s="2">
        <f>ROUND((GT124),6)</f>
        <v>0</v>
      </c>
      <c r="GW124" s="2">
        <v>1</v>
      </c>
      <c r="GX124" s="2">
        <f>ROUND(HC124*I124,2)</f>
        <v>0</v>
      </c>
      <c r="GY124" s="2"/>
      <c r="GZ124" s="2"/>
      <c r="HA124" s="2">
        <v>0</v>
      </c>
      <c r="HB124" s="2">
        <v>0</v>
      </c>
      <c r="HC124" s="2">
        <f>GV124*GW124</f>
        <v>0</v>
      </c>
      <c r="HD124" s="2"/>
      <c r="HE124" s="2" t="s">
        <v>43</v>
      </c>
      <c r="HF124" s="2" t="s">
        <v>119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5">
      <c r="A125" s="3">
        <v>17</v>
      </c>
      <c r="B125" s="3">
        <v>1</v>
      </c>
      <c r="E125" s="3" t="s">
        <v>144</v>
      </c>
      <c r="F125" s="3" t="s">
        <v>145</v>
      </c>
      <c r="G125" s="3" t="s">
        <v>146</v>
      </c>
      <c r="H125" s="3" t="s">
        <v>114</v>
      </c>
      <c r="I125" s="3">
        <v>3</v>
      </c>
      <c r="J125" s="3">
        <v>0</v>
      </c>
      <c r="K125" s="3">
        <v>3</v>
      </c>
      <c r="O125" s="3">
        <f>ROUND(CP125,2)</f>
        <v>283669.7</v>
      </c>
      <c r="P125" s="3">
        <f>ROUND((ROUND((AC125*I125),2)*BC125),2)</f>
        <v>283669.7</v>
      </c>
      <c r="Q125" s="3">
        <f>(ROUND((ROUND(((ET125)*AV125*I125),2)*BB125),2)+ROUND((ROUND(((AE125-(EU125))*AV125*I125),2)*BS125),2))</f>
        <v>0</v>
      </c>
      <c r="R125" s="3">
        <f>(ROUND((ROUND(((EU125)*AV125*I125),2)*BS125),2)+ROUND((ROUND(((AE125-(EU125))*AV125*I125),2)*BS125),2))</f>
        <v>0</v>
      </c>
      <c r="S125" s="3">
        <f>ROUND((ROUND((AF125*AV125*I125),2)*BA125),2)</f>
        <v>0</v>
      </c>
      <c r="T125" s="3">
        <f>ROUND(CU125*I125,2)</f>
        <v>0</v>
      </c>
      <c r="U125" s="3">
        <f>CV125*I125</f>
        <v>0</v>
      </c>
      <c r="V125" s="3">
        <f>CW125*I125</f>
        <v>0</v>
      </c>
      <c r="W125" s="3">
        <f>ROUND(CX125*I125,2)</f>
        <v>0</v>
      </c>
      <c r="X125" s="3">
        <f>(ROUND((((S125+ROUND((ROUND(((EU125)*AV125*I125),2)*BS125),2))*AT125)/100),2)+ROUND(((ROUND((ROUND(((AE125-(EU125))*AV125*I125),2)*BS125),2)*AT125)/100),2))</f>
        <v>0</v>
      </c>
      <c r="Y125" s="3">
        <f>(ROUND((((S125+ROUND((ROUND(((EU125)*AV125*I125),2)*BS125),2))*AU125)/100),2)+ROUND(((ROUND((ROUND(((AE125-(EU125))*AV125*I125),2)*BS125),2)*AU125)/100),2))</f>
        <v>0</v>
      </c>
      <c r="AA125" s="3">
        <v>55942968</v>
      </c>
      <c r="AB125" s="3">
        <f>ROUND((AC125+AD125+AF125),6)</f>
        <v>12490.96</v>
      </c>
      <c r="AC125" s="3">
        <f>ROUND((ES125),6)</f>
        <v>12490.96</v>
      </c>
      <c r="AD125" s="3">
        <f>ROUND((((ET125)-(EU125))+AE125),6)</f>
        <v>0</v>
      </c>
      <c r="AE125" s="3">
        <f>ROUND((EU125),6)</f>
        <v>0</v>
      </c>
      <c r="AF125" s="3">
        <f>ROUND((EV125),6)</f>
        <v>0</v>
      </c>
      <c r="AG125" s="3">
        <f>ROUND((AP125),6)</f>
        <v>0</v>
      </c>
      <c r="AH125" s="3">
        <f>(EW125)</f>
        <v>0</v>
      </c>
      <c r="AI125" s="3">
        <f>(EX125)</f>
        <v>0</v>
      </c>
      <c r="AJ125" s="3">
        <f>(AS125)</f>
        <v>0</v>
      </c>
      <c r="AK125" s="3">
        <v>12490.960000000001</v>
      </c>
      <c r="AL125" s="3">
        <v>12490.960000000001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1</v>
      </c>
      <c r="AW125" s="3">
        <v>1</v>
      </c>
      <c r="AZ125" s="3">
        <v>1</v>
      </c>
      <c r="BA125" s="3">
        <v>1</v>
      </c>
      <c r="BB125" s="3">
        <v>1</v>
      </c>
      <c r="BC125" s="3">
        <v>7.57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3</v>
      </c>
      <c r="BI125" s="3">
        <v>3</v>
      </c>
      <c r="BJ125" s="3" t="s">
        <v>3</v>
      </c>
      <c r="BM125" s="3">
        <v>746</v>
      </c>
      <c r="BN125" s="3">
        <v>0</v>
      </c>
      <c r="BO125" s="3" t="s">
        <v>3</v>
      </c>
      <c r="BP125" s="3">
        <v>0</v>
      </c>
      <c r="BQ125" s="3">
        <v>130</v>
      </c>
      <c r="BR125" s="3">
        <v>0</v>
      </c>
      <c r="BS125" s="3">
        <v>1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0</v>
      </c>
      <c r="CA125" s="3">
        <v>0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3</v>
      </c>
      <c r="CO125" s="3">
        <v>0</v>
      </c>
      <c r="CP125" s="3">
        <f>(P125+Q125+S125)</f>
        <v>283669.7</v>
      </c>
      <c r="CQ125" s="3">
        <f>ROUND((ROUND((AC125*1),2)*BC125),2)</f>
        <v>94556.57</v>
      </c>
      <c r="CR125" s="3">
        <f>(ROUND((ROUND(((ET125)*AV125*1),2)*BB125),2)+ROUND((ROUND(((AE125-(EU125))*AV125*1),2)*BS125),2))</f>
        <v>0</v>
      </c>
      <c r="CS125" s="3">
        <f>(ROUND((ROUND(((EU125)*AV125*1),2)*BS125),2)+ROUND((ROUND(((AE125-(EU125))*AV125*1),2)*BS125),2))</f>
        <v>0</v>
      </c>
      <c r="CT125" s="3">
        <f>ROUND((ROUND((AF125*AV125*1),2)*BA125),2)</f>
        <v>0</v>
      </c>
      <c r="CU125" s="3">
        <f>AG125</f>
        <v>0</v>
      </c>
      <c r="CV125" s="3">
        <f>(AH125*AV125)</f>
        <v>0</v>
      </c>
      <c r="CW125" s="3">
        <f t="shared" si="106"/>
        <v>0</v>
      </c>
      <c r="CX125" s="3">
        <f t="shared" si="106"/>
        <v>0</v>
      </c>
      <c r="CY125" s="3">
        <f>(ROUND((((S125+ROUND((ROUND(((EU125)*AV125*1),2)*BS125),2))*AT125)/100),2)+ROUND(((ROUND((ROUND(((AE125-(EU125))*AV125*1),2)*BS125),2)*AT125)/100),2))</f>
        <v>0</v>
      </c>
      <c r="CZ125" s="3">
        <f>(ROUND((((S125+ROUND((ROUND(((EU125)*AV125*1),2)*BS125),2))*AU125)/100),2)+ROUND(((ROUND((ROUND(((AE125-(EU125))*AV125*1),2)*BS125),2)*AU125)/100),2))</f>
        <v>0</v>
      </c>
      <c r="DC125" s="3" t="s">
        <v>3</v>
      </c>
      <c r="DD125" s="3" t="s">
        <v>3</v>
      </c>
      <c r="DE125" s="3" t="s">
        <v>3</v>
      </c>
      <c r="DF125" s="3" t="s">
        <v>3</v>
      </c>
      <c r="DG125" s="3" t="s">
        <v>3</v>
      </c>
      <c r="DH125" s="3" t="s">
        <v>3</v>
      </c>
      <c r="DI125" s="3" t="s">
        <v>3</v>
      </c>
      <c r="DJ125" s="3" t="s">
        <v>3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1010</v>
      </c>
      <c r="DV125" s="3" t="s">
        <v>114</v>
      </c>
      <c r="DW125" s="3" t="s">
        <v>114</v>
      </c>
      <c r="DX125" s="3">
        <v>1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55393877</v>
      </c>
      <c r="EF125" s="3">
        <v>130</v>
      </c>
      <c r="EG125" s="3" t="s">
        <v>115</v>
      </c>
      <c r="EH125" s="3">
        <v>0</v>
      </c>
      <c r="EI125" s="3" t="s">
        <v>3</v>
      </c>
      <c r="EJ125" s="3">
        <v>3</v>
      </c>
      <c r="EK125" s="3">
        <v>746</v>
      </c>
      <c r="EL125" s="3" t="s">
        <v>116</v>
      </c>
      <c r="EM125" s="3" t="s">
        <v>117</v>
      </c>
      <c r="EO125" s="3" t="s">
        <v>3</v>
      </c>
      <c r="EQ125" s="3">
        <v>131072</v>
      </c>
      <c r="ER125" s="3">
        <v>12490.960000000001</v>
      </c>
      <c r="ES125" s="3">
        <v>12490.960000000001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5</v>
      </c>
      <c r="FC125" s="3">
        <v>1</v>
      </c>
      <c r="FD125" s="3">
        <v>18</v>
      </c>
      <c r="FF125" s="3">
        <v>110671</v>
      </c>
      <c r="FQ125" s="3">
        <v>0</v>
      </c>
      <c r="FR125" s="3">
        <f>P125</f>
        <v>283669.7</v>
      </c>
      <c r="FS125" s="3">
        <v>0</v>
      </c>
      <c r="FX125" s="3">
        <v>0</v>
      </c>
      <c r="FY125" s="3">
        <v>0</v>
      </c>
      <c r="GA125" s="3" t="s">
        <v>147</v>
      </c>
      <c r="GD125" s="3">
        <v>1</v>
      </c>
      <c r="GF125" s="3">
        <v>313033476</v>
      </c>
      <c r="GG125" s="3">
        <v>2</v>
      </c>
      <c r="GH125" s="3">
        <v>3</v>
      </c>
      <c r="GI125" s="3">
        <v>3</v>
      </c>
      <c r="GJ125" s="3">
        <v>0</v>
      </c>
      <c r="GK125" s="3">
        <v>0</v>
      </c>
      <c r="GL125" s="3">
        <f>ROUND(IF(AND(BH125=3,BI125=3,FS125&lt;&gt;0),P125,0),2)</f>
        <v>0</v>
      </c>
      <c r="GM125" s="3">
        <f>ROUND(O125+X125+Y125,2)+GX125</f>
        <v>283669.7</v>
      </c>
      <c r="GN125" s="3">
        <f>IF(OR(BI125=0,BI125=1),GM125-GX125,0)</f>
        <v>0</v>
      </c>
      <c r="GO125" s="3">
        <f>IF(BI125=2,GM125-GX125,0)</f>
        <v>0</v>
      </c>
      <c r="GP125" s="3">
        <f>IF(BI125=4,GM125-GX125,0)</f>
        <v>0</v>
      </c>
      <c r="GR125" s="3">
        <v>1</v>
      </c>
      <c r="GS125" s="3">
        <v>1</v>
      </c>
      <c r="GT125" s="3">
        <v>0</v>
      </c>
      <c r="GU125" s="3" t="s">
        <v>3</v>
      </c>
      <c r="GV125" s="3">
        <f>ROUND((GT125),6)</f>
        <v>0</v>
      </c>
      <c r="GW125" s="3">
        <v>1</v>
      </c>
      <c r="GX125" s="3">
        <f>ROUND(HC125*I125,2)</f>
        <v>0</v>
      </c>
      <c r="HA125" s="3">
        <v>0</v>
      </c>
      <c r="HB125" s="3">
        <v>0</v>
      </c>
      <c r="HC125" s="3">
        <f>GV125*GW125</f>
        <v>0</v>
      </c>
      <c r="HE125" s="3" t="s">
        <v>43</v>
      </c>
      <c r="HF125" s="3" t="s">
        <v>119</v>
      </c>
      <c r="HM125" s="3" t="s">
        <v>3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7" spans="1:255" ht="13" x14ac:dyDescent="0.3">
      <c r="A127" s="11">
        <v>51</v>
      </c>
      <c r="B127" s="11">
        <f>B118</f>
        <v>1</v>
      </c>
      <c r="C127" s="11">
        <f>A118</f>
        <v>4</v>
      </c>
      <c r="D127" s="11">
        <f>ROW(A118)</f>
        <v>118</v>
      </c>
      <c r="E127" s="11"/>
      <c r="F127" s="11" t="str">
        <f>IF(F118&lt;&gt;"",F118,"")</f>
        <v>Новый раздел</v>
      </c>
      <c r="G127" s="11" t="str">
        <f>IF(G118&lt;&gt;"",G118,"")</f>
        <v>Оборудование устанавливаемое по месту</v>
      </c>
      <c r="H127" s="11">
        <v>0</v>
      </c>
      <c r="I127" s="11"/>
      <c r="J127" s="11"/>
      <c r="K127" s="11"/>
      <c r="L127" s="11"/>
      <c r="M127" s="11"/>
      <c r="N127" s="11"/>
      <c r="O127" s="11">
        <f t="shared" ref="O127:T127" si="107">ROUND(AB127,2)</f>
        <v>37564.33</v>
      </c>
      <c r="P127" s="11">
        <f t="shared" si="107"/>
        <v>37474.620000000003</v>
      </c>
      <c r="Q127" s="11">
        <f t="shared" si="107"/>
        <v>0</v>
      </c>
      <c r="R127" s="11">
        <f t="shared" si="107"/>
        <v>0</v>
      </c>
      <c r="S127" s="11">
        <f t="shared" si="107"/>
        <v>89.71</v>
      </c>
      <c r="T127" s="11">
        <f t="shared" si="107"/>
        <v>0</v>
      </c>
      <c r="U127" s="11">
        <f>AH127</f>
        <v>7.5383999999999993</v>
      </c>
      <c r="V127" s="11">
        <f>AI127</f>
        <v>0</v>
      </c>
      <c r="W127" s="11">
        <f>ROUND(AJ127,2)</f>
        <v>0</v>
      </c>
      <c r="X127" s="11">
        <f>ROUND(AK127,2)</f>
        <v>80.739999999999995</v>
      </c>
      <c r="Y127" s="11">
        <f>ROUND(AL127,2)</f>
        <v>41.27</v>
      </c>
      <c r="Z127" s="11"/>
      <c r="AA127" s="11"/>
      <c r="AB127" s="11">
        <f>ROUND(SUMIF(AA122:AA125,"=55942966",O122:O125),2)</f>
        <v>37564.33</v>
      </c>
      <c r="AC127" s="11">
        <f>ROUND(SUMIF(AA122:AA125,"=55942966",P122:P125),2)</f>
        <v>37474.620000000003</v>
      </c>
      <c r="AD127" s="11">
        <f>ROUND(SUMIF(AA122:AA125,"=55942966",Q122:Q125),2)</f>
        <v>0</v>
      </c>
      <c r="AE127" s="11">
        <f>ROUND(SUMIF(AA122:AA125,"=55942966",R122:R125),2)</f>
        <v>0</v>
      </c>
      <c r="AF127" s="11">
        <f>ROUND(SUMIF(AA122:AA125,"=55942966",S122:S125),2)</f>
        <v>89.71</v>
      </c>
      <c r="AG127" s="11">
        <f>ROUND(SUMIF(AA122:AA125,"=55942966",T122:T125),2)</f>
        <v>0</v>
      </c>
      <c r="AH127" s="11">
        <f>SUMIF(AA122:AA125,"=55942966",U122:U125)</f>
        <v>7.5383999999999993</v>
      </c>
      <c r="AI127" s="11">
        <f>SUMIF(AA122:AA125,"=55942966",V122:V125)</f>
        <v>0</v>
      </c>
      <c r="AJ127" s="11">
        <f>ROUND(SUMIF(AA122:AA125,"=55942966",W122:W125),2)</f>
        <v>0</v>
      </c>
      <c r="AK127" s="11">
        <f>ROUND(SUMIF(AA122:AA125,"=55942966",X122:X125),2)</f>
        <v>80.739999999999995</v>
      </c>
      <c r="AL127" s="11">
        <f>ROUND(SUMIF(AA122:AA125,"=55942966",Y122:Y125),2)</f>
        <v>41.27</v>
      </c>
      <c r="AM127" s="11"/>
      <c r="AN127" s="11"/>
      <c r="AO127" s="11">
        <f t="shared" ref="AO127:BD127" si="108">ROUND(BX127,2)</f>
        <v>0</v>
      </c>
      <c r="AP127" s="11">
        <f t="shared" si="108"/>
        <v>37472.879999999997</v>
      </c>
      <c r="AQ127" s="11">
        <f t="shared" si="108"/>
        <v>0</v>
      </c>
      <c r="AR127" s="11">
        <f t="shared" si="108"/>
        <v>37686.339999999997</v>
      </c>
      <c r="AS127" s="11">
        <f t="shared" si="108"/>
        <v>0</v>
      </c>
      <c r="AT127" s="11">
        <f t="shared" si="108"/>
        <v>213.46</v>
      </c>
      <c r="AU127" s="11">
        <f t="shared" si="108"/>
        <v>0</v>
      </c>
      <c r="AV127" s="11">
        <f t="shared" si="108"/>
        <v>37474.620000000003</v>
      </c>
      <c r="AW127" s="11">
        <f t="shared" si="108"/>
        <v>1.74</v>
      </c>
      <c r="AX127" s="11">
        <f t="shared" si="108"/>
        <v>0</v>
      </c>
      <c r="AY127" s="11">
        <f t="shared" si="108"/>
        <v>1.74</v>
      </c>
      <c r="AZ127" s="11">
        <f t="shared" si="108"/>
        <v>37472.879999999997</v>
      </c>
      <c r="BA127" s="11">
        <f t="shared" si="108"/>
        <v>0</v>
      </c>
      <c r="BB127" s="11">
        <f t="shared" si="108"/>
        <v>0</v>
      </c>
      <c r="BC127" s="11">
        <f t="shared" si="108"/>
        <v>0</v>
      </c>
      <c r="BD127" s="11">
        <f t="shared" si="108"/>
        <v>0</v>
      </c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>
        <f>ROUND(SUMIF(AA122:AA125,"=55942966",FQ122:FQ125),2)</f>
        <v>0</v>
      </c>
      <c r="BY127" s="11">
        <f>ROUND(SUMIF(AA122:AA125,"=55942966",FR122:FR125),2)</f>
        <v>37472.879999999997</v>
      </c>
      <c r="BZ127" s="11">
        <f>ROUND(SUMIF(AA122:AA125,"=55942966",GL122:GL125),2)</f>
        <v>0</v>
      </c>
      <c r="CA127" s="11">
        <f>ROUND(SUMIF(AA122:AA125,"=55942966",GM122:GM125),2)</f>
        <v>37686.339999999997</v>
      </c>
      <c r="CB127" s="11">
        <f>ROUND(SUMIF(AA122:AA125,"=55942966",GN122:GN125),2)</f>
        <v>0</v>
      </c>
      <c r="CC127" s="11">
        <f>ROUND(SUMIF(AA122:AA125,"=55942966",GO122:GO125),2)</f>
        <v>213.46</v>
      </c>
      <c r="CD127" s="11">
        <f>ROUND(SUMIF(AA122:AA125,"=55942966",GP122:GP125),2)</f>
        <v>0</v>
      </c>
      <c r="CE127" s="11">
        <f>AC127-BX127</f>
        <v>37474.620000000003</v>
      </c>
      <c r="CF127" s="11">
        <f>AC127-BY127</f>
        <v>1.7400000000052387</v>
      </c>
      <c r="CG127" s="11">
        <f>BX127-BZ127</f>
        <v>0</v>
      </c>
      <c r="CH127" s="11">
        <f>AC127-BX127-BY127+BZ127</f>
        <v>1.7400000000052387</v>
      </c>
      <c r="CI127" s="11">
        <f>BY127-BZ127</f>
        <v>37472.879999999997</v>
      </c>
      <c r="CJ127" s="11">
        <f>ROUND(SUMIF(AA122:AA125,"=55942966",GX122:GX125),2)</f>
        <v>0</v>
      </c>
      <c r="CK127" s="11">
        <f>ROUND(SUMIF(AA122:AA125,"=55942966",GY122:GY125),2)</f>
        <v>0</v>
      </c>
      <c r="CL127" s="11">
        <f>ROUND(SUMIF(AA122:AA125,"=55942966",GZ122:GZ125),2)</f>
        <v>0</v>
      </c>
      <c r="CM127" s="11">
        <f>ROUND(SUMIF(AA122:AA125,"=55942966",HD122:HD125),2)</f>
        <v>0</v>
      </c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2">
        <f t="shared" ref="DG127:DL127" si="109">ROUND(DT127,2)</f>
        <v>288737.09000000003</v>
      </c>
      <c r="DH127" s="12">
        <f t="shared" si="109"/>
        <v>283681.93</v>
      </c>
      <c r="DI127" s="12">
        <f t="shared" si="109"/>
        <v>0</v>
      </c>
      <c r="DJ127" s="12">
        <f t="shared" si="109"/>
        <v>0</v>
      </c>
      <c r="DK127" s="12">
        <f t="shared" si="109"/>
        <v>5055.16</v>
      </c>
      <c r="DL127" s="12">
        <f t="shared" si="109"/>
        <v>0</v>
      </c>
      <c r="DM127" s="12">
        <f>DZ127</f>
        <v>7.5383999999999993</v>
      </c>
      <c r="DN127" s="12">
        <f>EA127</f>
        <v>0</v>
      </c>
      <c r="DO127" s="12">
        <f>ROUND(EB127,2)</f>
        <v>0</v>
      </c>
      <c r="DP127" s="12">
        <f>ROUND(EC127,2)</f>
        <v>4549.6400000000003</v>
      </c>
      <c r="DQ127" s="12">
        <f>ROUND(ED127,2)</f>
        <v>2325.37</v>
      </c>
      <c r="DR127" s="12"/>
      <c r="DS127" s="12"/>
      <c r="DT127" s="12">
        <f>ROUND(SUMIF(AA122:AA125,"=55942968",O122:O125),2)</f>
        <v>288737.09000000003</v>
      </c>
      <c r="DU127" s="12">
        <f>ROUND(SUMIF(AA122:AA125,"=55942968",P122:P125),2)</f>
        <v>283681.93</v>
      </c>
      <c r="DV127" s="12">
        <f>ROUND(SUMIF(AA122:AA125,"=55942968",Q122:Q125),2)</f>
        <v>0</v>
      </c>
      <c r="DW127" s="12">
        <f>ROUND(SUMIF(AA122:AA125,"=55942968",R122:R125),2)</f>
        <v>0</v>
      </c>
      <c r="DX127" s="12">
        <f>ROUND(SUMIF(AA122:AA125,"=55942968",S122:S125),2)</f>
        <v>5055.16</v>
      </c>
      <c r="DY127" s="12">
        <f>ROUND(SUMIF(AA122:AA125,"=55942968",T122:T125),2)</f>
        <v>0</v>
      </c>
      <c r="DZ127" s="12">
        <f>SUMIF(AA122:AA125,"=55942968",U122:U125)</f>
        <v>7.5383999999999993</v>
      </c>
      <c r="EA127" s="12">
        <f>SUMIF(AA122:AA125,"=55942968",V122:V125)</f>
        <v>0</v>
      </c>
      <c r="EB127" s="12">
        <f>ROUND(SUMIF(AA122:AA125,"=55942968",W122:W125),2)</f>
        <v>0</v>
      </c>
      <c r="EC127" s="12">
        <f>ROUND(SUMIF(AA122:AA125,"=55942968",X122:X125),2)</f>
        <v>4549.6400000000003</v>
      </c>
      <c r="ED127" s="12">
        <f>ROUND(SUMIF(AA122:AA125,"=55942968",Y122:Y125),2)</f>
        <v>2325.37</v>
      </c>
      <c r="EE127" s="12"/>
      <c r="EF127" s="12"/>
      <c r="EG127" s="12">
        <f t="shared" ref="EG127:EV127" si="110">ROUND(FP127,2)</f>
        <v>0</v>
      </c>
      <c r="EH127" s="12">
        <f t="shared" si="110"/>
        <v>283669.7</v>
      </c>
      <c r="EI127" s="12">
        <f t="shared" si="110"/>
        <v>0</v>
      </c>
      <c r="EJ127" s="12">
        <f t="shared" si="110"/>
        <v>295612.09999999998</v>
      </c>
      <c r="EK127" s="12">
        <f t="shared" si="110"/>
        <v>0</v>
      </c>
      <c r="EL127" s="12">
        <f t="shared" si="110"/>
        <v>11942.4</v>
      </c>
      <c r="EM127" s="12">
        <f t="shared" si="110"/>
        <v>0</v>
      </c>
      <c r="EN127" s="12">
        <f t="shared" si="110"/>
        <v>283681.93</v>
      </c>
      <c r="EO127" s="12">
        <f t="shared" si="110"/>
        <v>12.23</v>
      </c>
      <c r="EP127" s="12">
        <f t="shared" si="110"/>
        <v>0</v>
      </c>
      <c r="EQ127" s="12">
        <f t="shared" si="110"/>
        <v>12.23</v>
      </c>
      <c r="ER127" s="12">
        <f t="shared" si="110"/>
        <v>283669.7</v>
      </c>
      <c r="ES127" s="12">
        <f t="shared" si="110"/>
        <v>0</v>
      </c>
      <c r="ET127" s="12">
        <f t="shared" si="110"/>
        <v>0</v>
      </c>
      <c r="EU127" s="12">
        <f t="shared" si="110"/>
        <v>0</v>
      </c>
      <c r="EV127" s="12">
        <f t="shared" si="110"/>
        <v>0</v>
      </c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>
        <f>ROUND(SUMIF(AA122:AA125,"=55942968",FQ122:FQ125),2)</f>
        <v>0</v>
      </c>
      <c r="FQ127" s="12">
        <f>ROUND(SUMIF(AA122:AA125,"=55942968",FR122:FR125),2)</f>
        <v>283669.7</v>
      </c>
      <c r="FR127" s="12">
        <f>ROUND(SUMIF(AA122:AA125,"=55942968",GL122:GL125),2)</f>
        <v>0</v>
      </c>
      <c r="FS127" s="12">
        <f>ROUND(SUMIF(AA122:AA125,"=55942968",GM122:GM125),2)</f>
        <v>295612.09999999998</v>
      </c>
      <c r="FT127" s="12">
        <f>ROUND(SUMIF(AA122:AA125,"=55942968",GN122:GN125),2)</f>
        <v>0</v>
      </c>
      <c r="FU127" s="12">
        <f>ROUND(SUMIF(AA122:AA125,"=55942968",GO122:GO125),2)</f>
        <v>11942.4</v>
      </c>
      <c r="FV127" s="12">
        <f>ROUND(SUMIF(AA122:AA125,"=55942968",GP122:GP125),2)</f>
        <v>0</v>
      </c>
      <c r="FW127" s="12">
        <f>DU127-FP127</f>
        <v>283681.93</v>
      </c>
      <c r="FX127" s="12">
        <f>DU127-FQ127</f>
        <v>12.229999999981374</v>
      </c>
      <c r="FY127" s="12">
        <f>FP127-FR127</f>
        <v>0</v>
      </c>
      <c r="FZ127" s="12">
        <f>DU127-FP127-FQ127+FR127</f>
        <v>12.229999999981374</v>
      </c>
      <c r="GA127" s="12">
        <f>FQ127-FR127</f>
        <v>283669.7</v>
      </c>
      <c r="GB127" s="12">
        <f>ROUND(SUMIF(AA122:AA125,"=55942968",GX122:GX125),2)</f>
        <v>0</v>
      </c>
      <c r="GC127" s="12">
        <f>ROUND(SUMIF(AA122:AA125,"=55942968",GY122:GY125),2)</f>
        <v>0</v>
      </c>
      <c r="GD127" s="12">
        <f>ROUND(SUMIF(AA122:AA125,"=55942968",GZ122:GZ125),2)</f>
        <v>0</v>
      </c>
      <c r="GE127" s="12">
        <f>ROUND(SUMIF(AA122:AA125,"=55942968",HD122:HD125),2)</f>
        <v>0</v>
      </c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>
        <v>0</v>
      </c>
    </row>
    <row r="129" spans="1:28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201</v>
      </c>
      <c r="F129" s="13">
        <f>ROUND(Source!O127,O129)</f>
        <v>37564.33</v>
      </c>
      <c r="G129" s="13" t="s">
        <v>51</v>
      </c>
      <c r="H129" s="13" t="s">
        <v>52</v>
      </c>
      <c r="I129" s="13"/>
      <c r="J129" s="13"/>
      <c r="K129" s="13">
        <v>201</v>
      </c>
      <c r="L129" s="13">
        <v>1</v>
      </c>
      <c r="M129" s="13">
        <v>3</v>
      </c>
      <c r="N129" s="13" t="s">
        <v>3</v>
      </c>
      <c r="O129" s="13">
        <v>2</v>
      </c>
      <c r="P129" s="13">
        <f>ROUND(Source!DG127,O129)</f>
        <v>288737.09000000003</v>
      </c>
      <c r="Q129" s="13"/>
      <c r="R129" s="13"/>
      <c r="S129" s="13"/>
      <c r="T129" s="13"/>
      <c r="U129" s="13"/>
      <c r="V129" s="13"/>
      <c r="W129" s="13">
        <v>37564.33</v>
      </c>
      <c r="X129" s="13">
        <v>1</v>
      </c>
      <c r="Y129" s="13">
        <v>37564.33</v>
      </c>
      <c r="Z129" s="13">
        <v>288737.09000000003</v>
      </c>
      <c r="AA129" s="13">
        <v>1</v>
      </c>
      <c r="AB129" s="13">
        <v>288737.09000000003</v>
      </c>
    </row>
    <row r="130" spans="1:28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202</v>
      </c>
      <c r="F130" s="13">
        <f>ROUND(Source!P127,O130)</f>
        <v>37474.620000000003</v>
      </c>
      <c r="G130" s="13" t="s">
        <v>53</v>
      </c>
      <c r="H130" s="13" t="s">
        <v>54</v>
      </c>
      <c r="I130" s="13"/>
      <c r="J130" s="13"/>
      <c r="K130" s="13">
        <v>202</v>
      </c>
      <c r="L130" s="13">
        <v>2</v>
      </c>
      <c r="M130" s="13">
        <v>3</v>
      </c>
      <c r="N130" s="13" t="s">
        <v>3</v>
      </c>
      <c r="O130" s="13">
        <v>2</v>
      </c>
      <c r="P130" s="13">
        <f>ROUND(Source!DH127,O130)</f>
        <v>283681.93</v>
      </c>
      <c r="Q130" s="13"/>
      <c r="R130" s="13"/>
      <c r="S130" s="13"/>
      <c r="T130" s="13"/>
      <c r="U130" s="13"/>
      <c r="V130" s="13"/>
      <c r="W130" s="13">
        <v>37474.620000000003</v>
      </c>
      <c r="X130" s="13">
        <v>1</v>
      </c>
      <c r="Y130" s="13">
        <v>37474.620000000003</v>
      </c>
      <c r="Z130" s="13">
        <v>283681.93</v>
      </c>
      <c r="AA130" s="13">
        <v>1</v>
      </c>
      <c r="AB130" s="13">
        <v>283681.93</v>
      </c>
    </row>
    <row r="131" spans="1:28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222</v>
      </c>
      <c r="F131" s="13">
        <f>ROUND(Source!AO127,O131)</f>
        <v>0</v>
      </c>
      <c r="G131" s="13" t="s">
        <v>55</v>
      </c>
      <c r="H131" s="13" t="s">
        <v>56</v>
      </c>
      <c r="I131" s="13"/>
      <c r="J131" s="13"/>
      <c r="K131" s="13">
        <v>222</v>
      </c>
      <c r="L131" s="13">
        <v>3</v>
      </c>
      <c r="M131" s="13">
        <v>3</v>
      </c>
      <c r="N131" s="13" t="s">
        <v>3</v>
      </c>
      <c r="O131" s="13">
        <v>2</v>
      </c>
      <c r="P131" s="13">
        <f>ROUND(Source!EG127,O131)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225</v>
      </c>
      <c r="F132" s="13">
        <f>ROUND(Source!AV127,O132)</f>
        <v>37474.620000000003</v>
      </c>
      <c r="G132" s="13" t="s">
        <v>57</v>
      </c>
      <c r="H132" s="13" t="s">
        <v>58</v>
      </c>
      <c r="I132" s="13"/>
      <c r="J132" s="13"/>
      <c r="K132" s="13">
        <v>225</v>
      </c>
      <c r="L132" s="13">
        <v>4</v>
      </c>
      <c r="M132" s="13">
        <v>3</v>
      </c>
      <c r="N132" s="13" t="s">
        <v>3</v>
      </c>
      <c r="O132" s="13">
        <v>2</v>
      </c>
      <c r="P132" s="13">
        <f>ROUND(Source!EN127,O132)</f>
        <v>283681.93</v>
      </c>
      <c r="Q132" s="13"/>
      <c r="R132" s="13"/>
      <c r="S132" s="13"/>
      <c r="T132" s="13"/>
      <c r="U132" s="13"/>
      <c r="V132" s="13"/>
      <c r="W132" s="13">
        <v>37474.620000000003</v>
      </c>
      <c r="X132" s="13">
        <v>1</v>
      </c>
      <c r="Y132" s="13">
        <v>37474.620000000003</v>
      </c>
      <c r="Z132" s="13">
        <v>283681.93</v>
      </c>
      <c r="AA132" s="13">
        <v>1</v>
      </c>
      <c r="AB132" s="13">
        <v>283681.93</v>
      </c>
    </row>
    <row r="133" spans="1:28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226</v>
      </c>
      <c r="F133" s="13">
        <f>ROUND(Source!AW127,O133)</f>
        <v>1.74</v>
      </c>
      <c r="G133" s="13" t="s">
        <v>59</v>
      </c>
      <c r="H133" s="13" t="s">
        <v>60</v>
      </c>
      <c r="I133" s="13"/>
      <c r="J133" s="13"/>
      <c r="K133" s="13">
        <v>226</v>
      </c>
      <c r="L133" s="13">
        <v>5</v>
      </c>
      <c r="M133" s="13">
        <v>3</v>
      </c>
      <c r="N133" s="13" t="s">
        <v>3</v>
      </c>
      <c r="O133" s="13">
        <v>2</v>
      </c>
      <c r="P133" s="13">
        <f>ROUND(Source!EO127,O133)</f>
        <v>12.23</v>
      </c>
      <c r="Q133" s="13"/>
      <c r="R133" s="13"/>
      <c r="S133" s="13"/>
      <c r="T133" s="13"/>
      <c r="U133" s="13"/>
      <c r="V133" s="13"/>
      <c r="W133" s="13">
        <v>1.74</v>
      </c>
      <c r="X133" s="13">
        <v>1</v>
      </c>
      <c r="Y133" s="13">
        <v>1.74</v>
      </c>
      <c r="Z133" s="13">
        <v>12.23</v>
      </c>
      <c r="AA133" s="13">
        <v>1</v>
      </c>
      <c r="AB133" s="13">
        <v>12.23</v>
      </c>
    </row>
    <row r="134" spans="1:28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227</v>
      </c>
      <c r="F134" s="13">
        <f>ROUND(Source!AX127,O134)</f>
        <v>0</v>
      </c>
      <c r="G134" s="13" t="s">
        <v>61</v>
      </c>
      <c r="H134" s="13" t="s">
        <v>62</v>
      </c>
      <c r="I134" s="13"/>
      <c r="J134" s="13"/>
      <c r="K134" s="13">
        <v>227</v>
      </c>
      <c r="L134" s="13">
        <v>6</v>
      </c>
      <c r="M134" s="13">
        <v>3</v>
      </c>
      <c r="N134" s="13" t="s">
        <v>3</v>
      </c>
      <c r="O134" s="13">
        <v>2</v>
      </c>
      <c r="P134" s="13">
        <f>ROUND(Source!EP127,O134)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228</v>
      </c>
      <c r="F135" s="13">
        <f>ROUND(Source!AY127,O135)</f>
        <v>1.74</v>
      </c>
      <c r="G135" s="13" t="s">
        <v>63</v>
      </c>
      <c r="H135" s="13" t="s">
        <v>64</v>
      </c>
      <c r="I135" s="13"/>
      <c r="J135" s="13"/>
      <c r="K135" s="13">
        <v>228</v>
      </c>
      <c r="L135" s="13">
        <v>7</v>
      </c>
      <c r="M135" s="13">
        <v>3</v>
      </c>
      <c r="N135" s="13" t="s">
        <v>3</v>
      </c>
      <c r="O135" s="13">
        <v>2</v>
      </c>
      <c r="P135" s="13">
        <f>ROUND(Source!EQ127,O135)</f>
        <v>12.23</v>
      </c>
      <c r="Q135" s="13"/>
      <c r="R135" s="13"/>
      <c r="S135" s="13"/>
      <c r="T135" s="13"/>
      <c r="U135" s="13"/>
      <c r="V135" s="13"/>
      <c r="W135" s="13">
        <v>1.74</v>
      </c>
      <c r="X135" s="13">
        <v>1</v>
      </c>
      <c r="Y135" s="13">
        <v>1.74</v>
      </c>
      <c r="Z135" s="13">
        <v>12.23</v>
      </c>
      <c r="AA135" s="13">
        <v>1</v>
      </c>
      <c r="AB135" s="13">
        <v>12.23</v>
      </c>
    </row>
    <row r="136" spans="1:28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216</v>
      </c>
      <c r="F136" s="13">
        <f>ROUND(Source!AP127,O136)</f>
        <v>37472.879999999997</v>
      </c>
      <c r="G136" s="13" t="s">
        <v>65</v>
      </c>
      <c r="H136" s="13" t="s">
        <v>66</v>
      </c>
      <c r="I136" s="13"/>
      <c r="J136" s="13"/>
      <c r="K136" s="13">
        <v>216</v>
      </c>
      <c r="L136" s="13">
        <v>8</v>
      </c>
      <c r="M136" s="13">
        <v>3</v>
      </c>
      <c r="N136" s="13" t="s">
        <v>3</v>
      </c>
      <c r="O136" s="13">
        <v>2</v>
      </c>
      <c r="P136" s="13">
        <f>ROUND(Source!EH127,O136)</f>
        <v>283669.7</v>
      </c>
      <c r="Q136" s="13"/>
      <c r="R136" s="13"/>
      <c r="S136" s="13"/>
      <c r="T136" s="13"/>
      <c r="U136" s="13"/>
      <c r="V136" s="13"/>
      <c r="W136" s="13">
        <v>37472.879999999997</v>
      </c>
      <c r="X136" s="13">
        <v>1</v>
      </c>
      <c r="Y136" s="13">
        <v>37472.879999999997</v>
      </c>
      <c r="Z136" s="13">
        <v>283669.7</v>
      </c>
      <c r="AA136" s="13">
        <v>1</v>
      </c>
      <c r="AB136" s="13">
        <v>283669.7</v>
      </c>
    </row>
    <row r="137" spans="1:28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223</v>
      </c>
      <c r="F137" s="13">
        <f>ROUND(Source!AQ127,O137)</f>
        <v>0</v>
      </c>
      <c r="G137" s="13" t="s">
        <v>67</v>
      </c>
      <c r="H137" s="13" t="s">
        <v>68</v>
      </c>
      <c r="I137" s="13"/>
      <c r="J137" s="13"/>
      <c r="K137" s="13">
        <v>223</v>
      </c>
      <c r="L137" s="13">
        <v>9</v>
      </c>
      <c r="M137" s="13">
        <v>3</v>
      </c>
      <c r="N137" s="13" t="s">
        <v>3</v>
      </c>
      <c r="O137" s="13">
        <v>2</v>
      </c>
      <c r="P137" s="13">
        <f>ROUND(Source!EI127,O137)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229</v>
      </c>
      <c r="F138" s="13">
        <f>ROUND(Source!AZ127,O138)</f>
        <v>37472.879999999997</v>
      </c>
      <c r="G138" s="13" t="s">
        <v>69</v>
      </c>
      <c r="H138" s="13" t="s">
        <v>70</v>
      </c>
      <c r="I138" s="13"/>
      <c r="J138" s="13"/>
      <c r="K138" s="13">
        <v>229</v>
      </c>
      <c r="L138" s="13">
        <v>10</v>
      </c>
      <c r="M138" s="13">
        <v>3</v>
      </c>
      <c r="N138" s="13" t="s">
        <v>3</v>
      </c>
      <c r="O138" s="13">
        <v>2</v>
      </c>
      <c r="P138" s="13">
        <f>ROUND(Source!ER127,O138)</f>
        <v>283669.7</v>
      </c>
      <c r="Q138" s="13"/>
      <c r="R138" s="13"/>
      <c r="S138" s="13"/>
      <c r="T138" s="13"/>
      <c r="U138" s="13"/>
      <c r="V138" s="13"/>
      <c r="W138" s="13">
        <v>37472.879999999997</v>
      </c>
      <c r="X138" s="13">
        <v>1</v>
      </c>
      <c r="Y138" s="13">
        <v>37472.879999999997</v>
      </c>
      <c r="Z138" s="13">
        <v>283669.7</v>
      </c>
      <c r="AA138" s="13">
        <v>1</v>
      </c>
      <c r="AB138" s="13">
        <v>283669.7</v>
      </c>
    </row>
    <row r="139" spans="1:28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203</v>
      </c>
      <c r="F139" s="13">
        <f>ROUND(Source!Q127,O139)</f>
        <v>0</v>
      </c>
      <c r="G139" s="13" t="s">
        <v>71</v>
      </c>
      <c r="H139" s="13" t="s">
        <v>72</v>
      </c>
      <c r="I139" s="13"/>
      <c r="J139" s="13"/>
      <c r="K139" s="13">
        <v>203</v>
      </c>
      <c r="L139" s="13">
        <v>11</v>
      </c>
      <c r="M139" s="13">
        <v>3</v>
      </c>
      <c r="N139" s="13" t="s">
        <v>3</v>
      </c>
      <c r="O139" s="13">
        <v>2</v>
      </c>
      <c r="P139" s="13">
        <f>ROUND(Source!DI127,O139)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231</v>
      </c>
      <c r="F140" s="13">
        <f>ROUND(Source!BB127,O140)</f>
        <v>0</v>
      </c>
      <c r="G140" s="13" t="s">
        <v>73</v>
      </c>
      <c r="H140" s="13" t="s">
        <v>74</v>
      </c>
      <c r="I140" s="13"/>
      <c r="J140" s="13"/>
      <c r="K140" s="13">
        <v>231</v>
      </c>
      <c r="L140" s="13">
        <v>12</v>
      </c>
      <c r="M140" s="13">
        <v>3</v>
      </c>
      <c r="N140" s="13" t="s">
        <v>3</v>
      </c>
      <c r="O140" s="13">
        <v>2</v>
      </c>
      <c r="P140" s="13">
        <f>ROUND(Source!ET127,O140)</f>
        <v>0</v>
      </c>
      <c r="Q140" s="13"/>
      <c r="R140" s="13"/>
      <c r="S140" s="13"/>
      <c r="T140" s="13"/>
      <c r="U140" s="13"/>
      <c r="V140" s="13"/>
      <c r="W140" s="13">
        <v>0</v>
      </c>
      <c r="X140" s="13">
        <v>1</v>
      </c>
      <c r="Y140" s="13">
        <v>0</v>
      </c>
      <c r="Z140" s="13">
        <v>0</v>
      </c>
      <c r="AA140" s="13">
        <v>1</v>
      </c>
      <c r="AB140" s="13">
        <v>0</v>
      </c>
    </row>
    <row r="141" spans="1:28" ht="13" x14ac:dyDescent="0.3">
      <c r="A141" s="13">
        <v>50</v>
      </c>
      <c r="B141" s="13">
        <v>0</v>
      </c>
      <c r="C141" s="13">
        <v>0</v>
      </c>
      <c r="D141" s="13">
        <v>1</v>
      </c>
      <c r="E141" s="13">
        <v>204</v>
      </c>
      <c r="F141" s="13">
        <f>ROUND(Source!R127,O141)</f>
        <v>0</v>
      </c>
      <c r="G141" s="13" t="s">
        <v>75</v>
      </c>
      <c r="H141" s="13" t="s">
        <v>76</v>
      </c>
      <c r="I141" s="13"/>
      <c r="J141" s="13"/>
      <c r="K141" s="13">
        <v>204</v>
      </c>
      <c r="L141" s="13">
        <v>13</v>
      </c>
      <c r="M141" s="13">
        <v>3</v>
      </c>
      <c r="N141" s="13" t="s">
        <v>3</v>
      </c>
      <c r="O141" s="13">
        <v>2</v>
      </c>
      <c r="P141" s="13">
        <f>ROUND(Source!DJ127,O141)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ht="13" x14ac:dyDescent="0.3">
      <c r="A142" s="13">
        <v>50</v>
      </c>
      <c r="B142" s="13">
        <v>0</v>
      </c>
      <c r="C142" s="13">
        <v>0</v>
      </c>
      <c r="D142" s="13">
        <v>1</v>
      </c>
      <c r="E142" s="13">
        <v>205</v>
      </c>
      <c r="F142" s="13">
        <f>ROUND(Source!S127,O142)</f>
        <v>89.71</v>
      </c>
      <c r="G142" s="13" t="s">
        <v>77</v>
      </c>
      <c r="H142" s="13" t="s">
        <v>78</v>
      </c>
      <c r="I142" s="13"/>
      <c r="J142" s="13"/>
      <c r="K142" s="13">
        <v>205</v>
      </c>
      <c r="L142" s="13">
        <v>14</v>
      </c>
      <c r="M142" s="13">
        <v>3</v>
      </c>
      <c r="N142" s="13" t="s">
        <v>3</v>
      </c>
      <c r="O142" s="13">
        <v>2</v>
      </c>
      <c r="P142" s="13">
        <f>ROUND(Source!DK127,O142)</f>
        <v>5055.16</v>
      </c>
      <c r="Q142" s="13"/>
      <c r="R142" s="13"/>
      <c r="S142" s="13"/>
      <c r="T142" s="13"/>
      <c r="U142" s="13"/>
      <c r="V142" s="13"/>
      <c r="W142" s="13">
        <v>89.71</v>
      </c>
      <c r="X142" s="13">
        <v>1</v>
      </c>
      <c r="Y142" s="13">
        <v>89.71</v>
      </c>
      <c r="Z142" s="13">
        <v>5055.16</v>
      </c>
      <c r="AA142" s="13">
        <v>1</v>
      </c>
      <c r="AB142" s="13">
        <v>5055.16</v>
      </c>
    </row>
    <row r="143" spans="1:28" ht="13" x14ac:dyDescent="0.3">
      <c r="A143" s="13">
        <v>50</v>
      </c>
      <c r="B143" s="13">
        <v>0</v>
      </c>
      <c r="C143" s="13">
        <v>0</v>
      </c>
      <c r="D143" s="13">
        <v>1</v>
      </c>
      <c r="E143" s="13">
        <v>232</v>
      </c>
      <c r="F143" s="13">
        <f>ROUND(Source!BC127,O143)</f>
        <v>0</v>
      </c>
      <c r="G143" s="13" t="s">
        <v>79</v>
      </c>
      <c r="H143" s="13" t="s">
        <v>80</v>
      </c>
      <c r="I143" s="13"/>
      <c r="J143" s="13"/>
      <c r="K143" s="13">
        <v>232</v>
      </c>
      <c r="L143" s="13">
        <v>15</v>
      </c>
      <c r="M143" s="13">
        <v>3</v>
      </c>
      <c r="N143" s="13" t="s">
        <v>3</v>
      </c>
      <c r="O143" s="13">
        <v>2</v>
      </c>
      <c r="P143" s="13">
        <f>ROUND(Source!EU127,O143)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ht="13" x14ac:dyDescent="0.3">
      <c r="A144" s="13">
        <v>50</v>
      </c>
      <c r="B144" s="13">
        <v>0</v>
      </c>
      <c r="C144" s="13">
        <v>0</v>
      </c>
      <c r="D144" s="13">
        <v>1</v>
      </c>
      <c r="E144" s="13">
        <v>214</v>
      </c>
      <c r="F144" s="13">
        <f>ROUND(Source!AS127,O144)</f>
        <v>0</v>
      </c>
      <c r="G144" s="13" t="s">
        <v>81</v>
      </c>
      <c r="H144" s="13" t="s">
        <v>82</v>
      </c>
      <c r="I144" s="13"/>
      <c r="J144" s="13"/>
      <c r="K144" s="13">
        <v>214</v>
      </c>
      <c r="L144" s="13">
        <v>16</v>
      </c>
      <c r="M144" s="13">
        <v>3</v>
      </c>
      <c r="N144" s="13" t="s">
        <v>3</v>
      </c>
      <c r="O144" s="13">
        <v>2</v>
      </c>
      <c r="P144" s="13">
        <f>ROUND(Source!EK127,O144)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06" ht="13" x14ac:dyDescent="0.3">
      <c r="A145" s="13">
        <v>50</v>
      </c>
      <c r="B145" s="13">
        <v>0</v>
      </c>
      <c r="C145" s="13">
        <v>0</v>
      </c>
      <c r="D145" s="13">
        <v>1</v>
      </c>
      <c r="E145" s="13">
        <v>215</v>
      </c>
      <c r="F145" s="13">
        <f>ROUND(Source!AT127,O145)</f>
        <v>213.46</v>
      </c>
      <c r="G145" s="13" t="s">
        <v>83</v>
      </c>
      <c r="H145" s="13" t="s">
        <v>84</v>
      </c>
      <c r="I145" s="13"/>
      <c r="J145" s="13"/>
      <c r="K145" s="13">
        <v>215</v>
      </c>
      <c r="L145" s="13">
        <v>17</v>
      </c>
      <c r="M145" s="13">
        <v>3</v>
      </c>
      <c r="N145" s="13" t="s">
        <v>3</v>
      </c>
      <c r="O145" s="13">
        <v>2</v>
      </c>
      <c r="P145" s="13">
        <f>ROUND(Source!EL127,O145)</f>
        <v>11942.4</v>
      </c>
      <c r="Q145" s="13"/>
      <c r="R145" s="13"/>
      <c r="S145" s="13"/>
      <c r="T145" s="13"/>
      <c r="U145" s="13"/>
      <c r="V145" s="13"/>
      <c r="W145" s="13">
        <v>213.46</v>
      </c>
      <c r="X145" s="13">
        <v>1</v>
      </c>
      <c r="Y145" s="13">
        <v>213.46</v>
      </c>
      <c r="Z145" s="13">
        <v>11942.4</v>
      </c>
      <c r="AA145" s="13">
        <v>1</v>
      </c>
      <c r="AB145" s="13">
        <v>11942.4</v>
      </c>
    </row>
    <row r="146" spans="1:206" ht="13" x14ac:dyDescent="0.3">
      <c r="A146" s="13">
        <v>50</v>
      </c>
      <c r="B146" s="13">
        <v>0</v>
      </c>
      <c r="C146" s="13">
        <v>0</v>
      </c>
      <c r="D146" s="13">
        <v>1</v>
      </c>
      <c r="E146" s="13">
        <v>217</v>
      </c>
      <c r="F146" s="13">
        <f>ROUND(Source!AU127,O146)</f>
        <v>0</v>
      </c>
      <c r="G146" s="13" t="s">
        <v>85</v>
      </c>
      <c r="H146" s="13" t="s">
        <v>86</v>
      </c>
      <c r="I146" s="13"/>
      <c r="J146" s="13"/>
      <c r="K146" s="13">
        <v>217</v>
      </c>
      <c r="L146" s="13">
        <v>18</v>
      </c>
      <c r="M146" s="13">
        <v>3</v>
      </c>
      <c r="N146" s="13" t="s">
        <v>3</v>
      </c>
      <c r="O146" s="13">
        <v>2</v>
      </c>
      <c r="P146" s="13">
        <f>ROUND(Source!EM127,O146)</f>
        <v>0</v>
      </c>
      <c r="Q146" s="13"/>
      <c r="R146" s="13"/>
      <c r="S146" s="13"/>
      <c r="T146" s="13"/>
      <c r="U146" s="13"/>
      <c r="V146" s="13"/>
      <c r="W146" s="13">
        <v>0</v>
      </c>
      <c r="X146" s="13">
        <v>1</v>
      </c>
      <c r="Y146" s="13">
        <v>0</v>
      </c>
      <c r="Z146" s="13">
        <v>0</v>
      </c>
      <c r="AA146" s="13">
        <v>1</v>
      </c>
      <c r="AB146" s="13">
        <v>0</v>
      </c>
    </row>
    <row r="147" spans="1:206" ht="13" x14ac:dyDescent="0.3">
      <c r="A147" s="13">
        <v>50</v>
      </c>
      <c r="B147" s="13">
        <v>0</v>
      </c>
      <c r="C147" s="13">
        <v>0</v>
      </c>
      <c r="D147" s="13">
        <v>1</v>
      </c>
      <c r="E147" s="13">
        <v>230</v>
      </c>
      <c r="F147" s="13">
        <f>ROUND(Source!BA127,O147)</f>
        <v>0</v>
      </c>
      <c r="G147" s="13" t="s">
        <v>87</v>
      </c>
      <c r="H147" s="13" t="s">
        <v>88</v>
      </c>
      <c r="I147" s="13"/>
      <c r="J147" s="13"/>
      <c r="K147" s="13">
        <v>230</v>
      </c>
      <c r="L147" s="13">
        <v>19</v>
      </c>
      <c r="M147" s="13">
        <v>3</v>
      </c>
      <c r="N147" s="13" t="s">
        <v>3</v>
      </c>
      <c r="O147" s="13">
        <v>2</v>
      </c>
      <c r="P147" s="13">
        <f>ROUND(Source!ES127,O147)</f>
        <v>0</v>
      </c>
      <c r="Q147" s="13"/>
      <c r="R147" s="13"/>
      <c r="S147" s="13"/>
      <c r="T147" s="13"/>
      <c r="U147" s="13"/>
      <c r="V147" s="13"/>
      <c r="W147" s="13">
        <v>0</v>
      </c>
      <c r="X147" s="13">
        <v>1</v>
      </c>
      <c r="Y147" s="13">
        <v>0</v>
      </c>
      <c r="Z147" s="13">
        <v>0</v>
      </c>
      <c r="AA147" s="13">
        <v>1</v>
      </c>
      <c r="AB147" s="13">
        <v>0</v>
      </c>
    </row>
    <row r="148" spans="1:206" ht="13" x14ac:dyDescent="0.3">
      <c r="A148" s="13">
        <v>50</v>
      </c>
      <c r="B148" s="13">
        <v>0</v>
      </c>
      <c r="C148" s="13">
        <v>0</v>
      </c>
      <c r="D148" s="13">
        <v>1</v>
      </c>
      <c r="E148" s="13">
        <v>206</v>
      </c>
      <c r="F148" s="13">
        <f>ROUND(Source!T127,O148)</f>
        <v>0</v>
      </c>
      <c r="G148" s="13" t="s">
        <v>89</v>
      </c>
      <c r="H148" s="13" t="s">
        <v>90</v>
      </c>
      <c r="I148" s="13"/>
      <c r="J148" s="13"/>
      <c r="K148" s="13">
        <v>206</v>
      </c>
      <c r="L148" s="13">
        <v>20</v>
      </c>
      <c r="M148" s="13">
        <v>3</v>
      </c>
      <c r="N148" s="13" t="s">
        <v>3</v>
      </c>
      <c r="O148" s="13">
        <v>2</v>
      </c>
      <c r="P148" s="13">
        <f>ROUND(Source!DL127,O148)</f>
        <v>0</v>
      </c>
      <c r="Q148" s="13"/>
      <c r="R148" s="13"/>
      <c r="S148" s="13"/>
      <c r="T148" s="13"/>
      <c r="U148" s="13"/>
      <c r="V148" s="13"/>
      <c r="W148" s="13">
        <v>0</v>
      </c>
      <c r="X148" s="13">
        <v>1</v>
      </c>
      <c r="Y148" s="13">
        <v>0</v>
      </c>
      <c r="Z148" s="13">
        <v>0</v>
      </c>
      <c r="AA148" s="13">
        <v>1</v>
      </c>
      <c r="AB148" s="13">
        <v>0</v>
      </c>
    </row>
    <row r="149" spans="1:206" ht="13" x14ac:dyDescent="0.3">
      <c r="A149" s="13">
        <v>50</v>
      </c>
      <c r="B149" s="13">
        <v>0</v>
      </c>
      <c r="C149" s="13">
        <v>0</v>
      </c>
      <c r="D149" s="13">
        <v>1</v>
      </c>
      <c r="E149" s="13">
        <v>207</v>
      </c>
      <c r="F149" s="13">
        <f>Source!U127</f>
        <v>7.5383999999999993</v>
      </c>
      <c r="G149" s="13" t="s">
        <v>91</v>
      </c>
      <c r="H149" s="13" t="s">
        <v>92</v>
      </c>
      <c r="I149" s="13"/>
      <c r="J149" s="13"/>
      <c r="K149" s="13">
        <v>207</v>
      </c>
      <c r="L149" s="13">
        <v>21</v>
      </c>
      <c r="M149" s="13">
        <v>3</v>
      </c>
      <c r="N149" s="13" t="s">
        <v>3</v>
      </c>
      <c r="O149" s="13">
        <v>-1</v>
      </c>
      <c r="P149" s="13">
        <f>Source!DM127</f>
        <v>7.5383999999999993</v>
      </c>
      <c r="Q149" s="13"/>
      <c r="R149" s="13"/>
      <c r="S149" s="13"/>
      <c r="T149" s="13"/>
      <c r="U149" s="13"/>
      <c r="V149" s="13"/>
      <c r="W149" s="13">
        <v>7.5384000000000002</v>
      </c>
      <c r="X149" s="13">
        <v>1</v>
      </c>
      <c r="Y149" s="13">
        <v>7.5384000000000002</v>
      </c>
      <c r="Z149" s="13">
        <v>7.5384000000000002</v>
      </c>
      <c r="AA149" s="13">
        <v>1</v>
      </c>
      <c r="AB149" s="13">
        <v>7.5384000000000002</v>
      </c>
    </row>
    <row r="150" spans="1:206" ht="13" x14ac:dyDescent="0.3">
      <c r="A150" s="13">
        <v>50</v>
      </c>
      <c r="B150" s="13">
        <v>0</v>
      </c>
      <c r="C150" s="13">
        <v>0</v>
      </c>
      <c r="D150" s="13">
        <v>1</v>
      </c>
      <c r="E150" s="13">
        <v>208</v>
      </c>
      <c r="F150" s="13">
        <f>Source!V127</f>
        <v>0</v>
      </c>
      <c r="G150" s="13" t="s">
        <v>93</v>
      </c>
      <c r="H150" s="13" t="s">
        <v>94</v>
      </c>
      <c r="I150" s="13"/>
      <c r="J150" s="13"/>
      <c r="K150" s="13">
        <v>208</v>
      </c>
      <c r="L150" s="13">
        <v>22</v>
      </c>
      <c r="M150" s="13">
        <v>3</v>
      </c>
      <c r="N150" s="13" t="s">
        <v>3</v>
      </c>
      <c r="O150" s="13">
        <v>-1</v>
      </c>
      <c r="P150" s="13">
        <f>Source!DN127</f>
        <v>0</v>
      </c>
      <c r="Q150" s="13"/>
      <c r="R150" s="13"/>
      <c r="S150" s="13"/>
      <c r="T150" s="13"/>
      <c r="U150" s="13"/>
      <c r="V150" s="13"/>
      <c r="W150" s="13">
        <v>0</v>
      </c>
      <c r="X150" s="13">
        <v>1</v>
      </c>
      <c r="Y150" s="13">
        <v>0</v>
      </c>
      <c r="Z150" s="13">
        <v>0</v>
      </c>
      <c r="AA150" s="13">
        <v>1</v>
      </c>
      <c r="AB150" s="13">
        <v>0</v>
      </c>
    </row>
    <row r="151" spans="1:206" ht="13" x14ac:dyDescent="0.3">
      <c r="A151" s="13">
        <v>50</v>
      </c>
      <c r="B151" s="13">
        <v>0</v>
      </c>
      <c r="C151" s="13">
        <v>0</v>
      </c>
      <c r="D151" s="13">
        <v>1</v>
      </c>
      <c r="E151" s="13">
        <v>209</v>
      </c>
      <c r="F151" s="13">
        <f>ROUND(Source!W127,O151)</f>
        <v>0</v>
      </c>
      <c r="G151" s="13" t="s">
        <v>95</v>
      </c>
      <c r="H151" s="13" t="s">
        <v>96</v>
      </c>
      <c r="I151" s="13"/>
      <c r="J151" s="13"/>
      <c r="K151" s="13">
        <v>209</v>
      </c>
      <c r="L151" s="13">
        <v>23</v>
      </c>
      <c r="M151" s="13">
        <v>3</v>
      </c>
      <c r="N151" s="13" t="s">
        <v>3</v>
      </c>
      <c r="O151" s="13">
        <v>2</v>
      </c>
      <c r="P151" s="13">
        <f>ROUND(Source!DO127,O151)</f>
        <v>0</v>
      </c>
      <c r="Q151" s="13"/>
      <c r="R151" s="13"/>
      <c r="S151" s="13"/>
      <c r="T151" s="13"/>
      <c r="U151" s="13"/>
      <c r="V151" s="13"/>
      <c r="W151" s="13">
        <v>0</v>
      </c>
      <c r="X151" s="13">
        <v>1</v>
      </c>
      <c r="Y151" s="13">
        <v>0</v>
      </c>
      <c r="Z151" s="13">
        <v>0</v>
      </c>
      <c r="AA151" s="13">
        <v>1</v>
      </c>
      <c r="AB151" s="13">
        <v>0</v>
      </c>
    </row>
    <row r="152" spans="1:206" ht="13" x14ac:dyDescent="0.3">
      <c r="A152" s="13">
        <v>50</v>
      </c>
      <c r="B152" s="13">
        <v>0</v>
      </c>
      <c r="C152" s="13">
        <v>0</v>
      </c>
      <c r="D152" s="13">
        <v>1</v>
      </c>
      <c r="E152" s="13">
        <v>233</v>
      </c>
      <c r="F152" s="13">
        <f>ROUND(Source!BD127,O152)</f>
        <v>0</v>
      </c>
      <c r="G152" s="13" t="s">
        <v>97</v>
      </c>
      <c r="H152" s="13" t="s">
        <v>98</v>
      </c>
      <c r="I152" s="13"/>
      <c r="J152" s="13"/>
      <c r="K152" s="13">
        <v>233</v>
      </c>
      <c r="L152" s="13">
        <v>24</v>
      </c>
      <c r="M152" s="13">
        <v>3</v>
      </c>
      <c r="N152" s="13" t="s">
        <v>3</v>
      </c>
      <c r="O152" s="13">
        <v>2</v>
      </c>
      <c r="P152" s="13">
        <f>ROUND(Source!EV127,O152)</f>
        <v>0</v>
      </c>
      <c r="Q152" s="13"/>
      <c r="R152" s="13"/>
      <c r="S152" s="13"/>
      <c r="T152" s="13"/>
      <c r="U152" s="13"/>
      <c r="V152" s="13"/>
      <c r="W152" s="13">
        <v>0</v>
      </c>
      <c r="X152" s="13">
        <v>1</v>
      </c>
      <c r="Y152" s="13">
        <v>0</v>
      </c>
      <c r="Z152" s="13">
        <v>0</v>
      </c>
      <c r="AA152" s="13">
        <v>1</v>
      </c>
      <c r="AB152" s="13">
        <v>0</v>
      </c>
    </row>
    <row r="153" spans="1:206" ht="13" x14ac:dyDescent="0.3">
      <c r="A153" s="13">
        <v>50</v>
      </c>
      <c r="B153" s="13">
        <v>0</v>
      </c>
      <c r="C153" s="13">
        <v>0</v>
      </c>
      <c r="D153" s="13">
        <v>1</v>
      </c>
      <c r="E153" s="13">
        <v>210</v>
      </c>
      <c r="F153" s="13">
        <f>ROUND(Source!X127,O153)</f>
        <v>80.739999999999995</v>
      </c>
      <c r="G153" s="13" t="s">
        <v>99</v>
      </c>
      <c r="H153" s="13" t="s">
        <v>100</v>
      </c>
      <c r="I153" s="13"/>
      <c r="J153" s="13"/>
      <c r="K153" s="13">
        <v>210</v>
      </c>
      <c r="L153" s="13">
        <v>25</v>
      </c>
      <c r="M153" s="13">
        <v>3</v>
      </c>
      <c r="N153" s="13" t="s">
        <v>3</v>
      </c>
      <c r="O153" s="13">
        <v>2</v>
      </c>
      <c r="P153" s="13">
        <f>ROUND(Source!DP127,O153)</f>
        <v>4549.6400000000003</v>
      </c>
      <c r="Q153" s="13"/>
      <c r="R153" s="13"/>
      <c r="S153" s="13"/>
      <c r="T153" s="13"/>
      <c r="U153" s="13"/>
      <c r="V153" s="13"/>
      <c r="W153" s="13">
        <v>80.739999999999995</v>
      </c>
      <c r="X153" s="13">
        <v>1</v>
      </c>
      <c r="Y153" s="13">
        <v>80.739999999999995</v>
      </c>
      <c r="Z153" s="13">
        <v>4549.6400000000003</v>
      </c>
      <c r="AA153" s="13">
        <v>1</v>
      </c>
      <c r="AB153" s="13">
        <v>4549.6400000000003</v>
      </c>
    </row>
    <row r="154" spans="1:206" ht="13" x14ac:dyDescent="0.3">
      <c r="A154" s="13">
        <v>50</v>
      </c>
      <c r="B154" s="13">
        <v>0</v>
      </c>
      <c r="C154" s="13">
        <v>0</v>
      </c>
      <c r="D154" s="13">
        <v>1</v>
      </c>
      <c r="E154" s="13">
        <v>211</v>
      </c>
      <c r="F154" s="13">
        <f>ROUND(Source!Y127,O154)</f>
        <v>41.27</v>
      </c>
      <c r="G154" s="13" t="s">
        <v>101</v>
      </c>
      <c r="H154" s="13" t="s">
        <v>102</v>
      </c>
      <c r="I154" s="13"/>
      <c r="J154" s="13"/>
      <c r="K154" s="13">
        <v>211</v>
      </c>
      <c r="L154" s="13">
        <v>26</v>
      </c>
      <c r="M154" s="13">
        <v>3</v>
      </c>
      <c r="N154" s="13" t="s">
        <v>3</v>
      </c>
      <c r="O154" s="13">
        <v>2</v>
      </c>
      <c r="P154" s="13">
        <f>ROUND(Source!DQ127,O154)</f>
        <v>2325.37</v>
      </c>
      <c r="Q154" s="13"/>
      <c r="R154" s="13"/>
      <c r="S154" s="13"/>
      <c r="T154" s="13"/>
      <c r="U154" s="13"/>
      <c r="V154" s="13"/>
      <c r="W154" s="13">
        <v>41.27</v>
      </c>
      <c r="X154" s="13">
        <v>1</v>
      </c>
      <c r="Y154" s="13">
        <v>41.27</v>
      </c>
      <c r="Z154" s="13">
        <v>2325.37</v>
      </c>
      <c r="AA154" s="13">
        <v>1</v>
      </c>
      <c r="AB154" s="13">
        <v>2325.37</v>
      </c>
    </row>
    <row r="155" spans="1:206" ht="13" x14ac:dyDescent="0.3">
      <c r="A155" s="13">
        <v>50</v>
      </c>
      <c r="B155" s="13">
        <v>0</v>
      </c>
      <c r="C155" s="13">
        <v>0</v>
      </c>
      <c r="D155" s="13">
        <v>1</v>
      </c>
      <c r="E155" s="13">
        <v>224</v>
      </c>
      <c r="F155" s="13">
        <f>ROUND(Source!AR127,O155)</f>
        <v>37686.339999999997</v>
      </c>
      <c r="G155" s="13" t="s">
        <v>103</v>
      </c>
      <c r="H155" s="13" t="s">
        <v>104</v>
      </c>
      <c r="I155" s="13"/>
      <c r="J155" s="13"/>
      <c r="K155" s="13">
        <v>224</v>
      </c>
      <c r="L155" s="13">
        <v>27</v>
      </c>
      <c r="M155" s="13">
        <v>3</v>
      </c>
      <c r="N155" s="13" t="s">
        <v>3</v>
      </c>
      <c r="O155" s="13">
        <v>2</v>
      </c>
      <c r="P155" s="13">
        <f>ROUND(Source!EJ127,O155)</f>
        <v>295612.09999999998</v>
      </c>
      <c r="Q155" s="13"/>
      <c r="R155" s="13"/>
      <c r="S155" s="13"/>
      <c r="T155" s="13"/>
      <c r="U155" s="13"/>
      <c r="V155" s="13"/>
      <c r="W155" s="13">
        <v>37686.339999999997</v>
      </c>
      <c r="X155" s="13">
        <v>1</v>
      </c>
      <c r="Y155" s="13">
        <v>37686.339999999997</v>
      </c>
      <c r="Z155" s="13">
        <v>295612.09999999998</v>
      </c>
      <c r="AA155" s="13">
        <v>1</v>
      </c>
      <c r="AB155" s="13">
        <v>295612.09999999998</v>
      </c>
    </row>
    <row r="157" spans="1:206" ht="13" x14ac:dyDescent="0.3">
      <c r="A157" s="10">
        <v>4</v>
      </c>
      <c r="B157" s="10">
        <v>1</v>
      </c>
      <c r="C157" s="10"/>
      <c r="D157" s="10">
        <f>ROW(A170)</f>
        <v>170</v>
      </c>
      <c r="E157" s="10"/>
      <c r="F157" s="10" t="s">
        <v>23</v>
      </c>
      <c r="G157" s="10" t="s">
        <v>148</v>
      </c>
      <c r="H157" s="10" t="s">
        <v>3</v>
      </c>
      <c r="I157" s="10">
        <v>0</v>
      </c>
      <c r="J157" s="10"/>
      <c r="K157" s="10">
        <v>0</v>
      </c>
      <c r="L157" s="10"/>
      <c r="M157" s="10" t="s">
        <v>3</v>
      </c>
      <c r="N157" s="10"/>
      <c r="O157" s="10"/>
      <c r="P157" s="10"/>
      <c r="Q157" s="10"/>
      <c r="R157" s="10"/>
      <c r="S157" s="10">
        <v>0</v>
      </c>
      <c r="T157" s="10">
        <v>0</v>
      </c>
      <c r="U157" s="10" t="s">
        <v>3</v>
      </c>
      <c r="V157" s="10">
        <v>0</v>
      </c>
      <c r="W157" s="10"/>
      <c r="X157" s="10"/>
      <c r="Y157" s="10"/>
      <c r="Z157" s="10"/>
      <c r="AA157" s="10"/>
      <c r="AB157" s="10" t="s">
        <v>3</v>
      </c>
      <c r="AC157" s="10" t="s">
        <v>3</v>
      </c>
      <c r="AD157" s="10" t="s">
        <v>3</v>
      </c>
      <c r="AE157" s="10" t="s">
        <v>3</v>
      </c>
      <c r="AF157" s="10" t="s">
        <v>3</v>
      </c>
      <c r="AG157" s="10" t="s">
        <v>3</v>
      </c>
      <c r="AH157" s="10"/>
      <c r="AI157" s="10"/>
      <c r="AJ157" s="10"/>
      <c r="AK157" s="10"/>
      <c r="AL157" s="10"/>
      <c r="AM157" s="10"/>
      <c r="AN157" s="10"/>
      <c r="AO157" s="10"/>
      <c r="AP157" s="10" t="s">
        <v>3</v>
      </c>
      <c r="AQ157" s="10" t="s">
        <v>3</v>
      </c>
      <c r="AR157" s="10" t="s">
        <v>3</v>
      </c>
      <c r="AS157" s="10"/>
      <c r="AT157" s="10"/>
      <c r="AU157" s="10"/>
      <c r="AV157" s="10"/>
      <c r="AW157" s="10"/>
      <c r="AX157" s="10"/>
      <c r="AY157" s="10"/>
      <c r="AZ157" s="10" t="s">
        <v>3</v>
      </c>
      <c r="BA157" s="10"/>
      <c r="BB157" s="10" t="s">
        <v>3</v>
      </c>
      <c r="BC157" s="10" t="s">
        <v>3</v>
      </c>
      <c r="BD157" s="10" t="s">
        <v>3</v>
      </c>
      <c r="BE157" s="10" t="s">
        <v>3</v>
      </c>
      <c r="BF157" s="10" t="s">
        <v>3</v>
      </c>
      <c r="BG157" s="10" t="s">
        <v>3</v>
      </c>
      <c r="BH157" s="10" t="s">
        <v>3</v>
      </c>
      <c r="BI157" s="10" t="s">
        <v>3</v>
      </c>
      <c r="BJ157" s="10" t="s">
        <v>3</v>
      </c>
      <c r="BK157" s="10" t="s">
        <v>3</v>
      </c>
      <c r="BL157" s="10" t="s">
        <v>3</v>
      </c>
      <c r="BM157" s="10" t="s">
        <v>3</v>
      </c>
      <c r="BN157" s="10" t="s">
        <v>3</v>
      </c>
      <c r="BO157" s="10" t="s">
        <v>3</v>
      </c>
      <c r="BP157" s="10" t="s">
        <v>3</v>
      </c>
      <c r="BQ157" s="10"/>
      <c r="BR157" s="10"/>
      <c r="BS157" s="10"/>
      <c r="BT157" s="10"/>
      <c r="BU157" s="10"/>
      <c r="BV157" s="10"/>
      <c r="BW157" s="10"/>
      <c r="BX157" s="10">
        <v>0</v>
      </c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>
        <v>0</v>
      </c>
    </row>
    <row r="159" spans="1:206" ht="13" x14ac:dyDescent="0.3">
      <c r="A159" s="11">
        <v>52</v>
      </c>
      <c r="B159" s="11">
        <f t="shared" ref="B159:G159" si="111">B170</f>
        <v>1</v>
      </c>
      <c r="C159" s="11">
        <f t="shared" si="111"/>
        <v>4</v>
      </c>
      <c r="D159" s="11">
        <f t="shared" si="111"/>
        <v>157</v>
      </c>
      <c r="E159" s="11">
        <f t="shared" si="111"/>
        <v>0</v>
      </c>
      <c r="F159" s="11" t="str">
        <f t="shared" si="111"/>
        <v>Новый раздел</v>
      </c>
      <c r="G159" s="11" t="str">
        <f t="shared" si="111"/>
        <v>Кабели и провода</v>
      </c>
      <c r="H159" s="11"/>
      <c r="I159" s="11"/>
      <c r="J159" s="11"/>
      <c r="K159" s="11"/>
      <c r="L159" s="11"/>
      <c r="M159" s="11"/>
      <c r="N159" s="11"/>
      <c r="O159" s="11">
        <f t="shared" ref="O159:AT159" si="112">O170</f>
        <v>62.79</v>
      </c>
      <c r="P159" s="11">
        <f t="shared" si="112"/>
        <v>60.82</v>
      </c>
      <c r="Q159" s="11">
        <f t="shared" si="112"/>
        <v>0</v>
      </c>
      <c r="R159" s="11">
        <f t="shared" si="112"/>
        <v>0</v>
      </c>
      <c r="S159" s="11">
        <f t="shared" si="112"/>
        <v>1.97</v>
      </c>
      <c r="T159" s="11">
        <f t="shared" si="112"/>
        <v>0</v>
      </c>
      <c r="U159" s="11">
        <f t="shared" si="112"/>
        <v>0.15579359999999998</v>
      </c>
      <c r="V159" s="11">
        <f t="shared" si="112"/>
        <v>0</v>
      </c>
      <c r="W159" s="11">
        <f t="shared" si="112"/>
        <v>0</v>
      </c>
      <c r="X159" s="11">
        <f t="shared" si="112"/>
        <v>1.77</v>
      </c>
      <c r="Y159" s="11">
        <f t="shared" si="112"/>
        <v>0.91</v>
      </c>
      <c r="Z159" s="11">
        <f t="shared" si="112"/>
        <v>0</v>
      </c>
      <c r="AA159" s="11">
        <f t="shared" si="112"/>
        <v>0</v>
      </c>
      <c r="AB159" s="11">
        <f t="shared" si="112"/>
        <v>62.79</v>
      </c>
      <c r="AC159" s="11">
        <f t="shared" si="112"/>
        <v>60.82</v>
      </c>
      <c r="AD159" s="11">
        <f t="shared" si="112"/>
        <v>0</v>
      </c>
      <c r="AE159" s="11">
        <f t="shared" si="112"/>
        <v>0</v>
      </c>
      <c r="AF159" s="11">
        <f t="shared" si="112"/>
        <v>1.97</v>
      </c>
      <c r="AG159" s="11">
        <f t="shared" si="112"/>
        <v>0</v>
      </c>
      <c r="AH159" s="11">
        <f t="shared" si="112"/>
        <v>0.15579359999999998</v>
      </c>
      <c r="AI159" s="11">
        <f t="shared" si="112"/>
        <v>0</v>
      </c>
      <c r="AJ159" s="11">
        <f t="shared" si="112"/>
        <v>0</v>
      </c>
      <c r="AK159" s="11">
        <f t="shared" si="112"/>
        <v>1.77</v>
      </c>
      <c r="AL159" s="11">
        <f t="shared" si="112"/>
        <v>0.91</v>
      </c>
      <c r="AM159" s="11">
        <f t="shared" si="112"/>
        <v>0</v>
      </c>
      <c r="AN159" s="11">
        <f t="shared" si="112"/>
        <v>0</v>
      </c>
      <c r="AO159" s="11">
        <f t="shared" si="112"/>
        <v>0</v>
      </c>
      <c r="AP159" s="11">
        <f t="shared" si="112"/>
        <v>0</v>
      </c>
      <c r="AQ159" s="11">
        <f t="shared" si="112"/>
        <v>0</v>
      </c>
      <c r="AR159" s="11">
        <f t="shared" si="112"/>
        <v>65.47</v>
      </c>
      <c r="AS159" s="11">
        <f t="shared" si="112"/>
        <v>0</v>
      </c>
      <c r="AT159" s="11">
        <f t="shared" si="112"/>
        <v>65.47</v>
      </c>
      <c r="AU159" s="11">
        <f t="shared" ref="AU159:BZ159" si="113">AU170</f>
        <v>0</v>
      </c>
      <c r="AV159" s="11">
        <f t="shared" si="113"/>
        <v>60.82</v>
      </c>
      <c r="AW159" s="11">
        <f t="shared" si="113"/>
        <v>60.82</v>
      </c>
      <c r="AX159" s="11">
        <f t="shared" si="113"/>
        <v>0</v>
      </c>
      <c r="AY159" s="11">
        <f t="shared" si="113"/>
        <v>60.82</v>
      </c>
      <c r="AZ159" s="11">
        <f t="shared" si="113"/>
        <v>0</v>
      </c>
      <c r="BA159" s="11">
        <f t="shared" si="113"/>
        <v>0</v>
      </c>
      <c r="BB159" s="11">
        <f t="shared" si="113"/>
        <v>0</v>
      </c>
      <c r="BC159" s="11">
        <f t="shared" si="113"/>
        <v>0</v>
      </c>
      <c r="BD159" s="11">
        <f t="shared" si="113"/>
        <v>0</v>
      </c>
      <c r="BE159" s="11">
        <f t="shared" si="113"/>
        <v>0</v>
      </c>
      <c r="BF159" s="11">
        <f t="shared" si="113"/>
        <v>0</v>
      </c>
      <c r="BG159" s="11">
        <f t="shared" si="113"/>
        <v>0</v>
      </c>
      <c r="BH159" s="11">
        <f t="shared" si="113"/>
        <v>0</v>
      </c>
      <c r="BI159" s="11">
        <f t="shared" si="113"/>
        <v>0</v>
      </c>
      <c r="BJ159" s="11">
        <f t="shared" si="113"/>
        <v>0</v>
      </c>
      <c r="BK159" s="11">
        <f t="shared" si="113"/>
        <v>0</v>
      </c>
      <c r="BL159" s="11">
        <f t="shared" si="113"/>
        <v>0</v>
      </c>
      <c r="BM159" s="11">
        <f t="shared" si="113"/>
        <v>0</v>
      </c>
      <c r="BN159" s="11">
        <f t="shared" si="113"/>
        <v>0</v>
      </c>
      <c r="BO159" s="11">
        <f t="shared" si="113"/>
        <v>0</v>
      </c>
      <c r="BP159" s="11">
        <f t="shared" si="113"/>
        <v>0</v>
      </c>
      <c r="BQ159" s="11">
        <f t="shared" si="113"/>
        <v>0</v>
      </c>
      <c r="BR159" s="11">
        <f t="shared" si="113"/>
        <v>0</v>
      </c>
      <c r="BS159" s="11">
        <f t="shared" si="113"/>
        <v>0</v>
      </c>
      <c r="BT159" s="11">
        <f t="shared" si="113"/>
        <v>0</v>
      </c>
      <c r="BU159" s="11">
        <f t="shared" si="113"/>
        <v>0</v>
      </c>
      <c r="BV159" s="11">
        <f t="shared" si="113"/>
        <v>0</v>
      </c>
      <c r="BW159" s="11">
        <f t="shared" si="113"/>
        <v>0</v>
      </c>
      <c r="BX159" s="11">
        <f t="shared" si="113"/>
        <v>0</v>
      </c>
      <c r="BY159" s="11">
        <f t="shared" si="113"/>
        <v>0</v>
      </c>
      <c r="BZ159" s="11">
        <f t="shared" si="113"/>
        <v>0</v>
      </c>
      <c r="CA159" s="11">
        <f t="shared" ref="CA159:DF159" si="114">CA170</f>
        <v>65.47</v>
      </c>
      <c r="CB159" s="11">
        <f t="shared" si="114"/>
        <v>0</v>
      </c>
      <c r="CC159" s="11">
        <f t="shared" si="114"/>
        <v>65.47</v>
      </c>
      <c r="CD159" s="11">
        <f t="shared" si="114"/>
        <v>0</v>
      </c>
      <c r="CE159" s="11">
        <f t="shared" si="114"/>
        <v>60.82</v>
      </c>
      <c r="CF159" s="11">
        <f t="shared" si="114"/>
        <v>60.82</v>
      </c>
      <c r="CG159" s="11">
        <f t="shared" si="114"/>
        <v>0</v>
      </c>
      <c r="CH159" s="11">
        <f t="shared" si="114"/>
        <v>60.82</v>
      </c>
      <c r="CI159" s="11">
        <f t="shared" si="114"/>
        <v>0</v>
      </c>
      <c r="CJ159" s="11">
        <f t="shared" si="114"/>
        <v>0</v>
      </c>
      <c r="CK159" s="11">
        <f t="shared" si="114"/>
        <v>0</v>
      </c>
      <c r="CL159" s="11">
        <f t="shared" si="114"/>
        <v>0</v>
      </c>
      <c r="CM159" s="11">
        <f t="shared" si="114"/>
        <v>0</v>
      </c>
      <c r="CN159" s="11">
        <f t="shared" si="114"/>
        <v>0</v>
      </c>
      <c r="CO159" s="11">
        <f t="shared" si="114"/>
        <v>0</v>
      </c>
      <c r="CP159" s="11">
        <f t="shared" si="114"/>
        <v>0</v>
      </c>
      <c r="CQ159" s="11">
        <f t="shared" si="114"/>
        <v>0</v>
      </c>
      <c r="CR159" s="11">
        <f t="shared" si="114"/>
        <v>0</v>
      </c>
      <c r="CS159" s="11">
        <f t="shared" si="114"/>
        <v>0</v>
      </c>
      <c r="CT159" s="11">
        <f t="shared" si="114"/>
        <v>0</v>
      </c>
      <c r="CU159" s="11">
        <f t="shared" si="114"/>
        <v>0</v>
      </c>
      <c r="CV159" s="11">
        <f t="shared" si="114"/>
        <v>0</v>
      </c>
      <c r="CW159" s="11">
        <f t="shared" si="114"/>
        <v>0</v>
      </c>
      <c r="CX159" s="11">
        <f t="shared" si="114"/>
        <v>0</v>
      </c>
      <c r="CY159" s="11">
        <f t="shared" si="114"/>
        <v>0</v>
      </c>
      <c r="CZ159" s="11">
        <f t="shared" si="114"/>
        <v>0</v>
      </c>
      <c r="DA159" s="11">
        <f t="shared" si="114"/>
        <v>0</v>
      </c>
      <c r="DB159" s="11">
        <f t="shared" si="114"/>
        <v>0</v>
      </c>
      <c r="DC159" s="11">
        <f t="shared" si="114"/>
        <v>0</v>
      </c>
      <c r="DD159" s="11">
        <f t="shared" si="114"/>
        <v>0</v>
      </c>
      <c r="DE159" s="11">
        <f t="shared" si="114"/>
        <v>0</v>
      </c>
      <c r="DF159" s="11">
        <f t="shared" si="114"/>
        <v>0</v>
      </c>
      <c r="DG159" s="12">
        <f t="shared" ref="DG159:EL159" si="115">DG170</f>
        <v>709.47</v>
      </c>
      <c r="DH159" s="12">
        <f t="shared" si="115"/>
        <v>598.46</v>
      </c>
      <c r="DI159" s="12">
        <f t="shared" si="115"/>
        <v>0</v>
      </c>
      <c r="DJ159" s="12">
        <f t="shared" si="115"/>
        <v>0</v>
      </c>
      <c r="DK159" s="12">
        <f t="shared" si="115"/>
        <v>111.01</v>
      </c>
      <c r="DL159" s="12">
        <f t="shared" si="115"/>
        <v>0</v>
      </c>
      <c r="DM159" s="12">
        <f t="shared" si="115"/>
        <v>0.15579359999999998</v>
      </c>
      <c r="DN159" s="12">
        <f t="shared" si="115"/>
        <v>0</v>
      </c>
      <c r="DO159" s="12">
        <f t="shared" si="115"/>
        <v>0</v>
      </c>
      <c r="DP159" s="12">
        <f t="shared" si="115"/>
        <v>99.91</v>
      </c>
      <c r="DQ159" s="12">
        <f t="shared" si="115"/>
        <v>51.06</v>
      </c>
      <c r="DR159" s="12">
        <f t="shared" si="115"/>
        <v>0</v>
      </c>
      <c r="DS159" s="12">
        <f t="shared" si="115"/>
        <v>0</v>
      </c>
      <c r="DT159" s="12">
        <f t="shared" si="115"/>
        <v>709.47</v>
      </c>
      <c r="DU159" s="12">
        <f t="shared" si="115"/>
        <v>598.46</v>
      </c>
      <c r="DV159" s="12">
        <f t="shared" si="115"/>
        <v>0</v>
      </c>
      <c r="DW159" s="12">
        <f t="shared" si="115"/>
        <v>0</v>
      </c>
      <c r="DX159" s="12">
        <f t="shared" si="115"/>
        <v>111.01</v>
      </c>
      <c r="DY159" s="12">
        <f t="shared" si="115"/>
        <v>0</v>
      </c>
      <c r="DZ159" s="12">
        <f t="shared" si="115"/>
        <v>0.15579359999999998</v>
      </c>
      <c r="EA159" s="12">
        <f t="shared" si="115"/>
        <v>0</v>
      </c>
      <c r="EB159" s="12">
        <f t="shared" si="115"/>
        <v>0</v>
      </c>
      <c r="EC159" s="12">
        <f t="shared" si="115"/>
        <v>99.91</v>
      </c>
      <c r="ED159" s="12">
        <f t="shared" si="115"/>
        <v>51.06</v>
      </c>
      <c r="EE159" s="12">
        <f t="shared" si="115"/>
        <v>0</v>
      </c>
      <c r="EF159" s="12">
        <f t="shared" si="115"/>
        <v>0</v>
      </c>
      <c r="EG159" s="12">
        <f t="shared" si="115"/>
        <v>0</v>
      </c>
      <c r="EH159" s="12">
        <f t="shared" si="115"/>
        <v>0</v>
      </c>
      <c r="EI159" s="12">
        <f t="shared" si="115"/>
        <v>0</v>
      </c>
      <c r="EJ159" s="12">
        <f t="shared" si="115"/>
        <v>860.44</v>
      </c>
      <c r="EK159" s="12">
        <f t="shared" si="115"/>
        <v>0</v>
      </c>
      <c r="EL159" s="12">
        <f t="shared" si="115"/>
        <v>860.44</v>
      </c>
      <c r="EM159" s="12">
        <f t="shared" ref="EM159:FR159" si="116">EM170</f>
        <v>0</v>
      </c>
      <c r="EN159" s="12">
        <f t="shared" si="116"/>
        <v>598.46</v>
      </c>
      <c r="EO159" s="12">
        <f t="shared" si="116"/>
        <v>598.46</v>
      </c>
      <c r="EP159" s="12">
        <f t="shared" si="116"/>
        <v>0</v>
      </c>
      <c r="EQ159" s="12">
        <f t="shared" si="116"/>
        <v>598.46</v>
      </c>
      <c r="ER159" s="12">
        <f t="shared" si="116"/>
        <v>0</v>
      </c>
      <c r="ES159" s="12">
        <f t="shared" si="116"/>
        <v>0</v>
      </c>
      <c r="ET159" s="12">
        <f t="shared" si="116"/>
        <v>0</v>
      </c>
      <c r="EU159" s="12">
        <f t="shared" si="116"/>
        <v>0</v>
      </c>
      <c r="EV159" s="12">
        <f t="shared" si="116"/>
        <v>0</v>
      </c>
      <c r="EW159" s="12">
        <f t="shared" si="116"/>
        <v>0</v>
      </c>
      <c r="EX159" s="12">
        <f t="shared" si="116"/>
        <v>0</v>
      </c>
      <c r="EY159" s="12">
        <f t="shared" si="116"/>
        <v>0</v>
      </c>
      <c r="EZ159" s="12">
        <f t="shared" si="116"/>
        <v>0</v>
      </c>
      <c r="FA159" s="12">
        <f t="shared" si="116"/>
        <v>0</v>
      </c>
      <c r="FB159" s="12">
        <f t="shared" si="116"/>
        <v>0</v>
      </c>
      <c r="FC159" s="12">
        <f t="shared" si="116"/>
        <v>0</v>
      </c>
      <c r="FD159" s="12">
        <f t="shared" si="116"/>
        <v>0</v>
      </c>
      <c r="FE159" s="12">
        <f t="shared" si="116"/>
        <v>0</v>
      </c>
      <c r="FF159" s="12">
        <f t="shared" si="116"/>
        <v>0</v>
      </c>
      <c r="FG159" s="12">
        <f t="shared" si="116"/>
        <v>0</v>
      </c>
      <c r="FH159" s="12">
        <f t="shared" si="116"/>
        <v>0</v>
      </c>
      <c r="FI159" s="12">
        <f t="shared" si="116"/>
        <v>0</v>
      </c>
      <c r="FJ159" s="12">
        <f t="shared" si="116"/>
        <v>0</v>
      </c>
      <c r="FK159" s="12">
        <f t="shared" si="116"/>
        <v>0</v>
      </c>
      <c r="FL159" s="12">
        <f t="shared" si="116"/>
        <v>0</v>
      </c>
      <c r="FM159" s="12">
        <f t="shared" si="116"/>
        <v>0</v>
      </c>
      <c r="FN159" s="12">
        <f t="shared" si="116"/>
        <v>0</v>
      </c>
      <c r="FO159" s="12">
        <f t="shared" si="116"/>
        <v>0</v>
      </c>
      <c r="FP159" s="12">
        <f t="shared" si="116"/>
        <v>0</v>
      </c>
      <c r="FQ159" s="12">
        <f t="shared" si="116"/>
        <v>0</v>
      </c>
      <c r="FR159" s="12">
        <f t="shared" si="116"/>
        <v>0</v>
      </c>
      <c r="FS159" s="12">
        <f t="shared" ref="FS159:GX159" si="117">FS170</f>
        <v>860.44</v>
      </c>
      <c r="FT159" s="12">
        <f t="shared" si="117"/>
        <v>0</v>
      </c>
      <c r="FU159" s="12">
        <f t="shared" si="117"/>
        <v>860.44</v>
      </c>
      <c r="FV159" s="12">
        <f t="shared" si="117"/>
        <v>0</v>
      </c>
      <c r="FW159" s="12">
        <f t="shared" si="117"/>
        <v>598.46</v>
      </c>
      <c r="FX159" s="12">
        <f t="shared" si="117"/>
        <v>598.46</v>
      </c>
      <c r="FY159" s="12">
        <f t="shared" si="117"/>
        <v>0</v>
      </c>
      <c r="FZ159" s="12">
        <f t="shared" si="117"/>
        <v>598.46</v>
      </c>
      <c r="GA159" s="12">
        <f t="shared" si="117"/>
        <v>0</v>
      </c>
      <c r="GB159" s="12">
        <f t="shared" si="117"/>
        <v>0</v>
      </c>
      <c r="GC159" s="12">
        <f t="shared" si="117"/>
        <v>0</v>
      </c>
      <c r="GD159" s="12">
        <f t="shared" si="117"/>
        <v>0</v>
      </c>
      <c r="GE159" s="12">
        <f t="shared" si="117"/>
        <v>0</v>
      </c>
      <c r="GF159" s="12">
        <f t="shared" si="117"/>
        <v>0</v>
      </c>
      <c r="GG159" s="12">
        <f t="shared" si="117"/>
        <v>0</v>
      </c>
      <c r="GH159" s="12">
        <f t="shared" si="117"/>
        <v>0</v>
      </c>
      <c r="GI159" s="12">
        <f t="shared" si="117"/>
        <v>0</v>
      </c>
      <c r="GJ159" s="12">
        <f t="shared" si="117"/>
        <v>0</v>
      </c>
      <c r="GK159" s="12">
        <f t="shared" si="117"/>
        <v>0</v>
      </c>
      <c r="GL159" s="12">
        <f t="shared" si="117"/>
        <v>0</v>
      </c>
      <c r="GM159" s="12">
        <f t="shared" si="117"/>
        <v>0</v>
      </c>
      <c r="GN159" s="12">
        <f t="shared" si="117"/>
        <v>0</v>
      </c>
      <c r="GO159" s="12">
        <f t="shared" si="117"/>
        <v>0</v>
      </c>
      <c r="GP159" s="12">
        <f t="shared" si="117"/>
        <v>0</v>
      </c>
      <c r="GQ159" s="12">
        <f t="shared" si="117"/>
        <v>0</v>
      </c>
      <c r="GR159" s="12">
        <f t="shared" si="117"/>
        <v>0</v>
      </c>
      <c r="GS159" s="12">
        <f t="shared" si="117"/>
        <v>0</v>
      </c>
      <c r="GT159" s="12">
        <f t="shared" si="117"/>
        <v>0</v>
      </c>
      <c r="GU159" s="12">
        <f t="shared" si="117"/>
        <v>0</v>
      </c>
      <c r="GV159" s="12">
        <f t="shared" si="117"/>
        <v>0</v>
      </c>
      <c r="GW159" s="12">
        <f t="shared" si="117"/>
        <v>0</v>
      </c>
      <c r="GX159" s="12">
        <f t="shared" si="117"/>
        <v>0</v>
      </c>
    </row>
    <row r="161" spans="1:255" x14ac:dyDescent="0.25">
      <c r="A161" s="2">
        <v>17</v>
      </c>
      <c r="B161" s="2">
        <v>1</v>
      </c>
      <c r="C161" s="2">
        <f>ROW(SmtRes!A79)</f>
        <v>79</v>
      </c>
      <c r="D161" s="2">
        <f>ROW(EtalonRes!A86)</f>
        <v>86</v>
      </c>
      <c r="E161" s="2" t="s">
        <v>149</v>
      </c>
      <c r="F161" s="2" t="s">
        <v>150</v>
      </c>
      <c r="G161" s="2" t="s">
        <v>151</v>
      </c>
      <c r="H161" s="2" t="s">
        <v>152</v>
      </c>
      <c r="I161" s="2">
        <f>ROUND(4/100,9)</f>
        <v>0.04</v>
      </c>
      <c r="J161" s="2">
        <v>0</v>
      </c>
      <c r="K161" s="2">
        <f>ROUND(4/100,9)</f>
        <v>0.04</v>
      </c>
      <c r="L161" s="2"/>
      <c r="M161" s="2"/>
      <c r="N161" s="2"/>
      <c r="O161" s="2">
        <f t="shared" ref="O161:O168" si="118">ROUND(CP161,2)</f>
        <v>1.97</v>
      </c>
      <c r="P161" s="2">
        <f t="shared" ref="P161:P168" si="119">ROUND((ROUND((AC161*AW161*I161),2)*BC161),2)</f>
        <v>0</v>
      </c>
      <c r="Q161" s="2">
        <f>(ROUND((ROUND((((ET161*1.2))*AV161*I161),2)*BB161),2)+ROUND((ROUND(((AE161-((EU161*1.2)))*AV161*I161),2)*BS161),2))</f>
        <v>0</v>
      </c>
      <c r="R161" s="2">
        <f>(ROUND((ROUND((((EU161*1.2))*AV161*I161),2)*BS161),2)+ROUND((ROUND(((AE161-((EU161*1.2)))*AV161*I161),2)*BS161),2))</f>
        <v>0</v>
      </c>
      <c r="S161" s="2">
        <f t="shared" ref="S161:S168" si="120">ROUND((ROUND((AF161*AV161*I161),2)*BA161),2)</f>
        <v>1.97</v>
      </c>
      <c r="T161" s="2">
        <f t="shared" ref="T161:T168" si="121">ROUND(CU161*I161,2)</f>
        <v>0</v>
      </c>
      <c r="U161" s="2">
        <f t="shared" ref="U161:U168" si="122">CV161*I161</f>
        <v>0.15579359999999998</v>
      </c>
      <c r="V161" s="2">
        <f t="shared" ref="V161:V168" si="123">CW161*I161</f>
        <v>0</v>
      </c>
      <c r="W161" s="2">
        <f t="shared" ref="W161:W168" si="124">ROUND(CX161*I161,2)</f>
        <v>0</v>
      </c>
      <c r="X161" s="2">
        <f>(ROUND((((S161+ROUND((ROUND((((EU161*1.2))*AV161*I161),2)*BS161),2))*AT161)/100),2)+ROUND(((ROUND((ROUND(((AE161-((EU161*1.2)))*AV161*I161),2)*BS161),2)*AT161)/100),2))</f>
        <v>1.77</v>
      </c>
      <c r="Y161" s="2">
        <f>(ROUND((((S161+ROUND((ROUND((((EU161*1.2))*AV161*I161),2)*BS161),2))*AU161)/100),2)+ROUND(((ROUND((ROUND(((AE161-((EU161*1.2)))*AV161*I161),2)*BS161),2)*AU161)/100),2))</f>
        <v>0.91</v>
      </c>
      <c r="Z161" s="2"/>
      <c r="AA161" s="2">
        <v>55942966</v>
      </c>
      <c r="AB161" s="2">
        <f t="shared" ref="AB161:AB168" si="125">ROUND((AC161+AD161+AF161),6)</f>
        <v>46.944000000000003</v>
      </c>
      <c r="AC161" s="2">
        <f>ROUND(((ES161*1)),6)</f>
        <v>0</v>
      </c>
      <c r="AD161" s="2">
        <f>ROUND(((((ET161*1.2))-((EU161*1.2)))+AE161),6)</f>
        <v>0</v>
      </c>
      <c r="AE161" s="2">
        <f t="shared" ref="AE161:AF164" si="126">ROUND(((EU161*1.2)),6)</f>
        <v>0</v>
      </c>
      <c r="AF161" s="2">
        <f t="shared" si="126"/>
        <v>46.944000000000003</v>
      </c>
      <c r="AG161" s="2">
        <f t="shared" ref="AG161:AG168" si="127">ROUND((AP161),6)</f>
        <v>0</v>
      </c>
      <c r="AH161" s="2">
        <f t="shared" ref="AH161:AI164" si="128">((EW161*1.2))</f>
        <v>3.7199999999999998</v>
      </c>
      <c r="AI161" s="2">
        <f t="shared" si="128"/>
        <v>0</v>
      </c>
      <c r="AJ161" s="2">
        <f t="shared" ref="AJ161:AJ168" si="129">(AS161)</f>
        <v>0</v>
      </c>
      <c r="AK161" s="2">
        <v>39.119999999999997</v>
      </c>
      <c r="AL161" s="2">
        <v>0</v>
      </c>
      <c r="AM161" s="2">
        <v>0</v>
      </c>
      <c r="AN161" s="2">
        <v>0</v>
      </c>
      <c r="AO161" s="2">
        <v>39.119999999999997</v>
      </c>
      <c r="AP161" s="2">
        <v>0</v>
      </c>
      <c r="AQ161" s="2">
        <v>3.1</v>
      </c>
      <c r="AR161" s="2">
        <v>0</v>
      </c>
      <c r="AS161" s="2">
        <v>0</v>
      </c>
      <c r="AT161" s="2">
        <v>90</v>
      </c>
      <c r="AU161" s="2">
        <v>46</v>
      </c>
      <c r="AV161" s="2">
        <v>1.0469999999999999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2</v>
      </c>
      <c r="BJ161" s="2" t="s">
        <v>153</v>
      </c>
      <c r="BK161" s="2"/>
      <c r="BL161" s="2"/>
      <c r="BM161" s="2">
        <v>68</v>
      </c>
      <c r="BN161" s="2">
        <v>0</v>
      </c>
      <c r="BO161" s="2" t="s">
        <v>150</v>
      </c>
      <c r="BP161" s="2">
        <v>1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90</v>
      </c>
      <c r="CA161" s="2">
        <v>46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285</v>
      </c>
      <c r="CO161" s="2">
        <v>0</v>
      </c>
      <c r="CP161" s="2">
        <f t="shared" ref="CP161:CP168" si="130">(P161+Q161+S161)</f>
        <v>1.97</v>
      </c>
      <c r="CQ161" s="2">
        <f t="shared" ref="CQ161:CQ168" si="131">ROUND((ROUND((AC161*AW161*1),2)*BC161),2)</f>
        <v>0</v>
      </c>
      <c r="CR161" s="2">
        <f>(ROUND((ROUND((((ET161*1.2))*AV161*1),2)*BB161),2)+ROUND((ROUND(((AE161-((EU161*1.2)))*AV161*1),2)*BS161),2))</f>
        <v>0</v>
      </c>
      <c r="CS161" s="2">
        <f>(ROUND((ROUND((((EU161*1.2))*AV161*1),2)*BS161),2)+ROUND((ROUND(((AE161-((EU161*1.2)))*AV161*1),2)*BS161),2))</f>
        <v>0</v>
      </c>
      <c r="CT161" s="2">
        <f t="shared" ref="CT161:CT168" si="132">ROUND((ROUND((AF161*AV161*1),2)*BA161),2)</f>
        <v>49.15</v>
      </c>
      <c r="CU161" s="2">
        <f t="shared" ref="CU161:CU168" si="133">AG161</f>
        <v>0</v>
      </c>
      <c r="CV161" s="2">
        <f t="shared" ref="CV161:CV168" si="134">(AH161*AV161)</f>
        <v>3.8948399999999994</v>
      </c>
      <c r="CW161" s="2">
        <f t="shared" ref="CW161:CX168" si="135">AI161</f>
        <v>0</v>
      </c>
      <c r="CX161" s="2">
        <f t="shared" si="135"/>
        <v>0</v>
      </c>
      <c r="CY161" s="2">
        <f>(ROUND((((S161+ROUND((ROUND((((EU161*1.2))*AV161*1),2)*BS161),2))*AT161)/100),2)+ROUND(((ROUND((ROUND(((AE161-((EU161*1.2)))*AV161*1),2)*BS161),2)*AT161)/100),2))</f>
        <v>1.77</v>
      </c>
      <c r="CZ161" s="2">
        <f>(ROUND((((S161+ROUND((ROUND((((EU161*1.2))*AV161*1),2)*BS161),2))*AU161)/100),2)+ROUND(((ROUND((ROUND(((AE161-((EU161*1.2)))*AV161*1),2)*BS161),2)*AU161)/100),2))</f>
        <v>0.91</v>
      </c>
      <c r="DA161" s="2"/>
      <c r="DB161" s="2">
        <v>29</v>
      </c>
      <c r="DC161" s="2" t="s">
        <v>3</v>
      </c>
      <c r="DD161" s="2" t="s">
        <v>108</v>
      </c>
      <c r="DE161" s="2" t="s">
        <v>109</v>
      </c>
      <c r="DF161" s="2" t="s">
        <v>109</v>
      </c>
      <c r="DG161" s="2" t="s">
        <v>109</v>
      </c>
      <c r="DH161" s="2" t="s">
        <v>3</v>
      </c>
      <c r="DI161" s="2" t="s">
        <v>109</v>
      </c>
      <c r="DJ161" s="2" t="s">
        <v>109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152</v>
      </c>
      <c r="DW161" s="2" t="s">
        <v>152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55393972</v>
      </c>
      <c r="EF161" s="2">
        <v>40</v>
      </c>
      <c r="EG161" s="2" t="s">
        <v>32</v>
      </c>
      <c r="EH161" s="2">
        <v>0</v>
      </c>
      <c r="EI161" s="2" t="s">
        <v>3</v>
      </c>
      <c r="EJ161" s="2">
        <v>2</v>
      </c>
      <c r="EK161" s="2">
        <v>68</v>
      </c>
      <c r="EL161" s="2" t="s">
        <v>33</v>
      </c>
      <c r="EM161" s="2" t="s">
        <v>34</v>
      </c>
      <c r="EN161" s="2"/>
      <c r="EO161" s="2" t="s">
        <v>110</v>
      </c>
      <c r="EP161" s="2"/>
      <c r="EQ161" s="2">
        <v>0</v>
      </c>
      <c r="ER161" s="2">
        <v>39.119999999999997</v>
      </c>
      <c r="ES161" s="2">
        <v>0</v>
      </c>
      <c r="ET161" s="2">
        <v>0</v>
      </c>
      <c r="EU161" s="2">
        <v>0</v>
      </c>
      <c r="EV161" s="2">
        <v>39.119999999999997</v>
      </c>
      <c r="EW161" s="2">
        <v>3.1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90</v>
      </c>
      <c r="FY161" s="2">
        <v>46</v>
      </c>
      <c r="FZ161" s="2"/>
      <c r="GA161" s="2" t="s">
        <v>3</v>
      </c>
      <c r="GB161" s="2"/>
      <c r="GC161" s="2"/>
      <c r="GD161" s="2">
        <v>1</v>
      </c>
      <c r="GE161" s="2"/>
      <c r="GF161" s="2">
        <v>-395814045</v>
      </c>
      <c r="GG161" s="2">
        <v>2</v>
      </c>
      <c r="GH161" s="2">
        <v>1</v>
      </c>
      <c r="GI161" s="2">
        <v>2</v>
      </c>
      <c r="GJ161" s="2">
        <v>0</v>
      </c>
      <c r="GK161" s="2">
        <v>0</v>
      </c>
      <c r="GL161" s="2">
        <f t="shared" ref="GL161:GL168" si="136">ROUND(IF(AND(BH161=3,BI161=3,FS161&lt;&gt;0),P161,0),2)</f>
        <v>0</v>
      </c>
      <c r="GM161" s="2">
        <f t="shared" ref="GM161:GM168" si="137">ROUND(O161+X161+Y161,2)+GX161</f>
        <v>4.6500000000000004</v>
      </c>
      <c r="GN161" s="2">
        <f t="shared" ref="GN161:GN168" si="138">IF(OR(BI161=0,BI161=1),GM161-GX161,0)</f>
        <v>0</v>
      </c>
      <c r="GO161" s="2">
        <f t="shared" ref="GO161:GO168" si="139">IF(BI161=2,GM161-GX161,0)</f>
        <v>4.6500000000000004</v>
      </c>
      <c r="GP161" s="2">
        <f t="shared" ref="GP161:GP168" si="140">IF(BI161=4,GM161-GX161,0)</f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ref="GV161:GV168" si="141">ROUND((GT161),6)</f>
        <v>0</v>
      </c>
      <c r="GW161" s="2">
        <v>1</v>
      </c>
      <c r="GX161" s="2">
        <f t="shared" ref="GX161:GX168" si="142">ROUND(HC161*I161,2)</f>
        <v>0</v>
      </c>
      <c r="GY161" s="2"/>
      <c r="GZ161" s="2"/>
      <c r="HA161" s="2">
        <v>0</v>
      </c>
      <c r="HB161" s="2">
        <v>0</v>
      </c>
      <c r="HC161" s="2">
        <f t="shared" ref="HC161:HC168" si="143">GV161*GW161</f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5">
      <c r="A162" s="3">
        <v>17</v>
      </c>
      <c r="B162" s="3">
        <v>1</v>
      </c>
      <c r="C162" s="3">
        <f>ROW(SmtRes!A80)</f>
        <v>80</v>
      </c>
      <c r="D162" s="3">
        <f>ROW(EtalonRes!A88)</f>
        <v>88</v>
      </c>
      <c r="E162" s="3" t="s">
        <v>149</v>
      </c>
      <c r="F162" s="3" t="s">
        <v>150</v>
      </c>
      <c r="G162" s="3" t="s">
        <v>151</v>
      </c>
      <c r="H162" s="3" t="s">
        <v>152</v>
      </c>
      <c r="I162" s="3">
        <f>ROUND(4/100,9)</f>
        <v>0.04</v>
      </c>
      <c r="J162" s="3">
        <v>0</v>
      </c>
      <c r="K162" s="3">
        <f>ROUND(4/100,9)</f>
        <v>0.04</v>
      </c>
      <c r="O162" s="3">
        <f t="shared" si="118"/>
        <v>111.01</v>
      </c>
      <c r="P162" s="3">
        <f t="shared" si="119"/>
        <v>0</v>
      </c>
      <c r="Q162" s="3">
        <f>(ROUND((ROUND((((ET162*1.2))*AV162*I162),2)*BB162),2)+ROUND((ROUND(((AE162-((EU162*1.2)))*AV162*I162),2)*BS162),2))</f>
        <v>0</v>
      </c>
      <c r="R162" s="3">
        <f>(ROUND((ROUND((((EU162*1.2))*AV162*I162),2)*BS162),2)+ROUND((ROUND(((AE162-((EU162*1.2)))*AV162*I162),2)*BS162),2))</f>
        <v>0</v>
      </c>
      <c r="S162" s="3">
        <f t="shared" si="120"/>
        <v>111.01</v>
      </c>
      <c r="T162" s="3">
        <f t="shared" si="121"/>
        <v>0</v>
      </c>
      <c r="U162" s="3">
        <f t="shared" si="122"/>
        <v>0.15579359999999998</v>
      </c>
      <c r="V162" s="3">
        <f t="shared" si="123"/>
        <v>0</v>
      </c>
      <c r="W162" s="3">
        <f t="shared" si="124"/>
        <v>0</v>
      </c>
      <c r="X162" s="3">
        <f>(ROUND((((S162+ROUND((ROUND((((EU162*1.2))*AV162*I162),2)*BS162),2))*AT162)/100),2)+ROUND(((ROUND((ROUND(((AE162-((EU162*1.2)))*AV162*I162),2)*BS162),2)*AT162)/100),2))</f>
        <v>99.91</v>
      </c>
      <c r="Y162" s="3">
        <f>(ROUND((((S162+ROUND((ROUND((((EU162*1.2))*AV162*I162),2)*BS162),2))*AU162)/100),2)+ROUND(((ROUND((ROUND(((AE162-((EU162*1.2)))*AV162*I162),2)*BS162),2)*AU162)/100),2))</f>
        <v>51.06</v>
      </c>
      <c r="AA162" s="3">
        <v>55942968</v>
      </c>
      <c r="AB162" s="3">
        <f t="shared" si="125"/>
        <v>46.944000000000003</v>
      </c>
      <c r="AC162" s="3">
        <f>ROUND(((ES162*1)),6)</f>
        <v>0</v>
      </c>
      <c r="AD162" s="3">
        <f>ROUND(((((ET162*1.2))-((EU162*1.2)))+AE162),6)</f>
        <v>0</v>
      </c>
      <c r="AE162" s="3">
        <f t="shared" si="126"/>
        <v>0</v>
      </c>
      <c r="AF162" s="3">
        <f t="shared" si="126"/>
        <v>46.944000000000003</v>
      </c>
      <c r="AG162" s="3">
        <f t="shared" si="127"/>
        <v>0</v>
      </c>
      <c r="AH162" s="3">
        <f t="shared" si="128"/>
        <v>3.7199999999999998</v>
      </c>
      <c r="AI162" s="3">
        <f t="shared" si="128"/>
        <v>0</v>
      </c>
      <c r="AJ162" s="3">
        <f t="shared" si="129"/>
        <v>0</v>
      </c>
      <c r="AK162" s="3">
        <v>39.119999999999997</v>
      </c>
      <c r="AL162" s="3">
        <v>0</v>
      </c>
      <c r="AM162" s="3">
        <v>0</v>
      </c>
      <c r="AN162" s="3">
        <v>0</v>
      </c>
      <c r="AO162" s="3">
        <v>39.119999999999997</v>
      </c>
      <c r="AP162" s="3">
        <v>0</v>
      </c>
      <c r="AQ162" s="3">
        <v>3.1</v>
      </c>
      <c r="AR162" s="3">
        <v>0</v>
      </c>
      <c r="AS162" s="3">
        <v>0</v>
      </c>
      <c r="AT162" s="3">
        <v>90</v>
      </c>
      <c r="AU162" s="3">
        <v>46</v>
      </c>
      <c r="AV162" s="3">
        <v>1.0469999999999999</v>
      </c>
      <c r="AW162" s="3">
        <v>1</v>
      </c>
      <c r="AZ162" s="3">
        <v>1</v>
      </c>
      <c r="BA162" s="3">
        <v>56.35</v>
      </c>
      <c r="BB162" s="3">
        <v>1</v>
      </c>
      <c r="BC162" s="3">
        <v>1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0</v>
      </c>
      <c r="BI162" s="3">
        <v>2</v>
      </c>
      <c r="BJ162" s="3" t="s">
        <v>153</v>
      </c>
      <c r="BM162" s="3">
        <v>68</v>
      </c>
      <c r="BN162" s="3">
        <v>0</v>
      </c>
      <c r="BO162" s="3" t="s">
        <v>150</v>
      </c>
      <c r="BP162" s="3">
        <v>1</v>
      </c>
      <c r="BQ162" s="3">
        <v>40</v>
      </c>
      <c r="BR162" s="3">
        <v>0</v>
      </c>
      <c r="BS162" s="3">
        <v>56.35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90</v>
      </c>
      <c r="CA162" s="3">
        <v>46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285</v>
      </c>
      <c r="CO162" s="3">
        <v>0</v>
      </c>
      <c r="CP162" s="3">
        <f t="shared" si="130"/>
        <v>111.01</v>
      </c>
      <c r="CQ162" s="3">
        <f t="shared" si="131"/>
        <v>0</v>
      </c>
      <c r="CR162" s="3">
        <f>(ROUND((ROUND((((ET162*1.2))*AV162*1),2)*BB162),2)+ROUND((ROUND(((AE162-((EU162*1.2)))*AV162*1),2)*BS162),2))</f>
        <v>0</v>
      </c>
      <c r="CS162" s="3">
        <f>(ROUND((ROUND((((EU162*1.2))*AV162*1),2)*BS162),2)+ROUND((ROUND(((AE162-((EU162*1.2)))*AV162*1),2)*BS162),2))</f>
        <v>0</v>
      </c>
      <c r="CT162" s="3">
        <f t="shared" si="132"/>
        <v>2769.6</v>
      </c>
      <c r="CU162" s="3">
        <f t="shared" si="133"/>
        <v>0</v>
      </c>
      <c r="CV162" s="3">
        <f t="shared" si="134"/>
        <v>3.8948399999999994</v>
      </c>
      <c r="CW162" s="3">
        <f t="shared" si="135"/>
        <v>0</v>
      </c>
      <c r="CX162" s="3">
        <f t="shared" si="135"/>
        <v>0</v>
      </c>
      <c r="CY162" s="3">
        <f>(ROUND((((S162+ROUND((ROUND((((EU162*1.2))*AV162*1),2)*BS162),2))*AT162)/100),2)+ROUND(((ROUND((ROUND(((AE162-((EU162*1.2)))*AV162*1),2)*BS162),2)*AT162)/100),2))</f>
        <v>99.91</v>
      </c>
      <c r="CZ162" s="3">
        <f>(ROUND((((S162+ROUND((ROUND((((EU162*1.2))*AV162*1),2)*BS162),2))*AU162)/100),2)+ROUND(((ROUND((ROUND(((AE162-((EU162*1.2)))*AV162*1),2)*BS162),2)*AU162)/100),2))</f>
        <v>51.06</v>
      </c>
      <c r="DB162" s="3">
        <v>30</v>
      </c>
      <c r="DC162" s="3" t="s">
        <v>3</v>
      </c>
      <c r="DD162" s="3" t="s">
        <v>108</v>
      </c>
      <c r="DE162" s="3" t="s">
        <v>109</v>
      </c>
      <c r="DF162" s="3" t="s">
        <v>109</v>
      </c>
      <c r="DG162" s="3" t="s">
        <v>109</v>
      </c>
      <c r="DH162" s="3" t="s">
        <v>3</v>
      </c>
      <c r="DI162" s="3" t="s">
        <v>109</v>
      </c>
      <c r="DJ162" s="3" t="s">
        <v>109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152</v>
      </c>
      <c r="DW162" s="3" t="s">
        <v>152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55393972</v>
      </c>
      <c r="EF162" s="3">
        <v>40</v>
      </c>
      <c r="EG162" s="3" t="s">
        <v>32</v>
      </c>
      <c r="EH162" s="3">
        <v>0</v>
      </c>
      <c r="EI162" s="3" t="s">
        <v>3</v>
      </c>
      <c r="EJ162" s="3">
        <v>2</v>
      </c>
      <c r="EK162" s="3">
        <v>68</v>
      </c>
      <c r="EL162" s="3" t="s">
        <v>33</v>
      </c>
      <c r="EM162" s="3" t="s">
        <v>34</v>
      </c>
      <c r="EO162" s="3" t="s">
        <v>110</v>
      </c>
      <c r="EQ162" s="3">
        <v>0</v>
      </c>
      <c r="ER162" s="3">
        <v>39.119999999999997</v>
      </c>
      <c r="ES162" s="3">
        <v>0</v>
      </c>
      <c r="ET162" s="3">
        <v>0</v>
      </c>
      <c r="EU162" s="3">
        <v>0</v>
      </c>
      <c r="EV162" s="3">
        <v>39.119999999999997</v>
      </c>
      <c r="EW162" s="3">
        <v>3.1</v>
      </c>
      <c r="EX162" s="3">
        <v>0</v>
      </c>
      <c r="EY162" s="3">
        <v>0</v>
      </c>
      <c r="FQ162" s="3">
        <v>0</v>
      </c>
      <c r="FR162" s="3">
        <v>0</v>
      </c>
      <c r="FS162" s="3">
        <v>0</v>
      </c>
      <c r="FX162" s="3">
        <v>90</v>
      </c>
      <c r="FY162" s="3">
        <v>46</v>
      </c>
      <c r="GA162" s="3" t="s">
        <v>3</v>
      </c>
      <c r="GD162" s="3">
        <v>1</v>
      </c>
      <c r="GF162" s="3">
        <v>-395814045</v>
      </c>
      <c r="GG162" s="3">
        <v>2</v>
      </c>
      <c r="GH162" s="3">
        <v>1</v>
      </c>
      <c r="GI162" s="3">
        <v>2</v>
      </c>
      <c r="GJ162" s="3">
        <v>0</v>
      </c>
      <c r="GK162" s="3">
        <v>0</v>
      </c>
      <c r="GL162" s="3">
        <f t="shared" si="136"/>
        <v>0</v>
      </c>
      <c r="GM162" s="3">
        <f t="shared" si="137"/>
        <v>261.98</v>
      </c>
      <c r="GN162" s="3">
        <f t="shared" si="138"/>
        <v>0</v>
      </c>
      <c r="GO162" s="3">
        <f t="shared" si="139"/>
        <v>261.98</v>
      </c>
      <c r="GP162" s="3">
        <f t="shared" si="140"/>
        <v>0</v>
      </c>
      <c r="GR162" s="3">
        <v>0</v>
      </c>
      <c r="GS162" s="3">
        <v>3</v>
      </c>
      <c r="GT162" s="3">
        <v>0</v>
      </c>
      <c r="GU162" s="3" t="s">
        <v>3</v>
      </c>
      <c r="GV162" s="3">
        <f t="shared" si="141"/>
        <v>0</v>
      </c>
      <c r="GW162" s="3">
        <v>1</v>
      </c>
      <c r="GX162" s="3">
        <f t="shared" si="142"/>
        <v>0</v>
      </c>
      <c r="HA162" s="3">
        <v>0</v>
      </c>
      <c r="HB162" s="3">
        <v>0</v>
      </c>
      <c r="HC162" s="3">
        <f t="shared" si="143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5">
      <c r="A163" s="2">
        <v>17</v>
      </c>
      <c r="B163" s="2">
        <v>1</v>
      </c>
      <c r="C163" s="2">
        <f>ROW(SmtRes!A84)</f>
        <v>84</v>
      </c>
      <c r="D163" s="2">
        <f>ROW(EtalonRes!A92)</f>
        <v>92</v>
      </c>
      <c r="E163" s="2" t="s">
        <v>3</v>
      </c>
      <c r="F163" s="2" t="s">
        <v>154</v>
      </c>
      <c r="G163" s="2" t="s">
        <v>155</v>
      </c>
      <c r="H163" s="2" t="s">
        <v>156</v>
      </c>
      <c r="I163" s="2">
        <v>4</v>
      </c>
      <c r="J163" s="2">
        <v>0</v>
      </c>
      <c r="K163" s="2">
        <v>4</v>
      </c>
      <c r="L163" s="2"/>
      <c r="M163" s="2"/>
      <c r="N163" s="2"/>
      <c r="O163" s="2">
        <f t="shared" si="118"/>
        <v>80.44</v>
      </c>
      <c r="P163" s="2">
        <f t="shared" si="119"/>
        <v>9.64</v>
      </c>
      <c r="Q163" s="2">
        <f>(ROUND((ROUND((((ET163*1.2))*AV163*I163),2)*BB163),2)+ROUND((ROUND(((AE163-((EU163*1.2)))*AV163*I163),2)*BS163),2))</f>
        <v>0</v>
      </c>
      <c r="R163" s="2">
        <f>(ROUND((ROUND((((EU163*1.2))*AV163*I163),2)*BS163),2)+ROUND((ROUND(((AE163-((EU163*1.2)))*AV163*I163),2)*BS163),2))</f>
        <v>0</v>
      </c>
      <c r="S163" s="2">
        <f t="shared" si="120"/>
        <v>70.8</v>
      </c>
      <c r="T163" s="2">
        <f t="shared" si="121"/>
        <v>0</v>
      </c>
      <c r="U163" s="2">
        <f t="shared" si="122"/>
        <v>5.2176</v>
      </c>
      <c r="V163" s="2">
        <f t="shared" si="123"/>
        <v>0</v>
      </c>
      <c r="W163" s="2">
        <f t="shared" si="124"/>
        <v>0</v>
      </c>
      <c r="X163" s="2">
        <f>(ROUND((((S163+ROUND((ROUND((((EU163*1.2))*AV163*I163),2)*BS163),2))*AT163)/100),2)+ROUND(((ROUND((ROUND(((AE163-((EU163*1.2)))*AV163*I163),2)*BS163),2)*AT163)/100),2))</f>
        <v>67.260000000000005</v>
      </c>
      <c r="Y163" s="2">
        <f>(ROUND((((S163+ROUND((ROUND((((EU163*1.2))*AV163*I163),2)*BS163),2))*AU163)/100),2)+ROUND(((ROUND((ROUND(((AE163-((EU163*1.2)))*AV163*I163),2)*BS163),2)*AU163)/100),2))</f>
        <v>37.520000000000003</v>
      </c>
      <c r="Z163" s="2"/>
      <c r="AA163" s="2">
        <v>-1</v>
      </c>
      <c r="AB163" s="2">
        <f t="shared" si="125"/>
        <v>18.693999999999999</v>
      </c>
      <c r="AC163" s="2">
        <f>ROUND(((ES163*1)),6)</f>
        <v>2.41</v>
      </c>
      <c r="AD163" s="2">
        <f>ROUND(((((ET163*1.2))-((EU163*1.2)))+AE163),6)</f>
        <v>0</v>
      </c>
      <c r="AE163" s="2">
        <f t="shared" si="126"/>
        <v>0</v>
      </c>
      <c r="AF163" s="2">
        <f t="shared" si="126"/>
        <v>16.283999999999999</v>
      </c>
      <c r="AG163" s="2">
        <f t="shared" si="127"/>
        <v>0</v>
      </c>
      <c r="AH163" s="2">
        <f t="shared" si="128"/>
        <v>1.2</v>
      </c>
      <c r="AI163" s="2">
        <f t="shared" si="128"/>
        <v>0</v>
      </c>
      <c r="AJ163" s="2">
        <f t="shared" si="129"/>
        <v>0</v>
      </c>
      <c r="AK163" s="2">
        <v>15.98</v>
      </c>
      <c r="AL163" s="2">
        <v>2.41</v>
      </c>
      <c r="AM163" s="2">
        <v>0</v>
      </c>
      <c r="AN163" s="2">
        <v>0</v>
      </c>
      <c r="AO163" s="2">
        <v>13.57</v>
      </c>
      <c r="AP163" s="2">
        <v>0</v>
      </c>
      <c r="AQ163" s="2">
        <v>1</v>
      </c>
      <c r="AR163" s="2">
        <v>0</v>
      </c>
      <c r="AS163" s="2">
        <v>0</v>
      </c>
      <c r="AT163" s="2">
        <v>95</v>
      </c>
      <c r="AU163" s="2">
        <v>53</v>
      </c>
      <c r="AV163" s="2">
        <v>1.087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0</v>
      </c>
      <c r="BI163" s="2">
        <v>2</v>
      </c>
      <c r="BJ163" s="2" t="s">
        <v>157</v>
      </c>
      <c r="BK163" s="2"/>
      <c r="BL163" s="2"/>
      <c r="BM163" s="2">
        <v>69</v>
      </c>
      <c r="BN163" s="2">
        <v>0</v>
      </c>
      <c r="BO163" s="2" t="s">
        <v>154</v>
      </c>
      <c r="BP163" s="2">
        <v>1</v>
      </c>
      <c r="BQ163" s="2">
        <v>40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95</v>
      </c>
      <c r="CA163" s="2">
        <v>53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285</v>
      </c>
      <c r="CO163" s="2">
        <v>0</v>
      </c>
      <c r="CP163" s="2">
        <f t="shared" si="130"/>
        <v>80.44</v>
      </c>
      <c r="CQ163" s="2">
        <f t="shared" si="131"/>
        <v>2.41</v>
      </c>
      <c r="CR163" s="2">
        <f>(ROUND((ROUND((((ET163*1.2))*AV163*1),2)*BB163),2)+ROUND((ROUND(((AE163-((EU163*1.2)))*AV163*1),2)*BS163),2))</f>
        <v>0</v>
      </c>
      <c r="CS163" s="2">
        <f>(ROUND((ROUND((((EU163*1.2))*AV163*1),2)*BS163),2)+ROUND((ROUND(((AE163-((EU163*1.2)))*AV163*1),2)*BS163),2))</f>
        <v>0</v>
      </c>
      <c r="CT163" s="2">
        <f t="shared" si="132"/>
        <v>17.7</v>
      </c>
      <c r="CU163" s="2">
        <f t="shared" si="133"/>
        <v>0</v>
      </c>
      <c r="CV163" s="2">
        <f t="shared" si="134"/>
        <v>1.3044</v>
      </c>
      <c r="CW163" s="2">
        <f t="shared" si="135"/>
        <v>0</v>
      </c>
      <c r="CX163" s="2">
        <f t="shared" si="135"/>
        <v>0</v>
      </c>
      <c r="CY163" s="2">
        <f>(ROUND((((S163+ROUND((ROUND((((EU163*1.2))*AV163*1),2)*BS163),2))*AT163)/100),2)+ROUND(((ROUND((ROUND(((AE163-((EU163*1.2)))*AV163*1),2)*BS163),2)*AT163)/100),2))</f>
        <v>67.260000000000005</v>
      </c>
      <c r="CZ163" s="2">
        <f>(ROUND((((S163+ROUND((ROUND((((EU163*1.2))*AV163*1),2)*BS163),2))*AU163)/100),2)+ROUND(((ROUND((ROUND(((AE163-((EU163*1.2)))*AV163*1),2)*BS163),2)*AU163)/100),2))</f>
        <v>37.520000000000003</v>
      </c>
      <c r="DA163" s="2"/>
      <c r="DB163" s="2">
        <v>31</v>
      </c>
      <c r="DC163" s="2" t="s">
        <v>3</v>
      </c>
      <c r="DD163" s="2" t="s">
        <v>108</v>
      </c>
      <c r="DE163" s="2" t="s">
        <v>109</v>
      </c>
      <c r="DF163" s="2" t="s">
        <v>109</v>
      </c>
      <c r="DG163" s="2" t="s">
        <v>109</v>
      </c>
      <c r="DH163" s="2" t="s">
        <v>3</v>
      </c>
      <c r="DI163" s="2" t="s">
        <v>109</v>
      </c>
      <c r="DJ163" s="2" t="s">
        <v>109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156</v>
      </c>
      <c r="DW163" s="2" t="s">
        <v>156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55393973</v>
      </c>
      <c r="EF163" s="2">
        <v>40</v>
      </c>
      <c r="EG163" s="2" t="s">
        <v>32</v>
      </c>
      <c r="EH163" s="2">
        <v>0</v>
      </c>
      <c r="EI163" s="2" t="s">
        <v>3</v>
      </c>
      <c r="EJ163" s="2">
        <v>2</v>
      </c>
      <c r="EK163" s="2">
        <v>69</v>
      </c>
      <c r="EL163" s="2" t="s">
        <v>41</v>
      </c>
      <c r="EM163" s="2" t="s">
        <v>42</v>
      </c>
      <c r="EN163" s="2"/>
      <c r="EO163" s="2" t="s">
        <v>110</v>
      </c>
      <c r="EP163" s="2"/>
      <c r="EQ163" s="2">
        <v>132096</v>
      </c>
      <c r="ER163" s="2">
        <v>15.98</v>
      </c>
      <c r="ES163" s="2">
        <v>2.41</v>
      </c>
      <c r="ET163" s="2">
        <v>0</v>
      </c>
      <c r="EU163" s="2">
        <v>0</v>
      </c>
      <c r="EV163" s="2">
        <v>13.57</v>
      </c>
      <c r="EW163" s="2">
        <v>1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95</v>
      </c>
      <c r="FY163" s="2">
        <v>53</v>
      </c>
      <c r="FZ163" s="2"/>
      <c r="GA163" s="2" t="s">
        <v>3</v>
      </c>
      <c r="GB163" s="2"/>
      <c r="GC163" s="2"/>
      <c r="GD163" s="2">
        <v>1</v>
      </c>
      <c r="GE163" s="2"/>
      <c r="GF163" s="2">
        <v>-1890209825</v>
      </c>
      <c r="GG163" s="2">
        <v>2</v>
      </c>
      <c r="GH163" s="2">
        <v>1</v>
      </c>
      <c r="GI163" s="2">
        <v>2</v>
      </c>
      <c r="GJ163" s="2">
        <v>0</v>
      </c>
      <c r="GK163" s="2">
        <v>0</v>
      </c>
      <c r="GL163" s="2">
        <f t="shared" si="136"/>
        <v>0</v>
      </c>
      <c r="GM163" s="2">
        <f t="shared" si="137"/>
        <v>185.22</v>
      </c>
      <c r="GN163" s="2">
        <f t="shared" si="138"/>
        <v>0</v>
      </c>
      <c r="GO163" s="2">
        <f t="shared" si="139"/>
        <v>185.22</v>
      </c>
      <c r="GP163" s="2">
        <f t="shared" si="140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141"/>
        <v>0</v>
      </c>
      <c r="GW163" s="2">
        <v>1</v>
      </c>
      <c r="GX163" s="2">
        <f t="shared" si="142"/>
        <v>0</v>
      </c>
      <c r="GY163" s="2"/>
      <c r="GZ163" s="2"/>
      <c r="HA163" s="2">
        <v>0</v>
      </c>
      <c r="HB163" s="2">
        <v>0</v>
      </c>
      <c r="HC163" s="2">
        <f t="shared" si="143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5">
      <c r="A164" s="3">
        <v>17</v>
      </c>
      <c r="B164" s="3">
        <v>1</v>
      </c>
      <c r="C164" s="3">
        <f>ROW(SmtRes!A88)</f>
        <v>88</v>
      </c>
      <c r="D164" s="3">
        <f>ROW(EtalonRes!A96)</f>
        <v>96</v>
      </c>
      <c r="E164" s="3" t="s">
        <v>3</v>
      </c>
      <c r="F164" s="3" t="s">
        <v>154</v>
      </c>
      <c r="G164" s="3" t="s">
        <v>155</v>
      </c>
      <c r="H164" s="3" t="s">
        <v>156</v>
      </c>
      <c r="I164" s="3">
        <v>4</v>
      </c>
      <c r="J164" s="3">
        <v>0</v>
      </c>
      <c r="K164" s="3">
        <v>4</v>
      </c>
      <c r="O164" s="3">
        <f t="shared" si="118"/>
        <v>4184.3999999999996</v>
      </c>
      <c r="P164" s="3">
        <f t="shared" si="119"/>
        <v>194.82</v>
      </c>
      <c r="Q164" s="3">
        <f>(ROUND((ROUND((((ET164*1.2))*AV164*I164),2)*BB164),2)+ROUND((ROUND(((AE164-((EU164*1.2)))*AV164*I164),2)*BS164),2))</f>
        <v>0</v>
      </c>
      <c r="R164" s="3">
        <f>(ROUND((ROUND((((EU164*1.2))*AV164*I164),2)*BS164),2)+ROUND((ROUND(((AE164-((EU164*1.2)))*AV164*I164),2)*BS164),2))</f>
        <v>0</v>
      </c>
      <c r="S164" s="3">
        <f t="shared" si="120"/>
        <v>3989.58</v>
      </c>
      <c r="T164" s="3">
        <f t="shared" si="121"/>
        <v>0</v>
      </c>
      <c r="U164" s="3">
        <f t="shared" si="122"/>
        <v>5.2176</v>
      </c>
      <c r="V164" s="3">
        <f t="shared" si="123"/>
        <v>0</v>
      </c>
      <c r="W164" s="3">
        <f t="shared" si="124"/>
        <v>0</v>
      </c>
      <c r="X164" s="3">
        <f>(ROUND((((S164+ROUND((ROUND((((EU164*1.2))*AV164*I164),2)*BS164),2))*AT164)/100),2)+ROUND(((ROUND((ROUND(((AE164-((EU164*1.2)))*AV164*I164),2)*BS164),2)*AT164)/100),2))</f>
        <v>3790.1</v>
      </c>
      <c r="Y164" s="3">
        <f>(ROUND((((S164+ROUND((ROUND((((EU164*1.2))*AV164*I164),2)*BS164),2))*AU164)/100),2)+ROUND(((ROUND((ROUND(((AE164-((EU164*1.2)))*AV164*I164),2)*BS164),2)*AU164)/100),2))</f>
        <v>2114.48</v>
      </c>
      <c r="AA164" s="3">
        <v>-1</v>
      </c>
      <c r="AB164" s="3">
        <f t="shared" si="125"/>
        <v>18.693999999999999</v>
      </c>
      <c r="AC164" s="3">
        <f>ROUND(((ES164*1)),6)</f>
        <v>2.41</v>
      </c>
      <c r="AD164" s="3">
        <f>ROUND(((((ET164*1.2))-((EU164*1.2)))+AE164),6)</f>
        <v>0</v>
      </c>
      <c r="AE164" s="3">
        <f t="shared" si="126"/>
        <v>0</v>
      </c>
      <c r="AF164" s="3">
        <f t="shared" si="126"/>
        <v>16.283999999999999</v>
      </c>
      <c r="AG164" s="3">
        <f t="shared" si="127"/>
        <v>0</v>
      </c>
      <c r="AH164" s="3">
        <f t="shared" si="128"/>
        <v>1.2</v>
      </c>
      <c r="AI164" s="3">
        <f t="shared" si="128"/>
        <v>0</v>
      </c>
      <c r="AJ164" s="3">
        <f t="shared" si="129"/>
        <v>0</v>
      </c>
      <c r="AK164" s="3">
        <v>15.98</v>
      </c>
      <c r="AL164" s="3">
        <v>2.41</v>
      </c>
      <c r="AM164" s="3">
        <v>0</v>
      </c>
      <c r="AN164" s="3">
        <v>0</v>
      </c>
      <c r="AO164" s="3">
        <v>13.57</v>
      </c>
      <c r="AP164" s="3">
        <v>0</v>
      </c>
      <c r="AQ164" s="3">
        <v>1</v>
      </c>
      <c r="AR164" s="3">
        <v>0</v>
      </c>
      <c r="AS164" s="3">
        <v>0</v>
      </c>
      <c r="AT164" s="3">
        <v>95</v>
      </c>
      <c r="AU164" s="3">
        <v>53</v>
      </c>
      <c r="AV164" s="3">
        <v>1.087</v>
      </c>
      <c r="AW164" s="3">
        <v>1</v>
      </c>
      <c r="AZ164" s="3">
        <v>1</v>
      </c>
      <c r="BA164" s="3">
        <v>56.35</v>
      </c>
      <c r="BB164" s="3">
        <v>1</v>
      </c>
      <c r="BC164" s="3">
        <v>20.21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0</v>
      </c>
      <c r="BI164" s="3">
        <v>2</v>
      </c>
      <c r="BJ164" s="3" t="s">
        <v>157</v>
      </c>
      <c r="BM164" s="3">
        <v>69</v>
      </c>
      <c r="BN164" s="3">
        <v>0</v>
      </c>
      <c r="BO164" s="3" t="s">
        <v>154</v>
      </c>
      <c r="BP164" s="3">
        <v>1</v>
      </c>
      <c r="BQ164" s="3">
        <v>40</v>
      </c>
      <c r="BR164" s="3">
        <v>0</v>
      </c>
      <c r="BS164" s="3">
        <v>56.35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95</v>
      </c>
      <c r="CA164" s="3">
        <v>53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285</v>
      </c>
      <c r="CO164" s="3">
        <v>0</v>
      </c>
      <c r="CP164" s="3">
        <f t="shared" si="130"/>
        <v>4184.3999999999996</v>
      </c>
      <c r="CQ164" s="3">
        <f t="shared" si="131"/>
        <v>48.71</v>
      </c>
      <c r="CR164" s="3">
        <f>(ROUND((ROUND((((ET164*1.2))*AV164*1),2)*BB164),2)+ROUND((ROUND(((AE164-((EU164*1.2)))*AV164*1),2)*BS164),2))</f>
        <v>0</v>
      </c>
      <c r="CS164" s="3">
        <f>(ROUND((ROUND((((EU164*1.2))*AV164*1),2)*BS164),2)+ROUND((ROUND(((AE164-((EU164*1.2)))*AV164*1),2)*BS164),2))</f>
        <v>0</v>
      </c>
      <c r="CT164" s="3">
        <f t="shared" si="132"/>
        <v>997.4</v>
      </c>
      <c r="CU164" s="3">
        <f t="shared" si="133"/>
        <v>0</v>
      </c>
      <c r="CV164" s="3">
        <f t="shared" si="134"/>
        <v>1.3044</v>
      </c>
      <c r="CW164" s="3">
        <f t="shared" si="135"/>
        <v>0</v>
      </c>
      <c r="CX164" s="3">
        <f t="shared" si="135"/>
        <v>0</v>
      </c>
      <c r="CY164" s="3">
        <f>(ROUND((((S164+ROUND((ROUND((((EU164*1.2))*AV164*1),2)*BS164),2))*AT164)/100),2)+ROUND(((ROUND((ROUND(((AE164-((EU164*1.2)))*AV164*1),2)*BS164),2)*AT164)/100),2))</f>
        <v>3790.1</v>
      </c>
      <c r="CZ164" s="3">
        <f>(ROUND((((S164+ROUND((ROUND((((EU164*1.2))*AV164*1),2)*BS164),2))*AU164)/100),2)+ROUND(((ROUND((ROUND(((AE164-((EU164*1.2)))*AV164*1),2)*BS164),2)*AU164)/100),2))</f>
        <v>2114.48</v>
      </c>
      <c r="DB164" s="3">
        <v>32</v>
      </c>
      <c r="DC164" s="3" t="s">
        <v>3</v>
      </c>
      <c r="DD164" s="3" t="s">
        <v>108</v>
      </c>
      <c r="DE164" s="3" t="s">
        <v>109</v>
      </c>
      <c r="DF164" s="3" t="s">
        <v>109</v>
      </c>
      <c r="DG164" s="3" t="s">
        <v>109</v>
      </c>
      <c r="DH164" s="3" t="s">
        <v>3</v>
      </c>
      <c r="DI164" s="3" t="s">
        <v>109</v>
      </c>
      <c r="DJ164" s="3" t="s">
        <v>109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1013</v>
      </c>
      <c r="DV164" s="3" t="s">
        <v>156</v>
      </c>
      <c r="DW164" s="3" t="s">
        <v>156</v>
      </c>
      <c r="DX164" s="3">
        <v>1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55393973</v>
      </c>
      <c r="EF164" s="3">
        <v>40</v>
      </c>
      <c r="EG164" s="3" t="s">
        <v>32</v>
      </c>
      <c r="EH164" s="3">
        <v>0</v>
      </c>
      <c r="EI164" s="3" t="s">
        <v>3</v>
      </c>
      <c r="EJ164" s="3">
        <v>2</v>
      </c>
      <c r="EK164" s="3">
        <v>69</v>
      </c>
      <c r="EL164" s="3" t="s">
        <v>41</v>
      </c>
      <c r="EM164" s="3" t="s">
        <v>42</v>
      </c>
      <c r="EO164" s="3" t="s">
        <v>110</v>
      </c>
      <c r="EQ164" s="3">
        <v>132096</v>
      </c>
      <c r="ER164" s="3">
        <v>15.98</v>
      </c>
      <c r="ES164" s="3">
        <v>2.41</v>
      </c>
      <c r="ET164" s="3">
        <v>0</v>
      </c>
      <c r="EU164" s="3">
        <v>0</v>
      </c>
      <c r="EV164" s="3">
        <v>13.57</v>
      </c>
      <c r="EW164" s="3">
        <v>1</v>
      </c>
      <c r="EX164" s="3">
        <v>0</v>
      </c>
      <c r="EY164" s="3">
        <v>0</v>
      </c>
      <c r="FQ164" s="3">
        <v>0</v>
      </c>
      <c r="FR164" s="3">
        <v>0</v>
      </c>
      <c r="FS164" s="3">
        <v>0</v>
      </c>
      <c r="FX164" s="3">
        <v>95</v>
      </c>
      <c r="FY164" s="3">
        <v>53</v>
      </c>
      <c r="GA164" s="3" t="s">
        <v>3</v>
      </c>
      <c r="GD164" s="3">
        <v>1</v>
      </c>
      <c r="GF164" s="3">
        <v>-1890209825</v>
      </c>
      <c r="GG164" s="3">
        <v>2</v>
      </c>
      <c r="GH164" s="3">
        <v>1</v>
      </c>
      <c r="GI164" s="3">
        <v>2</v>
      </c>
      <c r="GJ164" s="3">
        <v>0</v>
      </c>
      <c r="GK164" s="3">
        <v>0</v>
      </c>
      <c r="GL164" s="3">
        <f t="shared" si="136"/>
        <v>0</v>
      </c>
      <c r="GM164" s="3">
        <f t="shared" si="137"/>
        <v>10088.98</v>
      </c>
      <c r="GN164" s="3">
        <f t="shared" si="138"/>
        <v>0</v>
      </c>
      <c r="GO164" s="3">
        <f t="shared" si="139"/>
        <v>10088.98</v>
      </c>
      <c r="GP164" s="3">
        <f t="shared" si="140"/>
        <v>0</v>
      </c>
      <c r="GR164" s="3">
        <v>0</v>
      </c>
      <c r="GS164" s="3">
        <v>3</v>
      </c>
      <c r="GT164" s="3">
        <v>0</v>
      </c>
      <c r="GU164" s="3" t="s">
        <v>3</v>
      </c>
      <c r="GV164" s="3">
        <f t="shared" si="141"/>
        <v>0</v>
      </c>
      <c r="GW164" s="3">
        <v>1</v>
      </c>
      <c r="GX164" s="3">
        <f t="shared" si="142"/>
        <v>0</v>
      </c>
      <c r="HA164" s="3">
        <v>0</v>
      </c>
      <c r="HB164" s="3">
        <v>0</v>
      </c>
      <c r="HC164" s="3">
        <f t="shared" si="143"/>
        <v>0</v>
      </c>
      <c r="HE164" s="3" t="s">
        <v>3</v>
      </c>
      <c r="HF164" s="3" t="s">
        <v>3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5">
      <c r="A165" s="2">
        <v>17</v>
      </c>
      <c r="B165" s="2">
        <v>1</v>
      </c>
      <c r="C165" s="2"/>
      <c r="D165" s="2"/>
      <c r="E165" s="2" t="s">
        <v>158</v>
      </c>
      <c r="F165" s="2" t="s">
        <v>159</v>
      </c>
      <c r="G165" s="2" t="s">
        <v>160</v>
      </c>
      <c r="H165" s="2" t="s">
        <v>161</v>
      </c>
      <c r="I165" s="2">
        <v>1</v>
      </c>
      <c r="J165" s="2">
        <v>0</v>
      </c>
      <c r="K165" s="2">
        <v>1</v>
      </c>
      <c r="L165" s="2"/>
      <c r="M165" s="2"/>
      <c r="N165" s="2"/>
      <c r="O165" s="2">
        <f t="shared" si="118"/>
        <v>22.66</v>
      </c>
      <c r="P165" s="2">
        <f t="shared" si="119"/>
        <v>22.66</v>
      </c>
      <c r="Q165" s="2">
        <f>(ROUND((ROUND(((ET165)*AV165*I165),2)*BB165),2)+ROUND((ROUND(((AE165-(EU165))*AV165*I165),2)*BS165),2))</f>
        <v>0</v>
      </c>
      <c r="R165" s="2">
        <f>(ROUND((ROUND(((EU165)*AV165*I165),2)*BS165),2)+ROUND((ROUND(((AE165-(EU165))*AV165*I165),2)*BS165),2))</f>
        <v>0</v>
      </c>
      <c r="S165" s="2">
        <f t="shared" si="120"/>
        <v>0</v>
      </c>
      <c r="T165" s="2">
        <f t="shared" si="121"/>
        <v>0</v>
      </c>
      <c r="U165" s="2">
        <f t="shared" si="122"/>
        <v>0</v>
      </c>
      <c r="V165" s="2">
        <f t="shared" si="123"/>
        <v>0</v>
      </c>
      <c r="W165" s="2">
        <f t="shared" si="124"/>
        <v>0</v>
      </c>
      <c r="X165" s="2">
        <f>(ROUND((((S165+ROUND((ROUND(((EU165)*AV165*I165),2)*BS165),2))*AT165)/100),2)+ROUND(((ROUND((ROUND(((AE165-(EU165))*AV165*I165),2)*BS165),2)*AT165)/100),2))</f>
        <v>0</v>
      </c>
      <c r="Y165" s="2">
        <f>(ROUND((((S165+ROUND((ROUND(((EU165)*AV165*I165),2)*BS165),2))*AU165)/100),2)+ROUND(((ROUND((ROUND(((AE165-(EU165))*AV165*I165),2)*BS165),2)*AU165)/100),2))</f>
        <v>0</v>
      </c>
      <c r="Z165" s="2"/>
      <c r="AA165" s="2">
        <v>55942966</v>
      </c>
      <c r="AB165" s="2">
        <f t="shared" si="125"/>
        <v>22.66</v>
      </c>
      <c r="AC165" s="2">
        <f>ROUND((ES165),6)</f>
        <v>22.66</v>
      </c>
      <c r="AD165" s="2">
        <f>ROUND((((ET165)-(EU165))+AE165),6)</f>
        <v>0</v>
      </c>
      <c r="AE165" s="2">
        <f t="shared" ref="AE165:AF168" si="144">ROUND((EU165),6)</f>
        <v>0</v>
      </c>
      <c r="AF165" s="2">
        <f t="shared" si="144"/>
        <v>0</v>
      </c>
      <c r="AG165" s="2">
        <f t="shared" si="127"/>
        <v>0</v>
      </c>
      <c r="AH165" s="2">
        <f t="shared" ref="AH165:AI168" si="145">(EW165)</f>
        <v>0</v>
      </c>
      <c r="AI165" s="2">
        <f t="shared" si="145"/>
        <v>0</v>
      </c>
      <c r="AJ165" s="2">
        <f t="shared" si="129"/>
        <v>0</v>
      </c>
      <c r="AK165" s="2">
        <v>22.66</v>
      </c>
      <c r="AL165" s="2">
        <v>22.66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1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3</v>
      </c>
      <c r="BI165" s="2">
        <v>2</v>
      </c>
      <c r="BJ165" s="2" t="s">
        <v>3</v>
      </c>
      <c r="BK165" s="2"/>
      <c r="BL165" s="2"/>
      <c r="BM165" s="2">
        <v>400002</v>
      </c>
      <c r="BN165" s="2">
        <v>0</v>
      </c>
      <c r="BO165" s="2" t="s">
        <v>3</v>
      </c>
      <c r="BP165" s="2">
        <v>0</v>
      </c>
      <c r="BQ165" s="2">
        <v>202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0</v>
      </c>
      <c r="CA165" s="2">
        <v>0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3</v>
      </c>
      <c r="CO165" s="2">
        <v>0</v>
      </c>
      <c r="CP165" s="2">
        <f t="shared" si="130"/>
        <v>22.66</v>
      </c>
      <c r="CQ165" s="2">
        <f t="shared" si="131"/>
        <v>22.66</v>
      </c>
      <c r="CR165" s="2">
        <f>(ROUND((ROUND(((ET165)*AV165*1),2)*BB165),2)+ROUND((ROUND(((AE165-(EU165))*AV165*1),2)*BS165),2))</f>
        <v>0</v>
      </c>
      <c r="CS165" s="2">
        <f>(ROUND((ROUND(((EU165)*AV165*1),2)*BS165),2)+ROUND((ROUND(((AE165-(EU165))*AV165*1),2)*BS165),2))</f>
        <v>0</v>
      </c>
      <c r="CT165" s="2">
        <f t="shared" si="132"/>
        <v>0</v>
      </c>
      <c r="CU165" s="2">
        <f t="shared" si="133"/>
        <v>0</v>
      </c>
      <c r="CV165" s="2">
        <f t="shared" si="134"/>
        <v>0</v>
      </c>
      <c r="CW165" s="2">
        <f t="shared" si="135"/>
        <v>0</v>
      </c>
      <c r="CX165" s="2">
        <f t="shared" si="135"/>
        <v>0</v>
      </c>
      <c r="CY165" s="2">
        <f>(ROUND((((S165+ROUND((ROUND(((EU165)*AV165*1),2)*BS165),2))*AT165)/100),2)+ROUND(((ROUND((ROUND(((AE165-(EU165))*AV165*1),2)*BS165),2)*AT165)/100),2))</f>
        <v>0</v>
      </c>
      <c r="CZ165" s="2">
        <f>(ROUND((((S165+ROUND((ROUND(((EU165)*AV165*1),2)*BS165),2))*AU165)/100),2)+ROUND(((ROUND((ROUND(((AE165-(EU165))*AV165*1),2)*BS165),2)*AU165)/100),2))</f>
        <v>0</v>
      </c>
      <c r="DA165" s="2"/>
      <c r="DB165" s="2"/>
      <c r="DC165" s="2" t="s">
        <v>3</v>
      </c>
      <c r="DD165" s="2" t="s">
        <v>3</v>
      </c>
      <c r="DE165" s="2" t="s">
        <v>3</v>
      </c>
      <c r="DF165" s="2" t="s">
        <v>3</v>
      </c>
      <c r="DG165" s="2" t="s">
        <v>3</v>
      </c>
      <c r="DH165" s="2" t="s">
        <v>3</v>
      </c>
      <c r="DI165" s="2" t="s">
        <v>3</v>
      </c>
      <c r="DJ165" s="2" t="s">
        <v>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161</v>
      </c>
      <c r="DW165" s="2" t="s">
        <v>161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55393883</v>
      </c>
      <c r="EF165" s="2">
        <v>202</v>
      </c>
      <c r="EG165" s="2" t="s">
        <v>162</v>
      </c>
      <c r="EH165" s="2">
        <v>0</v>
      </c>
      <c r="EI165" s="2" t="s">
        <v>3</v>
      </c>
      <c r="EJ165" s="2">
        <v>1</v>
      </c>
      <c r="EK165" s="2">
        <v>400002</v>
      </c>
      <c r="EL165" s="2" t="s">
        <v>163</v>
      </c>
      <c r="EM165" s="2" t="s">
        <v>162</v>
      </c>
      <c r="EN165" s="2"/>
      <c r="EO165" s="2" t="s">
        <v>3</v>
      </c>
      <c r="EP165" s="2"/>
      <c r="EQ165" s="2">
        <v>131072</v>
      </c>
      <c r="ER165" s="2">
        <v>0</v>
      </c>
      <c r="ES165" s="2">
        <v>22.66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0</v>
      </c>
      <c r="FY165" s="2">
        <v>0</v>
      </c>
      <c r="FZ165" s="2"/>
      <c r="GA165" s="2" t="s">
        <v>3</v>
      </c>
      <c r="GB165" s="2"/>
      <c r="GC165" s="2"/>
      <c r="GD165" s="2">
        <v>1</v>
      </c>
      <c r="GE165" s="2"/>
      <c r="GF165" s="2">
        <v>-1225533202</v>
      </c>
      <c r="GG165" s="2">
        <v>2</v>
      </c>
      <c r="GH165" s="2">
        <v>4</v>
      </c>
      <c r="GI165" s="2">
        <v>-2</v>
      </c>
      <c r="GJ165" s="2">
        <v>0</v>
      </c>
      <c r="GK165" s="2">
        <v>0</v>
      </c>
      <c r="GL165" s="2">
        <f t="shared" si="136"/>
        <v>0</v>
      </c>
      <c r="GM165" s="2">
        <f t="shared" si="137"/>
        <v>22.66</v>
      </c>
      <c r="GN165" s="2">
        <f t="shared" si="138"/>
        <v>0</v>
      </c>
      <c r="GO165" s="2">
        <f t="shared" si="139"/>
        <v>22.66</v>
      </c>
      <c r="GP165" s="2">
        <f t="shared" si="140"/>
        <v>0</v>
      </c>
      <c r="GQ165" s="2"/>
      <c r="GR165" s="2">
        <v>0</v>
      </c>
      <c r="GS165" s="2">
        <v>2</v>
      </c>
      <c r="GT165" s="2">
        <v>0</v>
      </c>
      <c r="GU165" s="2" t="s">
        <v>3</v>
      </c>
      <c r="GV165" s="2">
        <f t="shared" si="141"/>
        <v>0</v>
      </c>
      <c r="GW165" s="2">
        <v>1</v>
      </c>
      <c r="GX165" s="2">
        <f t="shared" si="142"/>
        <v>0</v>
      </c>
      <c r="GY165" s="2"/>
      <c r="GZ165" s="2"/>
      <c r="HA165" s="2">
        <v>0</v>
      </c>
      <c r="HB165" s="2">
        <v>0</v>
      </c>
      <c r="HC165" s="2">
        <f t="shared" si="143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5">
      <c r="A166" s="3">
        <v>17</v>
      </c>
      <c r="B166" s="3">
        <v>1</v>
      </c>
      <c r="E166" s="3" t="s">
        <v>158</v>
      </c>
      <c r="F166" s="3" t="s">
        <v>159</v>
      </c>
      <c r="G166" s="3" t="s">
        <v>160</v>
      </c>
      <c r="H166" s="3" t="s">
        <v>161</v>
      </c>
      <c r="I166" s="3">
        <v>1</v>
      </c>
      <c r="J166" s="3">
        <v>0</v>
      </c>
      <c r="K166" s="3">
        <v>1</v>
      </c>
      <c r="O166" s="3">
        <f t="shared" si="118"/>
        <v>222.97</v>
      </c>
      <c r="P166" s="3">
        <f t="shared" si="119"/>
        <v>222.97</v>
      </c>
      <c r="Q166" s="3">
        <f>(ROUND((ROUND(((ET166)*AV166*I166),2)*BB166),2)+ROUND((ROUND(((AE166-(EU166))*AV166*I166),2)*BS166),2))</f>
        <v>0</v>
      </c>
      <c r="R166" s="3">
        <f>(ROUND((ROUND(((EU166)*AV166*I166),2)*BS166),2)+ROUND((ROUND(((AE166-(EU166))*AV166*I166),2)*BS166),2))</f>
        <v>0</v>
      </c>
      <c r="S166" s="3">
        <f t="shared" si="120"/>
        <v>0</v>
      </c>
      <c r="T166" s="3">
        <f t="shared" si="121"/>
        <v>0</v>
      </c>
      <c r="U166" s="3">
        <f t="shared" si="122"/>
        <v>0</v>
      </c>
      <c r="V166" s="3">
        <f t="shared" si="123"/>
        <v>0</v>
      </c>
      <c r="W166" s="3">
        <f t="shared" si="124"/>
        <v>0</v>
      </c>
      <c r="X166" s="3">
        <f>(ROUND((((S166+ROUND((ROUND(((EU166)*AV166*I166),2)*BS166),2))*AT166)/100),2)+ROUND(((ROUND((ROUND(((AE166-(EU166))*AV166*I166),2)*BS166),2)*AT166)/100),2))</f>
        <v>0</v>
      </c>
      <c r="Y166" s="3">
        <f>(ROUND((((S166+ROUND((ROUND(((EU166)*AV166*I166),2)*BS166),2))*AU166)/100),2)+ROUND(((ROUND((ROUND(((AE166-(EU166))*AV166*I166),2)*BS166),2)*AU166)/100),2))</f>
        <v>0</v>
      </c>
      <c r="AA166" s="3">
        <v>55942968</v>
      </c>
      <c r="AB166" s="3">
        <f t="shared" si="125"/>
        <v>22.66</v>
      </c>
      <c r="AC166" s="3">
        <f>ROUND((ES166),6)</f>
        <v>22.66</v>
      </c>
      <c r="AD166" s="3">
        <f>ROUND((((ET166)-(EU166))+AE166),6)</f>
        <v>0</v>
      </c>
      <c r="AE166" s="3">
        <f t="shared" si="144"/>
        <v>0</v>
      </c>
      <c r="AF166" s="3">
        <f t="shared" si="144"/>
        <v>0</v>
      </c>
      <c r="AG166" s="3">
        <f t="shared" si="127"/>
        <v>0</v>
      </c>
      <c r="AH166" s="3">
        <f t="shared" si="145"/>
        <v>0</v>
      </c>
      <c r="AI166" s="3">
        <f t="shared" si="145"/>
        <v>0</v>
      </c>
      <c r="AJ166" s="3">
        <f t="shared" si="129"/>
        <v>0</v>
      </c>
      <c r="AK166" s="3">
        <v>22.66</v>
      </c>
      <c r="AL166" s="3">
        <v>22.66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1</v>
      </c>
      <c r="AW166" s="3">
        <v>1</v>
      </c>
      <c r="AZ166" s="3">
        <v>1</v>
      </c>
      <c r="BA166" s="3">
        <v>1</v>
      </c>
      <c r="BB166" s="3">
        <v>1</v>
      </c>
      <c r="BC166" s="3">
        <v>9.84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3</v>
      </c>
      <c r="BI166" s="3">
        <v>2</v>
      </c>
      <c r="BJ166" s="3" t="s">
        <v>3</v>
      </c>
      <c r="BM166" s="3">
        <v>400002</v>
      </c>
      <c r="BN166" s="3">
        <v>0</v>
      </c>
      <c r="BO166" s="3" t="s">
        <v>3</v>
      </c>
      <c r="BP166" s="3">
        <v>0</v>
      </c>
      <c r="BQ166" s="3">
        <v>202</v>
      </c>
      <c r="BR166" s="3">
        <v>0</v>
      </c>
      <c r="BS166" s="3">
        <v>1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0</v>
      </c>
      <c r="CA166" s="3">
        <v>0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3</v>
      </c>
      <c r="CO166" s="3">
        <v>0</v>
      </c>
      <c r="CP166" s="3">
        <f t="shared" si="130"/>
        <v>222.97</v>
      </c>
      <c r="CQ166" s="3">
        <f t="shared" si="131"/>
        <v>222.97</v>
      </c>
      <c r="CR166" s="3">
        <f>(ROUND((ROUND(((ET166)*AV166*1),2)*BB166),2)+ROUND((ROUND(((AE166-(EU166))*AV166*1),2)*BS166),2))</f>
        <v>0</v>
      </c>
      <c r="CS166" s="3">
        <f>(ROUND((ROUND(((EU166)*AV166*1),2)*BS166),2)+ROUND((ROUND(((AE166-(EU166))*AV166*1),2)*BS166),2))</f>
        <v>0</v>
      </c>
      <c r="CT166" s="3">
        <f t="shared" si="132"/>
        <v>0</v>
      </c>
      <c r="CU166" s="3">
        <f t="shared" si="133"/>
        <v>0</v>
      </c>
      <c r="CV166" s="3">
        <f t="shared" si="134"/>
        <v>0</v>
      </c>
      <c r="CW166" s="3">
        <f t="shared" si="135"/>
        <v>0</v>
      </c>
      <c r="CX166" s="3">
        <f t="shared" si="135"/>
        <v>0</v>
      </c>
      <c r="CY166" s="3">
        <f>(ROUND((((S166+ROUND((ROUND(((EU166)*AV166*1),2)*BS166),2))*AT166)/100),2)+ROUND(((ROUND((ROUND(((AE166-(EU166))*AV166*1),2)*BS166),2)*AT166)/100),2))</f>
        <v>0</v>
      </c>
      <c r="CZ166" s="3">
        <f>(ROUND((((S166+ROUND((ROUND(((EU166)*AV166*1),2)*BS166),2))*AU166)/100),2)+ROUND(((ROUND((ROUND(((AE166-(EU166))*AV166*1),2)*BS166),2)*AU166)/100),2))</f>
        <v>0</v>
      </c>
      <c r="DC166" s="3" t="s">
        <v>3</v>
      </c>
      <c r="DD166" s="3" t="s">
        <v>3</v>
      </c>
      <c r="DE166" s="3" t="s">
        <v>3</v>
      </c>
      <c r="DF166" s="3" t="s">
        <v>3</v>
      </c>
      <c r="DG166" s="3" t="s">
        <v>3</v>
      </c>
      <c r="DH166" s="3" t="s">
        <v>3</v>
      </c>
      <c r="DI166" s="3" t="s">
        <v>3</v>
      </c>
      <c r="DJ166" s="3" t="s">
        <v>3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1013</v>
      </c>
      <c r="DV166" s="3" t="s">
        <v>161</v>
      </c>
      <c r="DW166" s="3" t="s">
        <v>161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55393883</v>
      </c>
      <c r="EF166" s="3">
        <v>202</v>
      </c>
      <c r="EG166" s="3" t="s">
        <v>162</v>
      </c>
      <c r="EH166" s="3">
        <v>0</v>
      </c>
      <c r="EI166" s="3" t="s">
        <v>3</v>
      </c>
      <c r="EJ166" s="3">
        <v>1</v>
      </c>
      <c r="EK166" s="3">
        <v>400002</v>
      </c>
      <c r="EL166" s="3" t="s">
        <v>163</v>
      </c>
      <c r="EM166" s="3" t="s">
        <v>162</v>
      </c>
      <c r="EO166" s="3" t="s">
        <v>3</v>
      </c>
      <c r="EQ166" s="3">
        <v>131072</v>
      </c>
      <c r="ER166" s="3">
        <v>0</v>
      </c>
      <c r="ES166" s="3">
        <v>22.66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FQ166" s="3">
        <v>0</v>
      </c>
      <c r="FR166" s="3">
        <v>0</v>
      </c>
      <c r="FS166" s="3">
        <v>0</v>
      </c>
      <c r="FX166" s="3">
        <v>0</v>
      </c>
      <c r="FY166" s="3">
        <v>0</v>
      </c>
      <c r="GA166" s="3" t="s">
        <v>3</v>
      </c>
      <c r="GD166" s="3">
        <v>1</v>
      </c>
      <c r="GF166" s="3">
        <v>-1225533202</v>
      </c>
      <c r="GG166" s="3">
        <v>2</v>
      </c>
      <c r="GH166" s="3">
        <v>0</v>
      </c>
      <c r="GI166" s="3">
        <v>3</v>
      </c>
      <c r="GJ166" s="3">
        <v>0</v>
      </c>
      <c r="GK166" s="3">
        <v>0</v>
      </c>
      <c r="GL166" s="3">
        <f t="shared" si="136"/>
        <v>0</v>
      </c>
      <c r="GM166" s="3">
        <f t="shared" si="137"/>
        <v>222.97</v>
      </c>
      <c r="GN166" s="3">
        <f t="shared" si="138"/>
        <v>0</v>
      </c>
      <c r="GO166" s="3">
        <f t="shared" si="139"/>
        <v>222.97</v>
      </c>
      <c r="GP166" s="3">
        <f t="shared" si="140"/>
        <v>0</v>
      </c>
      <c r="GR166" s="3">
        <v>0</v>
      </c>
      <c r="GS166" s="3">
        <v>0</v>
      </c>
      <c r="GT166" s="3">
        <v>0</v>
      </c>
      <c r="GU166" s="3" t="s">
        <v>3</v>
      </c>
      <c r="GV166" s="3">
        <f t="shared" si="141"/>
        <v>0</v>
      </c>
      <c r="GW166" s="3">
        <v>1</v>
      </c>
      <c r="GX166" s="3">
        <f t="shared" si="142"/>
        <v>0</v>
      </c>
      <c r="HA166" s="3">
        <v>0</v>
      </c>
      <c r="HB166" s="3">
        <v>0</v>
      </c>
      <c r="HC166" s="3">
        <f t="shared" si="143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5">
      <c r="A167" s="2">
        <v>17</v>
      </c>
      <c r="B167" s="2">
        <v>1</v>
      </c>
      <c r="C167" s="2"/>
      <c r="D167" s="2"/>
      <c r="E167" s="2" t="s">
        <v>164</v>
      </c>
      <c r="F167" s="2" t="s">
        <v>165</v>
      </c>
      <c r="G167" s="2" t="s">
        <v>166</v>
      </c>
      <c r="H167" s="2" t="s">
        <v>161</v>
      </c>
      <c r="I167" s="2">
        <v>3</v>
      </c>
      <c r="J167" s="2">
        <v>0</v>
      </c>
      <c r="K167" s="2">
        <v>3</v>
      </c>
      <c r="L167" s="2"/>
      <c r="M167" s="2"/>
      <c r="N167" s="2"/>
      <c r="O167" s="2">
        <f t="shared" si="118"/>
        <v>38.159999999999997</v>
      </c>
      <c r="P167" s="2">
        <f t="shared" si="119"/>
        <v>38.159999999999997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120"/>
        <v>0</v>
      </c>
      <c r="T167" s="2">
        <f t="shared" si="121"/>
        <v>0</v>
      </c>
      <c r="U167" s="2">
        <f t="shared" si="122"/>
        <v>0</v>
      </c>
      <c r="V167" s="2">
        <f t="shared" si="123"/>
        <v>0</v>
      </c>
      <c r="W167" s="2">
        <f t="shared" si="124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55942966</v>
      </c>
      <c r="AB167" s="2">
        <f t="shared" si="125"/>
        <v>12.72</v>
      </c>
      <c r="AC167" s="2">
        <f>ROUND((ES167),6)</f>
        <v>12.72</v>
      </c>
      <c r="AD167" s="2">
        <f>ROUND((((ET167)-(EU167))+AE167),6)</f>
        <v>0</v>
      </c>
      <c r="AE167" s="2">
        <f t="shared" si="144"/>
        <v>0</v>
      </c>
      <c r="AF167" s="2">
        <f t="shared" si="144"/>
        <v>0</v>
      </c>
      <c r="AG167" s="2">
        <f t="shared" si="127"/>
        <v>0</v>
      </c>
      <c r="AH167" s="2">
        <f t="shared" si="145"/>
        <v>0</v>
      </c>
      <c r="AI167" s="2">
        <f t="shared" si="145"/>
        <v>0</v>
      </c>
      <c r="AJ167" s="2">
        <f t="shared" si="129"/>
        <v>0</v>
      </c>
      <c r="AK167" s="2">
        <v>12.72</v>
      </c>
      <c r="AL167" s="2">
        <v>12.72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2</v>
      </c>
      <c r="BJ167" s="2" t="s">
        <v>3</v>
      </c>
      <c r="BK167" s="2"/>
      <c r="BL167" s="2"/>
      <c r="BM167" s="2">
        <v>400002</v>
      </c>
      <c r="BN167" s="2">
        <v>0</v>
      </c>
      <c r="BO167" s="2" t="s">
        <v>3</v>
      </c>
      <c r="BP167" s="2">
        <v>0</v>
      </c>
      <c r="BQ167" s="2">
        <v>202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0</v>
      </c>
      <c r="CA167" s="2">
        <v>0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30"/>
        <v>38.159999999999997</v>
      </c>
      <c r="CQ167" s="2">
        <f t="shared" si="131"/>
        <v>12.72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132"/>
        <v>0</v>
      </c>
      <c r="CU167" s="2">
        <f t="shared" si="133"/>
        <v>0</v>
      </c>
      <c r="CV167" s="2">
        <f t="shared" si="134"/>
        <v>0</v>
      </c>
      <c r="CW167" s="2">
        <f t="shared" si="135"/>
        <v>0</v>
      </c>
      <c r="CX167" s="2">
        <f t="shared" si="135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161</v>
      </c>
      <c r="DW167" s="2" t="s">
        <v>161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55393883</v>
      </c>
      <c r="EF167" s="2">
        <v>202</v>
      </c>
      <c r="EG167" s="2" t="s">
        <v>162</v>
      </c>
      <c r="EH167" s="2">
        <v>0</v>
      </c>
      <c r="EI167" s="2" t="s">
        <v>3</v>
      </c>
      <c r="EJ167" s="2">
        <v>1</v>
      </c>
      <c r="EK167" s="2">
        <v>400002</v>
      </c>
      <c r="EL167" s="2" t="s">
        <v>163</v>
      </c>
      <c r="EM167" s="2" t="s">
        <v>162</v>
      </c>
      <c r="EN167" s="2"/>
      <c r="EO167" s="2" t="s">
        <v>3</v>
      </c>
      <c r="EP167" s="2"/>
      <c r="EQ167" s="2">
        <v>131072</v>
      </c>
      <c r="ER167" s="2">
        <v>0</v>
      </c>
      <c r="ES167" s="2">
        <v>12.72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0</v>
      </c>
      <c r="FY167" s="2">
        <v>0</v>
      </c>
      <c r="FZ167" s="2"/>
      <c r="GA167" s="2" t="s">
        <v>3</v>
      </c>
      <c r="GB167" s="2"/>
      <c r="GC167" s="2"/>
      <c r="GD167" s="2">
        <v>1</v>
      </c>
      <c r="GE167" s="2"/>
      <c r="GF167" s="2">
        <v>-553193597</v>
      </c>
      <c r="GG167" s="2">
        <v>2</v>
      </c>
      <c r="GH167" s="2">
        <v>4</v>
      </c>
      <c r="GI167" s="2">
        <v>-2</v>
      </c>
      <c r="GJ167" s="2">
        <v>0</v>
      </c>
      <c r="GK167" s="2">
        <v>0</v>
      </c>
      <c r="GL167" s="2">
        <f t="shared" si="136"/>
        <v>0</v>
      </c>
      <c r="GM167" s="2">
        <f t="shared" si="137"/>
        <v>38.159999999999997</v>
      </c>
      <c r="GN167" s="2">
        <f t="shared" si="138"/>
        <v>0</v>
      </c>
      <c r="GO167" s="2">
        <f t="shared" si="139"/>
        <v>38.159999999999997</v>
      </c>
      <c r="GP167" s="2">
        <f t="shared" si="140"/>
        <v>0</v>
      </c>
      <c r="GQ167" s="2"/>
      <c r="GR167" s="2">
        <v>0</v>
      </c>
      <c r="GS167" s="2">
        <v>2</v>
      </c>
      <c r="GT167" s="2">
        <v>0</v>
      </c>
      <c r="GU167" s="2" t="s">
        <v>3</v>
      </c>
      <c r="GV167" s="2">
        <f t="shared" si="141"/>
        <v>0</v>
      </c>
      <c r="GW167" s="2">
        <v>1</v>
      </c>
      <c r="GX167" s="2">
        <f t="shared" si="142"/>
        <v>0</v>
      </c>
      <c r="GY167" s="2"/>
      <c r="GZ167" s="2"/>
      <c r="HA167" s="2">
        <v>0</v>
      </c>
      <c r="HB167" s="2">
        <v>0</v>
      </c>
      <c r="HC167" s="2">
        <f t="shared" si="143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5">
      <c r="A168" s="3">
        <v>17</v>
      </c>
      <c r="B168" s="3">
        <v>1</v>
      </c>
      <c r="E168" s="3" t="s">
        <v>164</v>
      </c>
      <c r="F168" s="3" t="s">
        <v>165</v>
      </c>
      <c r="G168" s="3" t="s">
        <v>166</v>
      </c>
      <c r="H168" s="3" t="s">
        <v>161</v>
      </c>
      <c r="I168" s="3">
        <v>3</v>
      </c>
      <c r="J168" s="3">
        <v>0</v>
      </c>
      <c r="K168" s="3">
        <v>3</v>
      </c>
      <c r="O168" s="3">
        <f t="shared" si="118"/>
        <v>375.49</v>
      </c>
      <c r="P168" s="3">
        <f t="shared" si="119"/>
        <v>375.49</v>
      </c>
      <c r="Q168" s="3">
        <f>(ROUND((ROUND(((ET168)*AV168*I168),2)*BB168),2)+ROUND((ROUND(((AE168-(EU168))*AV168*I168),2)*BS168),2))</f>
        <v>0</v>
      </c>
      <c r="R168" s="3">
        <f>(ROUND((ROUND(((EU168)*AV168*I168),2)*BS168),2)+ROUND((ROUND(((AE168-(EU168))*AV168*I168),2)*BS168),2))</f>
        <v>0</v>
      </c>
      <c r="S168" s="3">
        <f t="shared" si="120"/>
        <v>0</v>
      </c>
      <c r="T168" s="3">
        <f t="shared" si="121"/>
        <v>0</v>
      </c>
      <c r="U168" s="3">
        <f t="shared" si="122"/>
        <v>0</v>
      </c>
      <c r="V168" s="3">
        <f t="shared" si="123"/>
        <v>0</v>
      </c>
      <c r="W168" s="3">
        <f t="shared" si="124"/>
        <v>0</v>
      </c>
      <c r="X168" s="3">
        <f>(ROUND((((S168+ROUND((ROUND(((EU168)*AV168*I168),2)*BS168),2))*AT168)/100),2)+ROUND(((ROUND((ROUND(((AE168-(EU168))*AV168*I168),2)*BS168),2)*AT168)/100),2))</f>
        <v>0</v>
      </c>
      <c r="Y168" s="3">
        <f>(ROUND((((S168+ROUND((ROUND(((EU168)*AV168*I168),2)*BS168),2))*AU168)/100),2)+ROUND(((ROUND((ROUND(((AE168-(EU168))*AV168*I168),2)*BS168),2)*AU168)/100),2))</f>
        <v>0</v>
      </c>
      <c r="AA168" s="3">
        <v>55942968</v>
      </c>
      <c r="AB168" s="3">
        <f t="shared" si="125"/>
        <v>12.72</v>
      </c>
      <c r="AC168" s="3">
        <f>ROUND((ES168),6)</f>
        <v>12.72</v>
      </c>
      <c r="AD168" s="3">
        <f>ROUND((((ET168)-(EU168))+AE168),6)</f>
        <v>0</v>
      </c>
      <c r="AE168" s="3">
        <f t="shared" si="144"/>
        <v>0</v>
      </c>
      <c r="AF168" s="3">
        <f t="shared" si="144"/>
        <v>0</v>
      </c>
      <c r="AG168" s="3">
        <f t="shared" si="127"/>
        <v>0</v>
      </c>
      <c r="AH168" s="3">
        <f t="shared" si="145"/>
        <v>0</v>
      </c>
      <c r="AI168" s="3">
        <f t="shared" si="145"/>
        <v>0</v>
      </c>
      <c r="AJ168" s="3">
        <f t="shared" si="129"/>
        <v>0</v>
      </c>
      <c r="AK168" s="3">
        <v>12.72</v>
      </c>
      <c r="AL168" s="3">
        <v>12.72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1</v>
      </c>
      <c r="AW168" s="3">
        <v>1</v>
      </c>
      <c r="AZ168" s="3">
        <v>1</v>
      </c>
      <c r="BA168" s="3">
        <v>1</v>
      </c>
      <c r="BB168" s="3">
        <v>1</v>
      </c>
      <c r="BC168" s="3">
        <v>9.84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3</v>
      </c>
      <c r="BI168" s="3">
        <v>2</v>
      </c>
      <c r="BJ168" s="3" t="s">
        <v>3</v>
      </c>
      <c r="BM168" s="3">
        <v>400002</v>
      </c>
      <c r="BN168" s="3">
        <v>0</v>
      </c>
      <c r="BO168" s="3" t="s">
        <v>3</v>
      </c>
      <c r="BP168" s="3">
        <v>0</v>
      </c>
      <c r="BQ168" s="3">
        <v>202</v>
      </c>
      <c r="BR168" s="3">
        <v>0</v>
      </c>
      <c r="BS168" s="3">
        <v>1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0</v>
      </c>
      <c r="CA168" s="3">
        <v>0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3</v>
      </c>
      <c r="CO168" s="3">
        <v>0</v>
      </c>
      <c r="CP168" s="3">
        <f t="shared" si="130"/>
        <v>375.49</v>
      </c>
      <c r="CQ168" s="3">
        <f t="shared" si="131"/>
        <v>125.16</v>
      </c>
      <c r="CR168" s="3">
        <f>(ROUND((ROUND(((ET168)*AV168*1),2)*BB168),2)+ROUND((ROUND(((AE168-(EU168))*AV168*1),2)*BS168),2))</f>
        <v>0</v>
      </c>
      <c r="CS168" s="3">
        <f>(ROUND((ROUND(((EU168)*AV168*1),2)*BS168),2)+ROUND((ROUND(((AE168-(EU168))*AV168*1),2)*BS168),2))</f>
        <v>0</v>
      </c>
      <c r="CT168" s="3">
        <f t="shared" si="132"/>
        <v>0</v>
      </c>
      <c r="CU168" s="3">
        <f t="shared" si="133"/>
        <v>0</v>
      </c>
      <c r="CV168" s="3">
        <f t="shared" si="134"/>
        <v>0</v>
      </c>
      <c r="CW168" s="3">
        <f t="shared" si="135"/>
        <v>0</v>
      </c>
      <c r="CX168" s="3">
        <f t="shared" si="135"/>
        <v>0</v>
      </c>
      <c r="CY168" s="3">
        <f>(ROUND((((S168+ROUND((ROUND(((EU168)*AV168*1),2)*BS168),2))*AT168)/100),2)+ROUND(((ROUND((ROUND(((AE168-(EU168))*AV168*1),2)*BS168),2)*AT168)/100),2))</f>
        <v>0</v>
      </c>
      <c r="CZ168" s="3">
        <f>(ROUND((((S168+ROUND((ROUND(((EU168)*AV168*1),2)*BS168),2))*AU168)/100),2)+ROUND(((ROUND((ROUND(((AE168-(EU168))*AV168*1),2)*BS168),2)*AU168)/100),2))</f>
        <v>0</v>
      </c>
      <c r="DC168" s="3" t="s">
        <v>3</v>
      </c>
      <c r="DD168" s="3" t="s">
        <v>3</v>
      </c>
      <c r="DE168" s="3" t="s">
        <v>3</v>
      </c>
      <c r="DF168" s="3" t="s">
        <v>3</v>
      </c>
      <c r="DG168" s="3" t="s">
        <v>3</v>
      </c>
      <c r="DH168" s="3" t="s">
        <v>3</v>
      </c>
      <c r="DI168" s="3" t="s">
        <v>3</v>
      </c>
      <c r="DJ168" s="3" t="s">
        <v>3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1013</v>
      </c>
      <c r="DV168" s="3" t="s">
        <v>161</v>
      </c>
      <c r="DW168" s="3" t="s">
        <v>161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55393883</v>
      </c>
      <c r="EF168" s="3">
        <v>202</v>
      </c>
      <c r="EG168" s="3" t="s">
        <v>162</v>
      </c>
      <c r="EH168" s="3">
        <v>0</v>
      </c>
      <c r="EI168" s="3" t="s">
        <v>3</v>
      </c>
      <c r="EJ168" s="3">
        <v>1</v>
      </c>
      <c r="EK168" s="3">
        <v>400002</v>
      </c>
      <c r="EL168" s="3" t="s">
        <v>163</v>
      </c>
      <c r="EM168" s="3" t="s">
        <v>162</v>
      </c>
      <c r="EO168" s="3" t="s">
        <v>3</v>
      </c>
      <c r="EQ168" s="3">
        <v>131072</v>
      </c>
      <c r="ER168" s="3">
        <v>0</v>
      </c>
      <c r="ES168" s="3">
        <v>12.72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FQ168" s="3">
        <v>0</v>
      </c>
      <c r="FR168" s="3">
        <v>0</v>
      </c>
      <c r="FS168" s="3">
        <v>0</v>
      </c>
      <c r="FX168" s="3">
        <v>0</v>
      </c>
      <c r="FY168" s="3">
        <v>0</v>
      </c>
      <c r="GA168" s="3" t="s">
        <v>3</v>
      </c>
      <c r="GD168" s="3">
        <v>1</v>
      </c>
      <c r="GF168" s="3">
        <v>-553193597</v>
      </c>
      <c r="GG168" s="3">
        <v>2</v>
      </c>
      <c r="GH168" s="3">
        <v>0</v>
      </c>
      <c r="GI168" s="3">
        <v>3</v>
      </c>
      <c r="GJ168" s="3">
        <v>0</v>
      </c>
      <c r="GK168" s="3">
        <v>0</v>
      </c>
      <c r="GL168" s="3">
        <f t="shared" si="136"/>
        <v>0</v>
      </c>
      <c r="GM168" s="3">
        <f t="shared" si="137"/>
        <v>375.49</v>
      </c>
      <c r="GN168" s="3">
        <f t="shared" si="138"/>
        <v>0</v>
      </c>
      <c r="GO168" s="3">
        <f t="shared" si="139"/>
        <v>375.49</v>
      </c>
      <c r="GP168" s="3">
        <f t="shared" si="140"/>
        <v>0</v>
      </c>
      <c r="GR168" s="3">
        <v>0</v>
      </c>
      <c r="GS168" s="3">
        <v>0</v>
      </c>
      <c r="GT168" s="3">
        <v>0</v>
      </c>
      <c r="GU168" s="3" t="s">
        <v>3</v>
      </c>
      <c r="GV168" s="3">
        <f t="shared" si="141"/>
        <v>0</v>
      </c>
      <c r="GW168" s="3">
        <v>1</v>
      </c>
      <c r="GX168" s="3">
        <f t="shared" si="142"/>
        <v>0</v>
      </c>
      <c r="HA168" s="3">
        <v>0</v>
      </c>
      <c r="HB168" s="3">
        <v>0</v>
      </c>
      <c r="HC168" s="3">
        <f t="shared" si="143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70" spans="1:255" ht="13" x14ac:dyDescent="0.3">
      <c r="A170" s="11">
        <v>51</v>
      </c>
      <c r="B170" s="11">
        <f>B157</f>
        <v>1</v>
      </c>
      <c r="C170" s="11">
        <f>A157</f>
        <v>4</v>
      </c>
      <c r="D170" s="11">
        <f>ROW(A157)</f>
        <v>157</v>
      </c>
      <c r="E170" s="11"/>
      <c r="F170" s="11" t="str">
        <f>IF(F157&lt;&gt;"",F157,"")</f>
        <v>Новый раздел</v>
      </c>
      <c r="G170" s="11" t="str">
        <f>IF(G157&lt;&gt;"",G157,"")</f>
        <v>Кабели и провода</v>
      </c>
      <c r="H170" s="11">
        <v>0</v>
      </c>
      <c r="I170" s="11"/>
      <c r="J170" s="11"/>
      <c r="K170" s="11"/>
      <c r="L170" s="11"/>
      <c r="M170" s="11"/>
      <c r="N170" s="11"/>
      <c r="O170" s="11">
        <f t="shared" ref="O170:T170" si="146">ROUND(AB170,2)</f>
        <v>62.79</v>
      </c>
      <c r="P170" s="11">
        <f t="shared" si="146"/>
        <v>60.82</v>
      </c>
      <c r="Q170" s="11">
        <f t="shared" si="146"/>
        <v>0</v>
      </c>
      <c r="R170" s="11">
        <f t="shared" si="146"/>
        <v>0</v>
      </c>
      <c r="S170" s="11">
        <f t="shared" si="146"/>
        <v>1.97</v>
      </c>
      <c r="T170" s="11">
        <f t="shared" si="146"/>
        <v>0</v>
      </c>
      <c r="U170" s="11">
        <f>AH170</f>
        <v>0.15579359999999998</v>
      </c>
      <c r="V170" s="11">
        <f>AI170</f>
        <v>0</v>
      </c>
      <c r="W170" s="11">
        <f>ROUND(AJ170,2)</f>
        <v>0</v>
      </c>
      <c r="X170" s="11">
        <f>ROUND(AK170,2)</f>
        <v>1.77</v>
      </c>
      <c r="Y170" s="11">
        <f>ROUND(AL170,2)</f>
        <v>0.91</v>
      </c>
      <c r="Z170" s="11"/>
      <c r="AA170" s="11"/>
      <c r="AB170" s="11">
        <f>ROUND(SUMIF(AA161:AA168,"=55942966",O161:O168),2)</f>
        <v>62.79</v>
      </c>
      <c r="AC170" s="11">
        <f>ROUND(SUMIF(AA161:AA168,"=55942966",P161:P168),2)</f>
        <v>60.82</v>
      </c>
      <c r="AD170" s="11">
        <f>ROUND(SUMIF(AA161:AA168,"=55942966",Q161:Q168),2)</f>
        <v>0</v>
      </c>
      <c r="AE170" s="11">
        <f>ROUND(SUMIF(AA161:AA168,"=55942966",R161:R168),2)</f>
        <v>0</v>
      </c>
      <c r="AF170" s="11">
        <f>ROUND(SUMIF(AA161:AA168,"=55942966",S161:S168),2)</f>
        <v>1.97</v>
      </c>
      <c r="AG170" s="11">
        <f>ROUND(SUMIF(AA161:AA168,"=55942966",T161:T168),2)</f>
        <v>0</v>
      </c>
      <c r="AH170" s="11">
        <f>SUMIF(AA161:AA168,"=55942966",U161:U168)</f>
        <v>0.15579359999999998</v>
      </c>
      <c r="AI170" s="11">
        <f>SUMIF(AA161:AA168,"=55942966",V161:V168)</f>
        <v>0</v>
      </c>
      <c r="AJ170" s="11">
        <f>ROUND(SUMIF(AA161:AA168,"=55942966",W161:W168),2)</f>
        <v>0</v>
      </c>
      <c r="AK170" s="11">
        <f>ROUND(SUMIF(AA161:AA168,"=55942966",X161:X168),2)</f>
        <v>1.77</v>
      </c>
      <c r="AL170" s="11">
        <f>ROUND(SUMIF(AA161:AA168,"=55942966",Y161:Y168),2)</f>
        <v>0.91</v>
      </c>
      <c r="AM170" s="11"/>
      <c r="AN170" s="11"/>
      <c r="AO170" s="11">
        <f t="shared" ref="AO170:BD170" si="147">ROUND(BX170,2)</f>
        <v>0</v>
      </c>
      <c r="AP170" s="11">
        <f t="shared" si="147"/>
        <v>0</v>
      </c>
      <c r="AQ170" s="11">
        <f t="shared" si="147"/>
        <v>0</v>
      </c>
      <c r="AR170" s="11">
        <f t="shared" si="147"/>
        <v>65.47</v>
      </c>
      <c r="AS170" s="11">
        <f t="shared" si="147"/>
        <v>0</v>
      </c>
      <c r="AT170" s="11">
        <f t="shared" si="147"/>
        <v>65.47</v>
      </c>
      <c r="AU170" s="11">
        <f t="shared" si="147"/>
        <v>0</v>
      </c>
      <c r="AV170" s="11">
        <f t="shared" si="147"/>
        <v>60.82</v>
      </c>
      <c r="AW170" s="11">
        <f t="shared" si="147"/>
        <v>60.82</v>
      </c>
      <c r="AX170" s="11">
        <f t="shared" si="147"/>
        <v>0</v>
      </c>
      <c r="AY170" s="11">
        <f t="shared" si="147"/>
        <v>60.82</v>
      </c>
      <c r="AZ170" s="11">
        <f t="shared" si="147"/>
        <v>0</v>
      </c>
      <c r="BA170" s="11">
        <f t="shared" si="147"/>
        <v>0</v>
      </c>
      <c r="BB170" s="11">
        <f t="shared" si="147"/>
        <v>0</v>
      </c>
      <c r="BC170" s="11">
        <f t="shared" si="147"/>
        <v>0</v>
      </c>
      <c r="BD170" s="11">
        <f t="shared" si="147"/>
        <v>0</v>
      </c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>
        <f>ROUND(SUMIF(AA161:AA168,"=55942966",FQ161:FQ168),2)</f>
        <v>0</v>
      </c>
      <c r="BY170" s="11">
        <f>ROUND(SUMIF(AA161:AA168,"=55942966",FR161:FR168),2)</f>
        <v>0</v>
      </c>
      <c r="BZ170" s="11">
        <f>ROUND(SUMIF(AA161:AA168,"=55942966",GL161:GL168),2)</f>
        <v>0</v>
      </c>
      <c r="CA170" s="11">
        <f>ROUND(SUMIF(AA161:AA168,"=55942966",GM161:GM168),2)</f>
        <v>65.47</v>
      </c>
      <c r="CB170" s="11">
        <f>ROUND(SUMIF(AA161:AA168,"=55942966",GN161:GN168),2)</f>
        <v>0</v>
      </c>
      <c r="CC170" s="11">
        <f>ROUND(SUMIF(AA161:AA168,"=55942966",GO161:GO168),2)</f>
        <v>65.47</v>
      </c>
      <c r="CD170" s="11">
        <f>ROUND(SUMIF(AA161:AA168,"=55942966",GP161:GP168),2)</f>
        <v>0</v>
      </c>
      <c r="CE170" s="11">
        <f>AC170-BX170</f>
        <v>60.82</v>
      </c>
      <c r="CF170" s="11">
        <f>AC170-BY170</f>
        <v>60.82</v>
      </c>
      <c r="CG170" s="11">
        <f>BX170-BZ170</f>
        <v>0</v>
      </c>
      <c r="CH170" s="11">
        <f>AC170-BX170-BY170+BZ170</f>
        <v>60.82</v>
      </c>
      <c r="CI170" s="11">
        <f>BY170-BZ170</f>
        <v>0</v>
      </c>
      <c r="CJ170" s="11">
        <f>ROUND(SUMIF(AA161:AA168,"=55942966",GX161:GX168),2)</f>
        <v>0</v>
      </c>
      <c r="CK170" s="11">
        <f>ROUND(SUMIF(AA161:AA168,"=55942966",GY161:GY168),2)</f>
        <v>0</v>
      </c>
      <c r="CL170" s="11">
        <f>ROUND(SUMIF(AA161:AA168,"=55942966",GZ161:GZ168),2)</f>
        <v>0</v>
      </c>
      <c r="CM170" s="11">
        <f>ROUND(SUMIF(AA161:AA168,"=55942966",HD161:HD168),2)</f>
        <v>0</v>
      </c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2">
        <f t="shared" ref="DG170:DL170" si="148">ROUND(DT170,2)</f>
        <v>709.47</v>
      </c>
      <c r="DH170" s="12">
        <f t="shared" si="148"/>
        <v>598.46</v>
      </c>
      <c r="DI170" s="12">
        <f t="shared" si="148"/>
        <v>0</v>
      </c>
      <c r="DJ170" s="12">
        <f t="shared" si="148"/>
        <v>0</v>
      </c>
      <c r="DK170" s="12">
        <f t="shared" si="148"/>
        <v>111.01</v>
      </c>
      <c r="DL170" s="12">
        <f t="shared" si="148"/>
        <v>0</v>
      </c>
      <c r="DM170" s="12">
        <f>DZ170</f>
        <v>0.15579359999999998</v>
      </c>
      <c r="DN170" s="12">
        <f>EA170</f>
        <v>0</v>
      </c>
      <c r="DO170" s="12">
        <f>ROUND(EB170,2)</f>
        <v>0</v>
      </c>
      <c r="DP170" s="12">
        <f>ROUND(EC170,2)</f>
        <v>99.91</v>
      </c>
      <c r="DQ170" s="12">
        <f>ROUND(ED170,2)</f>
        <v>51.06</v>
      </c>
      <c r="DR170" s="12"/>
      <c r="DS170" s="12"/>
      <c r="DT170" s="12">
        <f>ROUND(SUMIF(AA161:AA168,"=55942968",O161:O168),2)</f>
        <v>709.47</v>
      </c>
      <c r="DU170" s="12">
        <f>ROUND(SUMIF(AA161:AA168,"=55942968",P161:P168),2)</f>
        <v>598.46</v>
      </c>
      <c r="DV170" s="12">
        <f>ROUND(SUMIF(AA161:AA168,"=55942968",Q161:Q168),2)</f>
        <v>0</v>
      </c>
      <c r="DW170" s="12">
        <f>ROUND(SUMIF(AA161:AA168,"=55942968",R161:R168),2)</f>
        <v>0</v>
      </c>
      <c r="DX170" s="12">
        <f>ROUND(SUMIF(AA161:AA168,"=55942968",S161:S168),2)</f>
        <v>111.01</v>
      </c>
      <c r="DY170" s="12">
        <f>ROUND(SUMIF(AA161:AA168,"=55942968",T161:T168),2)</f>
        <v>0</v>
      </c>
      <c r="DZ170" s="12">
        <f>SUMIF(AA161:AA168,"=55942968",U161:U168)</f>
        <v>0.15579359999999998</v>
      </c>
      <c r="EA170" s="12">
        <f>SUMIF(AA161:AA168,"=55942968",V161:V168)</f>
        <v>0</v>
      </c>
      <c r="EB170" s="12">
        <f>ROUND(SUMIF(AA161:AA168,"=55942968",W161:W168),2)</f>
        <v>0</v>
      </c>
      <c r="EC170" s="12">
        <f>ROUND(SUMIF(AA161:AA168,"=55942968",X161:X168),2)</f>
        <v>99.91</v>
      </c>
      <c r="ED170" s="12">
        <f>ROUND(SUMIF(AA161:AA168,"=55942968",Y161:Y168),2)</f>
        <v>51.06</v>
      </c>
      <c r="EE170" s="12"/>
      <c r="EF170" s="12"/>
      <c r="EG170" s="12">
        <f t="shared" ref="EG170:EV170" si="149">ROUND(FP170,2)</f>
        <v>0</v>
      </c>
      <c r="EH170" s="12">
        <f t="shared" si="149"/>
        <v>0</v>
      </c>
      <c r="EI170" s="12">
        <f t="shared" si="149"/>
        <v>0</v>
      </c>
      <c r="EJ170" s="12">
        <f t="shared" si="149"/>
        <v>860.44</v>
      </c>
      <c r="EK170" s="12">
        <f t="shared" si="149"/>
        <v>0</v>
      </c>
      <c r="EL170" s="12">
        <f t="shared" si="149"/>
        <v>860.44</v>
      </c>
      <c r="EM170" s="12">
        <f t="shared" si="149"/>
        <v>0</v>
      </c>
      <c r="EN170" s="12">
        <f t="shared" si="149"/>
        <v>598.46</v>
      </c>
      <c r="EO170" s="12">
        <f t="shared" si="149"/>
        <v>598.46</v>
      </c>
      <c r="EP170" s="12">
        <f t="shared" si="149"/>
        <v>0</v>
      </c>
      <c r="EQ170" s="12">
        <f t="shared" si="149"/>
        <v>598.46</v>
      </c>
      <c r="ER170" s="12">
        <f t="shared" si="149"/>
        <v>0</v>
      </c>
      <c r="ES170" s="12">
        <f t="shared" si="149"/>
        <v>0</v>
      </c>
      <c r="ET170" s="12">
        <f t="shared" si="149"/>
        <v>0</v>
      </c>
      <c r="EU170" s="12">
        <f t="shared" si="149"/>
        <v>0</v>
      </c>
      <c r="EV170" s="12">
        <f t="shared" si="149"/>
        <v>0</v>
      </c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>
        <f>ROUND(SUMIF(AA161:AA168,"=55942968",FQ161:FQ168),2)</f>
        <v>0</v>
      </c>
      <c r="FQ170" s="12">
        <f>ROUND(SUMIF(AA161:AA168,"=55942968",FR161:FR168),2)</f>
        <v>0</v>
      </c>
      <c r="FR170" s="12">
        <f>ROUND(SUMIF(AA161:AA168,"=55942968",GL161:GL168),2)</f>
        <v>0</v>
      </c>
      <c r="FS170" s="12">
        <f>ROUND(SUMIF(AA161:AA168,"=55942968",GM161:GM168),2)</f>
        <v>860.44</v>
      </c>
      <c r="FT170" s="12">
        <f>ROUND(SUMIF(AA161:AA168,"=55942968",GN161:GN168),2)</f>
        <v>0</v>
      </c>
      <c r="FU170" s="12">
        <f>ROUND(SUMIF(AA161:AA168,"=55942968",GO161:GO168),2)</f>
        <v>860.44</v>
      </c>
      <c r="FV170" s="12">
        <f>ROUND(SUMIF(AA161:AA168,"=55942968",GP161:GP168),2)</f>
        <v>0</v>
      </c>
      <c r="FW170" s="12">
        <f>DU170-FP170</f>
        <v>598.46</v>
      </c>
      <c r="FX170" s="12">
        <f>DU170-FQ170</f>
        <v>598.46</v>
      </c>
      <c r="FY170" s="12">
        <f>FP170-FR170</f>
        <v>0</v>
      </c>
      <c r="FZ170" s="12">
        <f>DU170-FP170-FQ170+FR170</f>
        <v>598.46</v>
      </c>
      <c r="GA170" s="12">
        <f>FQ170-FR170</f>
        <v>0</v>
      </c>
      <c r="GB170" s="12">
        <f>ROUND(SUMIF(AA161:AA168,"=55942968",GX161:GX168),2)</f>
        <v>0</v>
      </c>
      <c r="GC170" s="12">
        <f>ROUND(SUMIF(AA161:AA168,"=55942968",GY161:GY168),2)</f>
        <v>0</v>
      </c>
      <c r="GD170" s="12">
        <f>ROUND(SUMIF(AA161:AA168,"=55942968",GZ161:GZ168),2)</f>
        <v>0</v>
      </c>
      <c r="GE170" s="12">
        <f>ROUND(SUMIF(AA161:AA168,"=55942968",HD161:HD168),2)</f>
        <v>0</v>
      </c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>
        <v>0</v>
      </c>
    </row>
    <row r="172" spans="1:255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201</v>
      </c>
      <c r="F172" s="13">
        <f>ROUND(Source!O170,O172)</f>
        <v>62.79</v>
      </c>
      <c r="G172" s="13" t="s">
        <v>51</v>
      </c>
      <c r="H172" s="13" t="s">
        <v>52</v>
      </c>
      <c r="I172" s="13"/>
      <c r="J172" s="13"/>
      <c r="K172" s="13">
        <v>201</v>
      </c>
      <c r="L172" s="13">
        <v>1</v>
      </c>
      <c r="M172" s="13">
        <v>3</v>
      </c>
      <c r="N172" s="13" t="s">
        <v>3</v>
      </c>
      <c r="O172" s="13">
        <v>2</v>
      </c>
      <c r="P172" s="13">
        <f>ROUND(Source!DG170,O172)</f>
        <v>709.47</v>
      </c>
      <c r="Q172" s="13"/>
      <c r="R172" s="13"/>
      <c r="S172" s="13"/>
      <c r="T172" s="13"/>
      <c r="U172" s="13"/>
      <c r="V172" s="13"/>
      <c r="W172" s="13">
        <v>62.79</v>
      </c>
      <c r="X172" s="13">
        <v>1</v>
      </c>
      <c r="Y172" s="13">
        <v>62.79</v>
      </c>
      <c r="Z172" s="13">
        <v>709.47</v>
      </c>
      <c r="AA172" s="13">
        <v>1</v>
      </c>
      <c r="AB172" s="13">
        <v>709.47</v>
      </c>
    </row>
    <row r="173" spans="1:255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202</v>
      </c>
      <c r="F173" s="13">
        <f>ROUND(Source!P170,O173)</f>
        <v>60.82</v>
      </c>
      <c r="G173" s="13" t="s">
        <v>53</v>
      </c>
      <c r="H173" s="13" t="s">
        <v>54</v>
      </c>
      <c r="I173" s="13"/>
      <c r="J173" s="13"/>
      <c r="K173" s="13">
        <v>202</v>
      </c>
      <c r="L173" s="13">
        <v>2</v>
      </c>
      <c r="M173" s="13">
        <v>3</v>
      </c>
      <c r="N173" s="13" t="s">
        <v>3</v>
      </c>
      <c r="O173" s="13">
        <v>2</v>
      </c>
      <c r="P173" s="13">
        <f>ROUND(Source!DH170,O173)</f>
        <v>598.46</v>
      </c>
      <c r="Q173" s="13"/>
      <c r="R173" s="13"/>
      <c r="S173" s="13"/>
      <c r="T173" s="13"/>
      <c r="U173" s="13"/>
      <c r="V173" s="13"/>
      <c r="W173" s="13">
        <v>60.82</v>
      </c>
      <c r="X173" s="13">
        <v>1</v>
      </c>
      <c r="Y173" s="13">
        <v>60.82</v>
      </c>
      <c r="Z173" s="13">
        <v>598.46</v>
      </c>
      <c r="AA173" s="13">
        <v>1</v>
      </c>
      <c r="AB173" s="13">
        <v>598.46</v>
      </c>
    </row>
    <row r="174" spans="1:255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222</v>
      </c>
      <c r="F174" s="13">
        <f>ROUND(Source!AO170,O174)</f>
        <v>0</v>
      </c>
      <c r="G174" s="13" t="s">
        <v>55</v>
      </c>
      <c r="H174" s="13" t="s">
        <v>56</v>
      </c>
      <c r="I174" s="13"/>
      <c r="J174" s="13"/>
      <c r="K174" s="13">
        <v>222</v>
      </c>
      <c r="L174" s="13">
        <v>3</v>
      </c>
      <c r="M174" s="13">
        <v>3</v>
      </c>
      <c r="N174" s="13" t="s">
        <v>3</v>
      </c>
      <c r="O174" s="13">
        <v>2</v>
      </c>
      <c r="P174" s="13">
        <f>ROUND(Source!EG170,O174)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55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225</v>
      </c>
      <c r="F175" s="13">
        <f>ROUND(Source!AV170,O175)</f>
        <v>60.82</v>
      </c>
      <c r="G175" s="13" t="s">
        <v>57</v>
      </c>
      <c r="H175" s="13" t="s">
        <v>58</v>
      </c>
      <c r="I175" s="13"/>
      <c r="J175" s="13"/>
      <c r="K175" s="13">
        <v>225</v>
      </c>
      <c r="L175" s="13">
        <v>4</v>
      </c>
      <c r="M175" s="13">
        <v>3</v>
      </c>
      <c r="N175" s="13" t="s">
        <v>3</v>
      </c>
      <c r="O175" s="13">
        <v>2</v>
      </c>
      <c r="P175" s="13">
        <f>ROUND(Source!EN170,O175)</f>
        <v>598.46</v>
      </c>
      <c r="Q175" s="13"/>
      <c r="R175" s="13"/>
      <c r="S175" s="13"/>
      <c r="T175" s="13"/>
      <c r="U175" s="13"/>
      <c r="V175" s="13"/>
      <c r="W175" s="13">
        <v>60.82</v>
      </c>
      <c r="X175" s="13">
        <v>1</v>
      </c>
      <c r="Y175" s="13">
        <v>60.82</v>
      </c>
      <c r="Z175" s="13">
        <v>598.46</v>
      </c>
      <c r="AA175" s="13">
        <v>1</v>
      </c>
      <c r="AB175" s="13">
        <v>598.46</v>
      </c>
    </row>
    <row r="176" spans="1:255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226</v>
      </c>
      <c r="F176" s="13">
        <f>ROUND(Source!AW170,O176)</f>
        <v>60.82</v>
      </c>
      <c r="G176" s="13" t="s">
        <v>59</v>
      </c>
      <c r="H176" s="13" t="s">
        <v>60</v>
      </c>
      <c r="I176" s="13"/>
      <c r="J176" s="13"/>
      <c r="K176" s="13">
        <v>226</v>
      </c>
      <c r="L176" s="13">
        <v>5</v>
      </c>
      <c r="M176" s="13">
        <v>3</v>
      </c>
      <c r="N176" s="13" t="s">
        <v>3</v>
      </c>
      <c r="O176" s="13">
        <v>2</v>
      </c>
      <c r="P176" s="13">
        <f>ROUND(Source!EO170,O176)</f>
        <v>598.46</v>
      </c>
      <c r="Q176" s="13"/>
      <c r="R176" s="13"/>
      <c r="S176" s="13"/>
      <c r="T176" s="13"/>
      <c r="U176" s="13"/>
      <c r="V176" s="13"/>
      <c r="W176" s="13">
        <v>60.82</v>
      </c>
      <c r="X176" s="13">
        <v>1</v>
      </c>
      <c r="Y176" s="13">
        <v>60.82</v>
      </c>
      <c r="Z176" s="13">
        <v>598.46</v>
      </c>
      <c r="AA176" s="13">
        <v>1</v>
      </c>
      <c r="AB176" s="13">
        <v>598.46</v>
      </c>
    </row>
    <row r="177" spans="1:28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227</v>
      </c>
      <c r="F177" s="13">
        <f>ROUND(Source!AX170,O177)</f>
        <v>0</v>
      </c>
      <c r="G177" s="13" t="s">
        <v>61</v>
      </c>
      <c r="H177" s="13" t="s">
        <v>62</v>
      </c>
      <c r="I177" s="13"/>
      <c r="J177" s="13"/>
      <c r="K177" s="13">
        <v>227</v>
      </c>
      <c r="L177" s="13">
        <v>6</v>
      </c>
      <c r="M177" s="13">
        <v>3</v>
      </c>
      <c r="N177" s="13" t="s">
        <v>3</v>
      </c>
      <c r="O177" s="13">
        <v>2</v>
      </c>
      <c r="P177" s="13">
        <f>ROUND(Source!EP170,O177)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228</v>
      </c>
      <c r="F178" s="13">
        <f>ROUND(Source!AY170,O178)</f>
        <v>60.82</v>
      </c>
      <c r="G178" s="13" t="s">
        <v>63</v>
      </c>
      <c r="H178" s="13" t="s">
        <v>64</v>
      </c>
      <c r="I178" s="13"/>
      <c r="J178" s="13"/>
      <c r="K178" s="13">
        <v>228</v>
      </c>
      <c r="L178" s="13">
        <v>7</v>
      </c>
      <c r="M178" s="13">
        <v>3</v>
      </c>
      <c r="N178" s="13" t="s">
        <v>3</v>
      </c>
      <c r="O178" s="13">
        <v>2</v>
      </c>
      <c r="P178" s="13">
        <f>ROUND(Source!EQ170,O178)</f>
        <v>598.46</v>
      </c>
      <c r="Q178" s="13"/>
      <c r="R178" s="13"/>
      <c r="S178" s="13"/>
      <c r="T178" s="13"/>
      <c r="U178" s="13"/>
      <c r="V178" s="13"/>
      <c r="W178" s="13">
        <v>60.82</v>
      </c>
      <c r="X178" s="13">
        <v>1</v>
      </c>
      <c r="Y178" s="13">
        <v>60.82</v>
      </c>
      <c r="Z178" s="13">
        <v>598.46</v>
      </c>
      <c r="AA178" s="13">
        <v>1</v>
      </c>
      <c r="AB178" s="13">
        <v>598.46</v>
      </c>
    </row>
    <row r="179" spans="1:28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216</v>
      </c>
      <c r="F179" s="13">
        <f>ROUND(Source!AP170,O179)</f>
        <v>0</v>
      </c>
      <c r="G179" s="13" t="s">
        <v>65</v>
      </c>
      <c r="H179" s="13" t="s">
        <v>66</v>
      </c>
      <c r="I179" s="13"/>
      <c r="J179" s="13"/>
      <c r="K179" s="13">
        <v>216</v>
      </c>
      <c r="L179" s="13">
        <v>8</v>
      </c>
      <c r="M179" s="13">
        <v>3</v>
      </c>
      <c r="N179" s="13" t="s">
        <v>3</v>
      </c>
      <c r="O179" s="13">
        <v>2</v>
      </c>
      <c r="P179" s="13">
        <f>ROUND(Source!EH170,O179)</f>
        <v>0</v>
      </c>
      <c r="Q179" s="13"/>
      <c r="R179" s="13"/>
      <c r="S179" s="13"/>
      <c r="T179" s="13"/>
      <c r="U179" s="13"/>
      <c r="V179" s="13"/>
      <c r="W179" s="13">
        <v>0</v>
      </c>
      <c r="X179" s="13">
        <v>1</v>
      </c>
      <c r="Y179" s="13">
        <v>0</v>
      </c>
      <c r="Z179" s="13">
        <v>0</v>
      </c>
      <c r="AA179" s="13">
        <v>1</v>
      </c>
      <c r="AB179" s="13">
        <v>0</v>
      </c>
    </row>
    <row r="180" spans="1:28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223</v>
      </c>
      <c r="F180" s="13">
        <f>ROUND(Source!AQ170,O180)</f>
        <v>0</v>
      </c>
      <c r="G180" s="13" t="s">
        <v>67</v>
      </c>
      <c r="H180" s="13" t="s">
        <v>68</v>
      </c>
      <c r="I180" s="13"/>
      <c r="J180" s="13"/>
      <c r="K180" s="13">
        <v>223</v>
      </c>
      <c r="L180" s="13">
        <v>9</v>
      </c>
      <c r="M180" s="13">
        <v>3</v>
      </c>
      <c r="N180" s="13" t="s">
        <v>3</v>
      </c>
      <c r="O180" s="13">
        <v>2</v>
      </c>
      <c r="P180" s="13">
        <f>ROUND(Source!EI170,O180)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229</v>
      </c>
      <c r="F181" s="13">
        <f>ROUND(Source!AZ170,O181)</f>
        <v>0</v>
      </c>
      <c r="G181" s="13" t="s">
        <v>69</v>
      </c>
      <c r="H181" s="13" t="s">
        <v>70</v>
      </c>
      <c r="I181" s="13"/>
      <c r="J181" s="13"/>
      <c r="K181" s="13">
        <v>229</v>
      </c>
      <c r="L181" s="13">
        <v>10</v>
      </c>
      <c r="M181" s="13">
        <v>3</v>
      </c>
      <c r="N181" s="13" t="s">
        <v>3</v>
      </c>
      <c r="O181" s="13">
        <v>2</v>
      </c>
      <c r="P181" s="13">
        <f>ROUND(Source!ER170,O181)</f>
        <v>0</v>
      </c>
      <c r="Q181" s="13"/>
      <c r="R181" s="13"/>
      <c r="S181" s="13"/>
      <c r="T181" s="13"/>
      <c r="U181" s="13"/>
      <c r="V181" s="13"/>
      <c r="W181" s="13">
        <v>0</v>
      </c>
      <c r="X181" s="13">
        <v>1</v>
      </c>
      <c r="Y181" s="13">
        <v>0</v>
      </c>
      <c r="Z181" s="13">
        <v>0</v>
      </c>
      <c r="AA181" s="13">
        <v>1</v>
      </c>
      <c r="AB181" s="13">
        <v>0</v>
      </c>
    </row>
    <row r="182" spans="1:28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203</v>
      </c>
      <c r="F182" s="13">
        <f>ROUND(Source!Q170,O182)</f>
        <v>0</v>
      </c>
      <c r="G182" s="13" t="s">
        <v>71</v>
      </c>
      <c r="H182" s="13" t="s">
        <v>72</v>
      </c>
      <c r="I182" s="13"/>
      <c r="J182" s="13"/>
      <c r="K182" s="13">
        <v>203</v>
      </c>
      <c r="L182" s="13">
        <v>11</v>
      </c>
      <c r="M182" s="13">
        <v>3</v>
      </c>
      <c r="N182" s="13" t="s">
        <v>3</v>
      </c>
      <c r="O182" s="13">
        <v>2</v>
      </c>
      <c r="P182" s="13">
        <f>ROUND(Source!DI170,O182)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28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231</v>
      </c>
      <c r="F183" s="13">
        <f>ROUND(Source!BB170,O183)</f>
        <v>0</v>
      </c>
      <c r="G183" s="13" t="s">
        <v>73</v>
      </c>
      <c r="H183" s="13" t="s">
        <v>74</v>
      </c>
      <c r="I183" s="13"/>
      <c r="J183" s="13"/>
      <c r="K183" s="13">
        <v>231</v>
      </c>
      <c r="L183" s="13">
        <v>12</v>
      </c>
      <c r="M183" s="13">
        <v>3</v>
      </c>
      <c r="N183" s="13" t="s">
        <v>3</v>
      </c>
      <c r="O183" s="13">
        <v>2</v>
      </c>
      <c r="P183" s="13">
        <f>ROUND(Source!ET170,O183)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204</v>
      </c>
      <c r="F184" s="13">
        <f>ROUND(Source!R170,O184)</f>
        <v>0</v>
      </c>
      <c r="G184" s="13" t="s">
        <v>75</v>
      </c>
      <c r="H184" s="13" t="s">
        <v>76</v>
      </c>
      <c r="I184" s="13"/>
      <c r="J184" s="13"/>
      <c r="K184" s="13">
        <v>204</v>
      </c>
      <c r="L184" s="13">
        <v>13</v>
      </c>
      <c r="M184" s="13">
        <v>3</v>
      </c>
      <c r="N184" s="13" t="s">
        <v>3</v>
      </c>
      <c r="O184" s="13">
        <v>2</v>
      </c>
      <c r="P184" s="13">
        <f>ROUND(Source!DJ170,O184)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8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205</v>
      </c>
      <c r="F185" s="13">
        <f>ROUND(Source!S170,O185)</f>
        <v>1.97</v>
      </c>
      <c r="G185" s="13" t="s">
        <v>77</v>
      </c>
      <c r="H185" s="13" t="s">
        <v>78</v>
      </c>
      <c r="I185" s="13"/>
      <c r="J185" s="13"/>
      <c r="K185" s="13">
        <v>205</v>
      </c>
      <c r="L185" s="13">
        <v>14</v>
      </c>
      <c r="M185" s="13">
        <v>3</v>
      </c>
      <c r="N185" s="13" t="s">
        <v>3</v>
      </c>
      <c r="O185" s="13">
        <v>2</v>
      </c>
      <c r="P185" s="13">
        <f>ROUND(Source!DK170,O185)</f>
        <v>111.01</v>
      </c>
      <c r="Q185" s="13"/>
      <c r="R185" s="13"/>
      <c r="S185" s="13"/>
      <c r="T185" s="13"/>
      <c r="U185" s="13"/>
      <c r="V185" s="13"/>
      <c r="W185" s="13">
        <v>1.97</v>
      </c>
      <c r="X185" s="13">
        <v>1</v>
      </c>
      <c r="Y185" s="13">
        <v>1.97</v>
      </c>
      <c r="Z185" s="13">
        <v>111.01</v>
      </c>
      <c r="AA185" s="13">
        <v>1</v>
      </c>
      <c r="AB185" s="13">
        <v>111.01</v>
      </c>
    </row>
    <row r="186" spans="1:28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232</v>
      </c>
      <c r="F186" s="13">
        <f>ROUND(Source!BC170,O186)</f>
        <v>0</v>
      </c>
      <c r="G186" s="13" t="s">
        <v>79</v>
      </c>
      <c r="H186" s="13" t="s">
        <v>80</v>
      </c>
      <c r="I186" s="13"/>
      <c r="J186" s="13"/>
      <c r="K186" s="13">
        <v>232</v>
      </c>
      <c r="L186" s="13">
        <v>15</v>
      </c>
      <c r="M186" s="13">
        <v>3</v>
      </c>
      <c r="N186" s="13" t="s">
        <v>3</v>
      </c>
      <c r="O186" s="13">
        <v>2</v>
      </c>
      <c r="P186" s="13">
        <f>ROUND(Source!EU170,O186)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214</v>
      </c>
      <c r="F187" s="13">
        <f>ROUND(Source!AS170,O187)</f>
        <v>0</v>
      </c>
      <c r="G187" s="13" t="s">
        <v>81</v>
      </c>
      <c r="H187" s="13" t="s">
        <v>82</v>
      </c>
      <c r="I187" s="13"/>
      <c r="J187" s="13"/>
      <c r="K187" s="13">
        <v>214</v>
      </c>
      <c r="L187" s="13">
        <v>16</v>
      </c>
      <c r="M187" s="13">
        <v>3</v>
      </c>
      <c r="N187" s="13" t="s">
        <v>3</v>
      </c>
      <c r="O187" s="13">
        <v>2</v>
      </c>
      <c r="P187" s="13">
        <f>ROUND(Source!EK170,O187)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215</v>
      </c>
      <c r="F188" s="13">
        <f>ROUND(Source!AT170,O188)</f>
        <v>65.47</v>
      </c>
      <c r="G188" s="13" t="s">
        <v>83</v>
      </c>
      <c r="H188" s="13" t="s">
        <v>84</v>
      </c>
      <c r="I188" s="13"/>
      <c r="J188" s="13"/>
      <c r="K188" s="13">
        <v>215</v>
      </c>
      <c r="L188" s="13">
        <v>17</v>
      </c>
      <c r="M188" s="13">
        <v>3</v>
      </c>
      <c r="N188" s="13" t="s">
        <v>3</v>
      </c>
      <c r="O188" s="13">
        <v>2</v>
      </c>
      <c r="P188" s="13">
        <f>ROUND(Source!EL170,O188)</f>
        <v>860.44</v>
      </c>
      <c r="Q188" s="13"/>
      <c r="R188" s="13"/>
      <c r="S188" s="13"/>
      <c r="T188" s="13"/>
      <c r="U188" s="13"/>
      <c r="V188" s="13"/>
      <c r="W188" s="13">
        <v>65.47</v>
      </c>
      <c r="X188" s="13">
        <v>1</v>
      </c>
      <c r="Y188" s="13">
        <v>65.47</v>
      </c>
      <c r="Z188" s="13">
        <v>860.44</v>
      </c>
      <c r="AA188" s="13">
        <v>1</v>
      </c>
      <c r="AB188" s="13">
        <v>860.44</v>
      </c>
    </row>
    <row r="189" spans="1:28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217</v>
      </c>
      <c r="F189" s="13">
        <f>ROUND(Source!AU170,O189)</f>
        <v>0</v>
      </c>
      <c r="G189" s="13" t="s">
        <v>85</v>
      </c>
      <c r="H189" s="13" t="s">
        <v>86</v>
      </c>
      <c r="I189" s="13"/>
      <c r="J189" s="13"/>
      <c r="K189" s="13">
        <v>217</v>
      </c>
      <c r="L189" s="13">
        <v>18</v>
      </c>
      <c r="M189" s="13">
        <v>3</v>
      </c>
      <c r="N189" s="13" t="s">
        <v>3</v>
      </c>
      <c r="O189" s="13">
        <v>2</v>
      </c>
      <c r="P189" s="13">
        <f>ROUND(Source!EM170,O189)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230</v>
      </c>
      <c r="F190" s="13">
        <f>ROUND(Source!BA170,O190)</f>
        <v>0</v>
      </c>
      <c r="G190" s="13" t="s">
        <v>87</v>
      </c>
      <c r="H190" s="13" t="s">
        <v>88</v>
      </c>
      <c r="I190" s="13"/>
      <c r="J190" s="13"/>
      <c r="K190" s="13">
        <v>230</v>
      </c>
      <c r="L190" s="13">
        <v>19</v>
      </c>
      <c r="M190" s="13">
        <v>3</v>
      </c>
      <c r="N190" s="13" t="s">
        <v>3</v>
      </c>
      <c r="O190" s="13">
        <v>2</v>
      </c>
      <c r="P190" s="13">
        <f>ROUND(Source!ES170,O190)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206</v>
      </c>
      <c r="F191" s="13">
        <f>ROUND(Source!T170,O191)</f>
        <v>0</v>
      </c>
      <c r="G191" s="13" t="s">
        <v>89</v>
      </c>
      <c r="H191" s="13" t="s">
        <v>90</v>
      </c>
      <c r="I191" s="13"/>
      <c r="J191" s="13"/>
      <c r="K191" s="13">
        <v>206</v>
      </c>
      <c r="L191" s="13">
        <v>20</v>
      </c>
      <c r="M191" s="13">
        <v>3</v>
      </c>
      <c r="N191" s="13" t="s">
        <v>3</v>
      </c>
      <c r="O191" s="13">
        <v>2</v>
      </c>
      <c r="P191" s="13">
        <f>ROUND(Source!DL170,O191)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207</v>
      </c>
      <c r="F192" s="13">
        <f>Source!U170</f>
        <v>0.15579359999999998</v>
      </c>
      <c r="G192" s="13" t="s">
        <v>91</v>
      </c>
      <c r="H192" s="13" t="s">
        <v>92</v>
      </c>
      <c r="I192" s="13"/>
      <c r="J192" s="13"/>
      <c r="K192" s="13">
        <v>207</v>
      </c>
      <c r="L192" s="13">
        <v>21</v>
      </c>
      <c r="M192" s="13">
        <v>3</v>
      </c>
      <c r="N192" s="13" t="s">
        <v>3</v>
      </c>
      <c r="O192" s="13">
        <v>-1</v>
      </c>
      <c r="P192" s="13">
        <f>Source!DM170</f>
        <v>0.15579359999999998</v>
      </c>
      <c r="Q192" s="13"/>
      <c r="R192" s="13"/>
      <c r="S192" s="13"/>
      <c r="T192" s="13"/>
      <c r="U192" s="13"/>
      <c r="V192" s="13"/>
      <c r="W192" s="13">
        <v>0.1557936</v>
      </c>
      <c r="X192" s="13">
        <v>1</v>
      </c>
      <c r="Y192" s="13">
        <v>0.1557936</v>
      </c>
      <c r="Z192" s="13">
        <v>0.1557936</v>
      </c>
      <c r="AA192" s="13">
        <v>1</v>
      </c>
      <c r="AB192" s="13">
        <v>0.1557936</v>
      </c>
    </row>
    <row r="193" spans="1:206" ht="13" x14ac:dyDescent="0.3">
      <c r="A193" s="13">
        <v>50</v>
      </c>
      <c r="B193" s="13">
        <v>0</v>
      </c>
      <c r="C193" s="13">
        <v>0</v>
      </c>
      <c r="D193" s="13">
        <v>1</v>
      </c>
      <c r="E193" s="13">
        <v>208</v>
      </c>
      <c r="F193" s="13">
        <f>Source!V170</f>
        <v>0</v>
      </c>
      <c r="G193" s="13" t="s">
        <v>93</v>
      </c>
      <c r="H193" s="13" t="s">
        <v>94</v>
      </c>
      <c r="I193" s="13"/>
      <c r="J193" s="13"/>
      <c r="K193" s="13">
        <v>208</v>
      </c>
      <c r="L193" s="13">
        <v>22</v>
      </c>
      <c r="M193" s="13">
        <v>3</v>
      </c>
      <c r="N193" s="13" t="s">
        <v>3</v>
      </c>
      <c r="O193" s="13">
        <v>-1</v>
      </c>
      <c r="P193" s="13">
        <f>Source!DN170</f>
        <v>0</v>
      </c>
      <c r="Q193" s="13"/>
      <c r="R193" s="13"/>
      <c r="S193" s="13"/>
      <c r="T193" s="13"/>
      <c r="U193" s="13"/>
      <c r="V193" s="13"/>
      <c r="W193" s="13">
        <v>0</v>
      </c>
      <c r="X193" s="13">
        <v>1</v>
      </c>
      <c r="Y193" s="13">
        <v>0</v>
      </c>
      <c r="Z193" s="13">
        <v>0</v>
      </c>
      <c r="AA193" s="13">
        <v>1</v>
      </c>
      <c r="AB193" s="13">
        <v>0</v>
      </c>
    </row>
    <row r="194" spans="1:206" ht="13" x14ac:dyDescent="0.3">
      <c r="A194" s="13">
        <v>50</v>
      </c>
      <c r="B194" s="13">
        <v>0</v>
      </c>
      <c r="C194" s="13">
        <v>0</v>
      </c>
      <c r="D194" s="13">
        <v>1</v>
      </c>
      <c r="E194" s="13">
        <v>209</v>
      </c>
      <c r="F194" s="13">
        <f>ROUND(Source!W170,O194)</f>
        <v>0</v>
      </c>
      <c r="G194" s="13" t="s">
        <v>95</v>
      </c>
      <c r="H194" s="13" t="s">
        <v>96</v>
      </c>
      <c r="I194" s="13"/>
      <c r="J194" s="13"/>
      <c r="K194" s="13">
        <v>209</v>
      </c>
      <c r="L194" s="13">
        <v>23</v>
      </c>
      <c r="M194" s="13">
        <v>3</v>
      </c>
      <c r="N194" s="13" t="s">
        <v>3</v>
      </c>
      <c r="O194" s="13">
        <v>2</v>
      </c>
      <c r="P194" s="13">
        <f>ROUND(Source!DO170,O194)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206" ht="13" x14ac:dyDescent="0.3">
      <c r="A195" s="13">
        <v>50</v>
      </c>
      <c r="B195" s="13">
        <v>0</v>
      </c>
      <c r="C195" s="13">
        <v>0</v>
      </c>
      <c r="D195" s="13">
        <v>1</v>
      </c>
      <c r="E195" s="13">
        <v>233</v>
      </c>
      <c r="F195" s="13">
        <f>ROUND(Source!BD170,O195)</f>
        <v>0</v>
      </c>
      <c r="G195" s="13" t="s">
        <v>97</v>
      </c>
      <c r="H195" s="13" t="s">
        <v>98</v>
      </c>
      <c r="I195" s="13"/>
      <c r="J195" s="13"/>
      <c r="K195" s="13">
        <v>233</v>
      </c>
      <c r="L195" s="13">
        <v>24</v>
      </c>
      <c r="M195" s="13">
        <v>3</v>
      </c>
      <c r="N195" s="13" t="s">
        <v>3</v>
      </c>
      <c r="O195" s="13">
        <v>2</v>
      </c>
      <c r="P195" s="13">
        <f>ROUND(Source!EV170,O195)</f>
        <v>0</v>
      </c>
      <c r="Q195" s="13"/>
      <c r="R195" s="13"/>
      <c r="S195" s="13"/>
      <c r="T195" s="13"/>
      <c r="U195" s="13"/>
      <c r="V195" s="13"/>
      <c r="W195" s="13">
        <v>0</v>
      </c>
      <c r="X195" s="13">
        <v>1</v>
      </c>
      <c r="Y195" s="13">
        <v>0</v>
      </c>
      <c r="Z195" s="13">
        <v>0</v>
      </c>
      <c r="AA195" s="13">
        <v>1</v>
      </c>
      <c r="AB195" s="13">
        <v>0</v>
      </c>
    </row>
    <row r="196" spans="1:206" ht="13" x14ac:dyDescent="0.3">
      <c r="A196" s="13">
        <v>50</v>
      </c>
      <c r="B196" s="13">
        <v>0</v>
      </c>
      <c r="C196" s="13">
        <v>0</v>
      </c>
      <c r="D196" s="13">
        <v>1</v>
      </c>
      <c r="E196" s="13">
        <v>210</v>
      </c>
      <c r="F196" s="13">
        <f>ROUND(Source!X170,O196)</f>
        <v>1.77</v>
      </c>
      <c r="G196" s="13" t="s">
        <v>99</v>
      </c>
      <c r="H196" s="13" t="s">
        <v>100</v>
      </c>
      <c r="I196" s="13"/>
      <c r="J196" s="13"/>
      <c r="K196" s="13">
        <v>210</v>
      </c>
      <c r="L196" s="13">
        <v>25</v>
      </c>
      <c r="M196" s="13">
        <v>3</v>
      </c>
      <c r="N196" s="13" t="s">
        <v>3</v>
      </c>
      <c r="O196" s="13">
        <v>2</v>
      </c>
      <c r="P196" s="13">
        <f>ROUND(Source!DP170,O196)</f>
        <v>99.91</v>
      </c>
      <c r="Q196" s="13"/>
      <c r="R196" s="13"/>
      <c r="S196" s="13"/>
      <c r="T196" s="13"/>
      <c r="U196" s="13"/>
      <c r="V196" s="13"/>
      <c r="W196" s="13">
        <v>1.77</v>
      </c>
      <c r="X196" s="13">
        <v>1</v>
      </c>
      <c r="Y196" s="13">
        <v>1.77</v>
      </c>
      <c r="Z196" s="13">
        <v>99.91</v>
      </c>
      <c r="AA196" s="13">
        <v>1</v>
      </c>
      <c r="AB196" s="13">
        <v>99.91</v>
      </c>
    </row>
    <row r="197" spans="1:206" ht="13" x14ac:dyDescent="0.3">
      <c r="A197" s="13">
        <v>50</v>
      </c>
      <c r="B197" s="13">
        <v>0</v>
      </c>
      <c r="C197" s="13">
        <v>0</v>
      </c>
      <c r="D197" s="13">
        <v>1</v>
      </c>
      <c r="E197" s="13">
        <v>211</v>
      </c>
      <c r="F197" s="13">
        <f>ROUND(Source!Y170,O197)</f>
        <v>0.91</v>
      </c>
      <c r="G197" s="13" t="s">
        <v>101</v>
      </c>
      <c r="H197" s="13" t="s">
        <v>102</v>
      </c>
      <c r="I197" s="13"/>
      <c r="J197" s="13"/>
      <c r="K197" s="13">
        <v>211</v>
      </c>
      <c r="L197" s="13">
        <v>26</v>
      </c>
      <c r="M197" s="13">
        <v>3</v>
      </c>
      <c r="N197" s="13" t="s">
        <v>3</v>
      </c>
      <c r="O197" s="13">
        <v>2</v>
      </c>
      <c r="P197" s="13">
        <f>ROUND(Source!DQ170,O197)</f>
        <v>51.06</v>
      </c>
      <c r="Q197" s="13"/>
      <c r="R197" s="13"/>
      <c r="S197" s="13"/>
      <c r="T197" s="13"/>
      <c r="U197" s="13"/>
      <c r="V197" s="13"/>
      <c r="W197" s="13">
        <v>0.91</v>
      </c>
      <c r="X197" s="13">
        <v>1</v>
      </c>
      <c r="Y197" s="13">
        <v>0.91</v>
      </c>
      <c r="Z197" s="13">
        <v>51.06</v>
      </c>
      <c r="AA197" s="13">
        <v>1</v>
      </c>
      <c r="AB197" s="13">
        <v>51.06</v>
      </c>
    </row>
    <row r="198" spans="1:206" ht="13" x14ac:dyDescent="0.3">
      <c r="A198" s="13">
        <v>50</v>
      </c>
      <c r="B198" s="13">
        <v>0</v>
      </c>
      <c r="C198" s="13">
        <v>0</v>
      </c>
      <c r="D198" s="13">
        <v>1</v>
      </c>
      <c r="E198" s="13">
        <v>224</v>
      </c>
      <c r="F198" s="13">
        <f>ROUND(Source!AR170,O198)</f>
        <v>65.47</v>
      </c>
      <c r="G198" s="13" t="s">
        <v>103</v>
      </c>
      <c r="H198" s="13" t="s">
        <v>104</v>
      </c>
      <c r="I198" s="13"/>
      <c r="J198" s="13"/>
      <c r="K198" s="13">
        <v>224</v>
      </c>
      <c r="L198" s="13">
        <v>27</v>
      </c>
      <c r="M198" s="13">
        <v>3</v>
      </c>
      <c r="N198" s="13" t="s">
        <v>3</v>
      </c>
      <c r="O198" s="13">
        <v>2</v>
      </c>
      <c r="P198" s="13">
        <f>ROUND(Source!EJ170,O198)</f>
        <v>860.44</v>
      </c>
      <c r="Q198" s="13"/>
      <c r="R198" s="13"/>
      <c r="S198" s="13"/>
      <c r="T198" s="13"/>
      <c r="U198" s="13"/>
      <c r="V198" s="13"/>
      <c r="W198" s="13">
        <v>65.47</v>
      </c>
      <c r="X198" s="13">
        <v>1</v>
      </c>
      <c r="Y198" s="13">
        <v>65.47</v>
      </c>
      <c r="Z198" s="13">
        <v>860.44</v>
      </c>
      <c r="AA198" s="13">
        <v>1</v>
      </c>
      <c r="AB198" s="13">
        <v>860.44</v>
      </c>
    </row>
    <row r="200" spans="1:206" ht="13" x14ac:dyDescent="0.3">
      <c r="A200" s="11">
        <v>51</v>
      </c>
      <c r="B200" s="11">
        <f>B20</f>
        <v>1</v>
      </c>
      <c r="C200" s="11">
        <f>A20</f>
        <v>3</v>
      </c>
      <c r="D200" s="11">
        <f>ROW(A20)</f>
        <v>20</v>
      </c>
      <c r="E200" s="11"/>
      <c r="F200" s="11" t="str">
        <f>IF(F20&lt;&gt;"",F20,"")</f>
        <v>02-01-16</v>
      </c>
      <c r="G200" s="11" t="str">
        <f>IF(G20&lt;&gt;"",G20,"")</f>
        <v>Электрочасофикация</v>
      </c>
      <c r="H200" s="11">
        <v>0</v>
      </c>
      <c r="I200" s="11"/>
      <c r="J200" s="11"/>
      <c r="K200" s="11"/>
      <c r="L200" s="11"/>
      <c r="M200" s="11"/>
      <c r="N200" s="11"/>
      <c r="O200" s="11">
        <f t="shared" ref="O200:T200" si="150">ROUND(O37+O88+O127+O170+AB200,2)</f>
        <v>134852.23000000001</v>
      </c>
      <c r="P200" s="11">
        <f t="shared" si="150"/>
        <v>134583.43</v>
      </c>
      <c r="Q200" s="11">
        <f t="shared" si="150"/>
        <v>0.63</v>
      </c>
      <c r="R200" s="11">
        <f t="shared" si="150"/>
        <v>0.1</v>
      </c>
      <c r="S200" s="11">
        <f t="shared" si="150"/>
        <v>268.17</v>
      </c>
      <c r="T200" s="11">
        <f t="shared" si="150"/>
        <v>0</v>
      </c>
      <c r="U200" s="11">
        <f>U37+U88+U127+U170+AH200</f>
        <v>21.315977999999998</v>
      </c>
      <c r="V200" s="11">
        <f>V37+V88+V127+V170+AI200</f>
        <v>0</v>
      </c>
      <c r="W200" s="11">
        <f>ROUND(W37+W88+W127+W170+AJ200,2)</f>
        <v>0</v>
      </c>
      <c r="X200" s="11">
        <f>ROUND(X37+X88+X127+X170+AK200,2)</f>
        <v>242.43</v>
      </c>
      <c r="Y200" s="11">
        <f>ROUND(Y37+Y88+Y127+Y170+AL200,2)</f>
        <v>124.79</v>
      </c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>
        <f t="shared" ref="AO200:BD200" si="151">ROUND(AO37+AO88+AO127+AO170+BX200,2)</f>
        <v>0</v>
      </c>
      <c r="AP200" s="11">
        <f t="shared" si="151"/>
        <v>134477.79999999999</v>
      </c>
      <c r="AQ200" s="11">
        <f t="shared" si="151"/>
        <v>0</v>
      </c>
      <c r="AR200" s="11">
        <f t="shared" si="151"/>
        <v>135219.45000000001</v>
      </c>
      <c r="AS200" s="11">
        <f t="shared" si="151"/>
        <v>0</v>
      </c>
      <c r="AT200" s="11">
        <f t="shared" si="151"/>
        <v>741.65</v>
      </c>
      <c r="AU200" s="11">
        <f t="shared" si="151"/>
        <v>0</v>
      </c>
      <c r="AV200" s="11">
        <f t="shared" si="151"/>
        <v>134583.43</v>
      </c>
      <c r="AW200" s="11">
        <f t="shared" si="151"/>
        <v>105.63</v>
      </c>
      <c r="AX200" s="11">
        <f t="shared" si="151"/>
        <v>0</v>
      </c>
      <c r="AY200" s="11">
        <f t="shared" si="151"/>
        <v>105.63</v>
      </c>
      <c r="AZ200" s="11">
        <f t="shared" si="151"/>
        <v>134477.79999999999</v>
      </c>
      <c r="BA200" s="11">
        <f t="shared" si="151"/>
        <v>0</v>
      </c>
      <c r="BB200" s="11">
        <f t="shared" si="151"/>
        <v>0</v>
      </c>
      <c r="BC200" s="11">
        <f t="shared" si="151"/>
        <v>0</v>
      </c>
      <c r="BD200" s="11">
        <f t="shared" si="151"/>
        <v>0</v>
      </c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2">
        <f t="shared" ref="DG200:DL200" si="152">ROUND(DG37+DG88+DG127+DG170+DT200,2)</f>
        <v>1033952.32</v>
      </c>
      <c r="DH200" s="12">
        <f t="shared" si="152"/>
        <v>1018830.21</v>
      </c>
      <c r="DI200" s="12">
        <f t="shared" si="152"/>
        <v>10.72</v>
      </c>
      <c r="DJ200" s="12">
        <f t="shared" si="152"/>
        <v>5.64</v>
      </c>
      <c r="DK200" s="12">
        <f t="shared" si="152"/>
        <v>15111.39</v>
      </c>
      <c r="DL200" s="12">
        <f t="shared" si="152"/>
        <v>0</v>
      </c>
      <c r="DM200" s="12">
        <f>DM37+DM88+DM127+DM170+DZ200</f>
        <v>21.315977999999998</v>
      </c>
      <c r="DN200" s="12">
        <f>DN37+DN88+DN127+DN170+EA200</f>
        <v>0</v>
      </c>
      <c r="DO200" s="12">
        <f>ROUND(DO37+DO88+DO127+DO170+EB200,2)</f>
        <v>0</v>
      </c>
      <c r="DP200" s="12">
        <f>ROUND(DP37+DP88+DP127+DP170+EC200,2)</f>
        <v>13661.39</v>
      </c>
      <c r="DQ200" s="12">
        <f>ROUND(DQ37+DQ88+DQ127+DQ170+ED200,2)</f>
        <v>7032.32</v>
      </c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>
        <f t="shared" ref="EG200:EV200" si="153">ROUND(EG37+EG88+EG127+EG170+FP200,2)</f>
        <v>0</v>
      </c>
      <c r="EH200" s="12">
        <f t="shared" si="153"/>
        <v>1017996.94</v>
      </c>
      <c r="EI200" s="12">
        <f t="shared" si="153"/>
        <v>0</v>
      </c>
      <c r="EJ200" s="12">
        <f t="shared" si="153"/>
        <v>1054646.03</v>
      </c>
      <c r="EK200" s="12">
        <f t="shared" si="153"/>
        <v>0</v>
      </c>
      <c r="EL200" s="12">
        <f t="shared" si="153"/>
        <v>36649.089999999997</v>
      </c>
      <c r="EM200" s="12">
        <f t="shared" si="153"/>
        <v>0</v>
      </c>
      <c r="EN200" s="12">
        <f t="shared" si="153"/>
        <v>1018830.21</v>
      </c>
      <c r="EO200" s="12">
        <f t="shared" si="153"/>
        <v>833.27</v>
      </c>
      <c r="EP200" s="12">
        <f t="shared" si="153"/>
        <v>0</v>
      </c>
      <c r="EQ200" s="12">
        <f t="shared" si="153"/>
        <v>833.27</v>
      </c>
      <c r="ER200" s="12">
        <f t="shared" si="153"/>
        <v>1017996.94</v>
      </c>
      <c r="ES200" s="12">
        <f t="shared" si="153"/>
        <v>0</v>
      </c>
      <c r="ET200" s="12">
        <f t="shared" si="153"/>
        <v>0</v>
      </c>
      <c r="EU200" s="12">
        <f t="shared" si="153"/>
        <v>0</v>
      </c>
      <c r="EV200" s="12">
        <f t="shared" si="153"/>
        <v>0</v>
      </c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>
        <v>0</v>
      </c>
    </row>
    <row r="202" spans="1:206" ht="13" x14ac:dyDescent="0.3">
      <c r="A202" s="13">
        <v>50</v>
      </c>
      <c r="B202" s="13">
        <v>0</v>
      </c>
      <c r="C202" s="13">
        <v>0</v>
      </c>
      <c r="D202" s="13">
        <v>1</v>
      </c>
      <c r="E202" s="13">
        <v>201</v>
      </c>
      <c r="F202" s="13">
        <f>ROUND(Source!O200,O202)</f>
        <v>134852.23000000001</v>
      </c>
      <c r="G202" s="13" t="s">
        <v>51</v>
      </c>
      <c r="H202" s="13" t="s">
        <v>52</v>
      </c>
      <c r="I202" s="13"/>
      <c r="J202" s="13"/>
      <c r="K202" s="13">
        <v>201</v>
      </c>
      <c r="L202" s="13">
        <v>1</v>
      </c>
      <c r="M202" s="13">
        <v>3</v>
      </c>
      <c r="N202" s="13" t="s">
        <v>3</v>
      </c>
      <c r="O202" s="13">
        <v>2</v>
      </c>
      <c r="P202" s="13">
        <f>ROUND(Source!DG200,O202)</f>
        <v>1033952.32</v>
      </c>
      <c r="Q202" s="13"/>
      <c r="R202" s="13"/>
      <c r="S202" s="13"/>
      <c r="T202" s="13"/>
      <c r="U202" s="13"/>
      <c r="V202" s="13"/>
      <c r="W202" s="13">
        <v>134852.23000000001</v>
      </c>
      <c r="X202" s="13">
        <v>1</v>
      </c>
      <c r="Y202" s="13">
        <v>134852.23000000001</v>
      </c>
      <c r="Z202" s="13">
        <v>1033952.32</v>
      </c>
      <c r="AA202" s="13">
        <v>1</v>
      </c>
      <c r="AB202" s="13">
        <v>1033952.32</v>
      </c>
    </row>
    <row r="203" spans="1:206" ht="13" x14ac:dyDescent="0.3">
      <c r="A203" s="13">
        <v>50</v>
      </c>
      <c r="B203" s="13">
        <v>0</v>
      </c>
      <c r="C203" s="13">
        <v>0</v>
      </c>
      <c r="D203" s="13">
        <v>1</v>
      </c>
      <c r="E203" s="13">
        <v>202</v>
      </c>
      <c r="F203" s="13">
        <f>ROUND(Source!P200,O203)</f>
        <v>134583.43</v>
      </c>
      <c r="G203" s="13" t="s">
        <v>53</v>
      </c>
      <c r="H203" s="13" t="s">
        <v>54</v>
      </c>
      <c r="I203" s="13"/>
      <c r="J203" s="13"/>
      <c r="K203" s="13">
        <v>202</v>
      </c>
      <c r="L203" s="13">
        <v>2</v>
      </c>
      <c r="M203" s="13">
        <v>3</v>
      </c>
      <c r="N203" s="13" t="s">
        <v>3</v>
      </c>
      <c r="O203" s="13">
        <v>2</v>
      </c>
      <c r="P203" s="13">
        <f>ROUND(Source!DH200,O203)</f>
        <v>1018830.21</v>
      </c>
      <c r="Q203" s="13"/>
      <c r="R203" s="13"/>
      <c r="S203" s="13"/>
      <c r="T203" s="13"/>
      <c r="U203" s="13"/>
      <c r="V203" s="13"/>
      <c r="W203" s="13">
        <v>134583.43</v>
      </c>
      <c r="X203" s="13">
        <v>1</v>
      </c>
      <c r="Y203" s="13">
        <v>134583.43</v>
      </c>
      <c r="Z203" s="13">
        <v>1018830.21</v>
      </c>
      <c r="AA203" s="13">
        <v>1</v>
      </c>
      <c r="AB203" s="13">
        <v>1018830.21</v>
      </c>
    </row>
    <row r="204" spans="1:206" ht="13" x14ac:dyDescent="0.3">
      <c r="A204" s="13">
        <v>50</v>
      </c>
      <c r="B204" s="13">
        <v>0</v>
      </c>
      <c r="C204" s="13">
        <v>0</v>
      </c>
      <c r="D204" s="13">
        <v>1</v>
      </c>
      <c r="E204" s="13">
        <v>222</v>
      </c>
      <c r="F204" s="13">
        <f>ROUND(Source!AO200,O204)</f>
        <v>0</v>
      </c>
      <c r="G204" s="13" t="s">
        <v>55</v>
      </c>
      <c r="H204" s="13" t="s">
        <v>56</v>
      </c>
      <c r="I204" s="13"/>
      <c r="J204" s="13"/>
      <c r="K204" s="13">
        <v>222</v>
      </c>
      <c r="L204" s="13">
        <v>3</v>
      </c>
      <c r="M204" s="13">
        <v>3</v>
      </c>
      <c r="N204" s="13" t="s">
        <v>3</v>
      </c>
      <c r="O204" s="13">
        <v>2</v>
      </c>
      <c r="P204" s="13">
        <f>ROUND(Source!EG200,O204)</f>
        <v>0</v>
      </c>
      <c r="Q204" s="13"/>
      <c r="R204" s="13"/>
      <c r="S204" s="13"/>
      <c r="T204" s="13"/>
      <c r="U204" s="13"/>
      <c r="V204" s="13"/>
      <c r="W204" s="13">
        <v>0</v>
      </c>
      <c r="X204" s="13">
        <v>1</v>
      </c>
      <c r="Y204" s="13">
        <v>0</v>
      </c>
      <c r="Z204" s="13">
        <v>0</v>
      </c>
      <c r="AA204" s="13">
        <v>1</v>
      </c>
      <c r="AB204" s="13">
        <v>0</v>
      </c>
    </row>
    <row r="205" spans="1:206" ht="13" x14ac:dyDescent="0.3">
      <c r="A205" s="13">
        <v>50</v>
      </c>
      <c r="B205" s="13">
        <v>0</v>
      </c>
      <c r="C205" s="13">
        <v>0</v>
      </c>
      <c r="D205" s="13">
        <v>1</v>
      </c>
      <c r="E205" s="13">
        <v>225</v>
      </c>
      <c r="F205" s="13">
        <f>ROUND(Source!AV200,O205)</f>
        <v>134583.43</v>
      </c>
      <c r="G205" s="13" t="s">
        <v>57</v>
      </c>
      <c r="H205" s="13" t="s">
        <v>58</v>
      </c>
      <c r="I205" s="13"/>
      <c r="J205" s="13"/>
      <c r="K205" s="13">
        <v>225</v>
      </c>
      <c r="L205" s="13">
        <v>4</v>
      </c>
      <c r="M205" s="13">
        <v>3</v>
      </c>
      <c r="N205" s="13" t="s">
        <v>3</v>
      </c>
      <c r="O205" s="13">
        <v>2</v>
      </c>
      <c r="P205" s="13">
        <f>ROUND(Source!EN200,O205)</f>
        <v>1018830.21</v>
      </c>
      <c r="Q205" s="13"/>
      <c r="R205" s="13"/>
      <c r="S205" s="13"/>
      <c r="T205" s="13"/>
      <c r="U205" s="13"/>
      <c r="V205" s="13"/>
      <c r="W205" s="13">
        <v>134583.43</v>
      </c>
      <c r="X205" s="13">
        <v>1</v>
      </c>
      <c r="Y205" s="13">
        <v>134583.43</v>
      </c>
      <c r="Z205" s="13">
        <v>1018830.21</v>
      </c>
      <c r="AA205" s="13">
        <v>1</v>
      </c>
      <c r="AB205" s="13">
        <v>1018830.21</v>
      </c>
    </row>
    <row r="206" spans="1:206" ht="13" x14ac:dyDescent="0.3">
      <c r="A206" s="13">
        <v>50</v>
      </c>
      <c r="B206" s="13">
        <v>0</v>
      </c>
      <c r="C206" s="13">
        <v>0</v>
      </c>
      <c r="D206" s="13">
        <v>1</v>
      </c>
      <c r="E206" s="13">
        <v>226</v>
      </c>
      <c r="F206" s="13">
        <f>ROUND(Source!AW200,O206)</f>
        <v>105.63</v>
      </c>
      <c r="G206" s="13" t="s">
        <v>59</v>
      </c>
      <c r="H206" s="13" t="s">
        <v>60</v>
      </c>
      <c r="I206" s="13"/>
      <c r="J206" s="13"/>
      <c r="K206" s="13">
        <v>226</v>
      </c>
      <c r="L206" s="13">
        <v>5</v>
      </c>
      <c r="M206" s="13">
        <v>3</v>
      </c>
      <c r="N206" s="13" t="s">
        <v>3</v>
      </c>
      <c r="O206" s="13">
        <v>2</v>
      </c>
      <c r="P206" s="13">
        <f>ROUND(Source!EO200,O206)</f>
        <v>833.27</v>
      </c>
      <c r="Q206" s="13"/>
      <c r="R206" s="13"/>
      <c r="S206" s="13"/>
      <c r="T206" s="13"/>
      <c r="U206" s="13"/>
      <c r="V206" s="13"/>
      <c r="W206" s="13">
        <v>105.63</v>
      </c>
      <c r="X206" s="13">
        <v>1</v>
      </c>
      <c r="Y206" s="13">
        <v>105.63</v>
      </c>
      <c r="Z206" s="13">
        <v>833.27</v>
      </c>
      <c r="AA206" s="13">
        <v>1</v>
      </c>
      <c r="AB206" s="13">
        <v>833.27</v>
      </c>
    </row>
    <row r="207" spans="1:206" ht="13" x14ac:dyDescent="0.3">
      <c r="A207" s="13">
        <v>50</v>
      </c>
      <c r="B207" s="13">
        <v>0</v>
      </c>
      <c r="C207" s="13">
        <v>0</v>
      </c>
      <c r="D207" s="13">
        <v>1</v>
      </c>
      <c r="E207" s="13">
        <v>227</v>
      </c>
      <c r="F207" s="13">
        <f>ROUND(Source!AX200,O207)</f>
        <v>0</v>
      </c>
      <c r="G207" s="13" t="s">
        <v>61</v>
      </c>
      <c r="H207" s="13" t="s">
        <v>62</v>
      </c>
      <c r="I207" s="13"/>
      <c r="J207" s="13"/>
      <c r="K207" s="13">
        <v>227</v>
      </c>
      <c r="L207" s="13">
        <v>6</v>
      </c>
      <c r="M207" s="13">
        <v>3</v>
      </c>
      <c r="N207" s="13" t="s">
        <v>3</v>
      </c>
      <c r="O207" s="13">
        <v>2</v>
      </c>
      <c r="P207" s="13">
        <f>ROUND(Source!EP200,O207)</f>
        <v>0</v>
      </c>
      <c r="Q207" s="13"/>
      <c r="R207" s="13"/>
      <c r="S207" s="13"/>
      <c r="T207" s="13"/>
      <c r="U207" s="13"/>
      <c r="V207" s="13"/>
      <c r="W207" s="13">
        <v>0</v>
      </c>
      <c r="X207" s="13">
        <v>1</v>
      </c>
      <c r="Y207" s="13">
        <v>0</v>
      </c>
      <c r="Z207" s="13">
        <v>0</v>
      </c>
      <c r="AA207" s="13">
        <v>1</v>
      </c>
      <c r="AB207" s="13">
        <v>0</v>
      </c>
    </row>
    <row r="208" spans="1:206" ht="13" x14ac:dyDescent="0.3">
      <c r="A208" s="13">
        <v>50</v>
      </c>
      <c r="B208" s="13">
        <v>0</v>
      </c>
      <c r="C208" s="13">
        <v>0</v>
      </c>
      <c r="D208" s="13">
        <v>1</v>
      </c>
      <c r="E208" s="13">
        <v>228</v>
      </c>
      <c r="F208" s="13">
        <f>ROUND(Source!AY200,O208)</f>
        <v>105.63</v>
      </c>
      <c r="G208" s="13" t="s">
        <v>63</v>
      </c>
      <c r="H208" s="13" t="s">
        <v>64</v>
      </c>
      <c r="I208" s="13"/>
      <c r="J208" s="13"/>
      <c r="K208" s="13">
        <v>228</v>
      </c>
      <c r="L208" s="13">
        <v>7</v>
      </c>
      <c r="M208" s="13">
        <v>3</v>
      </c>
      <c r="N208" s="13" t="s">
        <v>3</v>
      </c>
      <c r="O208" s="13">
        <v>2</v>
      </c>
      <c r="P208" s="13">
        <f>ROUND(Source!EQ200,O208)</f>
        <v>833.27</v>
      </c>
      <c r="Q208" s="13"/>
      <c r="R208" s="13"/>
      <c r="S208" s="13"/>
      <c r="T208" s="13"/>
      <c r="U208" s="13"/>
      <c r="V208" s="13"/>
      <c r="W208" s="13">
        <v>105.63</v>
      </c>
      <c r="X208" s="13">
        <v>1</v>
      </c>
      <c r="Y208" s="13">
        <v>105.63</v>
      </c>
      <c r="Z208" s="13">
        <v>833.27</v>
      </c>
      <c r="AA208" s="13">
        <v>1</v>
      </c>
      <c r="AB208" s="13">
        <v>833.27</v>
      </c>
    </row>
    <row r="209" spans="1:28" ht="13" x14ac:dyDescent="0.3">
      <c r="A209" s="13">
        <v>50</v>
      </c>
      <c r="B209" s="13">
        <v>0</v>
      </c>
      <c r="C209" s="13">
        <v>0</v>
      </c>
      <c r="D209" s="13">
        <v>1</v>
      </c>
      <c r="E209" s="13">
        <v>216</v>
      </c>
      <c r="F209" s="13">
        <f>ROUND(Source!AP200,O209)</f>
        <v>134477.79999999999</v>
      </c>
      <c r="G209" s="13" t="s">
        <v>65</v>
      </c>
      <c r="H209" s="13" t="s">
        <v>66</v>
      </c>
      <c r="I209" s="13"/>
      <c r="J209" s="13"/>
      <c r="K209" s="13">
        <v>216</v>
      </c>
      <c r="L209" s="13">
        <v>8</v>
      </c>
      <c r="M209" s="13">
        <v>3</v>
      </c>
      <c r="N209" s="13" t="s">
        <v>3</v>
      </c>
      <c r="O209" s="13">
        <v>2</v>
      </c>
      <c r="P209" s="13">
        <f>ROUND(Source!EH200,O209)</f>
        <v>1017996.94</v>
      </c>
      <c r="Q209" s="13"/>
      <c r="R209" s="13"/>
      <c r="S209" s="13"/>
      <c r="T209" s="13"/>
      <c r="U209" s="13"/>
      <c r="V209" s="13"/>
      <c r="W209" s="13">
        <v>134477.79999999999</v>
      </c>
      <c r="X209" s="13">
        <v>1</v>
      </c>
      <c r="Y209" s="13">
        <v>134477.79999999999</v>
      </c>
      <c r="Z209" s="13">
        <v>1017996.94</v>
      </c>
      <c r="AA209" s="13">
        <v>1</v>
      </c>
      <c r="AB209" s="13">
        <v>1017996.94</v>
      </c>
    </row>
    <row r="210" spans="1:28" ht="13" x14ac:dyDescent="0.3">
      <c r="A210" s="13">
        <v>50</v>
      </c>
      <c r="B210" s="13">
        <v>0</v>
      </c>
      <c r="C210" s="13">
        <v>0</v>
      </c>
      <c r="D210" s="13">
        <v>1</v>
      </c>
      <c r="E210" s="13">
        <v>223</v>
      </c>
      <c r="F210" s="13">
        <f>ROUND(Source!AQ200,O210)</f>
        <v>0</v>
      </c>
      <c r="G210" s="13" t="s">
        <v>67</v>
      </c>
      <c r="H210" s="13" t="s">
        <v>68</v>
      </c>
      <c r="I210" s="13"/>
      <c r="J210" s="13"/>
      <c r="K210" s="13">
        <v>223</v>
      </c>
      <c r="L210" s="13">
        <v>9</v>
      </c>
      <c r="M210" s="13">
        <v>3</v>
      </c>
      <c r="N210" s="13" t="s">
        <v>3</v>
      </c>
      <c r="O210" s="13">
        <v>2</v>
      </c>
      <c r="P210" s="13">
        <f>ROUND(Source!EI200,O210)</f>
        <v>0</v>
      </c>
      <c r="Q210" s="13"/>
      <c r="R210" s="13"/>
      <c r="S210" s="13"/>
      <c r="T210" s="13"/>
      <c r="U210" s="13"/>
      <c r="V210" s="13"/>
      <c r="W210" s="13">
        <v>0</v>
      </c>
      <c r="X210" s="13">
        <v>1</v>
      </c>
      <c r="Y210" s="13">
        <v>0</v>
      </c>
      <c r="Z210" s="13">
        <v>0</v>
      </c>
      <c r="AA210" s="13">
        <v>1</v>
      </c>
      <c r="AB210" s="13">
        <v>0</v>
      </c>
    </row>
    <row r="211" spans="1:28" ht="13" x14ac:dyDescent="0.3">
      <c r="A211" s="13">
        <v>50</v>
      </c>
      <c r="B211" s="13">
        <v>0</v>
      </c>
      <c r="C211" s="13">
        <v>0</v>
      </c>
      <c r="D211" s="13">
        <v>1</v>
      </c>
      <c r="E211" s="13">
        <v>229</v>
      </c>
      <c r="F211" s="13">
        <f>ROUND(Source!AZ200,O211)</f>
        <v>134477.79999999999</v>
      </c>
      <c r="G211" s="13" t="s">
        <v>69</v>
      </c>
      <c r="H211" s="13" t="s">
        <v>70</v>
      </c>
      <c r="I211" s="13"/>
      <c r="J211" s="13"/>
      <c r="K211" s="13">
        <v>229</v>
      </c>
      <c r="L211" s="13">
        <v>10</v>
      </c>
      <c r="M211" s="13">
        <v>3</v>
      </c>
      <c r="N211" s="13" t="s">
        <v>3</v>
      </c>
      <c r="O211" s="13">
        <v>2</v>
      </c>
      <c r="P211" s="13">
        <f>ROUND(Source!ER200,O211)</f>
        <v>1017996.94</v>
      </c>
      <c r="Q211" s="13"/>
      <c r="R211" s="13"/>
      <c r="S211" s="13"/>
      <c r="T211" s="13"/>
      <c r="U211" s="13"/>
      <c r="V211" s="13"/>
      <c r="W211" s="13">
        <v>134477.79999999999</v>
      </c>
      <c r="X211" s="13">
        <v>1</v>
      </c>
      <c r="Y211" s="13">
        <v>134477.79999999999</v>
      </c>
      <c r="Z211" s="13">
        <v>1017996.94</v>
      </c>
      <c r="AA211" s="13">
        <v>1</v>
      </c>
      <c r="AB211" s="13">
        <v>1017996.94</v>
      </c>
    </row>
    <row r="212" spans="1:28" ht="13" x14ac:dyDescent="0.3">
      <c r="A212" s="13">
        <v>50</v>
      </c>
      <c r="B212" s="13">
        <v>0</v>
      </c>
      <c r="C212" s="13">
        <v>0</v>
      </c>
      <c r="D212" s="13">
        <v>1</v>
      </c>
      <c r="E212" s="13">
        <v>203</v>
      </c>
      <c r="F212" s="13">
        <f>ROUND(Source!Q200,O212)</f>
        <v>0.63</v>
      </c>
      <c r="G212" s="13" t="s">
        <v>71</v>
      </c>
      <c r="H212" s="13" t="s">
        <v>72</v>
      </c>
      <c r="I212" s="13"/>
      <c r="J212" s="13"/>
      <c r="K212" s="13">
        <v>203</v>
      </c>
      <c r="L212" s="13">
        <v>11</v>
      </c>
      <c r="M212" s="13">
        <v>3</v>
      </c>
      <c r="N212" s="13" t="s">
        <v>3</v>
      </c>
      <c r="O212" s="13">
        <v>2</v>
      </c>
      <c r="P212" s="13">
        <f>ROUND(Source!DI200,O212)</f>
        <v>10.72</v>
      </c>
      <c r="Q212" s="13"/>
      <c r="R212" s="13"/>
      <c r="S212" s="13"/>
      <c r="T212" s="13"/>
      <c r="U212" s="13"/>
      <c r="V212" s="13"/>
      <c r="W212" s="13">
        <v>0.63</v>
      </c>
      <c r="X212" s="13">
        <v>1</v>
      </c>
      <c r="Y212" s="13">
        <v>0.63</v>
      </c>
      <c r="Z212" s="13">
        <v>10.72</v>
      </c>
      <c r="AA212" s="13">
        <v>1</v>
      </c>
      <c r="AB212" s="13">
        <v>10.72</v>
      </c>
    </row>
    <row r="213" spans="1:28" ht="13" x14ac:dyDescent="0.3">
      <c r="A213" s="13">
        <v>50</v>
      </c>
      <c r="B213" s="13">
        <v>0</v>
      </c>
      <c r="C213" s="13">
        <v>0</v>
      </c>
      <c r="D213" s="13">
        <v>1</v>
      </c>
      <c r="E213" s="13">
        <v>231</v>
      </c>
      <c r="F213" s="13">
        <f>ROUND(Source!BB200,O213)</f>
        <v>0</v>
      </c>
      <c r="G213" s="13" t="s">
        <v>73</v>
      </c>
      <c r="H213" s="13" t="s">
        <v>74</v>
      </c>
      <c r="I213" s="13"/>
      <c r="J213" s="13"/>
      <c r="K213" s="13">
        <v>231</v>
      </c>
      <c r="L213" s="13">
        <v>12</v>
      </c>
      <c r="M213" s="13">
        <v>3</v>
      </c>
      <c r="N213" s="13" t="s">
        <v>3</v>
      </c>
      <c r="O213" s="13">
        <v>2</v>
      </c>
      <c r="P213" s="13">
        <f>ROUND(Source!ET200,O213)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8" ht="13" x14ac:dyDescent="0.3">
      <c r="A214" s="13">
        <v>50</v>
      </c>
      <c r="B214" s="13">
        <v>0</v>
      </c>
      <c r="C214" s="13">
        <v>0</v>
      </c>
      <c r="D214" s="13">
        <v>1</v>
      </c>
      <c r="E214" s="13">
        <v>204</v>
      </c>
      <c r="F214" s="13">
        <f>ROUND(Source!R200,O214)</f>
        <v>0.1</v>
      </c>
      <c r="G214" s="13" t="s">
        <v>75</v>
      </c>
      <c r="H214" s="13" t="s">
        <v>76</v>
      </c>
      <c r="I214" s="13"/>
      <c r="J214" s="13"/>
      <c r="K214" s="13">
        <v>204</v>
      </c>
      <c r="L214" s="13">
        <v>13</v>
      </c>
      <c r="M214" s="13">
        <v>3</v>
      </c>
      <c r="N214" s="13" t="s">
        <v>3</v>
      </c>
      <c r="O214" s="13">
        <v>2</v>
      </c>
      <c r="P214" s="13">
        <f>ROUND(Source!DJ200,O214)</f>
        <v>5.64</v>
      </c>
      <c r="Q214" s="13"/>
      <c r="R214" s="13"/>
      <c r="S214" s="13"/>
      <c r="T214" s="13"/>
      <c r="U214" s="13"/>
      <c r="V214" s="13"/>
      <c r="W214" s="13">
        <v>0.1</v>
      </c>
      <c r="X214" s="13">
        <v>1</v>
      </c>
      <c r="Y214" s="13">
        <v>0.1</v>
      </c>
      <c r="Z214" s="13">
        <v>5.64</v>
      </c>
      <c r="AA214" s="13">
        <v>1</v>
      </c>
      <c r="AB214" s="13">
        <v>5.64</v>
      </c>
    </row>
    <row r="215" spans="1:28" ht="13" x14ac:dyDescent="0.3">
      <c r="A215" s="13">
        <v>50</v>
      </c>
      <c r="B215" s="13">
        <v>0</v>
      </c>
      <c r="C215" s="13">
        <v>0</v>
      </c>
      <c r="D215" s="13">
        <v>1</v>
      </c>
      <c r="E215" s="13">
        <v>205</v>
      </c>
      <c r="F215" s="13">
        <f>ROUND(Source!S200,O215)</f>
        <v>268.17</v>
      </c>
      <c r="G215" s="13" t="s">
        <v>77</v>
      </c>
      <c r="H215" s="13" t="s">
        <v>78</v>
      </c>
      <c r="I215" s="13"/>
      <c r="J215" s="13"/>
      <c r="K215" s="13">
        <v>205</v>
      </c>
      <c r="L215" s="13">
        <v>14</v>
      </c>
      <c r="M215" s="13">
        <v>3</v>
      </c>
      <c r="N215" s="13" t="s">
        <v>3</v>
      </c>
      <c r="O215" s="13">
        <v>2</v>
      </c>
      <c r="P215" s="13">
        <f>ROUND(Source!DK200,O215)</f>
        <v>15111.39</v>
      </c>
      <c r="Q215" s="13"/>
      <c r="R215" s="13"/>
      <c r="S215" s="13"/>
      <c r="T215" s="13"/>
      <c r="U215" s="13"/>
      <c r="V215" s="13"/>
      <c r="W215" s="13">
        <v>268.17</v>
      </c>
      <c r="X215" s="13">
        <v>1</v>
      </c>
      <c r="Y215" s="13">
        <v>268.17</v>
      </c>
      <c r="Z215" s="13">
        <v>15111.39</v>
      </c>
      <c r="AA215" s="13">
        <v>1</v>
      </c>
      <c r="AB215" s="13">
        <v>15111.39</v>
      </c>
    </row>
    <row r="216" spans="1:28" ht="13" x14ac:dyDescent="0.3">
      <c r="A216" s="13">
        <v>50</v>
      </c>
      <c r="B216" s="13">
        <v>0</v>
      </c>
      <c r="C216" s="13">
        <v>0</v>
      </c>
      <c r="D216" s="13">
        <v>1</v>
      </c>
      <c r="E216" s="13">
        <v>232</v>
      </c>
      <c r="F216" s="13">
        <f>ROUND(Source!BC200,O216)</f>
        <v>0</v>
      </c>
      <c r="G216" s="13" t="s">
        <v>79</v>
      </c>
      <c r="H216" s="13" t="s">
        <v>80</v>
      </c>
      <c r="I216" s="13"/>
      <c r="J216" s="13"/>
      <c r="K216" s="13">
        <v>232</v>
      </c>
      <c r="L216" s="13">
        <v>15</v>
      </c>
      <c r="M216" s="13">
        <v>3</v>
      </c>
      <c r="N216" s="13" t="s">
        <v>3</v>
      </c>
      <c r="O216" s="13">
        <v>2</v>
      </c>
      <c r="P216" s="13">
        <f>ROUND(Source!EU200,O216)</f>
        <v>0</v>
      </c>
      <c r="Q216" s="13"/>
      <c r="R216" s="13"/>
      <c r="S216" s="13"/>
      <c r="T216" s="13"/>
      <c r="U216" s="13"/>
      <c r="V216" s="13"/>
      <c r="W216" s="13">
        <v>0</v>
      </c>
      <c r="X216" s="13">
        <v>1</v>
      </c>
      <c r="Y216" s="13">
        <v>0</v>
      </c>
      <c r="Z216" s="13">
        <v>0</v>
      </c>
      <c r="AA216" s="13">
        <v>1</v>
      </c>
      <c r="AB216" s="13">
        <v>0</v>
      </c>
    </row>
    <row r="217" spans="1:28" ht="13" x14ac:dyDescent="0.3">
      <c r="A217" s="13">
        <v>50</v>
      </c>
      <c r="B217" s="13">
        <v>0</v>
      </c>
      <c r="C217" s="13">
        <v>0</v>
      </c>
      <c r="D217" s="13">
        <v>1</v>
      </c>
      <c r="E217" s="13">
        <v>214</v>
      </c>
      <c r="F217" s="13">
        <f>ROUND(Source!AS200,O217)</f>
        <v>0</v>
      </c>
      <c r="G217" s="13" t="s">
        <v>81</v>
      </c>
      <c r="H217" s="13" t="s">
        <v>82</v>
      </c>
      <c r="I217" s="13"/>
      <c r="J217" s="13"/>
      <c r="K217" s="13">
        <v>214</v>
      </c>
      <c r="L217" s="13">
        <v>16</v>
      </c>
      <c r="M217" s="13">
        <v>3</v>
      </c>
      <c r="N217" s="13" t="s">
        <v>3</v>
      </c>
      <c r="O217" s="13">
        <v>2</v>
      </c>
      <c r="P217" s="13">
        <f>ROUND(Source!EK200,O217)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ht="13" x14ac:dyDescent="0.3">
      <c r="A218" s="13">
        <v>50</v>
      </c>
      <c r="B218" s="13">
        <v>0</v>
      </c>
      <c r="C218" s="13">
        <v>0</v>
      </c>
      <c r="D218" s="13">
        <v>1</v>
      </c>
      <c r="E218" s="13">
        <v>215</v>
      </c>
      <c r="F218" s="13">
        <f>ROUND(Source!AT200,O218)</f>
        <v>741.65</v>
      </c>
      <c r="G218" s="13" t="s">
        <v>83</v>
      </c>
      <c r="H218" s="13" t="s">
        <v>84</v>
      </c>
      <c r="I218" s="13"/>
      <c r="J218" s="13"/>
      <c r="K218" s="13">
        <v>215</v>
      </c>
      <c r="L218" s="13">
        <v>17</v>
      </c>
      <c r="M218" s="13">
        <v>3</v>
      </c>
      <c r="N218" s="13" t="s">
        <v>3</v>
      </c>
      <c r="O218" s="13">
        <v>2</v>
      </c>
      <c r="P218" s="13">
        <f>ROUND(Source!EL200,O218)</f>
        <v>36649.089999999997</v>
      </c>
      <c r="Q218" s="13"/>
      <c r="R218" s="13"/>
      <c r="S218" s="13"/>
      <c r="T218" s="13"/>
      <c r="U218" s="13"/>
      <c r="V218" s="13"/>
      <c r="W218" s="13">
        <v>741.65</v>
      </c>
      <c r="X218" s="13">
        <v>1</v>
      </c>
      <c r="Y218" s="13">
        <v>741.65</v>
      </c>
      <c r="Z218" s="13">
        <v>36649.089999999997</v>
      </c>
      <c r="AA218" s="13">
        <v>1</v>
      </c>
      <c r="AB218" s="13">
        <v>36649.089999999997</v>
      </c>
    </row>
    <row r="219" spans="1:28" ht="13" x14ac:dyDescent="0.3">
      <c r="A219" s="13">
        <v>50</v>
      </c>
      <c r="B219" s="13">
        <v>0</v>
      </c>
      <c r="C219" s="13">
        <v>0</v>
      </c>
      <c r="D219" s="13">
        <v>1</v>
      </c>
      <c r="E219" s="13">
        <v>217</v>
      </c>
      <c r="F219" s="13">
        <f>ROUND(Source!AU200,O219)</f>
        <v>0</v>
      </c>
      <c r="G219" s="13" t="s">
        <v>85</v>
      </c>
      <c r="H219" s="13" t="s">
        <v>86</v>
      </c>
      <c r="I219" s="13"/>
      <c r="J219" s="13"/>
      <c r="K219" s="13">
        <v>217</v>
      </c>
      <c r="L219" s="13">
        <v>18</v>
      </c>
      <c r="M219" s="13">
        <v>3</v>
      </c>
      <c r="N219" s="13" t="s">
        <v>3</v>
      </c>
      <c r="O219" s="13">
        <v>2</v>
      </c>
      <c r="P219" s="13">
        <f>ROUND(Source!EM200,O219)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8" ht="13" x14ac:dyDescent="0.3">
      <c r="A220" s="13">
        <v>50</v>
      </c>
      <c r="B220" s="13">
        <v>0</v>
      </c>
      <c r="C220" s="13">
        <v>0</v>
      </c>
      <c r="D220" s="13">
        <v>1</v>
      </c>
      <c r="E220" s="13">
        <v>230</v>
      </c>
      <c r="F220" s="13">
        <f>ROUND(Source!BA200,O220)</f>
        <v>0</v>
      </c>
      <c r="G220" s="13" t="s">
        <v>87</v>
      </c>
      <c r="H220" s="13" t="s">
        <v>88</v>
      </c>
      <c r="I220" s="13"/>
      <c r="J220" s="13"/>
      <c r="K220" s="13">
        <v>230</v>
      </c>
      <c r="L220" s="13">
        <v>19</v>
      </c>
      <c r="M220" s="13">
        <v>3</v>
      </c>
      <c r="N220" s="13" t="s">
        <v>3</v>
      </c>
      <c r="O220" s="13">
        <v>2</v>
      </c>
      <c r="P220" s="13">
        <f>ROUND(Source!ES200,O220)</f>
        <v>0</v>
      </c>
      <c r="Q220" s="13"/>
      <c r="R220" s="13"/>
      <c r="S220" s="13"/>
      <c r="T220" s="13"/>
      <c r="U220" s="13"/>
      <c r="V220" s="13"/>
      <c r="W220" s="13">
        <v>0</v>
      </c>
      <c r="X220" s="13">
        <v>1</v>
      </c>
      <c r="Y220" s="13">
        <v>0</v>
      </c>
      <c r="Z220" s="13">
        <v>0</v>
      </c>
      <c r="AA220" s="13">
        <v>1</v>
      </c>
      <c r="AB220" s="13">
        <v>0</v>
      </c>
    </row>
    <row r="221" spans="1:28" ht="13" x14ac:dyDescent="0.3">
      <c r="A221" s="13">
        <v>50</v>
      </c>
      <c r="B221" s="13">
        <v>0</v>
      </c>
      <c r="C221" s="13">
        <v>0</v>
      </c>
      <c r="D221" s="13">
        <v>1</v>
      </c>
      <c r="E221" s="13">
        <v>206</v>
      </c>
      <c r="F221" s="13">
        <f>ROUND(Source!T200,O221)</f>
        <v>0</v>
      </c>
      <c r="G221" s="13" t="s">
        <v>89</v>
      </c>
      <c r="H221" s="13" t="s">
        <v>90</v>
      </c>
      <c r="I221" s="13"/>
      <c r="J221" s="13"/>
      <c r="K221" s="13">
        <v>206</v>
      </c>
      <c r="L221" s="13">
        <v>20</v>
      </c>
      <c r="M221" s="13">
        <v>3</v>
      </c>
      <c r="N221" s="13" t="s">
        <v>3</v>
      </c>
      <c r="O221" s="13">
        <v>2</v>
      </c>
      <c r="P221" s="13">
        <f>ROUND(Source!DL200,O221)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8" ht="13" x14ac:dyDescent="0.3">
      <c r="A222" s="13">
        <v>50</v>
      </c>
      <c r="B222" s="13">
        <v>0</v>
      </c>
      <c r="C222" s="13">
        <v>0</v>
      </c>
      <c r="D222" s="13">
        <v>1</v>
      </c>
      <c r="E222" s="13">
        <v>207</v>
      </c>
      <c r="F222" s="13">
        <f>Source!U200</f>
        <v>21.315977999999998</v>
      </c>
      <c r="G222" s="13" t="s">
        <v>91</v>
      </c>
      <c r="H222" s="13" t="s">
        <v>92</v>
      </c>
      <c r="I222" s="13"/>
      <c r="J222" s="13"/>
      <c r="K222" s="13">
        <v>207</v>
      </c>
      <c r="L222" s="13">
        <v>21</v>
      </c>
      <c r="M222" s="13">
        <v>3</v>
      </c>
      <c r="N222" s="13" t="s">
        <v>3</v>
      </c>
      <c r="O222" s="13">
        <v>-1</v>
      </c>
      <c r="P222" s="13">
        <f>Source!DM200</f>
        <v>21.315977999999998</v>
      </c>
      <c r="Q222" s="13"/>
      <c r="R222" s="13"/>
      <c r="S222" s="13"/>
      <c r="T222" s="13"/>
      <c r="U222" s="13"/>
      <c r="V222" s="13"/>
      <c r="W222" s="13">
        <v>21.315978000000001</v>
      </c>
      <c r="X222" s="13">
        <v>1</v>
      </c>
      <c r="Y222" s="13">
        <v>21.315978000000001</v>
      </c>
      <c r="Z222" s="13">
        <v>21.315978000000001</v>
      </c>
      <c r="AA222" s="13">
        <v>1</v>
      </c>
      <c r="AB222" s="13">
        <v>21.315978000000001</v>
      </c>
    </row>
    <row r="223" spans="1:28" ht="13" x14ac:dyDescent="0.3">
      <c r="A223" s="13">
        <v>50</v>
      </c>
      <c r="B223" s="13">
        <v>0</v>
      </c>
      <c r="C223" s="13">
        <v>0</v>
      </c>
      <c r="D223" s="13">
        <v>1</v>
      </c>
      <c r="E223" s="13">
        <v>208</v>
      </c>
      <c r="F223" s="13">
        <f>Source!V200</f>
        <v>0</v>
      </c>
      <c r="G223" s="13" t="s">
        <v>93</v>
      </c>
      <c r="H223" s="13" t="s">
        <v>94</v>
      </c>
      <c r="I223" s="13"/>
      <c r="J223" s="13"/>
      <c r="K223" s="13">
        <v>208</v>
      </c>
      <c r="L223" s="13">
        <v>22</v>
      </c>
      <c r="M223" s="13">
        <v>3</v>
      </c>
      <c r="N223" s="13" t="s">
        <v>3</v>
      </c>
      <c r="O223" s="13">
        <v>-1</v>
      </c>
      <c r="P223" s="13">
        <f>Source!DN200</f>
        <v>0</v>
      </c>
      <c r="Q223" s="13"/>
      <c r="R223" s="13"/>
      <c r="S223" s="13"/>
      <c r="T223" s="13"/>
      <c r="U223" s="13"/>
      <c r="V223" s="13"/>
      <c r="W223" s="13">
        <v>0</v>
      </c>
      <c r="X223" s="13">
        <v>1</v>
      </c>
      <c r="Y223" s="13">
        <v>0</v>
      </c>
      <c r="Z223" s="13">
        <v>0</v>
      </c>
      <c r="AA223" s="13">
        <v>1</v>
      </c>
      <c r="AB223" s="13">
        <v>0</v>
      </c>
    </row>
    <row r="224" spans="1:28" ht="13" x14ac:dyDescent="0.3">
      <c r="A224" s="13">
        <v>50</v>
      </c>
      <c r="B224" s="13">
        <v>0</v>
      </c>
      <c r="C224" s="13">
        <v>0</v>
      </c>
      <c r="D224" s="13">
        <v>1</v>
      </c>
      <c r="E224" s="13">
        <v>209</v>
      </c>
      <c r="F224" s="13">
        <f>ROUND(Source!W200,O224)</f>
        <v>0</v>
      </c>
      <c r="G224" s="13" t="s">
        <v>95</v>
      </c>
      <c r="H224" s="13" t="s">
        <v>96</v>
      </c>
      <c r="I224" s="13"/>
      <c r="J224" s="13"/>
      <c r="K224" s="13">
        <v>209</v>
      </c>
      <c r="L224" s="13">
        <v>23</v>
      </c>
      <c r="M224" s="13">
        <v>3</v>
      </c>
      <c r="N224" s="13" t="s">
        <v>3</v>
      </c>
      <c r="O224" s="13">
        <v>2</v>
      </c>
      <c r="P224" s="13">
        <f>ROUND(Source!DO200,O224)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06" ht="13" x14ac:dyDescent="0.3">
      <c r="A225" s="13">
        <v>50</v>
      </c>
      <c r="B225" s="13">
        <v>0</v>
      </c>
      <c r="C225" s="13">
        <v>0</v>
      </c>
      <c r="D225" s="13">
        <v>1</v>
      </c>
      <c r="E225" s="13">
        <v>233</v>
      </c>
      <c r="F225" s="13">
        <f>ROUND(Source!BD200,O225)</f>
        <v>0</v>
      </c>
      <c r="G225" s="13" t="s">
        <v>97</v>
      </c>
      <c r="H225" s="13" t="s">
        <v>98</v>
      </c>
      <c r="I225" s="13"/>
      <c r="J225" s="13"/>
      <c r="K225" s="13">
        <v>233</v>
      </c>
      <c r="L225" s="13">
        <v>24</v>
      </c>
      <c r="M225" s="13">
        <v>3</v>
      </c>
      <c r="N225" s="13" t="s">
        <v>3</v>
      </c>
      <c r="O225" s="13">
        <v>2</v>
      </c>
      <c r="P225" s="13">
        <f>ROUND(Source!EV200,O225)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06" ht="13" x14ac:dyDescent="0.3">
      <c r="A226" s="13">
        <v>50</v>
      </c>
      <c r="B226" s="13">
        <v>0</v>
      </c>
      <c r="C226" s="13">
        <v>0</v>
      </c>
      <c r="D226" s="13">
        <v>1</v>
      </c>
      <c r="E226" s="13">
        <v>210</v>
      </c>
      <c r="F226" s="13">
        <f>ROUND(Source!X200,O226)</f>
        <v>242.43</v>
      </c>
      <c r="G226" s="13" t="s">
        <v>99</v>
      </c>
      <c r="H226" s="13" t="s">
        <v>100</v>
      </c>
      <c r="I226" s="13"/>
      <c r="J226" s="13"/>
      <c r="K226" s="13">
        <v>210</v>
      </c>
      <c r="L226" s="13">
        <v>25</v>
      </c>
      <c r="M226" s="13">
        <v>3</v>
      </c>
      <c r="N226" s="13" t="s">
        <v>3</v>
      </c>
      <c r="O226" s="13">
        <v>2</v>
      </c>
      <c r="P226" s="13">
        <f>ROUND(Source!DP200,O226)</f>
        <v>13661.39</v>
      </c>
      <c r="Q226" s="13"/>
      <c r="R226" s="13"/>
      <c r="S226" s="13"/>
      <c r="T226" s="13"/>
      <c r="U226" s="13"/>
      <c r="V226" s="13"/>
      <c r="W226" s="13">
        <v>242.43</v>
      </c>
      <c r="X226" s="13">
        <v>1</v>
      </c>
      <c r="Y226" s="13">
        <v>242.43</v>
      </c>
      <c r="Z226" s="13">
        <v>13661.39</v>
      </c>
      <c r="AA226" s="13">
        <v>1</v>
      </c>
      <c r="AB226" s="13">
        <v>13661.39</v>
      </c>
    </row>
    <row r="227" spans="1:206" ht="13" x14ac:dyDescent="0.3">
      <c r="A227" s="13">
        <v>50</v>
      </c>
      <c r="B227" s="13">
        <v>0</v>
      </c>
      <c r="C227" s="13">
        <v>0</v>
      </c>
      <c r="D227" s="13">
        <v>1</v>
      </c>
      <c r="E227" s="13">
        <v>211</v>
      </c>
      <c r="F227" s="13">
        <f>ROUND(Source!Y200,O227)</f>
        <v>124.79</v>
      </c>
      <c r="G227" s="13" t="s">
        <v>101</v>
      </c>
      <c r="H227" s="13" t="s">
        <v>102</v>
      </c>
      <c r="I227" s="13"/>
      <c r="J227" s="13"/>
      <c r="K227" s="13">
        <v>211</v>
      </c>
      <c r="L227" s="13">
        <v>26</v>
      </c>
      <c r="M227" s="13">
        <v>3</v>
      </c>
      <c r="N227" s="13" t="s">
        <v>3</v>
      </c>
      <c r="O227" s="13">
        <v>2</v>
      </c>
      <c r="P227" s="13">
        <f>ROUND(Source!DQ200,O227)</f>
        <v>7032.32</v>
      </c>
      <c r="Q227" s="13"/>
      <c r="R227" s="13"/>
      <c r="S227" s="13"/>
      <c r="T227" s="13"/>
      <c r="U227" s="13"/>
      <c r="V227" s="13"/>
      <c r="W227" s="13">
        <v>124.79</v>
      </c>
      <c r="X227" s="13">
        <v>1</v>
      </c>
      <c r="Y227" s="13">
        <v>124.79</v>
      </c>
      <c r="Z227" s="13">
        <v>7032.32</v>
      </c>
      <c r="AA227" s="13">
        <v>1</v>
      </c>
      <c r="AB227" s="13">
        <v>7032.32</v>
      </c>
    </row>
    <row r="228" spans="1:206" ht="13" x14ac:dyDescent="0.3">
      <c r="A228" s="13">
        <v>50</v>
      </c>
      <c r="B228" s="13">
        <v>0</v>
      </c>
      <c r="C228" s="13">
        <v>0</v>
      </c>
      <c r="D228" s="13">
        <v>1</v>
      </c>
      <c r="E228" s="13">
        <v>224</v>
      </c>
      <c r="F228" s="13">
        <f>ROUND(Source!AR200,O228)</f>
        <v>135219.45000000001</v>
      </c>
      <c r="G228" s="13" t="s">
        <v>103</v>
      </c>
      <c r="H228" s="13" t="s">
        <v>104</v>
      </c>
      <c r="I228" s="13"/>
      <c r="J228" s="13"/>
      <c r="K228" s="13">
        <v>224</v>
      </c>
      <c r="L228" s="13">
        <v>27</v>
      </c>
      <c r="M228" s="13">
        <v>3</v>
      </c>
      <c r="N228" s="13" t="s">
        <v>3</v>
      </c>
      <c r="O228" s="13">
        <v>2</v>
      </c>
      <c r="P228" s="13">
        <f>ROUND(Source!EJ200,O228)</f>
        <v>1054646.03</v>
      </c>
      <c r="Q228" s="13"/>
      <c r="R228" s="13"/>
      <c r="S228" s="13"/>
      <c r="T228" s="13"/>
      <c r="U228" s="13"/>
      <c r="V228" s="13"/>
      <c r="W228" s="13">
        <v>135219.45000000001</v>
      </c>
      <c r="X228" s="13">
        <v>1</v>
      </c>
      <c r="Y228" s="13">
        <v>135219.45000000001</v>
      </c>
      <c r="Z228" s="13">
        <v>1054646.03</v>
      </c>
      <c r="AA228" s="13">
        <v>1</v>
      </c>
      <c r="AB228" s="13">
        <v>1054646.03</v>
      </c>
    </row>
    <row r="230" spans="1:206" ht="13" x14ac:dyDescent="0.3">
      <c r="A230" s="11">
        <v>51</v>
      </c>
      <c r="B230" s="11">
        <f>B12</f>
        <v>271</v>
      </c>
      <c r="C230" s="11">
        <f>A12</f>
        <v>1</v>
      </c>
      <c r="D230" s="11">
        <f>ROW(A12)</f>
        <v>12</v>
      </c>
      <c r="E230" s="11"/>
      <c r="F230" s="11" t="str">
        <f>IF(F12&lt;&gt;"",F12,"")</f>
        <v>02-01-16</v>
      </c>
      <c r="G230" s="11" t="str">
        <f>IF(G12&lt;&gt;"",G12,"")</f>
        <v>02-01-16 Электрочасофикация 15.07</v>
      </c>
      <c r="H230" s="11">
        <v>0</v>
      </c>
      <c r="I230" s="11"/>
      <c r="J230" s="11"/>
      <c r="K230" s="11"/>
      <c r="L230" s="11"/>
      <c r="M230" s="11"/>
      <c r="N230" s="11"/>
      <c r="O230" s="11">
        <f t="shared" ref="O230:T230" si="154">ROUND(O200,2)</f>
        <v>134852.23000000001</v>
      </c>
      <c r="P230" s="11">
        <f t="shared" si="154"/>
        <v>134583.43</v>
      </c>
      <c r="Q230" s="11">
        <f t="shared" si="154"/>
        <v>0.63</v>
      </c>
      <c r="R230" s="11">
        <f t="shared" si="154"/>
        <v>0.1</v>
      </c>
      <c r="S230" s="11">
        <f t="shared" si="154"/>
        <v>268.17</v>
      </c>
      <c r="T230" s="11">
        <f t="shared" si="154"/>
        <v>0</v>
      </c>
      <c r="U230" s="11">
        <f>U200</f>
        <v>21.315977999999998</v>
      </c>
      <c r="V230" s="11">
        <f>V200</f>
        <v>0</v>
      </c>
      <c r="W230" s="11">
        <f>ROUND(W200,2)</f>
        <v>0</v>
      </c>
      <c r="X230" s="11">
        <f>ROUND(X200,2)</f>
        <v>242.43</v>
      </c>
      <c r="Y230" s="11">
        <f>ROUND(Y200,2)</f>
        <v>124.79</v>
      </c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>
        <f t="shared" ref="AO230:BD230" si="155">ROUND(AO200,2)</f>
        <v>0</v>
      </c>
      <c r="AP230" s="11">
        <f t="shared" si="155"/>
        <v>134477.79999999999</v>
      </c>
      <c r="AQ230" s="11">
        <f t="shared" si="155"/>
        <v>0</v>
      </c>
      <c r="AR230" s="11">
        <f t="shared" si="155"/>
        <v>135219.45000000001</v>
      </c>
      <c r="AS230" s="11">
        <f t="shared" si="155"/>
        <v>0</v>
      </c>
      <c r="AT230" s="11">
        <f t="shared" si="155"/>
        <v>741.65</v>
      </c>
      <c r="AU230" s="11">
        <f t="shared" si="155"/>
        <v>0</v>
      </c>
      <c r="AV230" s="11">
        <f t="shared" si="155"/>
        <v>134583.43</v>
      </c>
      <c r="AW230" s="11">
        <f t="shared" si="155"/>
        <v>105.63</v>
      </c>
      <c r="AX230" s="11">
        <f t="shared" si="155"/>
        <v>0</v>
      </c>
      <c r="AY230" s="11">
        <f t="shared" si="155"/>
        <v>105.63</v>
      </c>
      <c r="AZ230" s="11">
        <f t="shared" si="155"/>
        <v>134477.79999999999</v>
      </c>
      <c r="BA230" s="11">
        <f t="shared" si="155"/>
        <v>0</v>
      </c>
      <c r="BB230" s="11">
        <f t="shared" si="155"/>
        <v>0</v>
      </c>
      <c r="BC230" s="11">
        <f t="shared" si="155"/>
        <v>0</v>
      </c>
      <c r="BD230" s="11">
        <f t="shared" si="155"/>
        <v>0</v>
      </c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2">
        <f t="shared" ref="DG230:DL230" si="156">ROUND(DG200,2)</f>
        <v>1033952.32</v>
      </c>
      <c r="DH230" s="12">
        <f t="shared" si="156"/>
        <v>1018830.21</v>
      </c>
      <c r="DI230" s="12">
        <f t="shared" si="156"/>
        <v>10.72</v>
      </c>
      <c r="DJ230" s="12">
        <f t="shared" si="156"/>
        <v>5.64</v>
      </c>
      <c r="DK230" s="12">
        <f t="shared" si="156"/>
        <v>15111.39</v>
      </c>
      <c r="DL230" s="12">
        <f t="shared" si="156"/>
        <v>0</v>
      </c>
      <c r="DM230" s="12">
        <f>DM200</f>
        <v>21.315977999999998</v>
      </c>
      <c r="DN230" s="12">
        <f>DN200</f>
        <v>0</v>
      </c>
      <c r="DO230" s="12">
        <f>ROUND(DO200,2)</f>
        <v>0</v>
      </c>
      <c r="DP230" s="12">
        <f>ROUND(DP200,2)</f>
        <v>13661.39</v>
      </c>
      <c r="DQ230" s="12">
        <f>ROUND(DQ200,2)</f>
        <v>7032.32</v>
      </c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>
        <f t="shared" ref="EG230:EV230" si="157">ROUND(EG200,2)</f>
        <v>0</v>
      </c>
      <c r="EH230" s="12">
        <f t="shared" si="157"/>
        <v>1017996.94</v>
      </c>
      <c r="EI230" s="12">
        <f t="shared" si="157"/>
        <v>0</v>
      </c>
      <c r="EJ230" s="12">
        <f t="shared" si="157"/>
        <v>1054646.03</v>
      </c>
      <c r="EK230" s="12">
        <f t="shared" si="157"/>
        <v>0</v>
      </c>
      <c r="EL230" s="12">
        <f t="shared" si="157"/>
        <v>36649.089999999997</v>
      </c>
      <c r="EM230" s="12">
        <f t="shared" si="157"/>
        <v>0</v>
      </c>
      <c r="EN230" s="12">
        <f t="shared" si="157"/>
        <v>1018830.21</v>
      </c>
      <c r="EO230" s="12">
        <f t="shared" si="157"/>
        <v>833.27</v>
      </c>
      <c r="EP230" s="12">
        <f t="shared" si="157"/>
        <v>0</v>
      </c>
      <c r="EQ230" s="12">
        <f t="shared" si="157"/>
        <v>833.27</v>
      </c>
      <c r="ER230" s="12">
        <f t="shared" si="157"/>
        <v>1017996.94</v>
      </c>
      <c r="ES230" s="12">
        <f t="shared" si="157"/>
        <v>0</v>
      </c>
      <c r="ET230" s="12">
        <f t="shared" si="157"/>
        <v>0</v>
      </c>
      <c r="EU230" s="12">
        <f t="shared" si="157"/>
        <v>0</v>
      </c>
      <c r="EV230" s="12">
        <f t="shared" si="157"/>
        <v>0</v>
      </c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>
        <v>0</v>
      </c>
    </row>
    <row r="232" spans="1:206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201</v>
      </c>
      <c r="F232" s="13">
        <f>ROUND(Source!O230,O232)</f>
        <v>134852.23000000001</v>
      </c>
      <c r="G232" s="13" t="s">
        <v>51</v>
      </c>
      <c r="H232" s="13" t="s">
        <v>52</v>
      </c>
      <c r="I232" s="13"/>
      <c r="J232" s="13"/>
      <c r="K232" s="13">
        <v>201</v>
      </c>
      <c r="L232" s="13">
        <v>1</v>
      </c>
      <c r="M232" s="13">
        <v>3</v>
      </c>
      <c r="N232" s="13" t="s">
        <v>3</v>
      </c>
      <c r="O232" s="13">
        <v>2</v>
      </c>
      <c r="P232" s="13">
        <f>ROUND(Source!DG230,O232)</f>
        <v>1033952.32</v>
      </c>
      <c r="Q232" s="13"/>
      <c r="R232" s="13"/>
      <c r="S232" s="13"/>
      <c r="T232" s="13"/>
      <c r="U232" s="13"/>
      <c r="V232" s="13"/>
      <c r="W232" s="13">
        <v>134852.23000000001</v>
      </c>
      <c r="X232" s="13">
        <v>1</v>
      </c>
      <c r="Y232" s="13">
        <v>134852.23000000001</v>
      </c>
      <c r="Z232" s="13">
        <v>1033952.32</v>
      </c>
      <c r="AA232" s="13">
        <v>1</v>
      </c>
      <c r="AB232" s="13">
        <v>1033952.32</v>
      </c>
    </row>
    <row r="233" spans="1:206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202</v>
      </c>
      <c r="F233" s="13">
        <f>ROUND(Source!P230,O233)</f>
        <v>134583.43</v>
      </c>
      <c r="G233" s="13" t="s">
        <v>53</v>
      </c>
      <c r="H233" s="13" t="s">
        <v>54</v>
      </c>
      <c r="I233" s="13"/>
      <c r="J233" s="13"/>
      <c r="K233" s="13">
        <v>202</v>
      </c>
      <c r="L233" s="13">
        <v>2</v>
      </c>
      <c r="M233" s="13">
        <v>3</v>
      </c>
      <c r="N233" s="13" t="s">
        <v>3</v>
      </c>
      <c r="O233" s="13">
        <v>2</v>
      </c>
      <c r="P233" s="13">
        <f>ROUND(Source!DH230,O233)</f>
        <v>1018830.21</v>
      </c>
      <c r="Q233" s="13"/>
      <c r="R233" s="13"/>
      <c r="S233" s="13"/>
      <c r="T233" s="13"/>
      <c r="U233" s="13"/>
      <c r="V233" s="13"/>
      <c r="W233" s="13">
        <v>134583.43</v>
      </c>
      <c r="X233" s="13">
        <v>1</v>
      </c>
      <c r="Y233" s="13">
        <v>134583.43</v>
      </c>
      <c r="Z233" s="13">
        <v>1018830.21</v>
      </c>
      <c r="AA233" s="13">
        <v>1</v>
      </c>
      <c r="AB233" s="13">
        <v>1018830.21</v>
      </c>
    </row>
    <row r="234" spans="1:206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222</v>
      </c>
      <c r="F234" s="13">
        <f>ROUND(Source!AO230,O234)</f>
        <v>0</v>
      </c>
      <c r="G234" s="13" t="s">
        <v>55</v>
      </c>
      <c r="H234" s="13" t="s">
        <v>56</v>
      </c>
      <c r="I234" s="13"/>
      <c r="J234" s="13"/>
      <c r="K234" s="13">
        <v>222</v>
      </c>
      <c r="L234" s="13">
        <v>3</v>
      </c>
      <c r="M234" s="13">
        <v>3</v>
      </c>
      <c r="N234" s="13" t="s">
        <v>3</v>
      </c>
      <c r="O234" s="13">
        <v>2</v>
      </c>
      <c r="P234" s="13">
        <f>ROUND(Source!EG230,O234)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06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225</v>
      </c>
      <c r="F235" s="13">
        <f>ROUND(Source!AV230,O235)</f>
        <v>134583.43</v>
      </c>
      <c r="G235" s="13" t="s">
        <v>57</v>
      </c>
      <c r="H235" s="13" t="s">
        <v>58</v>
      </c>
      <c r="I235" s="13"/>
      <c r="J235" s="13"/>
      <c r="K235" s="13">
        <v>225</v>
      </c>
      <c r="L235" s="13">
        <v>4</v>
      </c>
      <c r="M235" s="13">
        <v>3</v>
      </c>
      <c r="N235" s="13" t="s">
        <v>3</v>
      </c>
      <c r="O235" s="13">
        <v>2</v>
      </c>
      <c r="P235" s="13">
        <f>ROUND(Source!EN230,O235)</f>
        <v>1018830.21</v>
      </c>
      <c r="Q235" s="13"/>
      <c r="R235" s="13"/>
      <c r="S235" s="13"/>
      <c r="T235" s="13"/>
      <c r="U235" s="13"/>
      <c r="V235" s="13"/>
      <c r="W235" s="13">
        <v>134583.43</v>
      </c>
      <c r="X235" s="13">
        <v>1</v>
      </c>
      <c r="Y235" s="13">
        <v>134583.43</v>
      </c>
      <c r="Z235" s="13">
        <v>1018830.21</v>
      </c>
      <c r="AA235" s="13">
        <v>1</v>
      </c>
      <c r="AB235" s="13">
        <v>1018830.21</v>
      </c>
    </row>
    <row r="236" spans="1:206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226</v>
      </c>
      <c r="F236" s="13">
        <f>ROUND(Source!AW230,O236)</f>
        <v>105.63</v>
      </c>
      <c r="G236" s="13" t="s">
        <v>59</v>
      </c>
      <c r="H236" s="13" t="s">
        <v>60</v>
      </c>
      <c r="I236" s="13"/>
      <c r="J236" s="13"/>
      <c r="K236" s="13">
        <v>226</v>
      </c>
      <c r="L236" s="13">
        <v>5</v>
      </c>
      <c r="M236" s="13">
        <v>3</v>
      </c>
      <c r="N236" s="13" t="s">
        <v>3</v>
      </c>
      <c r="O236" s="13">
        <v>2</v>
      </c>
      <c r="P236" s="13">
        <f>ROUND(Source!EO230,O236)</f>
        <v>833.27</v>
      </c>
      <c r="Q236" s="13"/>
      <c r="R236" s="13"/>
      <c r="S236" s="13"/>
      <c r="T236" s="13"/>
      <c r="U236" s="13"/>
      <c r="V236" s="13"/>
      <c r="W236" s="13">
        <v>105.63</v>
      </c>
      <c r="X236" s="13">
        <v>1</v>
      </c>
      <c r="Y236" s="13">
        <v>105.63</v>
      </c>
      <c r="Z236" s="13">
        <v>833.27</v>
      </c>
      <c r="AA236" s="13">
        <v>1</v>
      </c>
      <c r="AB236" s="13">
        <v>833.27</v>
      </c>
    </row>
    <row r="237" spans="1:206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227</v>
      </c>
      <c r="F237" s="13">
        <f>ROUND(Source!AX230,O237)</f>
        <v>0</v>
      </c>
      <c r="G237" s="13" t="s">
        <v>61</v>
      </c>
      <c r="H237" s="13" t="s">
        <v>62</v>
      </c>
      <c r="I237" s="13"/>
      <c r="J237" s="13"/>
      <c r="K237" s="13">
        <v>227</v>
      </c>
      <c r="L237" s="13">
        <v>6</v>
      </c>
      <c r="M237" s="13">
        <v>3</v>
      </c>
      <c r="N237" s="13" t="s">
        <v>3</v>
      </c>
      <c r="O237" s="13">
        <v>2</v>
      </c>
      <c r="P237" s="13">
        <f>ROUND(Source!EP230,O237)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06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228</v>
      </c>
      <c r="F238" s="13">
        <f>ROUND(Source!AY230,O238)</f>
        <v>105.63</v>
      </c>
      <c r="G238" s="13" t="s">
        <v>63</v>
      </c>
      <c r="H238" s="13" t="s">
        <v>64</v>
      </c>
      <c r="I238" s="13"/>
      <c r="J238" s="13"/>
      <c r="K238" s="13">
        <v>228</v>
      </c>
      <c r="L238" s="13">
        <v>7</v>
      </c>
      <c r="M238" s="13">
        <v>3</v>
      </c>
      <c r="N238" s="13" t="s">
        <v>3</v>
      </c>
      <c r="O238" s="13">
        <v>2</v>
      </c>
      <c r="P238" s="13">
        <f>ROUND(Source!EQ230,O238)</f>
        <v>833.27</v>
      </c>
      <c r="Q238" s="13"/>
      <c r="R238" s="13"/>
      <c r="S238" s="13"/>
      <c r="T238" s="13"/>
      <c r="U238" s="13"/>
      <c r="V238" s="13"/>
      <c r="W238" s="13">
        <v>105.63</v>
      </c>
      <c r="X238" s="13">
        <v>1</v>
      </c>
      <c r="Y238" s="13">
        <v>105.63</v>
      </c>
      <c r="Z238" s="13">
        <v>833.27</v>
      </c>
      <c r="AA238" s="13">
        <v>1</v>
      </c>
      <c r="AB238" s="13">
        <v>833.27</v>
      </c>
    </row>
    <row r="239" spans="1:206" ht="13" x14ac:dyDescent="0.3">
      <c r="A239" s="13">
        <v>50</v>
      </c>
      <c r="B239" s="13">
        <v>0</v>
      </c>
      <c r="C239" s="13">
        <v>0</v>
      </c>
      <c r="D239" s="13">
        <v>1</v>
      </c>
      <c r="E239" s="13">
        <v>216</v>
      </c>
      <c r="F239" s="13">
        <f>ROUND(Source!AP230,O239)</f>
        <v>134477.79999999999</v>
      </c>
      <c r="G239" s="13" t="s">
        <v>65</v>
      </c>
      <c r="H239" s="13" t="s">
        <v>66</v>
      </c>
      <c r="I239" s="13"/>
      <c r="J239" s="13"/>
      <c r="K239" s="13">
        <v>216</v>
      </c>
      <c r="L239" s="13">
        <v>8</v>
      </c>
      <c r="M239" s="13">
        <v>3</v>
      </c>
      <c r="N239" s="13" t="s">
        <v>3</v>
      </c>
      <c r="O239" s="13">
        <v>2</v>
      </c>
      <c r="P239" s="13">
        <f>ROUND(Source!EH230,O239)</f>
        <v>1017996.94</v>
      </c>
      <c r="Q239" s="13"/>
      <c r="R239" s="13"/>
      <c r="S239" s="13"/>
      <c r="T239" s="13"/>
      <c r="U239" s="13"/>
      <c r="V239" s="13"/>
      <c r="W239" s="13">
        <v>134477.79999999999</v>
      </c>
      <c r="X239" s="13">
        <v>1</v>
      </c>
      <c r="Y239" s="13">
        <v>134477.79999999999</v>
      </c>
      <c r="Z239" s="13">
        <v>1017996.94</v>
      </c>
      <c r="AA239" s="13">
        <v>1</v>
      </c>
      <c r="AB239" s="13">
        <v>1017996.94</v>
      </c>
    </row>
    <row r="240" spans="1:206" ht="13" x14ac:dyDescent="0.3">
      <c r="A240" s="13">
        <v>50</v>
      </c>
      <c r="B240" s="13">
        <v>0</v>
      </c>
      <c r="C240" s="13">
        <v>0</v>
      </c>
      <c r="D240" s="13">
        <v>1</v>
      </c>
      <c r="E240" s="13">
        <v>223</v>
      </c>
      <c r="F240" s="13">
        <f>ROUND(Source!AQ230,O240)</f>
        <v>0</v>
      </c>
      <c r="G240" s="13" t="s">
        <v>67</v>
      </c>
      <c r="H240" s="13" t="s">
        <v>68</v>
      </c>
      <c r="I240" s="13"/>
      <c r="J240" s="13"/>
      <c r="K240" s="13">
        <v>223</v>
      </c>
      <c r="L240" s="13">
        <v>9</v>
      </c>
      <c r="M240" s="13">
        <v>3</v>
      </c>
      <c r="N240" s="13" t="s">
        <v>3</v>
      </c>
      <c r="O240" s="13">
        <v>2</v>
      </c>
      <c r="P240" s="13">
        <f>ROUND(Source!EI230,O240)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8" ht="13" x14ac:dyDescent="0.3">
      <c r="A241" s="13">
        <v>50</v>
      </c>
      <c r="B241" s="13">
        <v>0</v>
      </c>
      <c r="C241" s="13">
        <v>0</v>
      </c>
      <c r="D241" s="13">
        <v>1</v>
      </c>
      <c r="E241" s="13">
        <v>229</v>
      </c>
      <c r="F241" s="13">
        <f>ROUND(Source!AZ230,O241)</f>
        <v>134477.79999999999</v>
      </c>
      <c r="G241" s="13" t="s">
        <v>69</v>
      </c>
      <c r="H241" s="13" t="s">
        <v>70</v>
      </c>
      <c r="I241" s="13"/>
      <c r="J241" s="13"/>
      <c r="K241" s="13">
        <v>229</v>
      </c>
      <c r="L241" s="13">
        <v>10</v>
      </c>
      <c r="M241" s="13">
        <v>3</v>
      </c>
      <c r="N241" s="13" t="s">
        <v>3</v>
      </c>
      <c r="O241" s="13">
        <v>2</v>
      </c>
      <c r="P241" s="13">
        <f>ROUND(Source!ER230,O241)</f>
        <v>1017996.94</v>
      </c>
      <c r="Q241" s="13"/>
      <c r="R241" s="13"/>
      <c r="S241" s="13"/>
      <c r="T241" s="13"/>
      <c r="U241" s="13"/>
      <c r="V241" s="13"/>
      <c r="W241" s="13">
        <v>134477.79999999999</v>
      </c>
      <c r="X241" s="13">
        <v>1</v>
      </c>
      <c r="Y241" s="13">
        <v>134477.79999999999</v>
      </c>
      <c r="Z241" s="13">
        <v>1017996.94</v>
      </c>
      <c r="AA241" s="13">
        <v>1</v>
      </c>
      <c r="AB241" s="13">
        <v>1017996.94</v>
      </c>
    </row>
    <row r="242" spans="1:28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203</v>
      </c>
      <c r="F242" s="13">
        <f>ROUND(Source!Q230,O242)</f>
        <v>0.63</v>
      </c>
      <c r="G242" s="13" t="s">
        <v>71</v>
      </c>
      <c r="H242" s="13" t="s">
        <v>72</v>
      </c>
      <c r="I242" s="13"/>
      <c r="J242" s="13"/>
      <c r="K242" s="13">
        <v>203</v>
      </c>
      <c r="L242" s="13">
        <v>11</v>
      </c>
      <c r="M242" s="13">
        <v>3</v>
      </c>
      <c r="N242" s="13" t="s">
        <v>3</v>
      </c>
      <c r="O242" s="13">
        <v>2</v>
      </c>
      <c r="P242" s="13">
        <f>ROUND(Source!DI230,O242)</f>
        <v>10.72</v>
      </c>
      <c r="Q242" s="13"/>
      <c r="R242" s="13"/>
      <c r="S242" s="13"/>
      <c r="T242" s="13"/>
      <c r="U242" s="13"/>
      <c r="V242" s="13"/>
      <c r="W242" s="13">
        <v>0.63</v>
      </c>
      <c r="X242" s="13">
        <v>1</v>
      </c>
      <c r="Y242" s="13">
        <v>0.63</v>
      </c>
      <c r="Z242" s="13">
        <v>10.72</v>
      </c>
      <c r="AA242" s="13">
        <v>1</v>
      </c>
      <c r="AB242" s="13">
        <v>10.72</v>
      </c>
    </row>
    <row r="243" spans="1:28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231</v>
      </c>
      <c r="F243" s="13">
        <f>ROUND(Source!BB230,O243)</f>
        <v>0</v>
      </c>
      <c r="G243" s="13" t="s">
        <v>73</v>
      </c>
      <c r="H243" s="13" t="s">
        <v>74</v>
      </c>
      <c r="I243" s="13"/>
      <c r="J243" s="13"/>
      <c r="K243" s="13">
        <v>231</v>
      </c>
      <c r="L243" s="13">
        <v>12</v>
      </c>
      <c r="M243" s="13">
        <v>3</v>
      </c>
      <c r="N243" s="13" t="s">
        <v>3</v>
      </c>
      <c r="O243" s="13">
        <v>2</v>
      </c>
      <c r="P243" s="13">
        <f>ROUND(Source!ET230,O243)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8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204</v>
      </c>
      <c r="F244" s="13">
        <f>ROUND(Source!R230,O244)</f>
        <v>0.1</v>
      </c>
      <c r="G244" s="13" t="s">
        <v>75</v>
      </c>
      <c r="H244" s="13" t="s">
        <v>76</v>
      </c>
      <c r="I244" s="13"/>
      <c r="J244" s="13"/>
      <c r="K244" s="13">
        <v>204</v>
      </c>
      <c r="L244" s="13">
        <v>13</v>
      </c>
      <c r="M244" s="13">
        <v>3</v>
      </c>
      <c r="N244" s="13" t="s">
        <v>3</v>
      </c>
      <c r="O244" s="13">
        <v>2</v>
      </c>
      <c r="P244" s="13">
        <f>ROUND(Source!DJ230,O244)</f>
        <v>5.64</v>
      </c>
      <c r="Q244" s="13"/>
      <c r="R244" s="13"/>
      <c r="S244" s="13"/>
      <c r="T244" s="13"/>
      <c r="U244" s="13"/>
      <c r="V244" s="13"/>
      <c r="W244" s="13">
        <v>0.1</v>
      </c>
      <c r="X244" s="13">
        <v>1</v>
      </c>
      <c r="Y244" s="13">
        <v>0.1</v>
      </c>
      <c r="Z244" s="13">
        <v>5.64</v>
      </c>
      <c r="AA244" s="13">
        <v>1</v>
      </c>
      <c r="AB244" s="13">
        <v>5.64</v>
      </c>
    </row>
    <row r="245" spans="1:28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205</v>
      </c>
      <c r="F245" s="13">
        <f>ROUND(Source!S230,O245)</f>
        <v>268.17</v>
      </c>
      <c r="G245" s="13" t="s">
        <v>77</v>
      </c>
      <c r="H245" s="13" t="s">
        <v>78</v>
      </c>
      <c r="I245" s="13"/>
      <c r="J245" s="13"/>
      <c r="K245" s="13">
        <v>205</v>
      </c>
      <c r="L245" s="13">
        <v>14</v>
      </c>
      <c r="M245" s="13">
        <v>3</v>
      </c>
      <c r="N245" s="13" t="s">
        <v>3</v>
      </c>
      <c r="O245" s="13">
        <v>2</v>
      </c>
      <c r="P245" s="13">
        <f>ROUND(Source!DK230,O245)</f>
        <v>15111.39</v>
      </c>
      <c r="Q245" s="13"/>
      <c r="R245" s="13"/>
      <c r="S245" s="13"/>
      <c r="T245" s="13"/>
      <c r="U245" s="13"/>
      <c r="V245" s="13"/>
      <c r="W245" s="13">
        <v>268.17</v>
      </c>
      <c r="X245" s="13">
        <v>1</v>
      </c>
      <c r="Y245" s="13">
        <v>268.17</v>
      </c>
      <c r="Z245" s="13">
        <v>15111.39</v>
      </c>
      <c r="AA245" s="13">
        <v>1</v>
      </c>
      <c r="AB245" s="13">
        <v>15111.39</v>
      </c>
    </row>
    <row r="246" spans="1:28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232</v>
      </c>
      <c r="F246" s="13">
        <f>ROUND(Source!BC230,O246)</f>
        <v>0</v>
      </c>
      <c r="G246" s="13" t="s">
        <v>79</v>
      </c>
      <c r="H246" s="13" t="s">
        <v>80</v>
      </c>
      <c r="I246" s="13"/>
      <c r="J246" s="13"/>
      <c r="K246" s="13">
        <v>232</v>
      </c>
      <c r="L246" s="13">
        <v>15</v>
      </c>
      <c r="M246" s="13">
        <v>3</v>
      </c>
      <c r="N246" s="13" t="s">
        <v>3</v>
      </c>
      <c r="O246" s="13">
        <v>2</v>
      </c>
      <c r="P246" s="13">
        <f>ROUND(Source!EU230,O246)</f>
        <v>0</v>
      </c>
      <c r="Q246" s="13"/>
      <c r="R246" s="13"/>
      <c r="S246" s="13"/>
      <c r="T246" s="13"/>
      <c r="U246" s="13"/>
      <c r="V246" s="13"/>
      <c r="W246" s="13">
        <v>0</v>
      </c>
      <c r="X246" s="13">
        <v>1</v>
      </c>
      <c r="Y246" s="13">
        <v>0</v>
      </c>
      <c r="Z246" s="13">
        <v>0</v>
      </c>
      <c r="AA246" s="13">
        <v>1</v>
      </c>
      <c r="AB246" s="13">
        <v>0</v>
      </c>
    </row>
    <row r="247" spans="1:28" ht="13" x14ac:dyDescent="0.3">
      <c r="A247" s="13">
        <v>50</v>
      </c>
      <c r="B247" s="13">
        <v>0</v>
      </c>
      <c r="C247" s="13">
        <v>0</v>
      </c>
      <c r="D247" s="13">
        <v>1</v>
      </c>
      <c r="E247" s="13">
        <v>214</v>
      </c>
      <c r="F247" s="13">
        <f>ROUND(Source!AS230,O247)</f>
        <v>0</v>
      </c>
      <c r="G247" s="13" t="s">
        <v>81</v>
      </c>
      <c r="H247" s="13" t="s">
        <v>82</v>
      </c>
      <c r="I247" s="13"/>
      <c r="J247" s="13"/>
      <c r="K247" s="13">
        <v>214</v>
      </c>
      <c r="L247" s="13">
        <v>16</v>
      </c>
      <c r="M247" s="13">
        <v>3</v>
      </c>
      <c r="N247" s="13" t="s">
        <v>3</v>
      </c>
      <c r="O247" s="13">
        <v>2</v>
      </c>
      <c r="P247" s="13">
        <f>ROUND(Source!EK230,O247)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8" ht="13" x14ac:dyDescent="0.3">
      <c r="A248" s="13">
        <v>50</v>
      </c>
      <c r="B248" s="13">
        <v>0</v>
      </c>
      <c r="C248" s="13">
        <v>0</v>
      </c>
      <c r="D248" s="13">
        <v>1</v>
      </c>
      <c r="E248" s="13">
        <v>215</v>
      </c>
      <c r="F248" s="13">
        <f>ROUND(Source!AT230,O248)</f>
        <v>741.65</v>
      </c>
      <c r="G248" s="13" t="s">
        <v>83</v>
      </c>
      <c r="H248" s="13" t="s">
        <v>84</v>
      </c>
      <c r="I248" s="13"/>
      <c r="J248" s="13"/>
      <c r="K248" s="13">
        <v>215</v>
      </c>
      <c r="L248" s="13">
        <v>17</v>
      </c>
      <c r="M248" s="13">
        <v>3</v>
      </c>
      <c r="N248" s="13" t="s">
        <v>3</v>
      </c>
      <c r="O248" s="13">
        <v>2</v>
      </c>
      <c r="P248" s="13">
        <f>ROUND(Source!EL230,O248)</f>
        <v>36649.089999999997</v>
      </c>
      <c r="Q248" s="13"/>
      <c r="R248" s="13"/>
      <c r="S248" s="13"/>
      <c r="T248" s="13"/>
      <c r="U248" s="13"/>
      <c r="V248" s="13"/>
      <c r="W248" s="13">
        <v>741.65</v>
      </c>
      <c r="X248" s="13">
        <v>1</v>
      </c>
      <c r="Y248" s="13">
        <v>741.65</v>
      </c>
      <c r="Z248" s="13">
        <v>36649.089999999997</v>
      </c>
      <c r="AA248" s="13">
        <v>1</v>
      </c>
      <c r="AB248" s="13">
        <v>36649.089999999997</v>
      </c>
    </row>
    <row r="249" spans="1:28" ht="13" x14ac:dyDescent="0.3">
      <c r="A249" s="13">
        <v>50</v>
      </c>
      <c r="B249" s="13">
        <v>0</v>
      </c>
      <c r="C249" s="13">
        <v>0</v>
      </c>
      <c r="D249" s="13">
        <v>1</v>
      </c>
      <c r="E249" s="13">
        <v>217</v>
      </c>
      <c r="F249" s="13">
        <f>ROUND(Source!AU230,O249)</f>
        <v>0</v>
      </c>
      <c r="G249" s="13" t="s">
        <v>85</v>
      </c>
      <c r="H249" s="13" t="s">
        <v>86</v>
      </c>
      <c r="I249" s="13"/>
      <c r="J249" s="13"/>
      <c r="K249" s="13">
        <v>217</v>
      </c>
      <c r="L249" s="13">
        <v>18</v>
      </c>
      <c r="M249" s="13">
        <v>3</v>
      </c>
      <c r="N249" s="13" t="s">
        <v>3</v>
      </c>
      <c r="O249" s="13">
        <v>2</v>
      </c>
      <c r="P249" s="13">
        <f>ROUND(Source!EM230,O249)</f>
        <v>0</v>
      </c>
      <c r="Q249" s="13"/>
      <c r="R249" s="13"/>
      <c r="S249" s="13"/>
      <c r="T249" s="13"/>
      <c r="U249" s="13"/>
      <c r="V249" s="13"/>
      <c r="W249" s="13">
        <v>0</v>
      </c>
      <c r="X249" s="13">
        <v>1</v>
      </c>
      <c r="Y249" s="13">
        <v>0</v>
      </c>
      <c r="Z249" s="13">
        <v>0</v>
      </c>
      <c r="AA249" s="13">
        <v>1</v>
      </c>
      <c r="AB249" s="13">
        <v>0</v>
      </c>
    </row>
    <row r="250" spans="1:28" ht="13" x14ac:dyDescent="0.3">
      <c r="A250" s="13">
        <v>50</v>
      </c>
      <c r="B250" s="13">
        <v>0</v>
      </c>
      <c r="C250" s="13">
        <v>0</v>
      </c>
      <c r="D250" s="13">
        <v>1</v>
      </c>
      <c r="E250" s="13">
        <v>230</v>
      </c>
      <c r="F250" s="13">
        <f>ROUND(Source!BA230,O250)</f>
        <v>0</v>
      </c>
      <c r="G250" s="13" t="s">
        <v>87</v>
      </c>
      <c r="H250" s="13" t="s">
        <v>88</v>
      </c>
      <c r="I250" s="13"/>
      <c r="J250" s="13"/>
      <c r="K250" s="13">
        <v>230</v>
      </c>
      <c r="L250" s="13">
        <v>19</v>
      </c>
      <c r="M250" s="13">
        <v>3</v>
      </c>
      <c r="N250" s="13" t="s">
        <v>3</v>
      </c>
      <c r="O250" s="13">
        <v>2</v>
      </c>
      <c r="P250" s="13">
        <f>ROUND(Source!ES230,O250)</f>
        <v>0</v>
      </c>
      <c r="Q250" s="13"/>
      <c r="R250" s="13"/>
      <c r="S250" s="13"/>
      <c r="T250" s="13"/>
      <c r="U250" s="13"/>
      <c r="V250" s="13"/>
      <c r="W250" s="13">
        <v>0</v>
      </c>
      <c r="X250" s="13">
        <v>1</v>
      </c>
      <c r="Y250" s="13">
        <v>0</v>
      </c>
      <c r="Z250" s="13">
        <v>0</v>
      </c>
      <c r="AA250" s="13">
        <v>1</v>
      </c>
      <c r="AB250" s="13">
        <v>0</v>
      </c>
    </row>
    <row r="251" spans="1:28" ht="13" x14ac:dyDescent="0.3">
      <c r="A251" s="13">
        <v>50</v>
      </c>
      <c r="B251" s="13">
        <v>0</v>
      </c>
      <c r="C251" s="13">
        <v>0</v>
      </c>
      <c r="D251" s="13">
        <v>1</v>
      </c>
      <c r="E251" s="13">
        <v>206</v>
      </c>
      <c r="F251" s="13">
        <f>ROUND(Source!T230,O251)</f>
        <v>0</v>
      </c>
      <c r="G251" s="13" t="s">
        <v>89</v>
      </c>
      <c r="H251" s="13" t="s">
        <v>90</v>
      </c>
      <c r="I251" s="13"/>
      <c r="J251" s="13"/>
      <c r="K251" s="13">
        <v>206</v>
      </c>
      <c r="L251" s="13">
        <v>20</v>
      </c>
      <c r="M251" s="13">
        <v>3</v>
      </c>
      <c r="N251" s="13" t="s">
        <v>3</v>
      </c>
      <c r="O251" s="13">
        <v>2</v>
      </c>
      <c r="P251" s="13">
        <f>ROUND(Source!DL230,O251)</f>
        <v>0</v>
      </c>
      <c r="Q251" s="13"/>
      <c r="R251" s="13"/>
      <c r="S251" s="13"/>
      <c r="T251" s="13"/>
      <c r="U251" s="13"/>
      <c r="V251" s="13"/>
      <c r="W251" s="13">
        <v>0</v>
      </c>
      <c r="X251" s="13">
        <v>1</v>
      </c>
      <c r="Y251" s="13">
        <v>0</v>
      </c>
      <c r="Z251" s="13">
        <v>0</v>
      </c>
      <c r="AA251" s="13">
        <v>1</v>
      </c>
      <c r="AB251" s="13">
        <v>0</v>
      </c>
    </row>
    <row r="252" spans="1:28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207</v>
      </c>
      <c r="F252" s="13">
        <f>Source!U230</f>
        <v>21.315977999999998</v>
      </c>
      <c r="G252" s="13" t="s">
        <v>91</v>
      </c>
      <c r="H252" s="13" t="s">
        <v>92</v>
      </c>
      <c r="I252" s="13"/>
      <c r="J252" s="13"/>
      <c r="K252" s="13">
        <v>207</v>
      </c>
      <c r="L252" s="13">
        <v>21</v>
      </c>
      <c r="M252" s="13">
        <v>3</v>
      </c>
      <c r="N252" s="13" t="s">
        <v>3</v>
      </c>
      <c r="O252" s="13">
        <v>-1</v>
      </c>
      <c r="P252" s="13">
        <f>Source!DM230</f>
        <v>21.315977999999998</v>
      </c>
      <c r="Q252" s="13"/>
      <c r="R252" s="13"/>
      <c r="S252" s="13"/>
      <c r="T252" s="13"/>
      <c r="U252" s="13"/>
      <c r="V252" s="13"/>
      <c r="W252" s="13">
        <v>21.315978000000001</v>
      </c>
      <c r="X252" s="13">
        <v>1</v>
      </c>
      <c r="Y252" s="13">
        <v>21.315978000000001</v>
      </c>
      <c r="Z252" s="13">
        <v>21.315978000000001</v>
      </c>
      <c r="AA252" s="13">
        <v>1</v>
      </c>
      <c r="AB252" s="13">
        <v>21.315978000000001</v>
      </c>
    </row>
    <row r="253" spans="1:28" ht="13" x14ac:dyDescent="0.3">
      <c r="A253" s="13">
        <v>50</v>
      </c>
      <c r="B253" s="13">
        <v>0</v>
      </c>
      <c r="C253" s="13">
        <v>0</v>
      </c>
      <c r="D253" s="13">
        <v>1</v>
      </c>
      <c r="E253" s="13">
        <v>208</v>
      </c>
      <c r="F253" s="13">
        <f>Source!V230</f>
        <v>0</v>
      </c>
      <c r="G253" s="13" t="s">
        <v>93</v>
      </c>
      <c r="H253" s="13" t="s">
        <v>94</v>
      </c>
      <c r="I253" s="13"/>
      <c r="J253" s="13"/>
      <c r="K253" s="13">
        <v>208</v>
      </c>
      <c r="L253" s="13">
        <v>22</v>
      </c>
      <c r="M253" s="13">
        <v>3</v>
      </c>
      <c r="N253" s="13" t="s">
        <v>3</v>
      </c>
      <c r="O253" s="13">
        <v>-1</v>
      </c>
      <c r="P253" s="13">
        <f>Source!DN230</f>
        <v>0</v>
      </c>
      <c r="Q253" s="13"/>
      <c r="R253" s="13"/>
      <c r="S253" s="13"/>
      <c r="T253" s="13"/>
      <c r="U253" s="13"/>
      <c r="V253" s="13"/>
      <c r="W253" s="13">
        <v>0</v>
      </c>
      <c r="X253" s="13">
        <v>1</v>
      </c>
      <c r="Y253" s="13">
        <v>0</v>
      </c>
      <c r="Z253" s="13">
        <v>0</v>
      </c>
      <c r="AA253" s="13">
        <v>1</v>
      </c>
      <c r="AB253" s="13">
        <v>0</v>
      </c>
    </row>
    <row r="254" spans="1:28" ht="13" x14ac:dyDescent="0.3">
      <c r="A254" s="13">
        <v>50</v>
      </c>
      <c r="B254" s="13">
        <v>0</v>
      </c>
      <c r="C254" s="13">
        <v>0</v>
      </c>
      <c r="D254" s="13">
        <v>1</v>
      </c>
      <c r="E254" s="13">
        <v>209</v>
      </c>
      <c r="F254" s="13">
        <f>ROUND(Source!W230,O254)</f>
        <v>0</v>
      </c>
      <c r="G254" s="13" t="s">
        <v>95</v>
      </c>
      <c r="H254" s="13" t="s">
        <v>96</v>
      </c>
      <c r="I254" s="13"/>
      <c r="J254" s="13"/>
      <c r="K254" s="13">
        <v>209</v>
      </c>
      <c r="L254" s="13">
        <v>23</v>
      </c>
      <c r="M254" s="13">
        <v>3</v>
      </c>
      <c r="N254" s="13" t="s">
        <v>3</v>
      </c>
      <c r="O254" s="13">
        <v>2</v>
      </c>
      <c r="P254" s="13">
        <f>ROUND(Source!DO230,O254)</f>
        <v>0</v>
      </c>
      <c r="Q254" s="13"/>
      <c r="R254" s="13"/>
      <c r="S254" s="13"/>
      <c r="T254" s="13"/>
      <c r="U254" s="13"/>
      <c r="V254" s="13"/>
      <c r="W254" s="13">
        <v>0</v>
      </c>
      <c r="X254" s="13">
        <v>1</v>
      </c>
      <c r="Y254" s="13">
        <v>0</v>
      </c>
      <c r="Z254" s="13">
        <v>0</v>
      </c>
      <c r="AA254" s="13">
        <v>1</v>
      </c>
      <c r="AB254" s="13">
        <v>0</v>
      </c>
    </row>
    <row r="255" spans="1:28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233</v>
      </c>
      <c r="F255" s="13">
        <f>ROUND(Source!BD230,O255)</f>
        <v>0</v>
      </c>
      <c r="G255" s="13" t="s">
        <v>97</v>
      </c>
      <c r="H255" s="13" t="s">
        <v>98</v>
      </c>
      <c r="I255" s="13"/>
      <c r="J255" s="13"/>
      <c r="K255" s="13">
        <v>233</v>
      </c>
      <c r="L255" s="13">
        <v>24</v>
      </c>
      <c r="M255" s="13">
        <v>3</v>
      </c>
      <c r="N255" s="13" t="s">
        <v>3</v>
      </c>
      <c r="O255" s="13">
        <v>2</v>
      </c>
      <c r="P255" s="13">
        <f>ROUND(Source!EV230,O255)</f>
        <v>0</v>
      </c>
      <c r="Q255" s="13"/>
      <c r="R255" s="13"/>
      <c r="S255" s="13"/>
      <c r="T255" s="13"/>
      <c r="U255" s="13"/>
      <c r="V255" s="13"/>
      <c r="W255" s="13">
        <v>0</v>
      </c>
      <c r="X255" s="13">
        <v>1</v>
      </c>
      <c r="Y255" s="13">
        <v>0</v>
      </c>
      <c r="Z255" s="13">
        <v>0</v>
      </c>
      <c r="AA255" s="13">
        <v>1</v>
      </c>
      <c r="AB255" s="13">
        <v>0</v>
      </c>
    </row>
    <row r="256" spans="1:28" ht="13" x14ac:dyDescent="0.3">
      <c r="A256" s="13">
        <v>50</v>
      </c>
      <c r="B256" s="13">
        <v>0</v>
      </c>
      <c r="C256" s="13">
        <v>0</v>
      </c>
      <c r="D256" s="13">
        <v>1</v>
      </c>
      <c r="E256" s="13">
        <v>210</v>
      </c>
      <c r="F256" s="13">
        <f>ROUND(Source!X230,O256)</f>
        <v>242.43</v>
      </c>
      <c r="G256" s="13" t="s">
        <v>99</v>
      </c>
      <c r="H256" s="13" t="s">
        <v>100</v>
      </c>
      <c r="I256" s="13"/>
      <c r="J256" s="13"/>
      <c r="K256" s="13">
        <v>210</v>
      </c>
      <c r="L256" s="13">
        <v>25</v>
      </c>
      <c r="M256" s="13">
        <v>3</v>
      </c>
      <c r="N256" s="13" t="s">
        <v>3</v>
      </c>
      <c r="O256" s="13">
        <v>2</v>
      </c>
      <c r="P256" s="13">
        <f>ROUND(Source!DP230,O256)</f>
        <v>13661.39</v>
      </c>
      <c r="Q256" s="13"/>
      <c r="R256" s="13"/>
      <c r="S256" s="13"/>
      <c r="T256" s="13"/>
      <c r="U256" s="13"/>
      <c r="V256" s="13"/>
      <c r="W256" s="13">
        <v>242.43</v>
      </c>
      <c r="X256" s="13">
        <v>1</v>
      </c>
      <c r="Y256" s="13">
        <v>242.43</v>
      </c>
      <c r="Z256" s="13">
        <v>13661.39</v>
      </c>
      <c r="AA256" s="13">
        <v>1</v>
      </c>
      <c r="AB256" s="13">
        <v>13661.39</v>
      </c>
    </row>
    <row r="257" spans="1:50" ht="13" x14ac:dyDescent="0.3">
      <c r="A257" s="13">
        <v>50</v>
      </c>
      <c r="B257" s="13">
        <v>0</v>
      </c>
      <c r="C257" s="13">
        <v>0</v>
      </c>
      <c r="D257" s="13">
        <v>1</v>
      </c>
      <c r="E257" s="13">
        <v>211</v>
      </c>
      <c r="F257" s="13">
        <f>ROUND(Source!Y230,O257)</f>
        <v>124.79</v>
      </c>
      <c r="G257" s="13" t="s">
        <v>101</v>
      </c>
      <c r="H257" s="13" t="s">
        <v>102</v>
      </c>
      <c r="I257" s="13"/>
      <c r="J257" s="13"/>
      <c r="K257" s="13">
        <v>211</v>
      </c>
      <c r="L257" s="13">
        <v>26</v>
      </c>
      <c r="M257" s="13">
        <v>3</v>
      </c>
      <c r="N257" s="13" t="s">
        <v>3</v>
      </c>
      <c r="O257" s="13">
        <v>2</v>
      </c>
      <c r="P257" s="13">
        <f>ROUND(Source!DQ230,O257)</f>
        <v>7032.32</v>
      </c>
      <c r="Q257" s="13"/>
      <c r="R257" s="13"/>
      <c r="S257" s="13"/>
      <c r="T257" s="13"/>
      <c r="U257" s="13"/>
      <c r="V257" s="13"/>
      <c r="W257" s="13">
        <v>124.79</v>
      </c>
      <c r="X257" s="13">
        <v>1</v>
      </c>
      <c r="Y257" s="13">
        <v>124.79</v>
      </c>
      <c r="Z257" s="13">
        <v>7032.32</v>
      </c>
      <c r="AA257" s="13">
        <v>1</v>
      </c>
      <c r="AB257" s="13">
        <v>7032.32</v>
      </c>
    </row>
    <row r="258" spans="1:50" ht="13" x14ac:dyDescent="0.3">
      <c r="A258" s="13">
        <v>50</v>
      </c>
      <c r="B258" s="13">
        <v>0</v>
      </c>
      <c r="C258" s="13">
        <v>0</v>
      </c>
      <c r="D258" s="13">
        <v>1</v>
      </c>
      <c r="E258" s="13">
        <v>224</v>
      </c>
      <c r="F258" s="13">
        <f>ROUND(Source!AR230,O258)</f>
        <v>135219.45000000001</v>
      </c>
      <c r="G258" s="13" t="s">
        <v>103</v>
      </c>
      <c r="H258" s="13" t="s">
        <v>104</v>
      </c>
      <c r="I258" s="13"/>
      <c r="J258" s="13"/>
      <c r="K258" s="13">
        <v>224</v>
      </c>
      <c r="L258" s="13">
        <v>27</v>
      </c>
      <c r="M258" s="13">
        <v>3</v>
      </c>
      <c r="N258" s="13" t="s">
        <v>3</v>
      </c>
      <c r="O258" s="13">
        <v>2</v>
      </c>
      <c r="P258" s="13">
        <f>ROUND(Source!EJ230,O258)</f>
        <v>1054646.03</v>
      </c>
      <c r="Q258" s="13"/>
      <c r="R258" s="13"/>
      <c r="S258" s="13"/>
      <c r="T258" s="13"/>
      <c r="U258" s="13"/>
      <c r="V258" s="13"/>
      <c r="W258" s="13">
        <v>135219.45000000001</v>
      </c>
      <c r="X258" s="13">
        <v>1</v>
      </c>
      <c r="Y258" s="13">
        <v>135219.45000000001</v>
      </c>
      <c r="Z258" s="13">
        <v>1054646.03</v>
      </c>
      <c r="AA258" s="13">
        <v>1</v>
      </c>
      <c r="AB258" s="13">
        <v>1054646.03</v>
      </c>
    </row>
    <row r="261" spans="1:50" x14ac:dyDescent="0.25">
      <c r="A261" s="3">
        <v>70</v>
      </c>
      <c r="B261" s="3">
        <v>1</v>
      </c>
      <c r="D261" s="3">
        <v>1</v>
      </c>
      <c r="E261" s="3" t="s">
        <v>167</v>
      </c>
      <c r="F261" s="3" t="s">
        <v>168</v>
      </c>
      <c r="G261" s="3">
        <v>0</v>
      </c>
      <c r="H261" s="3">
        <v>0</v>
      </c>
      <c r="I261" s="3" t="s">
        <v>3</v>
      </c>
      <c r="J261" s="3">
        <v>1</v>
      </c>
      <c r="K261" s="3">
        <v>0</v>
      </c>
      <c r="L261" s="3" t="s">
        <v>3</v>
      </c>
      <c r="M261" s="3" t="s">
        <v>3</v>
      </c>
      <c r="N261" s="3">
        <v>0</v>
      </c>
      <c r="O261" s="3">
        <v>0</v>
      </c>
      <c r="P261" s="3" t="s">
        <v>3</v>
      </c>
    </row>
    <row r="262" spans="1:50" x14ac:dyDescent="0.25">
      <c r="A262" s="3">
        <v>70</v>
      </c>
      <c r="B262" s="3">
        <v>1</v>
      </c>
      <c r="D262" s="3">
        <v>2</v>
      </c>
      <c r="E262" s="3" t="s">
        <v>169</v>
      </c>
      <c r="F262" s="3" t="s">
        <v>170</v>
      </c>
      <c r="G262" s="3">
        <v>1</v>
      </c>
      <c r="H262" s="3">
        <v>0</v>
      </c>
      <c r="I262" s="3" t="s">
        <v>3</v>
      </c>
      <c r="J262" s="3">
        <v>1</v>
      </c>
      <c r="K262" s="3">
        <v>0</v>
      </c>
      <c r="L262" s="3" t="s">
        <v>3</v>
      </c>
      <c r="M262" s="3" t="s">
        <v>3</v>
      </c>
      <c r="N262" s="3">
        <v>0</v>
      </c>
      <c r="O262" s="3">
        <v>1</v>
      </c>
      <c r="P262" s="3" t="s">
        <v>3</v>
      </c>
    </row>
    <row r="263" spans="1:50" x14ac:dyDescent="0.25">
      <c r="A263" s="3">
        <v>70</v>
      </c>
      <c r="B263" s="3">
        <v>1</v>
      </c>
      <c r="D263" s="3">
        <v>3</v>
      </c>
      <c r="E263" s="3" t="s">
        <v>171</v>
      </c>
      <c r="F263" s="3" t="s">
        <v>172</v>
      </c>
      <c r="G263" s="3">
        <v>0</v>
      </c>
      <c r="H263" s="3">
        <v>0</v>
      </c>
      <c r="I263" s="3" t="s">
        <v>3</v>
      </c>
      <c r="J263" s="3">
        <v>0</v>
      </c>
      <c r="K263" s="3">
        <v>0</v>
      </c>
      <c r="L263" s="3" t="s">
        <v>3</v>
      </c>
      <c r="M263" s="3" t="s">
        <v>3</v>
      </c>
      <c r="N263" s="3">
        <v>0</v>
      </c>
      <c r="O263" s="3">
        <v>0</v>
      </c>
      <c r="P263" s="3" t="s">
        <v>3</v>
      </c>
    </row>
    <row r="264" spans="1:50" x14ac:dyDescent="0.25">
      <c r="A264" s="3">
        <v>70</v>
      </c>
      <c r="B264" s="3">
        <v>1</v>
      </c>
      <c r="D264" s="3">
        <v>4</v>
      </c>
      <c r="E264" s="3" t="s">
        <v>173</v>
      </c>
      <c r="F264" s="3" t="s">
        <v>174</v>
      </c>
      <c r="G264" s="3">
        <v>1</v>
      </c>
      <c r="H264" s="3">
        <v>0</v>
      </c>
      <c r="I264" s="3" t="s">
        <v>3</v>
      </c>
      <c r="J264" s="3">
        <v>0</v>
      </c>
      <c r="K264" s="3">
        <v>0</v>
      </c>
      <c r="L264" s="3" t="s">
        <v>3</v>
      </c>
      <c r="M264" s="3" t="s">
        <v>3</v>
      </c>
      <c r="N264" s="3">
        <v>0</v>
      </c>
      <c r="O264" s="3">
        <v>1</v>
      </c>
      <c r="P264" s="3" t="s">
        <v>3</v>
      </c>
    </row>
    <row r="265" spans="1:50" x14ac:dyDescent="0.25">
      <c r="A265" s="3">
        <v>70</v>
      </c>
      <c r="B265" s="3">
        <v>1</v>
      </c>
      <c r="D265" s="3">
        <v>5</v>
      </c>
      <c r="E265" s="3" t="s">
        <v>175</v>
      </c>
      <c r="F265" s="3" t="s">
        <v>176</v>
      </c>
      <c r="G265" s="3">
        <v>1</v>
      </c>
      <c r="H265" s="3">
        <v>0</v>
      </c>
      <c r="I265" s="3" t="s">
        <v>3</v>
      </c>
      <c r="J265" s="3">
        <v>0</v>
      </c>
      <c r="K265" s="3">
        <v>0</v>
      </c>
      <c r="L265" s="3" t="s">
        <v>3</v>
      </c>
      <c r="M265" s="3" t="s">
        <v>3</v>
      </c>
      <c r="N265" s="3">
        <v>0</v>
      </c>
      <c r="O265" s="3">
        <v>1</v>
      </c>
      <c r="P265" s="3" t="s">
        <v>3</v>
      </c>
    </row>
    <row r="266" spans="1:50" x14ac:dyDescent="0.25">
      <c r="A266" s="3">
        <v>70</v>
      </c>
      <c r="B266" s="3">
        <v>1</v>
      </c>
      <c r="D266" s="3">
        <v>6</v>
      </c>
      <c r="E266" s="3" t="s">
        <v>177</v>
      </c>
      <c r="F266" s="3" t="s">
        <v>178</v>
      </c>
      <c r="G266" s="3">
        <v>0</v>
      </c>
      <c r="H266" s="3">
        <v>0</v>
      </c>
      <c r="I266" s="3" t="s">
        <v>3</v>
      </c>
      <c r="J266" s="3">
        <v>0</v>
      </c>
      <c r="K266" s="3">
        <v>0</v>
      </c>
      <c r="L266" s="3" t="s">
        <v>3</v>
      </c>
      <c r="M266" s="3" t="s">
        <v>3</v>
      </c>
      <c r="N266" s="3">
        <v>0</v>
      </c>
      <c r="O266" s="3">
        <v>0</v>
      </c>
      <c r="P266" s="3" t="s">
        <v>3</v>
      </c>
    </row>
    <row r="267" spans="1:50" x14ac:dyDescent="0.25">
      <c r="A267" s="3">
        <v>70</v>
      </c>
      <c r="B267" s="3">
        <v>1</v>
      </c>
      <c r="D267" s="3">
        <v>7</v>
      </c>
      <c r="E267" s="3" t="s">
        <v>179</v>
      </c>
      <c r="F267" s="3" t="s">
        <v>180</v>
      </c>
      <c r="G267" s="3">
        <v>0</v>
      </c>
      <c r="H267" s="3">
        <v>0</v>
      </c>
      <c r="I267" s="3" t="s">
        <v>3</v>
      </c>
      <c r="J267" s="3">
        <v>0</v>
      </c>
      <c r="K267" s="3">
        <v>0</v>
      </c>
      <c r="L267" s="3" t="s">
        <v>3</v>
      </c>
      <c r="M267" s="3" t="s">
        <v>3</v>
      </c>
      <c r="N267" s="3">
        <v>0</v>
      </c>
      <c r="O267" s="3">
        <v>0</v>
      </c>
      <c r="P267" s="3" t="s">
        <v>3</v>
      </c>
    </row>
    <row r="269" spans="1:50" x14ac:dyDescent="0.25">
      <c r="A269" s="3">
        <v>-1</v>
      </c>
    </row>
    <row r="271" spans="1:50" ht="13" x14ac:dyDescent="0.3">
      <c r="A271" s="12">
        <v>75</v>
      </c>
      <c r="B271" s="12" t="s">
        <v>181</v>
      </c>
      <c r="C271" s="12">
        <v>2026</v>
      </c>
      <c r="D271" s="12">
        <v>1</v>
      </c>
      <c r="E271" s="12">
        <v>0</v>
      </c>
      <c r="F271" s="12"/>
      <c r="G271" s="12">
        <v>0</v>
      </c>
      <c r="H271" s="12">
        <v>1</v>
      </c>
      <c r="I271" s="12">
        <v>1</v>
      </c>
      <c r="J271" s="12">
        <v>1</v>
      </c>
      <c r="K271" s="12">
        <v>0</v>
      </c>
      <c r="L271" s="12">
        <v>0</v>
      </c>
      <c r="M271" s="12">
        <v>1</v>
      </c>
      <c r="N271" s="12">
        <v>55942968</v>
      </c>
      <c r="O271" s="12">
        <v>1</v>
      </c>
    </row>
    <row r="272" spans="1:50" x14ac:dyDescent="0.25">
      <c r="A272" s="14">
        <v>1</v>
      </c>
      <c r="B272" s="14" t="s">
        <v>182</v>
      </c>
      <c r="C272" s="14" t="s">
        <v>183</v>
      </c>
      <c r="D272" s="14">
        <v>2026</v>
      </c>
      <c r="E272" s="14">
        <v>1</v>
      </c>
      <c r="F272" s="14">
        <v>1</v>
      </c>
      <c r="G272" s="14">
        <v>1</v>
      </c>
      <c r="H272" s="14">
        <v>0</v>
      </c>
      <c r="I272" s="14">
        <v>2</v>
      </c>
      <c r="J272" s="14">
        <v>1</v>
      </c>
      <c r="K272" s="14">
        <v>9.84</v>
      </c>
      <c r="L272" s="14">
        <v>7.57</v>
      </c>
      <c r="M272" s="14">
        <v>1</v>
      </c>
      <c r="N272" s="14">
        <v>1</v>
      </c>
      <c r="O272" s="14">
        <v>9.84</v>
      </c>
      <c r="P272" s="14">
        <v>7.57</v>
      </c>
      <c r="Q272" s="14">
        <v>1</v>
      </c>
      <c r="R272" s="14" t="s">
        <v>3</v>
      </c>
      <c r="S272" s="14" t="s">
        <v>3</v>
      </c>
      <c r="T272" s="14" t="s">
        <v>3</v>
      </c>
      <c r="U272" s="14" t="s">
        <v>3</v>
      </c>
      <c r="V272" s="14" t="s">
        <v>3</v>
      </c>
      <c r="W272" s="14" t="s">
        <v>3</v>
      </c>
      <c r="X272" s="14" t="s">
        <v>3</v>
      </c>
      <c r="Y272" s="14" t="s">
        <v>3</v>
      </c>
      <c r="Z272" s="14" t="s">
        <v>3</v>
      </c>
      <c r="AA272" s="14" t="s">
        <v>184</v>
      </c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>
        <v>55942969</v>
      </c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</row>
    <row r="273" spans="1:50" x14ac:dyDescent="0.25">
      <c r="A273" s="14">
        <v>1</v>
      </c>
      <c r="B273" s="14" t="s">
        <v>182</v>
      </c>
      <c r="C273" s="14" t="s">
        <v>185</v>
      </c>
      <c r="D273" s="14">
        <v>2026</v>
      </c>
      <c r="E273" s="14">
        <v>1</v>
      </c>
      <c r="F273" s="14">
        <v>1</v>
      </c>
      <c r="G273" s="14">
        <v>1</v>
      </c>
      <c r="H273" s="14">
        <v>0</v>
      </c>
      <c r="I273" s="14">
        <v>2</v>
      </c>
      <c r="J273" s="14">
        <v>1</v>
      </c>
      <c r="K273" s="14">
        <v>9.84</v>
      </c>
      <c r="L273" s="14">
        <v>7.57</v>
      </c>
      <c r="M273" s="14">
        <v>1</v>
      </c>
      <c r="N273" s="14">
        <v>1</v>
      </c>
      <c r="O273" s="14">
        <v>9.84</v>
      </c>
      <c r="P273" s="14">
        <v>7.57</v>
      </c>
      <c r="Q273" s="14">
        <v>1</v>
      </c>
      <c r="R273" s="14" t="s">
        <v>3</v>
      </c>
      <c r="S273" s="14" t="s">
        <v>3</v>
      </c>
      <c r="T273" s="14" t="s">
        <v>3</v>
      </c>
      <c r="U273" s="14" t="s">
        <v>3</v>
      </c>
      <c r="V273" s="14" t="s">
        <v>3</v>
      </c>
      <c r="W273" s="14" t="s">
        <v>3</v>
      </c>
      <c r="X273" s="14" t="s">
        <v>3</v>
      </c>
      <c r="Y273" s="14" t="s">
        <v>3</v>
      </c>
      <c r="Z273" s="14" t="s">
        <v>3</v>
      </c>
      <c r="AA273" s="14" t="s">
        <v>186</v>
      </c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>
        <v>55942970</v>
      </c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</row>
    <row r="274" spans="1:50" ht="13" x14ac:dyDescent="0.3">
      <c r="A274" s="12">
        <v>75</v>
      </c>
      <c r="B274" s="12" t="s">
        <v>187</v>
      </c>
      <c r="C274" s="12">
        <v>2000</v>
      </c>
      <c r="D274" s="12">
        <v>0</v>
      </c>
      <c r="E274" s="12">
        <v>1</v>
      </c>
      <c r="F274" s="12">
        <v>0</v>
      </c>
      <c r="G274" s="12">
        <v>0</v>
      </c>
      <c r="H274" s="12">
        <v>1</v>
      </c>
      <c r="I274" s="12">
        <v>1</v>
      </c>
      <c r="J274" s="12">
        <v>3</v>
      </c>
      <c r="K274" s="12">
        <v>0</v>
      </c>
      <c r="L274" s="12">
        <v>0</v>
      </c>
      <c r="M274" s="12">
        <v>0</v>
      </c>
      <c r="N274" s="12">
        <v>55942966</v>
      </c>
      <c r="O274" s="12">
        <v>2</v>
      </c>
    </row>
    <row r="275" spans="1:50" x14ac:dyDescent="0.25">
      <c r="A275" s="14">
        <v>1</v>
      </c>
      <c r="B275" s="14" t="s">
        <v>182</v>
      </c>
      <c r="C275" s="14" t="s">
        <v>183</v>
      </c>
      <c r="D275" s="14">
        <v>2000</v>
      </c>
      <c r="E275" s="14">
        <v>1</v>
      </c>
      <c r="F275" s="14">
        <v>1</v>
      </c>
      <c r="G275" s="14">
        <v>1</v>
      </c>
      <c r="H275" s="14">
        <v>0</v>
      </c>
      <c r="I275" s="14">
        <v>2</v>
      </c>
      <c r="J275" s="14">
        <v>1</v>
      </c>
      <c r="K275" s="14">
        <v>1</v>
      </c>
      <c r="L275" s="14">
        <v>1</v>
      </c>
      <c r="M275" s="14">
        <v>1</v>
      </c>
      <c r="N275" s="14">
        <v>1</v>
      </c>
      <c r="O275" s="14">
        <v>1</v>
      </c>
      <c r="P275" s="14">
        <v>1</v>
      </c>
      <c r="Q275" s="14">
        <v>1</v>
      </c>
      <c r="R275" s="14" t="s">
        <v>3</v>
      </c>
      <c r="S275" s="14" t="s">
        <v>3</v>
      </c>
      <c r="T275" s="14" t="s">
        <v>3</v>
      </c>
      <c r="U275" s="14" t="s">
        <v>3</v>
      </c>
      <c r="V275" s="14" t="s">
        <v>3</v>
      </c>
      <c r="W275" s="14" t="s">
        <v>3</v>
      </c>
      <c r="X275" s="14" t="s">
        <v>3</v>
      </c>
      <c r="Y275" s="14" t="s">
        <v>3</v>
      </c>
      <c r="Z275" s="14" t="s">
        <v>3</v>
      </c>
      <c r="AA275" s="14" t="s">
        <v>188</v>
      </c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>
        <v>55942967</v>
      </c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</row>
    <row r="279" spans="1:50" x14ac:dyDescent="0.25">
      <c r="A279" s="3">
        <v>65</v>
      </c>
      <c r="C279" s="3">
        <v>1</v>
      </c>
      <c r="D279" s="3">
        <v>0</v>
      </c>
      <c r="E279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189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4097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10</v>
      </c>
      <c r="AC12" s="1" t="s">
        <v>11</v>
      </c>
      <c r="AD12" s="1" t="s">
        <v>12</v>
      </c>
      <c r="AE12" s="1" t="s">
        <v>13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14</v>
      </c>
      <c r="BI12" s="1" t="s">
        <v>15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16</v>
      </c>
      <c r="BZ12" s="1" t="s">
        <v>17</v>
      </c>
      <c r="CA12" s="1" t="s">
        <v>18</v>
      </c>
      <c r="CB12" s="1" t="s">
        <v>18</v>
      </c>
      <c r="CC12" s="1" t="s">
        <v>18</v>
      </c>
      <c r="CD12" s="1" t="s">
        <v>18</v>
      </c>
      <c r="CE12" s="1" t="s">
        <v>19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20</v>
      </c>
      <c r="CR12" s="1" t="s">
        <v>21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55942968</v>
      </c>
      <c r="E14" s="1">
        <v>55942966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22</v>
      </c>
      <c r="E16" s="8">
        <f>ROUND((Source!P217)/1000,2)</f>
        <v>0</v>
      </c>
      <c r="F16" s="8">
        <f>ROUND((Source!P218)/1000,2)</f>
        <v>36.65</v>
      </c>
      <c r="G16" s="8">
        <f>ROUND((Source!P209)/1000,2)</f>
        <v>1018</v>
      </c>
      <c r="H16" s="8">
        <f>ROUND((Source!P219)/1000+(Source!P220)/1000,2)</f>
        <v>0</v>
      </c>
      <c r="I16" s="8">
        <f>E16+F16+G16+H16</f>
        <v>1054.6500000000001</v>
      </c>
      <c r="J16" s="8">
        <f>ROUND((Source!P215+Source!P214)/1000,2)</f>
        <v>15.12</v>
      </c>
      <c r="K16" s="8">
        <v>2052.7800000000002</v>
      </c>
      <c r="L16" s="8">
        <v>0</v>
      </c>
      <c r="M16" s="8">
        <v>0</v>
      </c>
      <c r="N16" s="8">
        <f>I16+L16+M16</f>
        <v>1054.6500000000001</v>
      </c>
      <c r="T16" s="9">
        <f>ROUND((Source!F217)/1000,2)</f>
        <v>0</v>
      </c>
      <c r="U16" s="9">
        <f>ROUND((Source!F218)/1000,2)</f>
        <v>0.74</v>
      </c>
      <c r="V16" s="9">
        <f>ROUND((Source!F209)/1000,2)</f>
        <v>134.47999999999999</v>
      </c>
      <c r="W16" s="9">
        <f>ROUND((Source!F219)/1000+(Source!F220)/1000,2)</f>
        <v>0</v>
      </c>
      <c r="X16" s="9">
        <f>T16+U16+V16+W16</f>
        <v>135.22</v>
      </c>
      <c r="Y16" s="9">
        <f>ROUND((Source!F215+Source!F214)/1000,2)</f>
        <v>0.27</v>
      </c>
      <c r="Z16" s="9">
        <v>269.44</v>
      </c>
      <c r="AA16" s="9">
        <v>0</v>
      </c>
      <c r="AB16" s="9">
        <v>0</v>
      </c>
      <c r="AC16" s="9">
        <f>X16+AA16+AB16</f>
        <v>135.22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1033952.32</v>
      </c>
      <c r="AU16" s="8">
        <v>1018830.21</v>
      </c>
      <c r="AV16" s="8">
        <v>0</v>
      </c>
      <c r="AW16" s="8">
        <v>1017996.94</v>
      </c>
      <c r="AX16" s="8">
        <v>0</v>
      </c>
      <c r="AY16" s="8">
        <v>10.72</v>
      </c>
      <c r="AZ16" s="8">
        <v>5.64</v>
      </c>
      <c r="BA16" s="8">
        <v>15111.39</v>
      </c>
      <c r="BB16" s="8">
        <v>0</v>
      </c>
      <c r="BC16" s="8">
        <v>36649.089999999997</v>
      </c>
      <c r="BD16" s="8">
        <v>0</v>
      </c>
      <c r="BE16" s="8">
        <v>0</v>
      </c>
      <c r="BF16" s="8">
        <v>21.315978000000001</v>
      </c>
      <c r="BG16" s="8">
        <v>0</v>
      </c>
      <c r="BH16" s="8">
        <v>0</v>
      </c>
      <c r="BI16" s="8">
        <v>13661.39</v>
      </c>
      <c r="BJ16" s="8">
        <v>7032.32</v>
      </c>
      <c r="BK16" s="8">
        <v>1054646.03</v>
      </c>
      <c r="BR16" s="9">
        <v>134852.23000000001</v>
      </c>
      <c r="BS16" s="9">
        <v>134583.43</v>
      </c>
      <c r="BT16" s="9">
        <v>0</v>
      </c>
      <c r="BU16" s="9">
        <v>134477.79999999999</v>
      </c>
      <c r="BV16" s="9">
        <v>0</v>
      </c>
      <c r="BW16" s="9">
        <v>0.63</v>
      </c>
      <c r="BX16" s="9">
        <v>0.1</v>
      </c>
      <c r="BY16" s="9">
        <v>268.17</v>
      </c>
      <c r="BZ16" s="9">
        <v>0</v>
      </c>
      <c r="CA16" s="9">
        <v>741.65</v>
      </c>
      <c r="CB16" s="9">
        <v>0</v>
      </c>
      <c r="CC16" s="9">
        <v>0</v>
      </c>
      <c r="CD16" s="9">
        <v>21.315978000000001</v>
      </c>
      <c r="CE16" s="9">
        <v>0</v>
      </c>
      <c r="CF16" s="9">
        <v>0</v>
      </c>
      <c r="CG16" s="9">
        <v>242.43</v>
      </c>
      <c r="CH16" s="9">
        <v>124.79</v>
      </c>
      <c r="CI16" s="9">
        <v>135219.45000000001</v>
      </c>
    </row>
    <row r="18" spans="1:29" x14ac:dyDescent="0.25">
      <c r="A18">
        <v>51</v>
      </c>
      <c r="E18">
        <v>0</v>
      </c>
      <c r="F18">
        <v>36.65</v>
      </c>
      <c r="G18">
        <v>1018</v>
      </c>
      <c r="H18">
        <v>0</v>
      </c>
      <c r="I18">
        <v>1054.6500000000001</v>
      </c>
      <c r="J18">
        <v>15.12</v>
      </c>
      <c r="K18">
        <v>2052.7800000000002</v>
      </c>
      <c r="L18">
        <v>0</v>
      </c>
      <c r="M18">
        <v>0</v>
      </c>
      <c r="N18">
        <v>1054.6500000000001</v>
      </c>
      <c r="T18">
        <v>0</v>
      </c>
      <c r="U18">
        <v>0.74</v>
      </c>
      <c r="V18">
        <v>134.47999999999999</v>
      </c>
      <c r="W18">
        <v>0</v>
      </c>
      <c r="X18">
        <v>135.22</v>
      </c>
      <c r="Y18">
        <v>0.27</v>
      </c>
      <c r="Z18">
        <v>269.44</v>
      </c>
      <c r="AA18">
        <v>0</v>
      </c>
      <c r="AB18">
        <v>0</v>
      </c>
      <c r="AC18">
        <v>135.22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1033952.32</v>
      </c>
      <c r="G20" s="5" t="s">
        <v>51</v>
      </c>
      <c r="H20" s="5" t="s">
        <v>52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134852.23000000001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1018830.21</v>
      </c>
      <c r="G21" s="5" t="s">
        <v>53</v>
      </c>
      <c r="H21" s="5" t="s">
        <v>54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134583.43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55</v>
      </c>
      <c r="H22" s="5" t="s">
        <v>56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1018830.21</v>
      </c>
      <c r="G23" s="5" t="s">
        <v>57</v>
      </c>
      <c r="H23" s="5" t="s">
        <v>58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134583.43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833.27</v>
      </c>
      <c r="G24" s="5" t="s">
        <v>59</v>
      </c>
      <c r="H24" s="5" t="s">
        <v>60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105.63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61</v>
      </c>
      <c r="H25" s="5" t="s">
        <v>62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833.27</v>
      </c>
      <c r="G26" s="5" t="s">
        <v>63</v>
      </c>
      <c r="H26" s="5" t="s">
        <v>64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105.63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1017996.94</v>
      </c>
      <c r="G27" s="5" t="s">
        <v>65</v>
      </c>
      <c r="H27" s="5" t="s">
        <v>66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134477.79999999999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67</v>
      </c>
      <c r="H28" s="5" t="s">
        <v>68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1017996.94</v>
      </c>
      <c r="G29" s="5" t="s">
        <v>69</v>
      </c>
      <c r="H29" s="5" t="s">
        <v>70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134477.79999999999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10.72</v>
      </c>
      <c r="G30" s="5" t="s">
        <v>71</v>
      </c>
      <c r="H30" s="5" t="s">
        <v>72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0.63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73</v>
      </c>
      <c r="H31" s="5" t="s">
        <v>74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5.64</v>
      </c>
      <c r="G32" s="5" t="s">
        <v>75</v>
      </c>
      <c r="H32" s="5" t="s">
        <v>76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0.1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15111.39</v>
      </c>
      <c r="G33" s="5" t="s">
        <v>77</v>
      </c>
      <c r="H33" s="5" t="s">
        <v>78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268.17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79</v>
      </c>
      <c r="H34" s="5" t="s">
        <v>80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81</v>
      </c>
      <c r="H35" s="5" t="s">
        <v>82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36649.089999999997</v>
      </c>
      <c r="G36" s="5" t="s">
        <v>83</v>
      </c>
      <c r="H36" s="5" t="s">
        <v>84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741.65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85</v>
      </c>
      <c r="H37" s="5" t="s">
        <v>86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87</v>
      </c>
      <c r="H38" s="5" t="s">
        <v>88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89</v>
      </c>
      <c r="H39" s="5" t="s">
        <v>90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21.315978000000001</v>
      </c>
      <c r="G40" s="5" t="s">
        <v>91</v>
      </c>
      <c r="H40" s="5" t="s">
        <v>92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21.315978000000001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93</v>
      </c>
      <c r="H41" s="5" t="s">
        <v>94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95</v>
      </c>
      <c r="H42" s="5" t="s">
        <v>96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97</v>
      </c>
      <c r="H43" s="5" t="s">
        <v>98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13661.39</v>
      </c>
      <c r="G44" s="5" t="s">
        <v>99</v>
      </c>
      <c r="H44" s="5" t="s">
        <v>100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242.43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7032.32</v>
      </c>
      <c r="G45" s="5" t="s">
        <v>101</v>
      </c>
      <c r="H45" s="5" t="s">
        <v>102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124.79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1054646.03</v>
      </c>
      <c r="G46" s="5" t="s">
        <v>103</v>
      </c>
      <c r="H46" s="5" t="s">
        <v>104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135219.45000000001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181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55942968</v>
      </c>
      <c r="O51" s="4">
        <v>1</v>
      </c>
    </row>
    <row r="52" spans="1:50" x14ac:dyDescent="0.25">
      <c r="A52" s="6">
        <v>1</v>
      </c>
      <c r="B52" s="6" t="s">
        <v>182</v>
      </c>
      <c r="C52" s="6" t="s">
        <v>183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184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55942969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182</v>
      </c>
      <c r="C53" s="6" t="s">
        <v>185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9.84</v>
      </c>
      <c r="L53" s="6">
        <v>7.57</v>
      </c>
      <c r="M53" s="6">
        <v>1</v>
      </c>
      <c r="N53" s="6">
        <v>1</v>
      </c>
      <c r="O53" s="6">
        <v>9.84</v>
      </c>
      <c r="P53" s="6">
        <v>7.57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186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55942970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187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55942966</v>
      </c>
      <c r="O54" s="4">
        <v>2</v>
      </c>
    </row>
    <row r="55" spans="1:50" x14ac:dyDescent="0.25">
      <c r="A55" s="6">
        <v>1</v>
      </c>
      <c r="B55" s="6" t="s">
        <v>182</v>
      </c>
      <c r="C55" s="6" t="s">
        <v>183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188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55942967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55942966</v>
      </c>
      <c r="C1">
        <v>55984400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190</v>
      </c>
      <c r="J1" t="s">
        <v>3</v>
      </c>
      <c r="K1" t="s">
        <v>191</v>
      </c>
      <c r="L1">
        <v>1191</v>
      </c>
      <c r="N1">
        <v>1013</v>
      </c>
      <c r="O1" t="s">
        <v>192</v>
      </c>
      <c r="P1" t="s">
        <v>192</v>
      </c>
      <c r="Q1">
        <v>1</v>
      </c>
      <c r="W1">
        <v>0</v>
      </c>
      <c r="X1">
        <v>476480486</v>
      </c>
      <c r="Y1">
        <f>((AT1*1.2)*0.3)</f>
        <v>1.0799999999999998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</v>
      </c>
      <c r="AU1" t="s">
        <v>31</v>
      </c>
      <c r="AV1">
        <v>1</v>
      </c>
      <c r="AW1">
        <v>2</v>
      </c>
      <c r="AX1">
        <v>55985162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1.08</v>
      </c>
      <c r="CW1">
        <v>0</v>
      </c>
      <c r="CX1">
        <f>ROUND(Y1*Source!I28,9)</f>
        <v>1.08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>ROUND(ROUND(AE1,2)*CX1,2)</f>
        <v>0</v>
      </c>
      <c r="DG1">
        <f t="shared" ref="DG1:DG31" si="0">ROUND(ROUND(AF1,2)*CX1,2)</f>
        <v>0</v>
      </c>
      <c r="DH1">
        <f t="shared" ref="DH1:DH31" si="1">ROUND(ROUND(AG1,2)*CX1,2)</f>
        <v>0</v>
      </c>
      <c r="DI1">
        <f t="shared" ref="DI1:DI32" si="2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55942966</v>
      </c>
      <c r="C2">
        <v>55984400</v>
      </c>
      <c r="D2">
        <v>55459261</v>
      </c>
      <c r="E2">
        <v>1</v>
      </c>
      <c r="F2">
        <v>1</v>
      </c>
      <c r="G2">
        <v>1081</v>
      </c>
      <c r="H2">
        <v>3</v>
      </c>
      <c r="I2" t="s">
        <v>193</v>
      </c>
      <c r="J2" t="s">
        <v>194</v>
      </c>
      <c r="K2" t="s">
        <v>195</v>
      </c>
      <c r="L2">
        <v>1348</v>
      </c>
      <c r="N2">
        <v>1009</v>
      </c>
      <c r="O2" t="s">
        <v>196</v>
      </c>
      <c r="P2" t="s">
        <v>196</v>
      </c>
      <c r="Q2">
        <v>1000</v>
      </c>
      <c r="W2">
        <v>0</v>
      </c>
      <c r="X2">
        <v>-2092697376</v>
      </c>
      <c r="Y2">
        <f>((AT2*1)*0)</f>
        <v>0</v>
      </c>
      <c r="AA2">
        <v>1219.68</v>
      </c>
      <c r="AB2">
        <v>0</v>
      </c>
      <c r="AC2">
        <v>0</v>
      </c>
      <c r="AD2">
        <v>0</v>
      </c>
      <c r="AE2">
        <v>1219.68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1E-4</v>
      </c>
      <c r="AU2" t="s">
        <v>30</v>
      </c>
      <c r="AV2">
        <v>0</v>
      </c>
      <c r="AW2">
        <v>2</v>
      </c>
      <c r="AX2">
        <v>55985163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0</v>
      </c>
      <c r="CY2">
        <f>AA2</f>
        <v>1219.68</v>
      </c>
      <c r="CZ2">
        <f>AE2</f>
        <v>1219.68</v>
      </c>
      <c r="DA2">
        <f>AI2</f>
        <v>1</v>
      </c>
      <c r="DB2">
        <f>ROUND(((ROUND(AT2*CZ2,2)*1)*0),6)</f>
        <v>0</v>
      </c>
      <c r="DC2">
        <f>ROUND(((ROUND(AT2*AG2,2)*1)*0),6)</f>
        <v>0</v>
      </c>
      <c r="DD2" t="s">
        <v>3</v>
      </c>
      <c r="DE2" t="s">
        <v>3</v>
      </c>
      <c r="DF2">
        <f>ROUND(ROUND(AE2,2)*CX2,2)</f>
        <v>0</v>
      </c>
      <c r="DG2">
        <f t="shared" si="0"/>
        <v>0</v>
      </c>
      <c r="DH2">
        <f t="shared" si="1"/>
        <v>0</v>
      </c>
      <c r="DI2">
        <f t="shared" si="2"/>
        <v>0</v>
      </c>
      <c r="DJ2">
        <f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ROW(Source!A28)</f>
        <v>28</v>
      </c>
      <c r="B3">
        <v>55942966</v>
      </c>
      <c r="C3">
        <v>55984400</v>
      </c>
      <c r="D3">
        <v>55461880</v>
      </c>
      <c r="E3">
        <v>1</v>
      </c>
      <c r="F3">
        <v>1</v>
      </c>
      <c r="G3">
        <v>1081</v>
      </c>
      <c r="H3">
        <v>3</v>
      </c>
      <c r="I3" t="s">
        <v>197</v>
      </c>
      <c r="J3" t="s">
        <v>198</v>
      </c>
      <c r="K3" t="s">
        <v>199</v>
      </c>
      <c r="L3">
        <v>1355</v>
      </c>
      <c r="N3">
        <v>1010</v>
      </c>
      <c r="O3" t="s">
        <v>200</v>
      </c>
      <c r="P3" t="s">
        <v>200</v>
      </c>
      <c r="Q3">
        <v>100</v>
      </c>
      <c r="W3">
        <v>0</v>
      </c>
      <c r="X3">
        <v>1440323189</v>
      </c>
      <c r="Y3">
        <f>((AT3*1)*0)</f>
        <v>0</v>
      </c>
      <c r="AA3">
        <v>10.89</v>
      </c>
      <c r="AB3">
        <v>0</v>
      </c>
      <c r="AC3">
        <v>0</v>
      </c>
      <c r="AD3">
        <v>0</v>
      </c>
      <c r="AE3">
        <v>10.89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3.0700000000000002E-2</v>
      </c>
      <c r="AU3" t="s">
        <v>30</v>
      </c>
      <c r="AV3">
        <v>0</v>
      </c>
      <c r="AW3">
        <v>2</v>
      </c>
      <c r="AX3">
        <v>55985164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</v>
      </c>
      <c r="CY3">
        <f>AA3</f>
        <v>10.89</v>
      </c>
      <c r="CZ3">
        <f>AE3</f>
        <v>10.89</v>
      </c>
      <c r="DA3">
        <f>AI3</f>
        <v>1</v>
      </c>
      <c r="DB3">
        <f>ROUND(((ROUND(AT3*CZ3,2)*1)*0),6)</f>
        <v>0</v>
      </c>
      <c r="DC3">
        <f>ROUND(((ROUND(AT3*AG3,2)*1)*0),6)</f>
        <v>0</v>
      </c>
      <c r="DD3" t="s">
        <v>3</v>
      </c>
      <c r="DE3" t="s">
        <v>3</v>
      </c>
      <c r="DF3">
        <f>ROUND(ROUND(AE3,2)*CX3,2)</f>
        <v>0</v>
      </c>
      <c r="DG3">
        <f t="shared" si="0"/>
        <v>0</v>
      </c>
      <c r="DH3">
        <f t="shared" si="1"/>
        <v>0</v>
      </c>
      <c r="DI3">
        <f t="shared" si="2"/>
        <v>0</v>
      </c>
      <c r="DJ3">
        <f>DF3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ROW(Source!A29)</f>
        <v>29</v>
      </c>
      <c r="B4">
        <v>55942968</v>
      </c>
      <c r="C4">
        <v>55984400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190</v>
      </c>
      <c r="J4" t="s">
        <v>3</v>
      </c>
      <c r="K4" t="s">
        <v>191</v>
      </c>
      <c r="L4">
        <v>1191</v>
      </c>
      <c r="N4">
        <v>1013</v>
      </c>
      <c r="O4" t="s">
        <v>192</v>
      </c>
      <c r="P4" t="s">
        <v>192</v>
      </c>
      <c r="Q4">
        <v>1</v>
      </c>
      <c r="W4">
        <v>0</v>
      </c>
      <c r="X4">
        <v>476480486</v>
      </c>
      <c r="Y4">
        <f>((AT4*1.2)*0.3)</f>
        <v>1.0799999999999998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</v>
      </c>
      <c r="AU4" t="s">
        <v>31</v>
      </c>
      <c r="AV4">
        <v>1</v>
      </c>
      <c r="AW4">
        <v>2</v>
      </c>
      <c r="AX4">
        <v>55985162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ROUND(AT4*Source!I29*AH4*AL4,2)</f>
        <v>0</v>
      </c>
      <c r="CV4">
        <f>ROUND(Y4*Source!I29,9)</f>
        <v>1.08</v>
      </c>
      <c r="CW4">
        <v>0</v>
      </c>
      <c r="CX4">
        <f>ROUND(Y4*Source!I29,9)</f>
        <v>1.08</v>
      </c>
      <c r="CY4">
        <f>AD4</f>
        <v>0</v>
      </c>
      <c r="CZ4">
        <f>AH4</f>
        <v>0</v>
      </c>
      <c r="DA4">
        <f>AL4</f>
        <v>1</v>
      </c>
      <c r="DB4">
        <f>ROUND(((ROUND(AT4*CZ4,2)*1.2)*0.3),6)</f>
        <v>0</v>
      </c>
      <c r="DC4">
        <f>ROUND(((ROUND(AT4*AG4,2)*1.2)*0.3),6)</f>
        <v>0</v>
      </c>
      <c r="DD4" t="s">
        <v>3</v>
      </c>
      <c r="DE4" t="s">
        <v>3</v>
      </c>
      <c r="DF4">
        <f>ROUND(ROUND(AE4,2)*CX4,2)</f>
        <v>0</v>
      </c>
      <c r="DG4">
        <f t="shared" si="0"/>
        <v>0</v>
      </c>
      <c r="DH4">
        <f t="shared" si="1"/>
        <v>0</v>
      </c>
      <c r="DI4">
        <f t="shared" si="2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ROW(Source!A29)</f>
        <v>29</v>
      </c>
      <c r="B5">
        <v>55942968</v>
      </c>
      <c r="C5">
        <v>55984400</v>
      </c>
      <c r="D5">
        <v>55459261</v>
      </c>
      <c r="E5">
        <v>1</v>
      </c>
      <c r="F5">
        <v>1</v>
      </c>
      <c r="G5">
        <v>1081</v>
      </c>
      <c r="H5">
        <v>3</v>
      </c>
      <c r="I5" t="s">
        <v>193</v>
      </c>
      <c r="J5" t="s">
        <v>194</v>
      </c>
      <c r="K5" t="s">
        <v>195</v>
      </c>
      <c r="L5">
        <v>1348</v>
      </c>
      <c r="N5">
        <v>1009</v>
      </c>
      <c r="O5" t="s">
        <v>196</v>
      </c>
      <c r="P5" t="s">
        <v>196</v>
      </c>
      <c r="Q5">
        <v>1000</v>
      </c>
      <c r="W5">
        <v>0</v>
      </c>
      <c r="X5">
        <v>-2092697376</v>
      </c>
      <c r="Y5">
        <f>((AT5*1)*0)</f>
        <v>0</v>
      </c>
      <c r="AA5">
        <v>7305.88</v>
      </c>
      <c r="AB5">
        <v>0</v>
      </c>
      <c r="AC5">
        <v>0</v>
      </c>
      <c r="AD5">
        <v>0</v>
      </c>
      <c r="AE5">
        <v>1219.68</v>
      </c>
      <c r="AF5">
        <v>0</v>
      </c>
      <c r="AG5">
        <v>0</v>
      </c>
      <c r="AH5">
        <v>0</v>
      </c>
      <c r="AI5">
        <v>5.99</v>
      </c>
      <c r="AJ5">
        <v>1</v>
      </c>
      <c r="AK5">
        <v>1</v>
      </c>
      <c r="AL5">
        <v>1</v>
      </c>
      <c r="AM5">
        <v>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1E-4</v>
      </c>
      <c r="AU5" t="s">
        <v>30</v>
      </c>
      <c r="AV5">
        <v>0</v>
      </c>
      <c r="AW5">
        <v>2</v>
      </c>
      <c r="AX5">
        <v>55985163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ROUND(Y5*Source!I29,9)</f>
        <v>0</v>
      </c>
      <c r="CY5">
        <f>AA5</f>
        <v>7305.88</v>
      </c>
      <c r="CZ5">
        <f>AE5</f>
        <v>1219.68</v>
      </c>
      <c r="DA5">
        <f>AI5</f>
        <v>5.99</v>
      </c>
      <c r="DB5">
        <f>ROUND(((ROUND(AT5*CZ5,2)*1)*0),6)</f>
        <v>0</v>
      </c>
      <c r="DC5">
        <f>ROUND(((ROUND(AT5*AG5,2)*1)*0),6)</f>
        <v>0</v>
      </c>
      <c r="DD5" t="s">
        <v>3</v>
      </c>
      <c r="DE5" t="s">
        <v>3</v>
      </c>
      <c r="DF5">
        <f>ROUND(ROUND(AE5*AI5,2)*CX5,2)</f>
        <v>0</v>
      </c>
      <c r="DG5">
        <f t="shared" si="0"/>
        <v>0</v>
      </c>
      <c r="DH5">
        <f t="shared" si="1"/>
        <v>0</v>
      </c>
      <c r="DI5">
        <f t="shared" si="2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55942968</v>
      </c>
      <c r="C6">
        <v>55984400</v>
      </c>
      <c r="D6">
        <v>55461880</v>
      </c>
      <c r="E6">
        <v>1</v>
      </c>
      <c r="F6">
        <v>1</v>
      </c>
      <c r="G6">
        <v>1081</v>
      </c>
      <c r="H6">
        <v>3</v>
      </c>
      <c r="I6" t="s">
        <v>197</v>
      </c>
      <c r="J6" t="s">
        <v>198</v>
      </c>
      <c r="K6" t="s">
        <v>199</v>
      </c>
      <c r="L6">
        <v>1355</v>
      </c>
      <c r="N6">
        <v>1010</v>
      </c>
      <c r="O6" t="s">
        <v>200</v>
      </c>
      <c r="P6" t="s">
        <v>200</v>
      </c>
      <c r="Q6">
        <v>100</v>
      </c>
      <c r="W6">
        <v>0</v>
      </c>
      <c r="X6">
        <v>1440323189</v>
      </c>
      <c r="Y6">
        <f>((AT6*1)*0)</f>
        <v>0</v>
      </c>
      <c r="AA6">
        <v>78.52</v>
      </c>
      <c r="AB6">
        <v>0</v>
      </c>
      <c r="AC6">
        <v>0</v>
      </c>
      <c r="AD6">
        <v>0</v>
      </c>
      <c r="AE6">
        <v>10.89</v>
      </c>
      <c r="AF6">
        <v>0</v>
      </c>
      <c r="AG6">
        <v>0</v>
      </c>
      <c r="AH6">
        <v>0</v>
      </c>
      <c r="AI6">
        <v>7.21</v>
      </c>
      <c r="AJ6">
        <v>1</v>
      </c>
      <c r="AK6">
        <v>1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3.0700000000000002E-2</v>
      </c>
      <c r="AU6" t="s">
        <v>30</v>
      </c>
      <c r="AV6">
        <v>0</v>
      </c>
      <c r="AW6">
        <v>2</v>
      </c>
      <c r="AX6">
        <v>55985164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ROUND(Y6*Source!I29,9)</f>
        <v>0</v>
      </c>
      <c r="CY6">
        <f>AA6</f>
        <v>78.52</v>
      </c>
      <c r="CZ6">
        <f>AE6</f>
        <v>10.89</v>
      </c>
      <c r="DA6">
        <f>AI6</f>
        <v>7.21</v>
      </c>
      <c r="DB6">
        <f>ROUND(((ROUND(AT6*CZ6,2)*1)*0),6)</f>
        <v>0</v>
      </c>
      <c r="DC6">
        <f>ROUND(((ROUND(AT6*AG6,2)*1)*0),6)</f>
        <v>0</v>
      </c>
      <c r="DD6" t="s">
        <v>3</v>
      </c>
      <c r="DE6" t="s">
        <v>3</v>
      </c>
      <c r="DF6">
        <f>ROUND(ROUND(AE6*AI6,2)*CX6,2)</f>
        <v>0</v>
      </c>
      <c r="DG6">
        <f t="shared" si="0"/>
        <v>0</v>
      </c>
      <c r="DH6">
        <f t="shared" si="1"/>
        <v>0</v>
      </c>
      <c r="DI6">
        <f t="shared" si="2"/>
        <v>0</v>
      </c>
      <c r="DJ6">
        <f>DF6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ROW(Source!A30)</f>
        <v>30</v>
      </c>
      <c r="B7">
        <v>55942966</v>
      </c>
      <c r="C7">
        <v>55984401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190</v>
      </c>
      <c r="J7" t="s">
        <v>3</v>
      </c>
      <c r="K7" t="s">
        <v>191</v>
      </c>
      <c r="L7">
        <v>1191</v>
      </c>
      <c r="N7">
        <v>1013</v>
      </c>
      <c r="O7" t="s">
        <v>192</v>
      </c>
      <c r="P7" t="s">
        <v>192</v>
      </c>
      <c r="Q7">
        <v>1</v>
      </c>
      <c r="W7">
        <v>0</v>
      </c>
      <c r="X7">
        <v>476480486</v>
      </c>
      <c r="Y7">
        <f>((AT7*1.2)*0.3)</f>
        <v>0.99719999999999986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2.77</v>
      </c>
      <c r="AU7" t="s">
        <v>31</v>
      </c>
      <c r="AV7">
        <v>1</v>
      </c>
      <c r="AW7">
        <v>2</v>
      </c>
      <c r="AX7">
        <v>55985166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ROUND(AT7*Source!I30*AH7*AL7,2)</f>
        <v>0</v>
      </c>
      <c r="CV7">
        <f>ROUND(Y7*Source!I30,9)</f>
        <v>0.99719999999999998</v>
      </c>
      <c r="CW7">
        <v>0</v>
      </c>
      <c r="CX7">
        <f>ROUND(Y7*Source!I30,9)</f>
        <v>0.99719999999999998</v>
      </c>
      <c r="CY7">
        <f>AD7</f>
        <v>0</v>
      </c>
      <c r="CZ7">
        <f>AH7</f>
        <v>0</v>
      </c>
      <c r="DA7">
        <f>AL7</f>
        <v>1</v>
      </c>
      <c r="DB7">
        <f>ROUND(((ROUND(AT7*CZ7,2)*1.2)*0.3),6)</f>
        <v>0</v>
      </c>
      <c r="DC7">
        <f>ROUND(((ROUND(AT7*AG7,2)*1.2)*0.3),6)</f>
        <v>0</v>
      </c>
      <c r="DD7" t="s">
        <v>3</v>
      </c>
      <c r="DE7" t="s">
        <v>3</v>
      </c>
      <c r="DF7">
        <f>ROUND(ROUND(AE7,2)*CX7,2)</f>
        <v>0</v>
      </c>
      <c r="DG7">
        <f t="shared" si="0"/>
        <v>0</v>
      </c>
      <c r="DH7">
        <f t="shared" si="1"/>
        <v>0</v>
      </c>
      <c r="DI7">
        <f t="shared" si="2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ROW(Source!A30)</f>
        <v>30</v>
      </c>
      <c r="B8">
        <v>55942966</v>
      </c>
      <c r="C8">
        <v>55984401</v>
      </c>
      <c r="D8">
        <v>55459873</v>
      </c>
      <c r="E8">
        <v>1</v>
      </c>
      <c r="F8">
        <v>1</v>
      </c>
      <c r="G8">
        <v>1081</v>
      </c>
      <c r="H8">
        <v>3</v>
      </c>
      <c r="I8" t="s">
        <v>201</v>
      </c>
      <c r="J8" t="s">
        <v>202</v>
      </c>
      <c r="K8" t="s">
        <v>203</v>
      </c>
      <c r="L8">
        <v>1348</v>
      </c>
      <c r="N8">
        <v>1009</v>
      </c>
      <c r="O8" t="s">
        <v>196</v>
      </c>
      <c r="P8" t="s">
        <v>196</v>
      </c>
      <c r="Q8">
        <v>1000</v>
      </c>
      <c r="W8">
        <v>0</v>
      </c>
      <c r="X8">
        <v>-1448251497</v>
      </c>
      <c r="Y8">
        <f>((AT8*1)*0)</f>
        <v>0</v>
      </c>
      <c r="AA8">
        <v>18495.41</v>
      </c>
      <c r="AB8">
        <v>0</v>
      </c>
      <c r="AC8">
        <v>0</v>
      </c>
      <c r="AD8">
        <v>0</v>
      </c>
      <c r="AE8">
        <v>18495.41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1.0000000000000001E-5</v>
      </c>
      <c r="AU8" t="s">
        <v>30</v>
      </c>
      <c r="AV8">
        <v>0</v>
      </c>
      <c r="AW8">
        <v>2</v>
      </c>
      <c r="AX8">
        <v>55985167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ROUND(Y8*Source!I30,9)</f>
        <v>0</v>
      </c>
      <c r="CY8">
        <f>AA8</f>
        <v>18495.41</v>
      </c>
      <c r="CZ8">
        <f>AE8</f>
        <v>18495.41</v>
      </c>
      <c r="DA8">
        <f>AI8</f>
        <v>1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ROUND(ROUND(AE8,2)*CX8,2)</f>
        <v>0</v>
      </c>
      <c r="DG8">
        <f t="shared" si="0"/>
        <v>0</v>
      </c>
      <c r="DH8">
        <f t="shared" si="1"/>
        <v>0</v>
      </c>
      <c r="DI8">
        <f t="shared" si="2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ROW(Source!A31)</f>
        <v>31</v>
      </c>
      <c r="B9">
        <v>55942968</v>
      </c>
      <c r="C9">
        <v>55984401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190</v>
      </c>
      <c r="J9" t="s">
        <v>3</v>
      </c>
      <c r="K9" t="s">
        <v>191</v>
      </c>
      <c r="L9">
        <v>1191</v>
      </c>
      <c r="N9">
        <v>1013</v>
      </c>
      <c r="O9" t="s">
        <v>192</v>
      </c>
      <c r="P9" t="s">
        <v>192</v>
      </c>
      <c r="Q9">
        <v>1</v>
      </c>
      <c r="W9">
        <v>0</v>
      </c>
      <c r="X9">
        <v>476480486</v>
      </c>
      <c r="Y9">
        <f>((AT9*1.2)*0.3)</f>
        <v>0.99719999999999986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5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2.77</v>
      </c>
      <c r="AU9" t="s">
        <v>31</v>
      </c>
      <c r="AV9">
        <v>1</v>
      </c>
      <c r="AW9">
        <v>2</v>
      </c>
      <c r="AX9">
        <v>55985166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ROUND(AT9*Source!I31*AH9*AL9,2)</f>
        <v>0</v>
      </c>
      <c r="CV9">
        <f>ROUND(Y9*Source!I31,9)</f>
        <v>0.99719999999999998</v>
      </c>
      <c r="CW9">
        <v>0</v>
      </c>
      <c r="CX9">
        <f>ROUND(Y9*Source!I31,9)</f>
        <v>0.99719999999999998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>ROUND(ROUND(AE9,2)*CX9,2)</f>
        <v>0</v>
      </c>
      <c r="DG9">
        <f t="shared" si="0"/>
        <v>0</v>
      </c>
      <c r="DH9">
        <f t="shared" si="1"/>
        <v>0</v>
      </c>
      <c r="DI9">
        <f t="shared" si="2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ROW(Source!A31)</f>
        <v>31</v>
      </c>
      <c r="B10">
        <v>55942968</v>
      </c>
      <c r="C10">
        <v>55984401</v>
      </c>
      <c r="D10">
        <v>55459873</v>
      </c>
      <c r="E10">
        <v>1</v>
      </c>
      <c r="F10">
        <v>1</v>
      </c>
      <c r="G10">
        <v>1081</v>
      </c>
      <c r="H10">
        <v>3</v>
      </c>
      <c r="I10" t="s">
        <v>201</v>
      </c>
      <c r="J10" t="s">
        <v>202</v>
      </c>
      <c r="K10" t="s">
        <v>203</v>
      </c>
      <c r="L10">
        <v>1348</v>
      </c>
      <c r="N10">
        <v>1009</v>
      </c>
      <c r="O10" t="s">
        <v>196</v>
      </c>
      <c r="P10" t="s">
        <v>196</v>
      </c>
      <c r="Q10">
        <v>1000</v>
      </c>
      <c r="W10">
        <v>0</v>
      </c>
      <c r="X10">
        <v>-1448251497</v>
      </c>
      <c r="Y10">
        <f>((AT10*1)*0)</f>
        <v>0</v>
      </c>
      <c r="AA10">
        <v>101169.89</v>
      </c>
      <c r="AB10">
        <v>0</v>
      </c>
      <c r="AC10">
        <v>0</v>
      </c>
      <c r="AD10">
        <v>0</v>
      </c>
      <c r="AE10">
        <v>18495.41</v>
      </c>
      <c r="AF10">
        <v>0</v>
      </c>
      <c r="AG10">
        <v>0</v>
      </c>
      <c r="AH10">
        <v>0</v>
      </c>
      <c r="AI10">
        <v>5.47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1.0000000000000001E-5</v>
      </c>
      <c r="AU10" t="s">
        <v>30</v>
      </c>
      <c r="AV10">
        <v>0</v>
      </c>
      <c r="AW10">
        <v>2</v>
      </c>
      <c r="AX10">
        <v>55985167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ROUND(Y10*Source!I31,9)</f>
        <v>0</v>
      </c>
      <c r="CY10">
        <f>AA10</f>
        <v>101169.89</v>
      </c>
      <c r="CZ10">
        <f>AE10</f>
        <v>18495.41</v>
      </c>
      <c r="DA10">
        <f>AI10</f>
        <v>5.47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0"/>
        <v>0</v>
      </c>
      <c r="DH10">
        <f t="shared" si="1"/>
        <v>0</v>
      </c>
      <c r="DI10">
        <f t="shared" si="2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ROW(Source!A32)</f>
        <v>32</v>
      </c>
      <c r="B11">
        <v>55942966</v>
      </c>
      <c r="C11">
        <v>55984402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190</v>
      </c>
      <c r="J11" t="s">
        <v>3</v>
      </c>
      <c r="K11" t="s">
        <v>191</v>
      </c>
      <c r="L11">
        <v>1191</v>
      </c>
      <c r="N11">
        <v>1013</v>
      </c>
      <c r="O11" t="s">
        <v>192</v>
      </c>
      <c r="P11" t="s">
        <v>192</v>
      </c>
      <c r="Q11">
        <v>1</v>
      </c>
      <c r="W11">
        <v>0</v>
      </c>
      <c r="X11">
        <v>476480486</v>
      </c>
      <c r="Y11">
        <f>((AT11*1.2)*0.3)</f>
        <v>0.28799999999999998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0.8</v>
      </c>
      <c r="AU11" t="s">
        <v>31</v>
      </c>
      <c r="AV11">
        <v>1</v>
      </c>
      <c r="AW11">
        <v>2</v>
      </c>
      <c r="AX11">
        <v>55985169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0.28799999999999998</v>
      </c>
      <c r="CW11">
        <v>0</v>
      </c>
      <c r="CX11">
        <f>ROUND(Y11*Source!I32,9)</f>
        <v>0.28799999999999998</v>
      </c>
      <c r="CY11">
        <f>AD11</f>
        <v>0</v>
      </c>
      <c r="CZ11">
        <f>AH11</f>
        <v>0</v>
      </c>
      <c r="DA11">
        <f>AL11</f>
        <v>1</v>
      </c>
      <c r="DB11">
        <f>ROUND(((ROUND(AT11*CZ11,2)*1.2)*0.3),6)</f>
        <v>0</v>
      </c>
      <c r="DC11">
        <f>ROUND(((ROUND(AT11*AG11,2)*1.2)*0.3),6)</f>
        <v>0</v>
      </c>
      <c r="DD11" t="s">
        <v>3</v>
      </c>
      <c r="DE11" t="s">
        <v>3</v>
      </c>
      <c r="DF11">
        <f>ROUND(ROUND(AE11,2)*CX11,2)</f>
        <v>0</v>
      </c>
      <c r="DG11">
        <f t="shared" si="0"/>
        <v>0</v>
      </c>
      <c r="DH11">
        <f t="shared" si="1"/>
        <v>0</v>
      </c>
      <c r="DI11">
        <f t="shared" si="2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ROW(Source!A32)</f>
        <v>32</v>
      </c>
      <c r="B12">
        <v>55942966</v>
      </c>
      <c r="C12">
        <v>55984402</v>
      </c>
      <c r="D12">
        <v>55460239</v>
      </c>
      <c r="E12">
        <v>1</v>
      </c>
      <c r="F12">
        <v>1</v>
      </c>
      <c r="G12">
        <v>1081</v>
      </c>
      <c r="H12">
        <v>3</v>
      </c>
      <c r="I12" t="s">
        <v>204</v>
      </c>
      <c r="J12" t="s">
        <v>205</v>
      </c>
      <c r="K12" t="s">
        <v>206</v>
      </c>
      <c r="L12">
        <v>1348</v>
      </c>
      <c r="N12">
        <v>1009</v>
      </c>
      <c r="O12" t="s">
        <v>196</v>
      </c>
      <c r="P12" t="s">
        <v>196</v>
      </c>
      <c r="Q12">
        <v>1000</v>
      </c>
      <c r="W12">
        <v>0</v>
      </c>
      <c r="X12">
        <v>-1843244094</v>
      </c>
      <c r="Y12">
        <f>((AT12*1)*0)</f>
        <v>0</v>
      </c>
      <c r="AA12">
        <v>12416.13</v>
      </c>
      <c r="AB12">
        <v>0</v>
      </c>
      <c r="AC12">
        <v>0</v>
      </c>
      <c r="AD12">
        <v>0</v>
      </c>
      <c r="AE12">
        <v>12416.13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2.4000000000000001E-5</v>
      </c>
      <c r="AU12" t="s">
        <v>30</v>
      </c>
      <c r="AV12">
        <v>0</v>
      </c>
      <c r="AW12">
        <v>2</v>
      </c>
      <c r="AX12">
        <v>55985170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0</v>
      </c>
      <c r="CY12">
        <f>AA12</f>
        <v>12416.13</v>
      </c>
      <c r="CZ12">
        <f>AE12</f>
        <v>12416.13</v>
      </c>
      <c r="DA12">
        <f>AI12</f>
        <v>1</v>
      </c>
      <c r="DB12">
        <f>ROUND(((ROUND(AT12*CZ12,2)*1)*0),6)</f>
        <v>0</v>
      </c>
      <c r="DC12">
        <f>ROUND(((ROUND(AT12*AG12,2)*1)*0),6)</f>
        <v>0</v>
      </c>
      <c r="DD12" t="s">
        <v>3</v>
      </c>
      <c r="DE12" t="s">
        <v>3</v>
      </c>
      <c r="DF12">
        <f>ROUND(ROUND(AE12,2)*CX12,2)</f>
        <v>0</v>
      </c>
      <c r="DG12">
        <f t="shared" si="0"/>
        <v>0</v>
      </c>
      <c r="DH12">
        <f t="shared" si="1"/>
        <v>0</v>
      </c>
      <c r="DI12">
        <f t="shared" si="2"/>
        <v>0</v>
      </c>
      <c r="DJ12">
        <f>DF12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ROW(Source!A33)</f>
        <v>33</v>
      </c>
      <c r="B13">
        <v>55942968</v>
      </c>
      <c r="C13">
        <v>55984402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190</v>
      </c>
      <c r="J13" t="s">
        <v>3</v>
      </c>
      <c r="K13" t="s">
        <v>191</v>
      </c>
      <c r="L13">
        <v>1191</v>
      </c>
      <c r="N13">
        <v>1013</v>
      </c>
      <c r="O13" t="s">
        <v>192</v>
      </c>
      <c r="P13" t="s">
        <v>192</v>
      </c>
      <c r="Q13">
        <v>1</v>
      </c>
      <c r="W13">
        <v>0</v>
      </c>
      <c r="X13">
        <v>476480486</v>
      </c>
      <c r="Y13">
        <f>((AT13*1.2)*0.3)</f>
        <v>0.28799999999999998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5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0.8</v>
      </c>
      <c r="AU13" t="s">
        <v>31</v>
      </c>
      <c r="AV13">
        <v>1</v>
      </c>
      <c r="AW13">
        <v>2</v>
      </c>
      <c r="AX13">
        <v>55985169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ROUND(AT13*Source!I33*AH13*AL13,2)</f>
        <v>0</v>
      </c>
      <c r="CV13">
        <f>ROUND(Y13*Source!I33,9)</f>
        <v>0.28799999999999998</v>
      </c>
      <c r="CW13">
        <v>0</v>
      </c>
      <c r="CX13">
        <f>ROUND(Y13*Source!I33,9)</f>
        <v>0.28799999999999998</v>
      </c>
      <c r="CY13">
        <f>AD13</f>
        <v>0</v>
      </c>
      <c r="CZ13">
        <f>AH13</f>
        <v>0</v>
      </c>
      <c r="DA13">
        <f>AL13</f>
        <v>1</v>
      </c>
      <c r="DB13">
        <f>ROUND(((ROUND(AT13*CZ13,2)*1.2)*0.3),6)</f>
        <v>0</v>
      </c>
      <c r="DC13">
        <f>ROUND(((ROUND(AT13*AG13,2)*1.2)*0.3),6)</f>
        <v>0</v>
      </c>
      <c r="DD13" t="s">
        <v>3</v>
      </c>
      <c r="DE13" t="s">
        <v>3</v>
      </c>
      <c r="DF13">
        <f>ROUND(ROUND(AE13,2)*CX13,2)</f>
        <v>0</v>
      </c>
      <c r="DG13">
        <f t="shared" si="0"/>
        <v>0</v>
      </c>
      <c r="DH13">
        <f t="shared" si="1"/>
        <v>0</v>
      </c>
      <c r="DI13">
        <f t="shared" si="2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ROW(Source!A33)</f>
        <v>33</v>
      </c>
      <c r="B14">
        <v>55942968</v>
      </c>
      <c r="C14">
        <v>55984402</v>
      </c>
      <c r="D14">
        <v>55460239</v>
      </c>
      <c r="E14">
        <v>1</v>
      </c>
      <c r="F14">
        <v>1</v>
      </c>
      <c r="G14">
        <v>1081</v>
      </c>
      <c r="H14">
        <v>3</v>
      </c>
      <c r="I14" t="s">
        <v>204</v>
      </c>
      <c r="J14" t="s">
        <v>205</v>
      </c>
      <c r="K14" t="s">
        <v>206</v>
      </c>
      <c r="L14">
        <v>1348</v>
      </c>
      <c r="N14">
        <v>1009</v>
      </c>
      <c r="O14" t="s">
        <v>196</v>
      </c>
      <c r="P14" t="s">
        <v>196</v>
      </c>
      <c r="Q14">
        <v>1000</v>
      </c>
      <c r="W14">
        <v>0</v>
      </c>
      <c r="X14">
        <v>-1843244094</v>
      </c>
      <c r="Y14">
        <f>((AT14*1)*0)</f>
        <v>0</v>
      </c>
      <c r="AA14">
        <v>91879.360000000001</v>
      </c>
      <c r="AB14">
        <v>0</v>
      </c>
      <c r="AC14">
        <v>0</v>
      </c>
      <c r="AD14">
        <v>0</v>
      </c>
      <c r="AE14">
        <v>12416.13</v>
      </c>
      <c r="AF14">
        <v>0</v>
      </c>
      <c r="AG14">
        <v>0</v>
      </c>
      <c r="AH14">
        <v>0</v>
      </c>
      <c r="AI14">
        <v>7.4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2.4000000000000001E-5</v>
      </c>
      <c r="AU14" t="s">
        <v>30</v>
      </c>
      <c r="AV14">
        <v>0</v>
      </c>
      <c r="AW14">
        <v>2</v>
      </c>
      <c r="AX14">
        <v>55985170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ROUND(Y14*Source!I33,9)</f>
        <v>0</v>
      </c>
      <c r="CY14">
        <f>AA14</f>
        <v>91879.360000000001</v>
      </c>
      <c r="CZ14">
        <f>AE14</f>
        <v>12416.13</v>
      </c>
      <c r="DA14">
        <f>AI14</f>
        <v>7.4</v>
      </c>
      <c r="DB14">
        <f>ROUND(((ROUND(AT14*CZ14,2)*1)*0),6)</f>
        <v>0</v>
      </c>
      <c r="DC14">
        <f>ROUND(((ROUND(AT14*AG14,2)*1)*0),6)</f>
        <v>0</v>
      </c>
      <c r="DD14" t="s">
        <v>3</v>
      </c>
      <c r="DE14" t="s">
        <v>3</v>
      </c>
      <c r="DF14">
        <f>ROUND(ROUND(AE14*AI14,2)*CX14,2)</f>
        <v>0</v>
      </c>
      <c r="DG14">
        <f t="shared" si="0"/>
        <v>0</v>
      </c>
      <c r="DH14">
        <f t="shared" si="1"/>
        <v>0</v>
      </c>
      <c r="DI14">
        <f t="shared" si="2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ROW(Source!A34)</f>
        <v>34</v>
      </c>
      <c r="B15">
        <v>55942966</v>
      </c>
      <c r="C15">
        <v>55984403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190</v>
      </c>
      <c r="J15" t="s">
        <v>3</v>
      </c>
      <c r="K15" t="s">
        <v>191</v>
      </c>
      <c r="L15">
        <v>1191</v>
      </c>
      <c r="N15">
        <v>1013</v>
      </c>
      <c r="O15" t="s">
        <v>192</v>
      </c>
      <c r="P15" t="s">
        <v>192</v>
      </c>
      <c r="Q15">
        <v>1</v>
      </c>
      <c r="W15">
        <v>0</v>
      </c>
      <c r="X15">
        <v>476480486</v>
      </c>
      <c r="Y15">
        <f>((AT15*1.2)*0.3)</f>
        <v>0.72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</v>
      </c>
      <c r="AU15" t="s">
        <v>31</v>
      </c>
      <c r="AV15">
        <v>1</v>
      </c>
      <c r="AW15">
        <v>2</v>
      </c>
      <c r="AX15">
        <v>55985172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2.16</v>
      </c>
      <c r="CW15">
        <v>0</v>
      </c>
      <c r="CX15">
        <f>ROUND(Y15*Source!I34,9)</f>
        <v>2.16</v>
      </c>
      <c r="CY15">
        <f>AD15</f>
        <v>0</v>
      </c>
      <c r="CZ15">
        <f>AH15</f>
        <v>0</v>
      </c>
      <c r="DA15">
        <f>AL15</f>
        <v>1</v>
      </c>
      <c r="DB15">
        <f>ROUND(((ROUND(AT15*CZ15,2)*1.2)*0.3),6)</f>
        <v>0</v>
      </c>
      <c r="DC15">
        <f>ROUND(((ROUND(AT15*AG15,2)*1.2)*0.3),6)</f>
        <v>0</v>
      </c>
      <c r="DD15" t="s">
        <v>3</v>
      </c>
      <c r="DE15" t="s">
        <v>3</v>
      </c>
      <c r="DF15">
        <f>ROUND(ROUND(AE15,2)*CX15,2)</f>
        <v>0</v>
      </c>
      <c r="DG15">
        <f t="shared" si="0"/>
        <v>0</v>
      </c>
      <c r="DH15">
        <f t="shared" si="1"/>
        <v>0</v>
      </c>
      <c r="DI15">
        <f t="shared" si="2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ROW(Source!A34)</f>
        <v>34</v>
      </c>
      <c r="B16">
        <v>55942966</v>
      </c>
      <c r="C16">
        <v>55984403</v>
      </c>
      <c r="D16">
        <v>55459261</v>
      </c>
      <c r="E16">
        <v>1</v>
      </c>
      <c r="F16">
        <v>1</v>
      </c>
      <c r="G16">
        <v>1081</v>
      </c>
      <c r="H16">
        <v>3</v>
      </c>
      <c r="I16" t="s">
        <v>193</v>
      </c>
      <c r="J16" t="s">
        <v>194</v>
      </c>
      <c r="K16" t="s">
        <v>195</v>
      </c>
      <c r="L16">
        <v>1348</v>
      </c>
      <c r="N16">
        <v>1009</v>
      </c>
      <c r="O16" t="s">
        <v>196</v>
      </c>
      <c r="P16" t="s">
        <v>196</v>
      </c>
      <c r="Q16">
        <v>1000</v>
      </c>
      <c r="W16">
        <v>0</v>
      </c>
      <c r="X16">
        <v>-2092697376</v>
      </c>
      <c r="Y16">
        <f>((AT16*1)*0)</f>
        <v>0</v>
      </c>
      <c r="AA16">
        <v>1219.68</v>
      </c>
      <c r="AB16">
        <v>0</v>
      </c>
      <c r="AC16">
        <v>0</v>
      </c>
      <c r="AD16">
        <v>0</v>
      </c>
      <c r="AE16">
        <v>1219.68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1E-4</v>
      </c>
      <c r="AU16" t="s">
        <v>30</v>
      </c>
      <c r="AV16">
        <v>0</v>
      </c>
      <c r="AW16">
        <v>2</v>
      </c>
      <c r="AX16">
        <v>55985173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ROUND(Y16*Source!I34,9)</f>
        <v>0</v>
      </c>
      <c r="CY16">
        <f>AA16</f>
        <v>1219.68</v>
      </c>
      <c r="CZ16">
        <f>AE16</f>
        <v>1219.68</v>
      </c>
      <c r="DA16">
        <f>AI16</f>
        <v>1</v>
      </c>
      <c r="DB16">
        <f>ROUND(((ROUND(AT16*CZ16,2)*1)*0),6)</f>
        <v>0</v>
      </c>
      <c r="DC16">
        <f>ROUND(((ROUND(AT16*AG16,2)*1)*0),6)</f>
        <v>0</v>
      </c>
      <c r="DD16" t="s">
        <v>3</v>
      </c>
      <c r="DE16" t="s">
        <v>3</v>
      </c>
      <c r="DF16">
        <f>ROUND(ROUND(AE16,2)*CX16,2)</f>
        <v>0</v>
      </c>
      <c r="DG16">
        <f t="shared" si="0"/>
        <v>0</v>
      </c>
      <c r="DH16">
        <f t="shared" si="1"/>
        <v>0</v>
      </c>
      <c r="DI16">
        <f t="shared" si="2"/>
        <v>0</v>
      </c>
      <c r="DJ16">
        <f>DF16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ROW(Source!A34)</f>
        <v>34</v>
      </c>
      <c r="B17">
        <v>55942966</v>
      </c>
      <c r="C17">
        <v>55984403</v>
      </c>
      <c r="D17">
        <v>55461880</v>
      </c>
      <c r="E17">
        <v>1</v>
      </c>
      <c r="F17">
        <v>1</v>
      </c>
      <c r="G17">
        <v>1081</v>
      </c>
      <c r="H17">
        <v>3</v>
      </c>
      <c r="I17" t="s">
        <v>197</v>
      </c>
      <c r="J17" t="s">
        <v>198</v>
      </c>
      <c r="K17" t="s">
        <v>199</v>
      </c>
      <c r="L17">
        <v>1355</v>
      </c>
      <c r="N17">
        <v>1010</v>
      </c>
      <c r="O17" t="s">
        <v>200</v>
      </c>
      <c r="P17" t="s">
        <v>200</v>
      </c>
      <c r="Q17">
        <v>100</v>
      </c>
      <c r="W17">
        <v>0</v>
      </c>
      <c r="X17">
        <v>1440323189</v>
      </c>
      <c r="Y17">
        <f>((AT17*1)*0)</f>
        <v>0</v>
      </c>
      <c r="AA17">
        <v>10.89</v>
      </c>
      <c r="AB17">
        <v>0</v>
      </c>
      <c r="AC17">
        <v>0</v>
      </c>
      <c r="AD17">
        <v>0</v>
      </c>
      <c r="AE17">
        <v>10.89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3.4500000000000003E-2</v>
      </c>
      <c r="AU17" t="s">
        <v>30</v>
      </c>
      <c r="AV17">
        <v>0</v>
      </c>
      <c r="AW17">
        <v>2</v>
      </c>
      <c r="AX17">
        <v>55985174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ROUND(Y17*Source!I34,9)</f>
        <v>0</v>
      </c>
      <c r="CY17">
        <f>AA17</f>
        <v>10.89</v>
      </c>
      <c r="CZ17">
        <f>AE17</f>
        <v>10.89</v>
      </c>
      <c r="DA17">
        <f>AI17</f>
        <v>1</v>
      </c>
      <c r="DB17">
        <f>ROUND(((ROUND(AT17*CZ17,2)*1)*0),6)</f>
        <v>0</v>
      </c>
      <c r="DC17">
        <f>ROUND(((ROUND(AT17*AG17,2)*1)*0),6)</f>
        <v>0</v>
      </c>
      <c r="DD17" t="s">
        <v>3</v>
      </c>
      <c r="DE17" t="s">
        <v>3</v>
      </c>
      <c r="DF17">
        <f>ROUND(ROUND(AE17,2)*CX17,2)</f>
        <v>0</v>
      </c>
      <c r="DG17">
        <f t="shared" si="0"/>
        <v>0</v>
      </c>
      <c r="DH17">
        <f t="shared" si="1"/>
        <v>0</v>
      </c>
      <c r="DI17">
        <f t="shared" si="2"/>
        <v>0</v>
      </c>
      <c r="DJ17">
        <f>DF17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ROW(Source!A34)</f>
        <v>34</v>
      </c>
      <c r="B18">
        <v>55942966</v>
      </c>
      <c r="C18">
        <v>55984403</v>
      </c>
      <c r="D18">
        <v>55459811</v>
      </c>
      <c r="E18">
        <v>1</v>
      </c>
      <c r="F18">
        <v>1</v>
      </c>
      <c r="G18">
        <v>1081</v>
      </c>
      <c r="H18">
        <v>3</v>
      </c>
      <c r="I18" t="s">
        <v>207</v>
      </c>
      <c r="J18" t="s">
        <v>208</v>
      </c>
      <c r="K18" t="s">
        <v>209</v>
      </c>
      <c r="L18">
        <v>1348</v>
      </c>
      <c r="N18">
        <v>1009</v>
      </c>
      <c r="O18" t="s">
        <v>196</v>
      </c>
      <c r="P18" t="s">
        <v>196</v>
      </c>
      <c r="Q18">
        <v>1000</v>
      </c>
      <c r="W18">
        <v>0</v>
      </c>
      <c r="X18">
        <v>-572924193</v>
      </c>
      <c r="Y18">
        <f>((AT18*1)*0)</f>
        <v>0</v>
      </c>
      <c r="AA18">
        <v>8054.6</v>
      </c>
      <c r="AB18">
        <v>0</v>
      </c>
      <c r="AC18">
        <v>0</v>
      </c>
      <c r="AD18">
        <v>0</v>
      </c>
      <c r="AE18">
        <v>8054.6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1.0000000000000001E-5</v>
      </c>
      <c r="AU18" t="s">
        <v>30</v>
      </c>
      <c r="AV18">
        <v>0</v>
      </c>
      <c r="AW18">
        <v>2</v>
      </c>
      <c r="AX18">
        <v>55985175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ROUND(Y18*Source!I34,9)</f>
        <v>0</v>
      </c>
      <c r="CY18">
        <f>AA18</f>
        <v>8054.6</v>
      </c>
      <c r="CZ18">
        <f>AE18</f>
        <v>8054.6</v>
      </c>
      <c r="DA18">
        <f>AI18</f>
        <v>1</v>
      </c>
      <c r="DB18">
        <f>ROUND(((ROUND(AT18*CZ18,2)*1)*0),6)</f>
        <v>0</v>
      </c>
      <c r="DC18">
        <f>ROUND(((ROUND(AT18*AG18,2)*1)*0),6)</f>
        <v>0</v>
      </c>
      <c r="DD18" t="s">
        <v>3</v>
      </c>
      <c r="DE18" t="s">
        <v>3</v>
      </c>
      <c r="DF18">
        <f>ROUND(ROUND(AE18,2)*CX18,2)</f>
        <v>0</v>
      </c>
      <c r="DG18">
        <f t="shared" si="0"/>
        <v>0</v>
      </c>
      <c r="DH18">
        <f t="shared" si="1"/>
        <v>0</v>
      </c>
      <c r="DI18">
        <f t="shared" si="2"/>
        <v>0</v>
      </c>
      <c r="DJ18">
        <f>DF18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ROW(Source!A35)</f>
        <v>35</v>
      </c>
      <c r="B19">
        <v>55942968</v>
      </c>
      <c r="C19">
        <v>55984403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190</v>
      </c>
      <c r="J19" t="s">
        <v>3</v>
      </c>
      <c r="K19" t="s">
        <v>191</v>
      </c>
      <c r="L19">
        <v>1191</v>
      </c>
      <c r="N19">
        <v>1013</v>
      </c>
      <c r="O19" t="s">
        <v>192</v>
      </c>
      <c r="P19" t="s">
        <v>192</v>
      </c>
      <c r="Q19">
        <v>1</v>
      </c>
      <c r="W19">
        <v>0</v>
      </c>
      <c r="X19">
        <v>476480486</v>
      </c>
      <c r="Y19">
        <f>((AT19*1.2)*0.3)</f>
        <v>0.72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5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2</v>
      </c>
      <c r="AU19" t="s">
        <v>31</v>
      </c>
      <c r="AV19">
        <v>1</v>
      </c>
      <c r="AW19">
        <v>2</v>
      </c>
      <c r="AX19">
        <v>55985172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ROUND(AT19*Source!I35*AH19*AL19,2)</f>
        <v>0</v>
      </c>
      <c r="CV19">
        <f>ROUND(Y19*Source!I35,9)</f>
        <v>2.16</v>
      </c>
      <c r="CW19">
        <v>0</v>
      </c>
      <c r="CX19">
        <f>ROUND(Y19*Source!I35,9)</f>
        <v>2.16</v>
      </c>
      <c r="CY19">
        <f>AD19</f>
        <v>0</v>
      </c>
      <c r="CZ19">
        <f>AH19</f>
        <v>0</v>
      </c>
      <c r="DA19">
        <f>AL19</f>
        <v>1</v>
      </c>
      <c r="DB19">
        <f>ROUND(((ROUND(AT19*CZ19,2)*1.2)*0.3),6)</f>
        <v>0</v>
      </c>
      <c r="DC19">
        <f>ROUND(((ROUND(AT19*AG19,2)*1.2)*0.3),6)</f>
        <v>0</v>
      </c>
      <c r="DD19" t="s">
        <v>3</v>
      </c>
      <c r="DE19" t="s">
        <v>3</v>
      </c>
      <c r="DF19">
        <f>ROUND(ROUND(AE19,2)*CX19,2)</f>
        <v>0</v>
      </c>
      <c r="DG19">
        <f t="shared" si="0"/>
        <v>0</v>
      </c>
      <c r="DH19">
        <f t="shared" si="1"/>
        <v>0</v>
      </c>
      <c r="DI19">
        <f t="shared" si="2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ROW(Source!A35)</f>
        <v>35</v>
      </c>
      <c r="B20">
        <v>55942968</v>
      </c>
      <c r="C20">
        <v>55984403</v>
      </c>
      <c r="D20">
        <v>55459261</v>
      </c>
      <c r="E20">
        <v>1</v>
      </c>
      <c r="F20">
        <v>1</v>
      </c>
      <c r="G20">
        <v>1081</v>
      </c>
      <c r="H20">
        <v>3</v>
      </c>
      <c r="I20" t="s">
        <v>193</v>
      </c>
      <c r="J20" t="s">
        <v>194</v>
      </c>
      <c r="K20" t="s">
        <v>195</v>
      </c>
      <c r="L20">
        <v>1348</v>
      </c>
      <c r="N20">
        <v>1009</v>
      </c>
      <c r="O20" t="s">
        <v>196</v>
      </c>
      <c r="P20" t="s">
        <v>196</v>
      </c>
      <c r="Q20">
        <v>1000</v>
      </c>
      <c r="W20">
        <v>0</v>
      </c>
      <c r="X20">
        <v>-2092697376</v>
      </c>
      <c r="Y20">
        <f>((AT20*1)*0)</f>
        <v>0</v>
      </c>
      <c r="AA20">
        <v>7305.88</v>
      </c>
      <c r="AB20">
        <v>0</v>
      </c>
      <c r="AC20">
        <v>0</v>
      </c>
      <c r="AD20">
        <v>0</v>
      </c>
      <c r="AE20">
        <v>1219.68</v>
      </c>
      <c r="AF20">
        <v>0</v>
      </c>
      <c r="AG20">
        <v>0</v>
      </c>
      <c r="AH20">
        <v>0</v>
      </c>
      <c r="AI20">
        <v>5.99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1E-4</v>
      </c>
      <c r="AU20" t="s">
        <v>30</v>
      </c>
      <c r="AV20">
        <v>0</v>
      </c>
      <c r="AW20">
        <v>2</v>
      </c>
      <c r="AX20">
        <v>55985173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ROUND(Y20*Source!I35,9)</f>
        <v>0</v>
      </c>
      <c r="CY20">
        <f>AA20</f>
        <v>7305.88</v>
      </c>
      <c r="CZ20">
        <f>AE20</f>
        <v>1219.68</v>
      </c>
      <c r="DA20">
        <f>AI20</f>
        <v>5.99</v>
      </c>
      <c r="DB20">
        <f>ROUND(((ROUND(AT20*CZ20,2)*1)*0),6)</f>
        <v>0</v>
      </c>
      <c r="DC20">
        <f>ROUND(((ROUND(AT20*AG20,2)*1)*0),6)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0"/>
        <v>0</v>
      </c>
      <c r="DH20">
        <f t="shared" si="1"/>
        <v>0</v>
      </c>
      <c r="DI20">
        <f t="shared" si="2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ROW(Source!A35)</f>
        <v>35</v>
      </c>
      <c r="B21">
        <v>55942968</v>
      </c>
      <c r="C21">
        <v>55984403</v>
      </c>
      <c r="D21">
        <v>55461880</v>
      </c>
      <c r="E21">
        <v>1</v>
      </c>
      <c r="F21">
        <v>1</v>
      </c>
      <c r="G21">
        <v>1081</v>
      </c>
      <c r="H21">
        <v>3</v>
      </c>
      <c r="I21" t="s">
        <v>197</v>
      </c>
      <c r="J21" t="s">
        <v>198</v>
      </c>
      <c r="K21" t="s">
        <v>199</v>
      </c>
      <c r="L21">
        <v>1355</v>
      </c>
      <c r="N21">
        <v>1010</v>
      </c>
      <c r="O21" t="s">
        <v>200</v>
      </c>
      <c r="P21" t="s">
        <v>200</v>
      </c>
      <c r="Q21">
        <v>100</v>
      </c>
      <c r="W21">
        <v>0</v>
      </c>
      <c r="X21">
        <v>1440323189</v>
      </c>
      <c r="Y21">
        <f>((AT21*1)*0)</f>
        <v>0</v>
      </c>
      <c r="AA21">
        <v>78.52</v>
      </c>
      <c r="AB21">
        <v>0</v>
      </c>
      <c r="AC21">
        <v>0</v>
      </c>
      <c r="AD21">
        <v>0</v>
      </c>
      <c r="AE21">
        <v>10.89</v>
      </c>
      <c r="AF21">
        <v>0</v>
      </c>
      <c r="AG21">
        <v>0</v>
      </c>
      <c r="AH21">
        <v>0</v>
      </c>
      <c r="AI21">
        <v>7.21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3.4500000000000003E-2</v>
      </c>
      <c r="AU21" t="s">
        <v>30</v>
      </c>
      <c r="AV21">
        <v>0</v>
      </c>
      <c r="AW21">
        <v>2</v>
      </c>
      <c r="AX21">
        <v>55985174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ROUND(Y21*Source!I35,9)</f>
        <v>0</v>
      </c>
      <c r="CY21">
        <f>AA21</f>
        <v>78.52</v>
      </c>
      <c r="CZ21">
        <f>AE21</f>
        <v>10.89</v>
      </c>
      <c r="DA21">
        <f>AI21</f>
        <v>7.21</v>
      </c>
      <c r="DB21">
        <f>ROUND(((ROUND(AT21*CZ21,2)*1)*0),6)</f>
        <v>0</v>
      </c>
      <c r="DC21">
        <f>ROUND(((ROUND(AT21*AG21,2)*1)*0),6)</f>
        <v>0</v>
      </c>
      <c r="DD21" t="s">
        <v>3</v>
      </c>
      <c r="DE21" t="s">
        <v>3</v>
      </c>
      <c r="DF21">
        <f>ROUND(ROUND(AE21*AI21,2)*CX21,2)</f>
        <v>0</v>
      </c>
      <c r="DG21">
        <f t="shared" si="0"/>
        <v>0</v>
      </c>
      <c r="DH21">
        <f t="shared" si="1"/>
        <v>0</v>
      </c>
      <c r="DI21">
        <f t="shared" si="2"/>
        <v>0</v>
      </c>
      <c r="DJ21">
        <f>DF21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ROW(Source!A35)</f>
        <v>35</v>
      </c>
      <c r="B22">
        <v>55942968</v>
      </c>
      <c r="C22">
        <v>55984403</v>
      </c>
      <c r="D22">
        <v>55459811</v>
      </c>
      <c r="E22">
        <v>1</v>
      </c>
      <c r="F22">
        <v>1</v>
      </c>
      <c r="G22">
        <v>1081</v>
      </c>
      <c r="H22">
        <v>3</v>
      </c>
      <c r="I22" t="s">
        <v>207</v>
      </c>
      <c r="J22" t="s">
        <v>208</v>
      </c>
      <c r="K22" t="s">
        <v>209</v>
      </c>
      <c r="L22">
        <v>1348</v>
      </c>
      <c r="N22">
        <v>1009</v>
      </c>
      <c r="O22" t="s">
        <v>196</v>
      </c>
      <c r="P22" t="s">
        <v>196</v>
      </c>
      <c r="Q22">
        <v>1000</v>
      </c>
      <c r="W22">
        <v>0</v>
      </c>
      <c r="X22">
        <v>-572924193</v>
      </c>
      <c r="Y22">
        <f>((AT22*1)*0)</f>
        <v>0</v>
      </c>
      <c r="AA22">
        <v>64597.89</v>
      </c>
      <c r="AB22">
        <v>0</v>
      </c>
      <c r="AC22">
        <v>0</v>
      </c>
      <c r="AD22">
        <v>0</v>
      </c>
      <c r="AE22">
        <v>8054.6</v>
      </c>
      <c r="AF22">
        <v>0</v>
      </c>
      <c r="AG22">
        <v>0</v>
      </c>
      <c r="AH22">
        <v>0</v>
      </c>
      <c r="AI22">
        <v>8.02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1.0000000000000001E-5</v>
      </c>
      <c r="AU22" t="s">
        <v>30</v>
      </c>
      <c r="AV22">
        <v>0</v>
      </c>
      <c r="AW22">
        <v>2</v>
      </c>
      <c r="AX22">
        <v>55985175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ROUND(Y22*Source!I35,9)</f>
        <v>0</v>
      </c>
      <c r="CY22">
        <f>AA22</f>
        <v>64597.89</v>
      </c>
      <c r="CZ22">
        <f>AE22</f>
        <v>8054.6</v>
      </c>
      <c r="DA22">
        <f>AI22</f>
        <v>8.02</v>
      </c>
      <c r="DB22">
        <f>ROUND(((ROUND(AT22*CZ22,2)*1)*0),6)</f>
        <v>0</v>
      </c>
      <c r="DC22">
        <f>ROUND(((ROUND(AT22*AG22,2)*1)*0),6)</f>
        <v>0</v>
      </c>
      <c r="DD22" t="s">
        <v>3</v>
      </c>
      <c r="DE22" t="s">
        <v>3</v>
      </c>
      <c r="DF22">
        <f>ROUND(ROUND(AE22*AI22,2)*CX22,2)</f>
        <v>0</v>
      </c>
      <c r="DG22">
        <f t="shared" si="0"/>
        <v>0</v>
      </c>
      <c r="DH22">
        <f t="shared" si="1"/>
        <v>0</v>
      </c>
      <c r="DI22">
        <f t="shared" si="2"/>
        <v>0</v>
      </c>
      <c r="DJ22">
        <f>DF22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ROW(Source!A71)</f>
        <v>71</v>
      </c>
      <c r="B23">
        <v>55942966</v>
      </c>
      <c r="C23">
        <v>55943207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190</v>
      </c>
      <c r="J23" t="s">
        <v>3</v>
      </c>
      <c r="K23" t="s">
        <v>191</v>
      </c>
      <c r="L23">
        <v>1191</v>
      </c>
      <c r="N23">
        <v>1013</v>
      </c>
      <c r="O23" t="s">
        <v>192</v>
      </c>
      <c r="P23" t="s">
        <v>192</v>
      </c>
      <c r="Q23">
        <v>1</v>
      </c>
      <c r="W23">
        <v>0</v>
      </c>
      <c r="X23">
        <v>476480486</v>
      </c>
      <c r="Y23">
        <f>(AT23*1.2)</f>
        <v>3.5999999999999996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3</v>
      </c>
      <c r="AU23" t="s">
        <v>109</v>
      </c>
      <c r="AV23">
        <v>1</v>
      </c>
      <c r="AW23">
        <v>2</v>
      </c>
      <c r="AX23">
        <v>55984434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ROUND(AT23*Source!I71*AH23*AL23,2)</f>
        <v>0</v>
      </c>
      <c r="CV23">
        <f>ROUND(Y23*Source!I71,9)</f>
        <v>3.6</v>
      </c>
      <c r="CW23">
        <v>0</v>
      </c>
      <c r="CX23">
        <f>ROUND(Y23*Source!I71,9)</f>
        <v>3.6</v>
      </c>
      <c r="CY23">
        <f>AD23</f>
        <v>0</v>
      </c>
      <c r="CZ23">
        <f>AH23</f>
        <v>0</v>
      </c>
      <c r="DA23">
        <f>AL23</f>
        <v>1</v>
      </c>
      <c r="DB23">
        <f>ROUND((ROUND(AT23*CZ23,2)*1.2),6)</f>
        <v>0</v>
      </c>
      <c r="DC23">
        <f>ROUND((ROUND(AT23*AG23,2)*1.2),6)</f>
        <v>0</v>
      </c>
      <c r="DD23" t="s">
        <v>3</v>
      </c>
      <c r="DE23" t="s">
        <v>3</v>
      </c>
      <c r="DF23">
        <f>ROUND(ROUND(AE23,2)*CX23,2)</f>
        <v>0</v>
      </c>
      <c r="DG23">
        <f t="shared" si="0"/>
        <v>0</v>
      </c>
      <c r="DH23">
        <f t="shared" si="1"/>
        <v>0</v>
      </c>
      <c r="DI23">
        <f t="shared" si="2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ROW(Source!A71)</f>
        <v>71</v>
      </c>
      <c r="B24">
        <v>55942966</v>
      </c>
      <c r="C24">
        <v>55943207</v>
      </c>
      <c r="D24">
        <v>55459261</v>
      </c>
      <c r="E24">
        <v>1</v>
      </c>
      <c r="F24">
        <v>1</v>
      </c>
      <c r="G24">
        <v>1081</v>
      </c>
      <c r="H24">
        <v>3</v>
      </c>
      <c r="I24" t="s">
        <v>193</v>
      </c>
      <c r="J24" t="s">
        <v>194</v>
      </c>
      <c r="K24" t="s">
        <v>195</v>
      </c>
      <c r="L24">
        <v>1348</v>
      </c>
      <c r="N24">
        <v>1009</v>
      </c>
      <c r="O24" t="s">
        <v>196</v>
      </c>
      <c r="P24" t="s">
        <v>196</v>
      </c>
      <c r="Q24">
        <v>1000</v>
      </c>
      <c r="W24">
        <v>0</v>
      </c>
      <c r="X24">
        <v>-2092697376</v>
      </c>
      <c r="Y24">
        <f>(AT24*1)</f>
        <v>1E-4</v>
      </c>
      <c r="AA24">
        <v>1219.68</v>
      </c>
      <c r="AB24">
        <v>0</v>
      </c>
      <c r="AC24">
        <v>0</v>
      </c>
      <c r="AD24">
        <v>0</v>
      </c>
      <c r="AE24">
        <v>1219.68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1E-4</v>
      </c>
      <c r="AU24" t="s">
        <v>108</v>
      </c>
      <c r="AV24">
        <v>0</v>
      </c>
      <c r="AW24">
        <v>2</v>
      </c>
      <c r="AX24">
        <v>55984435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ROUND(Y24*Source!I71,9)</f>
        <v>1E-4</v>
      </c>
      <c r="CY24">
        <f>AA24</f>
        <v>1219.68</v>
      </c>
      <c r="CZ24">
        <f>AE24</f>
        <v>1219.68</v>
      </c>
      <c r="DA24">
        <f>AI24</f>
        <v>1</v>
      </c>
      <c r="DB24">
        <f>ROUND((ROUND(AT24*CZ24,2)*1),6)</f>
        <v>0.12</v>
      </c>
      <c r="DC24">
        <f>ROUND((ROUND(AT24*AG24,2)*1),6)</f>
        <v>0</v>
      </c>
      <c r="DD24" t="s">
        <v>3</v>
      </c>
      <c r="DE24" t="s">
        <v>3</v>
      </c>
      <c r="DF24">
        <f>ROUND(ROUND(AE24,2)*CX24,2)</f>
        <v>0.12</v>
      </c>
      <c r="DG24">
        <f t="shared" si="0"/>
        <v>0</v>
      </c>
      <c r="DH24">
        <f t="shared" si="1"/>
        <v>0</v>
      </c>
      <c r="DI24">
        <f t="shared" si="2"/>
        <v>0</v>
      </c>
      <c r="DJ24">
        <f>DF24</f>
        <v>0.12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ROW(Source!A71)</f>
        <v>71</v>
      </c>
      <c r="B25">
        <v>55942966</v>
      </c>
      <c r="C25">
        <v>55943207</v>
      </c>
      <c r="D25">
        <v>55461880</v>
      </c>
      <c r="E25">
        <v>1</v>
      </c>
      <c r="F25">
        <v>1</v>
      </c>
      <c r="G25">
        <v>1081</v>
      </c>
      <c r="H25">
        <v>3</v>
      </c>
      <c r="I25" t="s">
        <v>197</v>
      </c>
      <c r="J25" t="s">
        <v>198</v>
      </c>
      <c r="K25" t="s">
        <v>199</v>
      </c>
      <c r="L25">
        <v>1355</v>
      </c>
      <c r="N25">
        <v>1010</v>
      </c>
      <c r="O25" t="s">
        <v>200</v>
      </c>
      <c r="P25" t="s">
        <v>200</v>
      </c>
      <c r="Q25">
        <v>100</v>
      </c>
      <c r="W25">
        <v>0</v>
      </c>
      <c r="X25">
        <v>1440323189</v>
      </c>
      <c r="Y25">
        <f>(AT25*1)</f>
        <v>3.0700000000000002E-2</v>
      </c>
      <c r="AA25">
        <v>10.89</v>
      </c>
      <c r="AB25">
        <v>0</v>
      </c>
      <c r="AC25">
        <v>0</v>
      </c>
      <c r="AD25">
        <v>0</v>
      </c>
      <c r="AE25">
        <v>10.89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3.0700000000000002E-2</v>
      </c>
      <c r="AU25" t="s">
        <v>108</v>
      </c>
      <c r="AV25">
        <v>0</v>
      </c>
      <c r="AW25">
        <v>2</v>
      </c>
      <c r="AX25">
        <v>55984436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ROUND(Y25*Source!I71,9)</f>
        <v>3.0700000000000002E-2</v>
      </c>
      <c r="CY25">
        <f>AA25</f>
        <v>10.89</v>
      </c>
      <c r="CZ25">
        <f>AE25</f>
        <v>10.89</v>
      </c>
      <c r="DA25">
        <f>AI25</f>
        <v>1</v>
      </c>
      <c r="DB25">
        <f>ROUND((ROUND(AT25*CZ25,2)*1),6)</f>
        <v>0.33</v>
      </c>
      <c r="DC25">
        <f>ROUND((ROUND(AT25*AG25,2)*1),6)</f>
        <v>0</v>
      </c>
      <c r="DD25" t="s">
        <v>3</v>
      </c>
      <c r="DE25" t="s">
        <v>3</v>
      </c>
      <c r="DF25">
        <f>ROUND(ROUND(AE25,2)*CX25,2)</f>
        <v>0.33</v>
      </c>
      <c r="DG25">
        <f t="shared" si="0"/>
        <v>0</v>
      </c>
      <c r="DH25">
        <f t="shared" si="1"/>
        <v>0</v>
      </c>
      <c r="DI25">
        <f t="shared" si="2"/>
        <v>0</v>
      </c>
      <c r="DJ25">
        <f>DF25</f>
        <v>0.33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ROW(Source!A72)</f>
        <v>72</v>
      </c>
      <c r="B26">
        <v>55942968</v>
      </c>
      <c r="C26">
        <v>55943207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190</v>
      </c>
      <c r="J26" t="s">
        <v>3</v>
      </c>
      <c r="K26" t="s">
        <v>191</v>
      </c>
      <c r="L26">
        <v>1191</v>
      </c>
      <c r="N26">
        <v>1013</v>
      </c>
      <c r="O26" t="s">
        <v>192</v>
      </c>
      <c r="P26" t="s">
        <v>192</v>
      </c>
      <c r="Q26">
        <v>1</v>
      </c>
      <c r="W26">
        <v>0</v>
      </c>
      <c r="X26">
        <v>476480486</v>
      </c>
      <c r="Y26">
        <f>(AT26*1.2)</f>
        <v>3.5999999999999996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</v>
      </c>
      <c r="AU26" t="s">
        <v>109</v>
      </c>
      <c r="AV26">
        <v>1</v>
      </c>
      <c r="AW26">
        <v>2</v>
      </c>
      <c r="AX26">
        <v>55984434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ROUND(AT26*Source!I72*AH26*AL26,2)</f>
        <v>0</v>
      </c>
      <c r="CV26">
        <f>ROUND(Y26*Source!I72,9)</f>
        <v>3.6</v>
      </c>
      <c r="CW26">
        <v>0</v>
      </c>
      <c r="CX26">
        <f>ROUND(Y26*Source!I72,9)</f>
        <v>3.6</v>
      </c>
      <c r="CY26">
        <f>AD26</f>
        <v>0</v>
      </c>
      <c r="CZ26">
        <f>AH26</f>
        <v>0</v>
      </c>
      <c r="DA26">
        <f>AL26</f>
        <v>1</v>
      </c>
      <c r="DB26">
        <f>ROUND((ROUND(AT26*CZ26,2)*1.2),6)</f>
        <v>0</v>
      </c>
      <c r="DC26">
        <f>ROUND((ROUND(AT26*AG26,2)*1.2),6)</f>
        <v>0</v>
      </c>
      <c r="DD26" t="s">
        <v>3</v>
      </c>
      <c r="DE26" t="s">
        <v>3</v>
      </c>
      <c r="DF26">
        <f>ROUND(ROUND(AE26,2)*CX26,2)</f>
        <v>0</v>
      </c>
      <c r="DG26">
        <f t="shared" si="0"/>
        <v>0</v>
      </c>
      <c r="DH26">
        <f t="shared" si="1"/>
        <v>0</v>
      </c>
      <c r="DI26">
        <f t="shared" si="2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ROW(Source!A72)</f>
        <v>72</v>
      </c>
      <c r="B27">
        <v>55942968</v>
      </c>
      <c r="C27">
        <v>55943207</v>
      </c>
      <c r="D27">
        <v>55459261</v>
      </c>
      <c r="E27">
        <v>1</v>
      </c>
      <c r="F27">
        <v>1</v>
      </c>
      <c r="G27">
        <v>1081</v>
      </c>
      <c r="H27">
        <v>3</v>
      </c>
      <c r="I27" t="s">
        <v>193</v>
      </c>
      <c r="J27" t="s">
        <v>194</v>
      </c>
      <c r="K27" t="s">
        <v>195</v>
      </c>
      <c r="L27">
        <v>1348</v>
      </c>
      <c r="N27">
        <v>1009</v>
      </c>
      <c r="O27" t="s">
        <v>196</v>
      </c>
      <c r="P27" t="s">
        <v>196</v>
      </c>
      <c r="Q27">
        <v>1000</v>
      </c>
      <c r="W27">
        <v>0</v>
      </c>
      <c r="X27">
        <v>-2092697376</v>
      </c>
      <c r="Y27">
        <f>(AT27*1)</f>
        <v>1E-4</v>
      </c>
      <c r="AA27">
        <v>7305.88</v>
      </c>
      <c r="AB27">
        <v>0</v>
      </c>
      <c r="AC27">
        <v>0</v>
      </c>
      <c r="AD27">
        <v>0</v>
      </c>
      <c r="AE27">
        <v>1219.68</v>
      </c>
      <c r="AF27">
        <v>0</v>
      </c>
      <c r="AG27">
        <v>0</v>
      </c>
      <c r="AH27">
        <v>0</v>
      </c>
      <c r="AI27">
        <v>5.99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1E-4</v>
      </c>
      <c r="AU27" t="s">
        <v>108</v>
      </c>
      <c r="AV27">
        <v>0</v>
      </c>
      <c r="AW27">
        <v>2</v>
      </c>
      <c r="AX27">
        <v>55984435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ROUND(Y27*Source!I72,9)</f>
        <v>1E-4</v>
      </c>
      <c r="CY27">
        <f>AA27</f>
        <v>7305.88</v>
      </c>
      <c r="CZ27">
        <f>AE27</f>
        <v>1219.68</v>
      </c>
      <c r="DA27">
        <f>AI27</f>
        <v>5.99</v>
      </c>
      <c r="DB27">
        <f>ROUND((ROUND(AT27*CZ27,2)*1),6)</f>
        <v>0.12</v>
      </c>
      <c r="DC27">
        <f>ROUND((ROUND(AT27*AG27,2)*1),6)</f>
        <v>0</v>
      </c>
      <c r="DD27" t="s">
        <v>3</v>
      </c>
      <c r="DE27" t="s">
        <v>3</v>
      </c>
      <c r="DF27">
        <f>ROUND(ROUND(AE27*AI27,2)*CX27,2)</f>
        <v>0.73</v>
      </c>
      <c r="DG27">
        <f t="shared" si="0"/>
        <v>0</v>
      </c>
      <c r="DH27">
        <f t="shared" si="1"/>
        <v>0</v>
      </c>
      <c r="DI27">
        <f t="shared" si="2"/>
        <v>0</v>
      </c>
      <c r="DJ27">
        <f>DF27</f>
        <v>0.73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ROW(Source!A72)</f>
        <v>72</v>
      </c>
      <c r="B28">
        <v>55942968</v>
      </c>
      <c r="C28">
        <v>55943207</v>
      </c>
      <c r="D28">
        <v>55461880</v>
      </c>
      <c r="E28">
        <v>1</v>
      </c>
      <c r="F28">
        <v>1</v>
      </c>
      <c r="G28">
        <v>1081</v>
      </c>
      <c r="H28">
        <v>3</v>
      </c>
      <c r="I28" t="s">
        <v>197</v>
      </c>
      <c r="J28" t="s">
        <v>198</v>
      </c>
      <c r="K28" t="s">
        <v>199</v>
      </c>
      <c r="L28">
        <v>1355</v>
      </c>
      <c r="N28">
        <v>1010</v>
      </c>
      <c r="O28" t="s">
        <v>200</v>
      </c>
      <c r="P28" t="s">
        <v>200</v>
      </c>
      <c r="Q28">
        <v>100</v>
      </c>
      <c r="W28">
        <v>0</v>
      </c>
      <c r="X28">
        <v>1440323189</v>
      </c>
      <c r="Y28">
        <f>(AT28*1)</f>
        <v>3.0700000000000002E-2</v>
      </c>
      <c r="AA28">
        <v>78.52</v>
      </c>
      <c r="AB28">
        <v>0</v>
      </c>
      <c r="AC28">
        <v>0</v>
      </c>
      <c r="AD28">
        <v>0</v>
      </c>
      <c r="AE28">
        <v>10.89</v>
      </c>
      <c r="AF28">
        <v>0</v>
      </c>
      <c r="AG28">
        <v>0</v>
      </c>
      <c r="AH28">
        <v>0</v>
      </c>
      <c r="AI28">
        <v>7.21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3.0700000000000002E-2</v>
      </c>
      <c r="AU28" t="s">
        <v>108</v>
      </c>
      <c r="AV28">
        <v>0</v>
      </c>
      <c r="AW28">
        <v>2</v>
      </c>
      <c r="AX28">
        <v>55984436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ROUND(Y28*Source!I72,9)</f>
        <v>3.0700000000000002E-2</v>
      </c>
      <c r="CY28">
        <f>AA28</f>
        <v>78.52</v>
      </c>
      <c r="CZ28">
        <f>AE28</f>
        <v>10.89</v>
      </c>
      <c r="DA28">
        <f>AI28</f>
        <v>7.21</v>
      </c>
      <c r="DB28">
        <f>ROUND((ROUND(AT28*CZ28,2)*1),6)</f>
        <v>0.33</v>
      </c>
      <c r="DC28">
        <f>ROUND((ROUND(AT28*AG28,2)*1),6)</f>
        <v>0</v>
      </c>
      <c r="DD28" t="s">
        <v>3</v>
      </c>
      <c r="DE28" t="s">
        <v>3</v>
      </c>
      <c r="DF28">
        <f>ROUND(ROUND(AE28*AI28,2)*CX28,2)</f>
        <v>2.41</v>
      </c>
      <c r="DG28">
        <f t="shared" si="0"/>
        <v>0</v>
      </c>
      <c r="DH28">
        <f t="shared" si="1"/>
        <v>0</v>
      </c>
      <c r="DI28">
        <f t="shared" si="2"/>
        <v>0</v>
      </c>
      <c r="DJ28">
        <f>DF28</f>
        <v>2.41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ROW(Source!A75)</f>
        <v>75</v>
      </c>
      <c r="B29">
        <v>55942966</v>
      </c>
      <c r="C29">
        <v>57036882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190</v>
      </c>
      <c r="J29" t="s">
        <v>3</v>
      </c>
      <c r="K29" t="s">
        <v>191</v>
      </c>
      <c r="L29">
        <v>1191</v>
      </c>
      <c r="N29">
        <v>1013</v>
      </c>
      <c r="O29" t="s">
        <v>192</v>
      </c>
      <c r="P29" t="s">
        <v>192</v>
      </c>
      <c r="Q29">
        <v>1</v>
      </c>
      <c r="W29">
        <v>0</v>
      </c>
      <c r="X29">
        <v>476480486</v>
      </c>
      <c r="Y29">
        <f>(AT29*1.2)</f>
        <v>1.236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1.03</v>
      </c>
      <c r="AU29" t="s">
        <v>109</v>
      </c>
      <c r="AV29">
        <v>1</v>
      </c>
      <c r="AW29">
        <v>2</v>
      </c>
      <c r="AX29">
        <v>57036883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ROUND(AT29*Source!I75*AH29*AL29,2)</f>
        <v>0</v>
      </c>
      <c r="CV29">
        <f>ROUND(Y29*Source!I75,9)</f>
        <v>1.236</v>
      </c>
      <c r="CW29">
        <v>0</v>
      </c>
      <c r="CX29">
        <f>ROUND(Y29*Source!I75,9)</f>
        <v>1.236</v>
      </c>
      <c r="CY29">
        <f>AD29</f>
        <v>0</v>
      </c>
      <c r="CZ29">
        <f>AH29</f>
        <v>0</v>
      </c>
      <c r="DA29">
        <f>AL29</f>
        <v>1</v>
      </c>
      <c r="DB29">
        <f>ROUND((ROUND(AT29*CZ29,2)*1.2),6)</f>
        <v>0</v>
      </c>
      <c r="DC29">
        <f>ROUND((ROUND(AT29*AG29,2)*1.2),6)</f>
        <v>0</v>
      </c>
      <c r="DD29" t="s">
        <v>3</v>
      </c>
      <c r="DE29" t="s">
        <v>3</v>
      </c>
      <c r="DF29">
        <f t="shared" ref="DF29:DF35" si="3">ROUND(ROUND(AE29,2)*CX29,2)</f>
        <v>0</v>
      </c>
      <c r="DG29">
        <f t="shared" si="0"/>
        <v>0</v>
      </c>
      <c r="DH29">
        <f t="shared" si="1"/>
        <v>0</v>
      </c>
      <c r="DI29">
        <f t="shared" si="2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ROW(Source!A75)</f>
        <v>75</v>
      </c>
      <c r="B30">
        <v>55942966</v>
      </c>
      <c r="C30">
        <v>57036882</v>
      </c>
      <c r="D30">
        <v>55490209</v>
      </c>
      <c r="E30">
        <v>1</v>
      </c>
      <c r="F30">
        <v>1</v>
      </c>
      <c r="G30">
        <v>1081</v>
      </c>
      <c r="H30">
        <v>2</v>
      </c>
      <c r="I30" t="s">
        <v>210</v>
      </c>
      <c r="J30" t="s">
        <v>211</v>
      </c>
      <c r="K30" t="s">
        <v>212</v>
      </c>
      <c r="L30">
        <v>1368</v>
      </c>
      <c r="N30">
        <v>1011</v>
      </c>
      <c r="O30" t="s">
        <v>213</v>
      </c>
      <c r="P30" t="s">
        <v>213</v>
      </c>
      <c r="Q30">
        <v>1</v>
      </c>
      <c r="W30">
        <v>0</v>
      </c>
      <c r="X30">
        <v>874612079</v>
      </c>
      <c r="Y30">
        <f>(AT30*1.2)</f>
        <v>7.1999999999999998E-3</v>
      </c>
      <c r="AA30">
        <v>0</v>
      </c>
      <c r="AB30">
        <v>87.01</v>
      </c>
      <c r="AC30">
        <v>13.21</v>
      </c>
      <c r="AD30">
        <v>0</v>
      </c>
      <c r="AE30">
        <v>0</v>
      </c>
      <c r="AF30">
        <v>83.1</v>
      </c>
      <c r="AG30">
        <v>12.62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6.0000000000000001E-3</v>
      </c>
      <c r="AU30" t="s">
        <v>109</v>
      </c>
      <c r="AV30">
        <v>0</v>
      </c>
      <c r="AW30">
        <v>2</v>
      </c>
      <c r="AX30">
        <v>57036884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ROUND(Y30*Source!I75*DO30,9)</f>
        <v>9.0864E-2</v>
      </c>
      <c r="CX30">
        <f>ROUND(Y30*Source!I75,9)</f>
        <v>7.1999999999999998E-3</v>
      </c>
      <c r="CY30">
        <f>AB30</f>
        <v>87.01</v>
      </c>
      <c r="CZ30">
        <f>AF30</f>
        <v>83.1</v>
      </c>
      <c r="DA30">
        <f>AJ30</f>
        <v>1</v>
      </c>
      <c r="DB30">
        <f>ROUND((ROUND(AT30*CZ30,2)*1.2),6)</f>
        <v>0.6</v>
      </c>
      <c r="DC30">
        <f>ROUND((ROUND(AT30*AG30,2)*1.2),6)</f>
        <v>9.6000000000000002E-2</v>
      </c>
      <c r="DD30" t="s">
        <v>3</v>
      </c>
      <c r="DE30" t="s">
        <v>3</v>
      </c>
      <c r="DF30">
        <f t="shared" si="3"/>
        <v>0</v>
      </c>
      <c r="DG30">
        <f t="shared" si="0"/>
        <v>0.6</v>
      </c>
      <c r="DH30">
        <f t="shared" si="1"/>
        <v>0.09</v>
      </c>
      <c r="DI30">
        <f t="shared" si="2"/>
        <v>0</v>
      </c>
      <c r="DJ30">
        <f>DG30</f>
        <v>0.6</v>
      </c>
      <c r="DK30">
        <v>0</v>
      </c>
      <c r="DL30" t="s">
        <v>214</v>
      </c>
      <c r="DM30">
        <v>0</v>
      </c>
      <c r="DN30" t="s">
        <v>192</v>
      </c>
      <c r="DO30">
        <v>12.62</v>
      </c>
    </row>
    <row r="31" spans="1:119" x14ac:dyDescent="0.25">
      <c r="A31">
        <f>ROW(Source!A76)</f>
        <v>76</v>
      </c>
      <c r="B31">
        <v>55942968</v>
      </c>
      <c r="C31">
        <v>57036882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190</v>
      </c>
      <c r="J31" t="s">
        <v>3</v>
      </c>
      <c r="K31" t="s">
        <v>191</v>
      </c>
      <c r="L31">
        <v>1191</v>
      </c>
      <c r="N31">
        <v>1013</v>
      </c>
      <c r="O31" t="s">
        <v>192</v>
      </c>
      <c r="P31" t="s">
        <v>192</v>
      </c>
      <c r="Q31">
        <v>1</v>
      </c>
      <c r="W31">
        <v>0</v>
      </c>
      <c r="X31">
        <v>476480486</v>
      </c>
      <c r="Y31">
        <f>(AT31*1.2)</f>
        <v>1.236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5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1.03</v>
      </c>
      <c r="AU31" t="s">
        <v>109</v>
      </c>
      <c r="AV31">
        <v>1</v>
      </c>
      <c r="AW31">
        <v>2</v>
      </c>
      <c r="AX31">
        <v>57036883</v>
      </c>
      <c r="AY31">
        <v>1</v>
      </c>
      <c r="AZ31">
        <v>0</v>
      </c>
      <c r="BA31">
        <v>32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ROUND(AT31*Source!I76*AH31*AL31,2)</f>
        <v>0</v>
      </c>
      <c r="CV31">
        <f>ROUND(Y31*Source!I76,9)</f>
        <v>1.236</v>
      </c>
      <c r="CW31">
        <v>0</v>
      </c>
      <c r="CX31">
        <f>ROUND(Y31*Source!I76,9)</f>
        <v>1.236</v>
      </c>
      <c r="CY31">
        <f>AD31</f>
        <v>0</v>
      </c>
      <c r="CZ31">
        <f>AH31</f>
        <v>0</v>
      </c>
      <c r="DA31">
        <f>AL31</f>
        <v>1</v>
      </c>
      <c r="DB31">
        <f>ROUND((ROUND(AT31*CZ31,2)*1.2),6)</f>
        <v>0</v>
      </c>
      <c r="DC31">
        <f>ROUND((ROUND(AT31*AG31,2)*1.2),6)</f>
        <v>0</v>
      </c>
      <c r="DD31" t="s">
        <v>3</v>
      </c>
      <c r="DE31" t="s">
        <v>3</v>
      </c>
      <c r="DF31">
        <f t="shared" si="3"/>
        <v>0</v>
      </c>
      <c r="DG31">
        <f t="shared" si="0"/>
        <v>0</v>
      </c>
      <c r="DH31">
        <f t="shared" si="1"/>
        <v>0</v>
      </c>
      <c r="DI31">
        <f t="shared" si="2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ROW(Source!A76)</f>
        <v>76</v>
      </c>
      <c r="B32">
        <v>55942968</v>
      </c>
      <c r="C32">
        <v>57036882</v>
      </c>
      <c r="D32">
        <v>55490209</v>
      </c>
      <c r="E32">
        <v>1</v>
      </c>
      <c r="F32">
        <v>1</v>
      </c>
      <c r="G32">
        <v>1081</v>
      </c>
      <c r="H32">
        <v>2</v>
      </c>
      <c r="I32" t="s">
        <v>210</v>
      </c>
      <c r="J32" t="s">
        <v>211</v>
      </c>
      <c r="K32" t="s">
        <v>212</v>
      </c>
      <c r="L32">
        <v>1368</v>
      </c>
      <c r="N32">
        <v>1011</v>
      </c>
      <c r="O32" t="s">
        <v>213</v>
      </c>
      <c r="P32" t="s">
        <v>213</v>
      </c>
      <c r="Q32">
        <v>1</v>
      </c>
      <c r="W32">
        <v>0</v>
      </c>
      <c r="X32">
        <v>874612079</v>
      </c>
      <c r="Y32">
        <f>(AT32*1.2)</f>
        <v>7.1999999999999998E-3</v>
      </c>
      <c r="AA32">
        <v>0</v>
      </c>
      <c r="AB32">
        <v>1485.19</v>
      </c>
      <c r="AC32">
        <v>744.56</v>
      </c>
      <c r="AD32">
        <v>0</v>
      </c>
      <c r="AE32">
        <v>0</v>
      </c>
      <c r="AF32">
        <v>83.1</v>
      </c>
      <c r="AG32">
        <v>12.62</v>
      </c>
      <c r="AH32">
        <v>0</v>
      </c>
      <c r="AI32">
        <v>1</v>
      </c>
      <c r="AJ32">
        <v>17.07</v>
      </c>
      <c r="AK32">
        <v>56.35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6.0000000000000001E-3</v>
      </c>
      <c r="AU32" t="s">
        <v>109</v>
      </c>
      <c r="AV32">
        <v>0</v>
      </c>
      <c r="AW32">
        <v>2</v>
      </c>
      <c r="AX32">
        <v>57036884</v>
      </c>
      <c r="AY32">
        <v>1</v>
      </c>
      <c r="AZ32">
        <v>0</v>
      </c>
      <c r="BA32">
        <v>33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ROUND(Y32*Source!I76*DO32,9)</f>
        <v>9.0864E-2</v>
      </c>
      <c r="CX32">
        <f>ROUND(Y32*Source!I76,9)</f>
        <v>7.1999999999999998E-3</v>
      </c>
      <c r="CY32">
        <f>AB32</f>
        <v>1485.19</v>
      </c>
      <c r="CZ32">
        <f>AF32</f>
        <v>83.1</v>
      </c>
      <c r="DA32">
        <f>AJ32</f>
        <v>17.07</v>
      </c>
      <c r="DB32">
        <f>ROUND((ROUND(AT32*CZ32,2)*1.2),6)</f>
        <v>0.6</v>
      </c>
      <c r="DC32">
        <f>ROUND((ROUND(AT32*AG32,2)*1.2),6)</f>
        <v>9.6000000000000002E-2</v>
      </c>
      <c r="DD32" t="s">
        <v>3</v>
      </c>
      <c r="DE32" t="s">
        <v>3</v>
      </c>
      <c r="DF32">
        <f t="shared" si="3"/>
        <v>0</v>
      </c>
      <c r="DG32">
        <f>ROUND(ROUND(AF32*AJ32,2)*CX32,2)</f>
        <v>10.210000000000001</v>
      </c>
      <c r="DH32">
        <f>ROUND(ROUND(AG32*AK32,2)*CX32,2)</f>
        <v>5.12</v>
      </c>
      <c r="DI32">
        <f t="shared" si="2"/>
        <v>0</v>
      </c>
      <c r="DJ32">
        <f>DG32</f>
        <v>10.210000000000001</v>
      </c>
      <c r="DK32">
        <v>0</v>
      </c>
      <c r="DL32" t="s">
        <v>214</v>
      </c>
      <c r="DM32">
        <v>0</v>
      </c>
      <c r="DN32" t="s">
        <v>192</v>
      </c>
      <c r="DO32">
        <v>12.62</v>
      </c>
    </row>
    <row r="33" spans="1:119" x14ac:dyDescent="0.25">
      <c r="A33">
        <f>ROW(Source!A77)</f>
        <v>77</v>
      </c>
      <c r="B33">
        <v>55942966</v>
      </c>
      <c r="C33">
        <v>55943210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190</v>
      </c>
      <c r="J33" t="s">
        <v>3</v>
      </c>
      <c r="K33" t="s">
        <v>191</v>
      </c>
      <c r="L33">
        <v>1191</v>
      </c>
      <c r="N33">
        <v>1013</v>
      </c>
      <c r="O33" t="s">
        <v>192</v>
      </c>
      <c r="P33" t="s">
        <v>192</v>
      </c>
      <c r="Q33">
        <v>1</v>
      </c>
      <c r="W33">
        <v>0</v>
      </c>
      <c r="X33">
        <v>476480486</v>
      </c>
      <c r="Y33">
        <f>(AT33*1.2)</f>
        <v>3.3239999999999998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2.77</v>
      </c>
      <c r="AU33" t="s">
        <v>109</v>
      </c>
      <c r="AV33">
        <v>1</v>
      </c>
      <c r="AW33">
        <v>2</v>
      </c>
      <c r="AX33">
        <v>55984437</v>
      </c>
      <c r="AY33">
        <v>1</v>
      </c>
      <c r="AZ33">
        <v>0</v>
      </c>
      <c r="BA33">
        <v>35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ROUND(AT33*Source!I77*AH33*AL33,2)</f>
        <v>0</v>
      </c>
      <c r="CV33">
        <f>ROUND(Y33*Source!I77,9)</f>
        <v>3.3239999999999998</v>
      </c>
      <c r="CW33">
        <v>0</v>
      </c>
      <c r="CX33">
        <f>ROUND(Y33*Source!I77,9)</f>
        <v>3.3239999999999998</v>
      </c>
      <c r="CY33">
        <f>AD33</f>
        <v>0</v>
      </c>
      <c r="CZ33">
        <f>AH33</f>
        <v>0</v>
      </c>
      <c r="DA33">
        <f>AL33</f>
        <v>1</v>
      </c>
      <c r="DB33">
        <f>ROUND((ROUND(AT33*CZ33,2)*1.2),6)</f>
        <v>0</v>
      </c>
      <c r="DC33">
        <f>ROUND((ROUND(AT33*AG33,2)*1.2),6)</f>
        <v>0</v>
      </c>
      <c r="DD33" t="s">
        <v>3</v>
      </c>
      <c r="DE33" t="s">
        <v>3</v>
      </c>
      <c r="DF33">
        <f t="shared" si="3"/>
        <v>0</v>
      </c>
      <c r="DG33">
        <f t="shared" ref="DG33:DG64" si="4">ROUND(ROUND(AF33,2)*CX33,2)</f>
        <v>0</v>
      </c>
      <c r="DH33">
        <f t="shared" ref="DH33:DH64" si="5">ROUND(ROUND(AG33,2)*CX33,2)</f>
        <v>0</v>
      </c>
      <c r="DI33">
        <f t="shared" ref="DI33:DI64" si="6">ROUND(ROUND(AH33,2)*CX33,2)</f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ROW(Source!A77)</f>
        <v>77</v>
      </c>
      <c r="B34">
        <v>55942966</v>
      </c>
      <c r="C34">
        <v>55943210</v>
      </c>
      <c r="D34">
        <v>55459873</v>
      </c>
      <c r="E34">
        <v>1</v>
      </c>
      <c r="F34">
        <v>1</v>
      </c>
      <c r="G34">
        <v>1081</v>
      </c>
      <c r="H34">
        <v>3</v>
      </c>
      <c r="I34" t="s">
        <v>201</v>
      </c>
      <c r="J34" t="s">
        <v>202</v>
      </c>
      <c r="K34" t="s">
        <v>203</v>
      </c>
      <c r="L34">
        <v>1348</v>
      </c>
      <c r="N34">
        <v>1009</v>
      </c>
      <c r="O34" t="s">
        <v>196</v>
      </c>
      <c r="P34" t="s">
        <v>196</v>
      </c>
      <c r="Q34">
        <v>1000</v>
      </c>
      <c r="W34">
        <v>0</v>
      </c>
      <c r="X34">
        <v>-1448251497</v>
      </c>
      <c r="Y34">
        <f>(AT34*1)</f>
        <v>1.0000000000000001E-5</v>
      </c>
      <c r="AA34">
        <v>18495.41</v>
      </c>
      <c r="AB34">
        <v>0</v>
      </c>
      <c r="AC34">
        <v>0</v>
      </c>
      <c r="AD34">
        <v>0</v>
      </c>
      <c r="AE34">
        <v>18495.41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1.0000000000000001E-5</v>
      </c>
      <c r="AU34" t="s">
        <v>108</v>
      </c>
      <c r="AV34">
        <v>0</v>
      </c>
      <c r="AW34">
        <v>2</v>
      </c>
      <c r="AX34">
        <v>55984438</v>
      </c>
      <c r="AY34">
        <v>1</v>
      </c>
      <c r="AZ34">
        <v>0</v>
      </c>
      <c r="BA34">
        <v>36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ROUND(Y34*Source!I77,9)</f>
        <v>1.0000000000000001E-5</v>
      </c>
      <c r="CY34">
        <f>AA34</f>
        <v>18495.41</v>
      </c>
      <c r="CZ34">
        <f>AE34</f>
        <v>18495.41</v>
      </c>
      <c r="DA34">
        <f>AI34</f>
        <v>1</v>
      </c>
      <c r="DB34">
        <f>ROUND((ROUND(AT34*CZ34,2)*1),6)</f>
        <v>0.18</v>
      </c>
      <c r="DC34">
        <f>ROUND((ROUND(AT34*AG34,2)*1),6)</f>
        <v>0</v>
      </c>
      <c r="DD34" t="s">
        <v>3</v>
      </c>
      <c r="DE34" t="s">
        <v>3</v>
      </c>
      <c r="DF34">
        <f t="shared" si="3"/>
        <v>0.18</v>
      </c>
      <c r="DG34">
        <f t="shared" si="4"/>
        <v>0</v>
      </c>
      <c r="DH34">
        <f t="shared" si="5"/>
        <v>0</v>
      </c>
      <c r="DI34">
        <f t="shared" si="6"/>
        <v>0</v>
      </c>
      <c r="DJ34">
        <f>DF34</f>
        <v>0.18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ROW(Source!A78)</f>
        <v>78</v>
      </c>
      <c r="B35">
        <v>55942968</v>
      </c>
      <c r="C35">
        <v>55943210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190</v>
      </c>
      <c r="J35" t="s">
        <v>3</v>
      </c>
      <c r="K35" t="s">
        <v>191</v>
      </c>
      <c r="L35">
        <v>1191</v>
      </c>
      <c r="N35">
        <v>1013</v>
      </c>
      <c r="O35" t="s">
        <v>192</v>
      </c>
      <c r="P35" t="s">
        <v>192</v>
      </c>
      <c r="Q35">
        <v>1</v>
      </c>
      <c r="W35">
        <v>0</v>
      </c>
      <c r="X35">
        <v>476480486</v>
      </c>
      <c r="Y35">
        <f>(AT35*1.2)</f>
        <v>3.3239999999999998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5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2.77</v>
      </c>
      <c r="AU35" t="s">
        <v>109</v>
      </c>
      <c r="AV35">
        <v>1</v>
      </c>
      <c r="AW35">
        <v>2</v>
      </c>
      <c r="AX35">
        <v>55984437</v>
      </c>
      <c r="AY35">
        <v>1</v>
      </c>
      <c r="AZ35">
        <v>0</v>
      </c>
      <c r="BA35">
        <v>37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ROUND(AT35*Source!I78*AH35*AL35,2)</f>
        <v>0</v>
      </c>
      <c r="CV35">
        <f>ROUND(Y35*Source!I78,9)</f>
        <v>3.3239999999999998</v>
      </c>
      <c r="CW35">
        <v>0</v>
      </c>
      <c r="CX35">
        <f>ROUND(Y35*Source!I78,9)</f>
        <v>3.3239999999999998</v>
      </c>
      <c r="CY35">
        <f>AD35</f>
        <v>0</v>
      </c>
      <c r="CZ35">
        <f>AH35</f>
        <v>0</v>
      </c>
      <c r="DA35">
        <f>AL35</f>
        <v>1</v>
      </c>
      <c r="DB35">
        <f>ROUND((ROUND(AT35*CZ35,2)*1.2),6)</f>
        <v>0</v>
      </c>
      <c r="DC35">
        <f>ROUND((ROUND(AT35*AG35,2)*1.2),6)</f>
        <v>0</v>
      </c>
      <c r="DD35" t="s">
        <v>3</v>
      </c>
      <c r="DE35" t="s">
        <v>3</v>
      </c>
      <c r="DF35">
        <f t="shared" si="3"/>
        <v>0</v>
      </c>
      <c r="DG35">
        <f t="shared" si="4"/>
        <v>0</v>
      </c>
      <c r="DH35">
        <f t="shared" si="5"/>
        <v>0</v>
      </c>
      <c r="DI35">
        <f t="shared" si="6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ROW(Source!A78)</f>
        <v>78</v>
      </c>
      <c r="B36">
        <v>55942968</v>
      </c>
      <c r="C36">
        <v>55943210</v>
      </c>
      <c r="D36">
        <v>55459873</v>
      </c>
      <c r="E36">
        <v>1</v>
      </c>
      <c r="F36">
        <v>1</v>
      </c>
      <c r="G36">
        <v>1081</v>
      </c>
      <c r="H36">
        <v>3</v>
      </c>
      <c r="I36" t="s">
        <v>201</v>
      </c>
      <c r="J36" t="s">
        <v>202</v>
      </c>
      <c r="K36" t="s">
        <v>203</v>
      </c>
      <c r="L36">
        <v>1348</v>
      </c>
      <c r="N36">
        <v>1009</v>
      </c>
      <c r="O36" t="s">
        <v>196</v>
      </c>
      <c r="P36" t="s">
        <v>196</v>
      </c>
      <c r="Q36">
        <v>1000</v>
      </c>
      <c r="W36">
        <v>0</v>
      </c>
      <c r="X36">
        <v>-1448251497</v>
      </c>
      <c r="Y36">
        <f>(AT36*1)</f>
        <v>1.0000000000000001E-5</v>
      </c>
      <c r="AA36">
        <v>101169.89</v>
      </c>
      <c r="AB36">
        <v>0</v>
      </c>
      <c r="AC36">
        <v>0</v>
      </c>
      <c r="AD36">
        <v>0</v>
      </c>
      <c r="AE36">
        <v>18495.41</v>
      </c>
      <c r="AF36">
        <v>0</v>
      </c>
      <c r="AG36">
        <v>0</v>
      </c>
      <c r="AH36">
        <v>0</v>
      </c>
      <c r="AI36">
        <v>5.47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1.0000000000000001E-5</v>
      </c>
      <c r="AU36" t="s">
        <v>108</v>
      </c>
      <c r="AV36">
        <v>0</v>
      </c>
      <c r="AW36">
        <v>2</v>
      </c>
      <c r="AX36">
        <v>55984438</v>
      </c>
      <c r="AY36">
        <v>1</v>
      </c>
      <c r="AZ36">
        <v>0</v>
      </c>
      <c r="BA36">
        <v>38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ROUND(Y36*Source!I78,9)</f>
        <v>1.0000000000000001E-5</v>
      </c>
      <c r="CY36">
        <f>AA36</f>
        <v>101169.89</v>
      </c>
      <c r="CZ36">
        <f>AE36</f>
        <v>18495.41</v>
      </c>
      <c r="DA36">
        <f>AI36</f>
        <v>5.47</v>
      </c>
      <c r="DB36">
        <f>ROUND((ROUND(AT36*CZ36,2)*1),6)</f>
        <v>0.18</v>
      </c>
      <c r="DC36">
        <f>ROUND((ROUND(AT36*AG36,2)*1),6)</f>
        <v>0</v>
      </c>
      <c r="DD36" t="s">
        <v>3</v>
      </c>
      <c r="DE36" t="s">
        <v>3</v>
      </c>
      <c r="DF36">
        <f>ROUND(ROUND(AE36*AI36,2)*CX36,2)</f>
        <v>1.01</v>
      </c>
      <c r="DG36">
        <f t="shared" si="4"/>
        <v>0</v>
      </c>
      <c r="DH36">
        <f t="shared" si="5"/>
        <v>0</v>
      </c>
      <c r="DI36">
        <f t="shared" si="6"/>
        <v>0</v>
      </c>
      <c r="DJ36">
        <f>DF36</f>
        <v>1.01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ROW(Source!A81)</f>
        <v>81</v>
      </c>
      <c r="B37">
        <v>55942966</v>
      </c>
      <c r="C37">
        <v>57036887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190</v>
      </c>
      <c r="J37" t="s">
        <v>3</v>
      </c>
      <c r="K37" t="s">
        <v>191</v>
      </c>
      <c r="L37">
        <v>1191</v>
      </c>
      <c r="N37">
        <v>1013</v>
      </c>
      <c r="O37" t="s">
        <v>192</v>
      </c>
      <c r="P37" t="s">
        <v>192</v>
      </c>
      <c r="Q37">
        <v>1</v>
      </c>
      <c r="W37">
        <v>0</v>
      </c>
      <c r="X37">
        <v>476480486</v>
      </c>
      <c r="Y37">
        <f>(AT37*1.2)</f>
        <v>3.5999999999999996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3</v>
      </c>
      <c r="AU37" t="s">
        <v>109</v>
      </c>
      <c r="AV37">
        <v>1</v>
      </c>
      <c r="AW37">
        <v>2</v>
      </c>
      <c r="AX37">
        <v>57036888</v>
      </c>
      <c r="AY37">
        <v>1</v>
      </c>
      <c r="AZ37">
        <v>0</v>
      </c>
      <c r="BA37">
        <v>39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ROUND(AT37*Source!I81*AH37*AL37,2)</f>
        <v>0</v>
      </c>
      <c r="CV37">
        <f>ROUND(Y37*Source!I81,9)</f>
        <v>3.6</v>
      </c>
      <c r="CW37">
        <v>0</v>
      </c>
      <c r="CX37">
        <f>ROUND(Y37*Source!I81,9)</f>
        <v>3.6</v>
      </c>
      <c r="CY37">
        <f>AD37</f>
        <v>0</v>
      </c>
      <c r="CZ37">
        <f>AH37</f>
        <v>0</v>
      </c>
      <c r="DA37">
        <f>AL37</f>
        <v>1</v>
      </c>
      <c r="DB37">
        <f>ROUND((ROUND(AT37*CZ37,2)*1.2),6)</f>
        <v>0</v>
      </c>
      <c r="DC37">
        <f>ROUND((ROUND(AT37*AG37,2)*1.2),6)</f>
        <v>0</v>
      </c>
      <c r="DD37" t="s">
        <v>3</v>
      </c>
      <c r="DE37" t="s">
        <v>3</v>
      </c>
      <c r="DF37">
        <f t="shared" ref="DF37:DF52" si="7">ROUND(ROUND(AE37,2)*CX37,2)</f>
        <v>0</v>
      </c>
      <c r="DG37">
        <f t="shared" si="4"/>
        <v>0</v>
      </c>
      <c r="DH37">
        <f t="shared" si="5"/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ROW(Source!A81)</f>
        <v>81</v>
      </c>
      <c r="B38">
        <v>55942966</v>
      </c>
      <c r="C38">
        <v>57036887</v>
      </c>
      <c r="D38">
        <v>55459894</v>
      </c>
      <c r="E38">
        <v>1</v>
      </c>
      <c r="F38">
        <v>1</v>
      </c>
      <c r="G38">
        <v>1081</v>
      </c>
      <c r="H38">
        <v>3</v>
      </c>
      <c r="I38" t="s">
        <v>215</v>
      </c>
      <c r="J38" t="s">
        <v>216</v>
      </c>
      <c r="K38" t="s">
        <v>217</v>
      </c>
      <c r="L38">
        <v>1348</v>
      </c>
      <c r="N38">
        <v>1009</v>
      </c>
      <c r="O38" t="s">
        <v>196</v>
      </c>
      <c r="P38" t="s">
        <v>196</v>
      </c>
      <c r="Q38">
        <v>1000</v>
      </c>
      <c r="W38">
        <v>0</v>
      </c>
      <c r="X38">
        <v>1175474266</v>
      </c>
      <c r="Y38">
        <f t="shared" ref="Y38:Y51" si="8">(AT38*1)</f>
        <v>1E-3</v>
      </c>
      <c r="AA38">
        <v>15319.65</v>
      </c>
      <c r="AB38">
        <v>0</v>
      </c>
      <c r="AC38">
        <v>0</v>
      </c>
      <c r="AD38">
        <v>0</v>
      </c>
      <c r="AE38">
        <v>15319.65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1E-3</v>
      </c>
      <c r="AU38" t="s">
        <v>108</v>
      </c>
      <c r="AV38">
        <v>0</v>
      </c>
      <c r="AW38">
        <v>2</v>
      </c>
      <c r="AX38">
        <v>57036889</v>
      </c>
      <c r="AY38">
        <v>1</v>
      </c>
      <c r="AZ38">
        <v>0</v>
      </c>
      <c r="BA38">
        <v>40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ROUND(Y38*Source!I81,9)</f>
        <v>1E-3</v>
      </c>
      <c r="CY38">
        <f t="shared" ref="CY38:CY51" si="9">AA38</f>
        <v>15319.65</v>
      </c>
      <c r="CZ38">
        <f t="shared" ref="CZ38:CZ51" si="10">AE38</f>
        <v>15319.65</v>
      </c>
      <c r="DA38">
        <f t="shared" ref="DA38:DA51" si="11">AI38</f>
        <v>1</v>
      </c>
      <c r="DB38">
        <f t="shared" ref="DB38:DB51" si="12">ROUND((ROUND(AT38*CZ38,2)*1),6)</f>
        <v>15.32</v>
      </c>
      <c r="DC38">
        <f t="shared" ref="DC38:DC51" si="13">ROUND((ROUND(AT38*AG38,2)*1),6)</f>
        <v>0</v>
      </c>
      <c r="DD38" t="s">
        <v>3</v>
      </c>
      <c r="DE38" t="s">
        <v>3</v>
      </c>
      <c r="DF38">
        <f t="shared" si="7"/>
        <v>15.32</v>
      </c>
      <c r="DG38">
        <f t="shared" si="4"/>
        <v>0</v>
      </c>
      <c r="DH38">
        <f t="shared" si="5"/>
        <v>0</v>
      </c>
      <c r="DI38">
        <f t="shared" si="6"/>
        <v>0</v>
      </c>
      <c r="DJ38">
        <f t="shared" ref="DJ38:DJ51" si="14">DF38</f>
        <v>15.32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ROW(Source!A81)</f>
        <v>81</v>
      </c>
      <c r="B39">
        <v>55942966</v>
      </c>
      <c r="C39">
        <v>57036887</v>
      </c>
      <c r="D39">
        <v>55459261</v>
      </c>
      <c r="E39">
        <v>1</v>
      </c>
      <c r="F39">
        <v>1</v>
      </c>
      <c r="G39">
        <v>1081</v>
      </c>
      <c r="H39">
        <v>3</v>
      </c>
      <c r="I39" t="s">
        <v>193</v>
      </c>
      <c r="J39" t="s">
        <v>194</v>
      </c>
      <c r="K39" t="s">
        <v>195</v>
      </c>
      <c r="L39">
        <v>1348</v>
      </c>
      <c r="N39">
        <v>1009</v>
      </c>
      <c r="O39" t="s">
        <v>196</v>
      </c>
      <c r="P39" t="s">
        <v>196</v>
      </c>
      <c r="Q39">
        <v>1000</v>
      </c>
      <c r="W39">
        <v>0</v>
      </c>
      <c r="X39">
        <v>-2092697376</v>
      </c>
      <c r="Y39">
        <f t="shared" si="8"/>
        <v>5.0000000000000002E-5</v>
      </c>
      <c r="AA39">
        <v>1219.68</v>
      </c>
      <c r="AB39">
        <v>0</v>
      </c>
      <c r="AC39">
        <v>0</v>
      </c>
      <c r="AD39">
        <v>0</v>
      </c>
      <c r="AE39">
        <v>1219.68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5.0000000000000002E-5</v>
      </c>
      <c r="AU39" t="s">
        <v>108</v>
      </c>
      <c r="AV39">
        <v>0</v>
      </c>
      <c r="AW39">
        <v>2</v>
      </c>
      <c r="AX39">
        <v>57036890</v>
      </c>
      <c r="AY39">
        <v>1</v>
      </c>
      <c r="AZ39">
        <v>0</v>
      </c>
      <c r="BA39">
        <v>41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ROUND(Y39*Source!I81,9)</f>
        <v>5.0000000000000002E-5</v>
      </c>
      <c r="CY39">
        <f t="shared" si="9"/>
        <v>1219.68</v>
      </c>
      <c r="CZ39">
        <f t="shared" si="10"/>
        <v>1219.68</v>
      </c>
      <c r="DA39">
        <f t="shared" si="11"/>
        <v>1</v>
      </c>
      <c r="DB39">
        <f t="shared" si="12"/>
        <v>0.06</v>
      </c>
      <c r="DC39">
        <f t="shared" si="13"/>
        <v>0</v>
      </c>
      <c r="DD39" t="s">
        <v>3</v>
      </c>
      <c r="DE39" t="s">
        <v>3</v>
      </c>
      <c r="DF39">
        <f t="shared" si="7"/>
        <v>0.06</v>
      </c>
      <c r="DG39">
        <f t="shared" si="4"/>
        <v>0</v>
      </c>
      <c r="DH39">
        <f t="shared" si="5"/>
        <v>0</v>
      </c>
      <c r="DI39">
        <f t="shared" si="6"/>
        <v>0</v>
      </c>
      <c r="DJ39">
        <f t="shared" si="14"/>
        <v>0.06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ROW(Source!A81)</f>
        <v>81</v>
      </c>
      <c r="B40">
        <v>55942966</v>
      </c>
      <c r="C40">
        <v>57036887</v>
      </c>
      <c r="D40">
        <v>55460328</v>
      </c>
      <c r="E40">
        <v>1</v>
      </c>
      <c r="F40">
        <v>1</v>
      </c>
      <c r="G40">
        <v>1081</v>
      </c>
      <c r="H40">
        <v>3</v>
      </c>
      <c r="I40" t="s">
        <v>218</v>
      </c>
      <c r="J40" t="s">
        <v>219</v>
      </c>
      <c r="K40" t="s">
        <v>220</v>
      </c>
      <c r="L40">
        <v>1301</v>
      </c>
      <c r="N40">
        <v>1003</v>
      </c>
      <c r="O40" t="s">
        <v>221</v>
      </c>
      <c r="P40" t="s">
        <v>221</v>
      </c>
      <c r="Q40">
        <v>1</v>
      </c>
      <c r="W40">
        <v>0</v>
      </c>
      <c r="X40">
        <v>-206055494</v>
      </c>
      <c r="Y40">
        <f t="shared" si="8"/>
        <v>5</v>
      </c>
      <c r="AA40">
        <v>0.39</v>
      </c>
      <c r="AB40">
        <v>0</v>
      </c>
      <c r="AC40">
        <v>0</v>
      </c>
      <c r="AD40">
        <v>0</v>
      </c>
      <c r="AE40">
        <v>0.39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5</v>
      </c>
      <c r="AU40" t="s">
        <v>108</v>
      </c>
      <c r="AV40">
        <v>0</v>
      </c>
      <c r="AW40">
        <v>2</v>
      </c>
      <c r="AX40">
        <v>57036891</v>
      </c>
      <c r="AY40">
        <v>1</v>
      </c>
      <c r="AZ40">
        <v>0</v>
      </c>
      <c r="BA40">
        <v>42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ROUND(Y40*Source!I81,9)</f>
        <v>5</v>
      </c>
      <c r="CY40">
        <f t="shared" si="9"/>
        <v>0.39</v>
      </c>
      <c r="CZ40">
        <f t="shared" si="10"/>
        <v>0.39</v>
      </c>
      <c r="DA40">
        <f t="shared" si="11"/>
        <v>1</v>
      </c>
      <c r="DB40">
        <f t="shared" si="12"/>
        <v>1.95</v>
      </c>
      <c r="DC40">
        <f t="shared" si="13"/>
        <v>0</v>
      </c>
      <c r="DD40" t="s">
        <v>3</v>
      </c>
      <c r="DE40" t="s">
        <v>3</v>
      </c>
      <c r="DF40">
        <f t="shared" si="7"/>
        <v>1.95</v>
      </c>
      <c r="DG40">
        <f t="shared" si="4"/>
        <v>0</v>
      </c>
      <c r="DH40">
        <f t="shared" si="5"/>
        <v>0</v>
      </c>
      <c r="DI40">
        <f t="shared" si="6"/>
        <v>0</v>
      </c>
      <c r="DJ40">
        <f t="shared" si="14"/>
        <v>1.95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ROW(Source!A81)</f>
        <v>81</v>
      </c>
      <c r="B41">
        <v>55942966</v>
      </c>
      <c r="C41">
        <v>57036887</v>
      </c>
      <c r="D41">
        <v>55459312</v>
      </c>
      <c r="E41">
        <v>1</v>
      </c>
      <c r="F41">
        <v>1</v>
      </c>
      <c r="G41">
        <v>1081</v>
      </c>
      <c r="H41">
        <v>3</v>
      </c>
      <c r="I41" t="s">
        <v>222</v>
      </c>
      <c r="J41" t="s">
        <v>223</v>
      </c>
      <c r="K41" t="s">
        <v>224</v>
      </c>
      <c r="L41">
        <v>1339</v>
      </c>
      <c r="N41">
        <v>1007</v>
      </c>
      <c r="O41" t="s">
        <v>225</v>
      </c>
      <c r="P41" t="s">
        <v>225</v>
      </c>
      <c r="Q41">
        <v>1</v>
      </c>
      <c r="W41">
        <v>0</v>
      </c>
      <c r="X41">
        <v>-366856290</v>
      </c>
      <c r="Y41">
        <f t="shared" si="8"/>
        <v>1E-3</v>
      </c>
      <c r="AA41">
        <v>1176.3</v>
      </c>
      <c r="AB41">
        <v>0</v>
      </c>
      <c r="AC41">
        <v>0</v>
      </c>
      <c r="AD41">
        <v>0</v>
      </c>
      <c r="AE41">
        <v>1176.3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1E-3</v>
      </c>
      <c r="AU41" t="s">
        <v>108</v>
      </c>
      <c r="AV41">
        <v>0</v>
      </c>
      <c r="AW41">
        <v>2</v>
      </c>
      <c r="AX41">
        <v>57036892</v>
      </c>
      <c r="AY41">
        <v>1</v>
      </c>
      <c r="AZ41">
        <v>0</v>
      </c>
      <c r="BA41">
        <v>43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ROUND(Y41*Source!I81,9)</f>
        <v>1E-3</v>
      </c>
      <c r="CY41">
        <f t="shared" si="9"/>
        <v>1176.3</v>
      </c>
      <c r="CZ41">
        <f t="shared" si="10"/>
        <v>1176.3</v>
      </c>
      <c r="DA41">
        <f t="shared" si="11"/>
        <v>1</v>
      </c>
      <c r="DB41">
        <f t="shared" si="12"/>
        <v>1.18</v>
      </c>
      <c r="DC41">
        <f t="shared" si="13"/>
        <v>0</v>
      </c>
      <c r="DD41" t="s">
        <v>3</v>
      </c>
      <c r="DE41" t="s">
        <v>3</v>
      </c>
      <c r="DF41">
        <f t="shared" si="7"/>
        <v>1.18</v>
      </c>
      <c r="DG41">
        <f t="shared" si="4"/>
        <v>0</v>
      </c>
      <c r="DH41">
        <f t="shared" si="5"/>
        <v>0</v>
      </c>
      <c r="DI41">
        <f t="shared" si="6"/>
        <v>0</v>
      </c>
      <c r="DJ41">
        <f t="shared" si="14"/>
        <v>1.18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ROW(Source!A81)</f>
        <v>81</v>
      </c>
      <c r="B42">
        <v>55942966</v>
      </c>
      <c r="C42">
        <v>57036887</v>
      </c>
      <c r="D42">
        <v>55461230</v>
      </c>
      <c r="E42">
        <v>1</v>
      </c>
      <c r="F42">
        <v>1</v>
      </c>
      <c r="G42">
        <v>1081</v>
      </c>
      <c r="H42">
        <v>3</v>
      </c>
      <c r="I42" t="s">
        <v>226</v>
      </c>
      <c r="J42" t="s">
        <v>227</v>
      </c>
      <c r="K42" t="s">
        <v>228</v>
      </c>
      <c r="L42">
        <v>1346</v>
      </c>
      <c r="N42">
        <v>1009</v>
      </c>
      <c r="O42" t="s">
        <v>229</v>
      </c>
      <c r="P42" t="s">
        <v>229</v>
      </c>
      <c r="Q42">
        <v>1</v>
      </c>
      <c r="W42">
        <v>0</v>
      </c>
      <c r="X42">
        <v>1561715650</v>
      </c>
      <c r="Y42">
        <f t="shared" si="8"/>
        <v>0.01</v>
      </c>
      <c r="AA42">
        <v>15.11</v>
      </c>
      <c r="AB42">
        <v>0</v>
      </c>
      <c r="AC42">
        <v>0</v>
      </c>
      <c r="AD42">
        <v>0</v>
      </c>
      <c r="AE42">
        <v>15.11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0.01</v>
      </c>
      <c r="AU42" t="s">
        <v>108</v>
      </c>
      <c r="AV42">
        <v>0</v>
      </c>
      <c r="AW42">
        <v>2</v>
      </c>
      <c r="AX42">
        <v>57036893</v>
      </c>
      <c r="AY42">
        <v>1</v>
      </c>
      <c r="AZ42">
        <v>0</v>
      </c>
      <c r="BA42">
        <v>44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ROUND(Y42*Source!I81,9)</f>
        <v>0.01</v>
      </c>
      <c r="CY42">
        <f t="shared" si="9"/>
        <v>15.11</v>
      </c>
      <c r="CZ42">
        <f t="shared" si="10"/>
        <v>15.11</v>
      </c>
      <c r="DA42">
        <f t="shared" si="11"/>
        <v>1</v>
      </c>
      <c r="DB42">
        <f t="shared" si="12"/>
        <v>0.15</v>
      </c>
      <c r="DC42">
        <f t="shared" si="13"/>
        <v>0</v>
      </c>
      <c r="DD42" t="s">
        <v>3</v>
      </c>
      <c r="DE42" t="s">
        <v>3</v>
      </c>
      <c r="DF42">
        <f t="shared" si="7"/>
        <v>0.15</v>
      </c>
      <c r="DG42">
        <f t="shared" si="4"/>
        <v>0</v>
      </c>
      <c r="DH42">
        <f t="shared" si="5"/>
        <v>0</v>
      </c>
      <c r="DI42">
        <f t="shared" si="6"/>
        <v>0</v>
      </c>
      <c r="DJ42">
        <f t="shared" si="14"/>
        <v>0.15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ROW(Source!A81)</f>
        <v>81</v>
      </c>
      <c r="B43">
        <v>55942966</v>
      </c>
      <c r="C43">
        <v>57036887</v>
      </c>
      <c r="D43">
        <v>55459400</v>
      </c>
      <c r="E43">
        <v>1</v>
      </c>
      <c r="F43">
        <v>1</v>
      </c>
      <c r="G43">
        <v>1081</v>
      </c>
      <c r="H43">
        <v>3</v>
      </c>
      <c r="I43" t="s">
        <v>230</v>
      </c>
      <c r="J43" t="s">
        <v>231</v>
      </c>
      <c r="K43" t="s">
        <v>232</v>
      </c>
      <c r="L43">
        <v>1346</v>
      </c>
      <c r="N43">
        <v>1009</v>
      </c>
      <c r="O43" t="s">
        <v>229</v>
      </c>
      <c r="P43" t="s">
        <v>229</v>
      </c>
      <c r="Q43">
        <v>1</v>
      </c>
      <c r="W43">
        <v>0</v>
      </c>
      <c r="X43">
        <v>-2129869794</v>
      </c>
      <c r="Y43">
        <f t="shared" si="8"/>
        <v>0.01</v>
      </c>
      <c r="AA43">
        <v>16.690000000000001</v>
      </c>
      <c r="AB43">
        <v>0</v>
      </c>
      <c r="AC43">
        <v>0</v>
      </c>
      <c r="AD43">
        <v>0</v>
      </c>
      <c r="AE43">
        <v>16.690000000000001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0.01</v>
      </c>
      <c r="AU43" t="s">
        <v>108</v>
      </c>
      <c r="AV43">
        <v>0</v>
      </c>
      <c r="AW43">
        <v>2</v>
      </c>
      <c r="AX43">
        <v>57036894</v>
      </c>
      <c r="AY43">
        <v>1</v>
      </c>
      <c r="AZ43">
        <v>0</v>
      </c>
      <c r="BA43">
        <v>45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ROUND(Y43*Source!I81,9)</f>
        <v>0.01</v>
      </c>
      <c r="CY43">
        <f t="shared" si="9"/>
        <v>16.690000000000001</v>
      </c>
      <c r="CZ43">
        <f t="shared" si="10"/>
        <v>16.690000000000001</v>
      </c>
      <c r="DA43">
        <f t="shared" si="11"/>
        <v>1</v>
      </c>
      <c r="DB43">
        <f t="shared" si="12"/>
        <v>0.17</v>
      </c>
      <c r="DC43">
        <f t="shared" si="13"/>
        <v>0</v>
      </c>
      <c r="DD43" t="s">
        <v>3</v>
      </c>
      <c r="DE43" t="s">
        <v>3</v>
      </c>
      <c r="DF43">
        <f t="shared" si="7"/>
        <v>0.17</v>
      </c>
      <c r="DG43">
        <f t="shared" si="4"/>
        <v>0</v>
      </c>
      <c r="DH43">
        <f t="shared" si="5"/>
        <v>0</v>
      </c>
      <c r="DI43">
        <f t="shared" si="6"/>
        <v>0</v>
      </c>
      <c r="DJ43">
        <f t="shared" si="14"/>
        <v>0.17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ROW(Source!A81)</f>
        <v>81</v>
      </c>
      <c r="B44">
        <v>55942966</v>
      </c>
      <c r="C44">
        <v>57036887</v>
      </c>
      <c r="D44">
        <v>55461719</v>
      </c>
      <c r="E44">
        <v>1</v>
      </c>
      <c r="F44">
        <v>1</v>
      </c>
      <c r="G44">
        <v>1081</v>
      </c>
      <c r="H44">
        <v>3</v>
      </c>
      <c r="I44" t="s">
        <v>233</v>
      </c>
      <c r="J44" t="s">
        <v>234</v>
      </c>
      <c r="K44" t="s">
        <v>235</v>
      </c>
      <c r="L44">
        <v>1348</v>
      </c>
      <c r="N44">
        <v>1009</v>
      </c>
      <c r="O44" t="s">
        <v>196</v>
      </c>
      <c r="P44" t="s">
        <v>196</v>
      </c>
      <c r="Q44">
        <v>1000</v>
      </c>
      <c r="W44">
        <v>0</v>
      </c>
      <c r="X44">
        <v>-1265888387</v>
      </c>
      <c r="Y44">
        <f t="shared" si="8"/>
        <v>1E-4</v>
      </c>
      <c r="AA44">
        <v>10643.18</v>
      </c>
      <c r="AB44">
        <v>0</v>
      </c>
      <c r="AC44">
        <v>0</v>
      </c>
      <c r="AD44">
        <v>0</v>
      </c>
      <c r="AE44">
        <v>10643.18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1E-4</v>
      </c>
      <c r="AU44" t="s">
        <v>108</v>
      </c>
      <c r="AV44">
        <v>0</v>
      </c>
      <c r="AW44">
        <v>2</v>
      </c>
      <c r="AX44">
        <v>57036895</v>
      </c>
      <c r="AY44">
        <v>1</v>
      </c>
      <c r="AZ44">
        <v>0</v>
      </c>
      <c r="BA44">
        <v>46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ROUND(Y44*Source!I81,9)</f>
        <v>1E-4</v>
      </c>
      <c r="CY44">
        <f t="shared" si="9"/>
        <v>10643.18</v>
      </c>
      <c r="CZ44">
        <f t="shared" si="10"/>
        <v>10643.18</v>
      </c>
      <c r="DA44">
        <f t="shared" si="11"/>
        <v>1</v>
      </c>
      <c r="DB44">
        <f t="shared" si="12"/>
        <v>1.06</v>
      </c>
      <c r="DC44">
        <f t="shared" si="13"/>
        <v>0</v>
      </c>
      <c r="DD44" t="s">
        <v>3</v>
      </c>
      <c r="DE44" t="s">
        <v>3</v>
      </c>
      <c r="DF44">
        <f t="shared" si="7"/>
        <v>1.06</v>
      </c>
      <c r="DG44">
        <f t="shared" si="4"/>
        <v>0</v>
      </c>
      <c r="DH44">
        <f t="shared" si="5"/>
        <v>0</v>
      </c>
      <c r="DI44">
        <f t="shared" si="6"/>
        <v>0</v>
      </c>
      <c r="DJ44">
        <f t="shared" si="14"/>
        <v>1.06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ROW(Source!A81)</f>
        <v>81</v>
      </c>
      <c r="B45">
        <v>55942966</v>
      </c>
      <c r="C45">
        <v>57036887</v>
      </c>
      <c r="D45">
        <v>55466000</v>
      </c>
      <c r="E45">
        <v>1</v>
      </c>
      <c r="F45">
        <v>1</v>
      </c>
      <c r="G45">
        <v>1081</v>
      </c>
      <c r="H45">
        <v>3</v>
      </c>
      <c r="I45" t="s">
        <v>236</v>
      </c>
      <c r="J45" t="s">
        <v>237</v>
      </c>
      <c r="K45" t="s">
        <v>238</v>
      </c>
      <c r="L45">
        <v>1355</v>
      </c>
      <c r="N45">
        <v>1010</v>
      </c>
      <c r="O45" t="s">
        <v>200</v>
      </c>
      <c r="P45" t="s">
        <v>200</v>
      </c>
      <c r="Q45">
        <v>100</v>
      </c>
      <c r="W45">
        <v>0</v>
      </c>
      <c r="X45">
        <v>436393287</v>
      </c>
      <c r="Y45">
        <f t="shared" si="8"/>
        <v>0.01</v>
      </c>
      <c r="AA45">
        <v>120.19</v>
      </c>
      <c r="AB45">
        <v>0</v>
      </c>
      <c r="AC45">
        <v>0</v>
      </c>
      <c r="AD45">
        <v>0</v>
      </c>
      <c r="AE45">
        <v>120.19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0.01</v>
      </c>
      <c r="AU45" t="s">
        <v>108</v>
      </c>
      <c r="AV45">
        <v>0</v>
      </c>
      <c r="AW45">
        <v>2</v>
      </c>
      <c r="AX45">
        <v>57036896</v>
      </c>
      <c r="AY45">
        <v>1</v>
      </c>
      <c r="AZ45">
        <v>0</v>
      </c>
      <c r="BA45">
        <v>47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ROUND(Y45*Source!I81,9)</f>
        <v>0.01</v>
      </c>
      <c r="CY45">
        <f t="shared" si="9"/>
        <v>120.19</v>
      </c>
      <c r="CZ45">
        <f t="shared" si="10"/>
        <v>120.19</v>
      </c>
      <c r="DA45">
        <f t="shared" si="11"/>
        <v>1</v>
      </c>
      <c r="DB45">
        <f t="shared" si="12"/>
        <v>1.2</v>
      </c>
      <c r="DC45">
        <f t="shared" si="13"/>
        <v>0</v>
      </c>
      <c r="DD45" t="s">
        <v>3</v>
      </c>
      <c r="DE45" t="s">
        <v>3</v>
      </c>
      <c r="DF45">
        <f t="shared" si="7"/>
        <v>1.2</v>
      </c>
      <c r="DG45">
        <f t="shared" si="4"/>
        <v>0</v>
      </c>
      <c r="DH45">
        <f t="shared" si="5"/>
        <v>0</v>
      </c>
      <c r="DI45">
        <f t="shared" si="6"/>
        <v>0</v>
      </c>
      <c r="DJ45">
        <f t="shared" si="14"/>
        <v>1.2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ROW(Source!A81)</f>
        <v>81</v>
      </c>
      <c r="B46">
        <v>55942966</v>
      </c>
      <c r="C46">
        <v>57036887</v>
      </c>
      <c r="D46">
        <v>55459793</v>
      </c>
      <c r="E46">
        <v>1</v>
      </c>
      <c r="F46">
        <v>1</v>
      </c>
      <c r="G46">
        <v>1081</v>
      </c>
      <c r="H46">
        <v>3</v>
      </c>
      <c r="I46" t="s">
        <v>239</v>
      </c>
      <c r="J46" t="s">
        <v>240</v>
      </c>
      <c r="K46" t="s">
        <v>241</v>
      </c>
      <c r="L46">
        <v>1348</v>
      </c>
      <c r="N46">
        <v>1009</v>
      </c>
      <c r="O46" t="s">
        <v>196</v>
      </c>
      <c r="P46" t="s">
        <v>196</v>
      </c>
      <c r="Q46">
        <v>1000</v>
      </c>
      <c r="W46">
        <v>0</v>
      </c>
      <c r="X46">
        <v>-761454284</v>
      </c>
      <c r="Y46">
        <f t="shared" si="8"/>
        <v>2.0000000000000002E-5</v>
      </c>
      <c r="AA46">
        <v>64123.05</v>
      </c>
      <c r="AB46">
        <v>0</v>
      </c>
      <c r="AC46">
        <v>0</v>
      </c>
      <c r="AD46">
        <v>0</v>
      </c>
      <c r="AE46">
        <v>64123.05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2.0000000000000002E-5</v>
      </c>
      <c r="AU46" t="s">
        <v>108</v>
      </c>
      <c r="AV46">
        <v>0</v>
      </c>
      <c r="AW46">
        <v>2</v>
      </c>
      <c r="AX46">
        <v>57036897</v>
      </c>
      <c r="AY46">
        <v>1</v>
      </c>
      <c r="AZ46">
        <v>0</v>
      </c>
      <c r="BA46">
        <v>48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ROUND(Y46*Source!I81,9)</f>
        <v>2.0000000000000002E-5</v>
      </c>
      <c r="CY46">
        <f t="shared" si="9"/>
        <v>64123.05</v>
      </c>
      <c r="CZ46">
        <f t="shared" si="10"/>
        <v>64123.05</v>
      </c>
      <c r="DA46">
        <f t="shared" si="11"/>
        <v>1</v>
      </c>
      <c r="DB46">
        <f t="shared" si="12"/>
        <v>1.28</v>
      </c>
      <c r="DC46">
        <f t="shared" si="13"/>
        <v>0</v>
      </c>
      <c r="DD46" t="s">
        <v>3</v>
      </c>
      <c r="DE46" t="s">
        <v>3</v>
      </c>
      <c r="DF46">
        <f t="shared" si="7"/>
        <v>1.28</v>
      </c>
      <c r="DG46">
        <f t="shared" si="4"/>
        <v>0</v>
      </c>
      <c r="DH46">
        <f t="shared" si="5"/>
        <v>0</v>
      </c>
      <c r="DI46">
        <f t="shared" si="6"/>
        <v>0</v>
      </c>
      <c r="DJ46">
        <f t="shared" si="14"/>
        <v>1.28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ROW(Source!A81)</f>
        <v>81</v>
      </c>
      <c r="B47">
        <v>55942966</v>
      </c>
      <c r="C47">
        <v>57036887</v>
      </c>
      <c r="D47">
        <v>55459810</v>
      </c>
      <c r="E47">
        <v>1</v>
      </c>
      <c r="F47">
        <v>1</v>
      </c>
      <c r="G47">
        <v>1081</v>
      </c>
      <c r="H47">
        <v>3</v>
      </c>
      <c r="I47" t="s">
        <v>242</v>
      </c>
      <c r="J47" t="s">
        <v>243</v>
      </c>
      <c r="K47" t="s">
        <v>244</v>
      </c>
      <c r="L47">
        <v>1348</v>
      </c>
      <c r="N47">
        <v>1009</v>
      </c>
      <c r="O47" t="s">
        <v>196</v>
      </c>
      <c r="P47" t="s">
        <v>196</v>
      </c>
      <c r="Q47">
        <v>1000</v>
      </c>
      <c r="W47">
        <v>0</v>
      </c>
      <c r="X47">
        <v>-98394079</v>
      </c>
      <c r="Y47">
        <f t="shared" si="8"/>
        <v>1E-4</v>
      </c>
      <c r="AA47">
        <v>9238.1299999999992</v>
      </c>
      <c r="AB47">
        <v>0</v>
      </c>
      <c r="AC47">
        <v>0</v>
      </c>
      <c r="AD47">
        <v>0</v>
      </c>
      <c r="AE47">
        <v>9238.1299999999992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1E-4</v>
      </c>
      <c r="AU47" t="s">
        <v>108</v>
      </c>
      <c r="AV47">
        <v>0</v>
      </c>
      <c r="AW47">
        <v>2</v>
      </c>
      <c r="AX47">
        <v>57036898</v>
      </c>
      <c r="AY47">
        <v>1</v>
      </c>
      <c r="AZ47">
        <v>0</v>
      </c>
      <c r="BA47">
        <v>49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ROUND(Y47*Source!I81,9)</f>
        <v>1E-4</v>
      </c>
      <c r="CY47">
        <f t="shared" si="9"/>
        <v>9238.1299999999992</v>
      </c>
      <c r="CZ47">
        <f t="shared" si="10"/>
        <v>9238.1299999999992</v>
      </c>
      <c r="DA47">
        <f t="shared" si="11"/>
        <v>1</v>
      </c>
      <c r="DB47">
        <f t="shared" si="12"/>
        <v>0.92</v>
      </c>
      <c r="DC47">
        <f t="shared" si="13"/>
        <v>0</v>
      </c>
      <c r="DD47" t="s">
        <v>3</v>
      </c>
      <c r="DE47" t="s">
        <v>3</v>
      </c>
      <c r="DF47">
        <f t="shared" si="7"/>
        <v>0.92</v>
      </c>
      <c r="DG47">
        <f t="shared" si="4"/>
        <v>0</v>
      </c>
      <c r="DH47">
        <f t="shared" si="5"/>
        <v>0</v>
      </c>
      <c r="DI47">
        <f t="shared" si="6"/>
        <v>0</v>
      </c>
      <c r="DJ47">
        <f t="shared" si="14"/>
        <v>0.92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ROW(Source!A81)</f>
        <v>81</v>
      </c>
      <c r="B48">
        <v>55942966</v>
      </c>
      <c r="C48">
        <v>57036887</v>
      </c>
      <c r="D48">
        <v>55482166</v>
      </c>
      <c r="E48">
        <v>1</v>
      </c>
      <c r="F48">
        <v>1</v>
      </c>
      <c r="G48">
        <v>1081</v>
      </c>
      <c r="H48">
        <v>3</v>
      </c>
      <c r="I48" t="s">
        <v>245</v>
      </c>
      <c r="J48" t="s">
        <v>246</v>
      </c>
      <c r="K48" t="s">
        <v>247</v>
      </c>
      <c r="L48">
        <v>1301</v>
      </c>
      <c r="N48">
        <v>1003</v>
      </c>
      <c r="O48" t="s">
        <v>221</v>
      </c>
      <c r="P48" t="s">
        <v>221</v>
      </c>
      <c r="Q48">
        <v>1</v>
      </c>
      <c r="W48">
        <v>0</v>
      </c>
      <c r="X48">
        <v>876831867</v>
      </c>
      <c r="Y48">
        <f t="shared" si="8"/>
        <v>1</v>
      </c>
      <c r="AA48">
        <v>0.69</v>
      </c>
      <c r="AB48">
        <v>0</v>
      </c>
      <c r="AC48">
        <v>0</v>
      </c>
      <c r="AD48">
        <v>0</v>
      </c>
      <c r="AE48">
        <v>0.69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</v>
      </c>
      <c r="AU48" t="s">
        <v>108</v>
      </c>
      <c r="AV48">
        <v>0</v>
      </c>
      <c r="AW48">
        <v>2</v>
      </c>
      <c r="AX48">
        <v>57036899</v>
      </c>
      <c r="AY48">
        <v>1</v>
      </c>
      <c r="AZ48">
        <v>0</v>
      </c>
      <c r="BA48">
        <v>50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ROUND(Y48*Source!I81,9)</f>
        <v>1</v>
      </c>
      <c r="CY48">
        <f t="shared" si="9"/>
        <v>0.69</v>
      </c>
      <c r="CZ48">
        <f t="shared" si="10"/>
        <v>0.69</v>
      </c>
      <c r="DA48">
        <f t="shared" si="11"/>
        <v>1</v>
      </c>
      <c r="DB48">
        <f t="shared" si="12"/>
        <v>0.69</v>
      </c>
      <c r="DC48">
        <f t="shared" si="13"/>
        <v>0</v>
      </c>
      <c r="DD48" t="s">
        <v>3</v>
      </c>
      <c r="DE48" t="s">
        <v>3</v>
      </c>
      <c r="DF48">
        <f t="shared" si="7"/>
        <v>0.69</v>
      </c>
      <c r="DG48">
        <f t="shared" si="4"/>
        <v>0</v>
      </c>
      <c r="DH48">
        <f t="shared" si="5"/>
        <v>0</v>
      </c>
      <c r="DI48">
        <f t="shared" si="6"/>
        <v>0</v>
      </c>
      <c r="DJ48">
        <f t="shared" si="14"/>
        <v>0.69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ROW(Source!A81)</f>
        <v>81</v>
      </c>
      <c r="B49">
        <v>55942966</v>
      </c>
      <c r="C49">
        <v>57036887</v>
      </c>
      <c r="D49">
        <v>55482445</v>
      </c>
      <c r="E49">
        <v>1</v>
      </c>
      <c r="F49">
        <v>1</v>
      </c>
      <c r="G49">
        <v>1081</v>
      </c>
      <c r="H49">
        <v>3</v>
      </c>
      <c r="I49" t="s">
        <v>248</v>
      </c>
      <c r="J49" t="s">
        <v>249</v>
      </c>
      <c r="K49" t="s">
        <v>250</v>
      </c>
      <c r="L49">
        <v>1356</v>
      </c>
      <c r="N49">
        <v>1010</v>
      </c>
      <c r="O49" t="s">
        <v>251</v>
      </c>
      <c r="P49" t="s">
        <v>251</v>
      </c>
      <c r="Q49">
        <v>1000</v>
      </c>
      <c r="W49">
        <v>0</v>
      </c>
      <c r="X49">
        <v>-285397556</v>
      </c>
      <c r="Y49">
        <f t="shared" si="8"/>
        <v>0.01</v>
      </c>
      <c r="AA49">
        <v>294.89</v>
      </c>
      <c r="AB49">
        <v>0</v>
      </c>
      <c r="AC49">
        <v>0</v>
      </c>
      <c r="AD49">
        <v>0</v>
      </c>
      <c r="AE49">
        <v>294.89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0.01</v>
      </c>
      <c r="AU49" t="s">
        <v>108</v>
      </c>
      <c r="AV49">
        <v>0</v>
      </c>
      <c r="AW49">
        <v>2</v>
      </c>
      <c r="AX49">
        <v>57036900</v>
      </c>
      <c r="AY49">
        <v>1</v>
      </c>
      <c r="AZ49">
        <v>0</v>
      </c>
      <c r="BA49">
        <v>51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ROUND(Y49*Source!I81,9)</f>
        <v>0.01</v>
      </c>
      <c r="CY49">
        <f t="shared" si="9"/>
        <v>294.89</v>
      </c>
      <c r="CZ49">
        <f t="shared" si="10"/>
        <v>294.89</v>
      </c>
      <c r="DA49">
        <f t="shared" si="11"/>
        <v>1</v>
      </c>
      <c r="DB49">
        <f t="shared" si="12"/>
        <v>2.95</v>
      </c>
      <c r="DC49">
        <f t="shared" si="13"/>
        <v>0</v>
      </c>
      <c r="DD49" t="s">
        <v>3</v>
      </c>
      <c r="DE49" t="s">
        <v>3</v>
      </c>
      <c r="DF49">
        <f t="shared" si="7"/>
        <v>2.95</v>
      </c>
      <c r="DG49">
        <f t="shared" si="4"/>
        <v>0</v>
      </c>
      <c r="DH49">
        <f t="shared" si="5"/>
        <v>0</v>
      </c>
      <c r="DI49">
        <f t="shared" si="6"/>
        <v>0</v>
      </c>
      <c r="DJ49">
        <f t="shared" si="14"/>
        <v>2.95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ROW(Source!A81)</f>
        <v>81</v>
      </c>
      <c r="B50">
        <v>55942966</v>
      </c>
      <c r="C50">
        <v>57036887</v>
      </c>
      <c r="D50">
        <v>55481518</v>
      </c>
      <c r="E50">
        <v>1</v>
      </c>
      <c r="F50">
        <v>1</v>
      </c>
      <c r="G50">
        <v>1081</v>
      </c>
      <c r="H50">
        <v>3</v>
      </c>
      <c r="I50" t="s">
        <v>252</v>
      </c>
      <c r="J50" t="s">
        <v>253</v>
      </c>
      <c r="K50" t="s">
        <v>254</v>
      </c>
      <c r="L50">
        <v>1354</v>
      </c>
      <c r="N50">
        <v>1010</v>
      </c>
      <c r="O50" t="s">
        <v>114</v>
      </c>
      <c r="P50" t="s">
        <v>114</v>
      </c>
      <c r="Q50">
        <v>1</v>
      </c>
      <c r="W50">
        <v>0</v>
      </c>
      <c r="X50">
        <v>55982921</v>
      </c>
      <c r="Y50">
        <f t="shared" si="8"/>
        <v>1</v>
      </c>
      <c r="AA50">
        <v>15.67</v>
      </c>
      <c r="AB50">
        <v>0</v>
      </c>
      <c r="AC50">
        <v>0</v>
      </c>
      <c r="AD50">
        <v>0</v>
      </c>
      <c r="AE50">
        <v>15.67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</v>
      </c>
      <c r="AU50" t="s">
        <v>108</v>
      </c>
      <c r="AV50">
        <v>0</v>
      </c>
      <c r="AW50">
        <v>2</v>
      </c>
      <c r="AX50">
        <v>57036901</v>
      </c>
      <c r="AY50">
        <v>1</v>
      </c>
      <c r="AZ50">
        <v>0</v>
      </c>
      <c r="BA50">
        <v>52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ROUND(Y50*Source!I81,9)</f>
        <v>1</v>
      </c>
      <c r="CY50">
        <f t="shared" si="9"/>
        <v>15.67</v>
      </c>
      <c r="CZ50">
        <f t="shared" si="10"/>
        <v>15.67</v>
      </c>
      <c r="DA50">
        <f t="shared" si="11"/>
        <v>1</v>
      </c>
      <c r="DB50">
        <f t="shared" si="12"/>
        <v>15.67</v>
      </c>
      <c r="DC50">
        <f t="shared" si="13"/>
        <v>0</v>
      </c>
      <c r="DD50" t="s">
        <v>3</v>
      </c>
      <c r="DE50" t="s">
        <v>3</v>
      </c>
      <c r="DF50">
        <f t="shared" si="7"/>
        <v>15.67</v>
      </c>
      <c r="DG50">
        <f t="shared" si="4"/>
        <v>0</v>
      </c>
      <c r="DH50">
        <f t="shared" si="5"/>
        <v>0</v>
      </c>
      <c r="DI50">
        <f t="shared" si="6"/>
        <v>0</v>
      </c>
      <c r="DJ50">
        <f t="shared" si="14"/>
        <v>15.67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ROW(Source!A81)</f>
        <v>81</v>
      </c>
      <c r="B51">
        <v>55942966</v>
      </c>
      <c r="C51">
        <v>57036887</v>
      </c>
      <c r="D51">
        <v>55424290</v>
      </c>
      <c r="E51">
        <v>1081</v>
      </c>
      <c r="F51">
        <v>1</v>
      </c>
      <c r="G51">
        <v>1081</v>
      </c>
      <c r="H51">
        <v>3</v>
      </c>
      <c r="I51" t="s">
        <v>255</v>
      </c>
      <c r="J51" t="s">
        <v>3</v>
      </c>
      <c r="K51" t="s">
        <v>256</v>
      </c>
      <c r="L51">
        <v>1348</v>
      </c>
      <c r="N51">
        <v>1009</v>
      </c>
      <c r="O51" t="s">
        <v>196</v>
      </c>
      <c r="P51" t="s">
        <v>196</v>
      </c>
      <c r="Q51">
        <v>1000</v>
      </c>
      <c r="W51">
        <v>0</v>
      </c>
      <c r="X51">
        <v>-783086922</v>
      </c>
      <c r="Y51">
        <f t="shared" si="8"/>
        <v>1E-3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1E-3</v>
      </c>
      <c r="AU51" t="s">
        <v>108</v>
      </c>
      <c r="AV51">
        <v>0</v>
      </c>
      <c r="AW51">
        <v>2</v>
      </c>
      <c r="AX51">
        <v>57036904</v>
      </c>
      <c r="AY51">
        <v>1</v>
      </c>
      <c r="AZ51">
        <v>0</v>
      </c>
      <c r="BA51">
        <v>55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ROUND(Y51*Source!I81,9)</f>
        <v>1E-3</v>
      </c>
      <c r="CY51">
        <f t="shared" si="9"/>
        <v>0</v>
      </c>
      <c r="CZ51">
        <f t="shared" si="10"/>
        <v>0</v>
      </c>
      <c r="DA51">
        <f t="shared" si="11"/>
        <v>1</v>
      </c>
      <c r="DB51">
        <f t="shared" si="12"/>
        <v>0</v>
      </c>
      <c r="DC51">
        <f t="shared" si="13"/>
        <v>0</v>
      </c>
      <c r="DD51" t="s">
        <v>3</v>
      </c>
      <c r="DE51" t="s">
        <v>3</v>
      </c>
      <c r="DF51">
        <f t="shared" si="7"/>
        <v>0</v>
      </c>
      <c r="DG51">
        <f t="shared" si="4"/>
        <v>0</v>
      </c>
      <c r="DH51">
        <f t="shared" si="5"/>
        <v>0</v>
      </c>
      <c r="DI51">
        <f t="shared" si="6"/>
        <v>0</v>
      </c>
      <c r="DJ51">
        <f t="shared" si="14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ROW(Source!A82)</f>
        <v>82</v>
      </c>
      <c r="B52">
        <v>55942968</v>
      </c>
      <c r="C52">
        <v>57036887</v>
      </c>
      <c r="D52">
        <v>55424304</v>
      </c>
      <c r="E52">
        <v>1081</v>
      </c>
      <c r="F52">
        <v>1</v>
      </c>
      <c r="G52">
        <v>1081</v>
      </c>
      <c r="H52">
        <v>1</v>
      </c>
      <c r="I52" t="s">
        <v>190</v>
      </c>
      <c r="J52" t="s">
        <v>3</v>
      </c>
      <c r="K52" t="s">
        <v>191</v>
      </c>
      <c r="L52">
        <v>1191</v>
      </c>
      <c r="N52">
        <v>1013</v>
      </c>
      <c r="O52" t="s">
        <v>192</v>
      </c>
      <c r="P52" t="s">
        <v>192</v>
      </c>
      <c r="Q52">
        <v>1</v>
      </c>
      <c r="W52">
        <v>0</v>
      </c>
      <c r="X52">
        <v>476480486</v>
      </c>
      <c r="Y52">
        <f>(AT52*1.2)</f>
        <v>3.5999999999999996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5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3</v>
      </c>
      <c r="AU52" t="s">
        <v>109</v>
      </c>
      <c r="AV52">
        <v>1</v>
      </c>
      <c r="AW52">
        <v>2</v>
      </c>
      <c r="AX52">
        <v>57036888</v>
      </c>
      <c r="AY52">
        <v>1</v>
      </c>
      <c r="AZ52">
        <v>0</v>
      </c>
      <c r="BA52">
        <v>56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U52">
        <f>ROUND(AT52*Source!I82*AH52*AL52,2)</f>
        <v>0</v>
      </c>
      <c r="CV52">
        <f>ROUND(Y52*Source!I82,9)</f>
        <v>3.6</v>
      </c>
      <c r="CW52">
        <v>0</v>
      </c>
      <c r="CX52">
        <f>ROUND(Y52*Source!I82,9)</f>
        <v>3.6</v>
      </c>
      <c r="CY52">
        <f>AD52</f>
        <v>0</v>
      </c>
      <c r="CZ52">
        <f>AH52</f>
        <v>0</v>
      </c>
      <c r="DA52">
        <f>AL52</f>
        <v>1</v>
      </c>
      <c r="DB52">
        <f>ROUND((ROUND(AT52*CZ52,2)*1.2),6)</f>
        <v>0</v>
      </c>
      <c r="DC52">
        <f>ROUND((ROUND(AT52*AG52,2)*1.2),6)</f>
        <v>0</v>
      </c>
      <c r="DD52" t="s">
        <v>3</v>
      </c>
      <c r="DE52" t="s">
        <v>3</v>
      </c>
      <c r="DF52">
        <f t="shared" si="7"/>
        <v>0</v>
      </c>
      <c r="DG52">
        <f t="shared" si="4"/>
        <v>0</v>
      </c>
      <c r="DH52">
        <f t="shared" si="5"/>
        <v>0</v>
      </c>
      <c r="DI52">
        <f t="shared" si="6"/>
        <v>0</v>
      </c>
      <c r="DJ52">
        <f>DI52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ROW(Source!A82)</f>
        <v>82</v>
      </c>
      <c r="B53">
        <v>55942968</v>
      </c>
      <c r="C53">
        <v>57036887</v>
      </c>
      <c r="D53">
        <v>55459894</v>
      </c>
      <c r="E53">
        <v>1</v>
      </c>
      <c r="F53">
        <v>1</v>
      </c>
      <c r="G53">
        <v>1081</v>
      </c>
      <c r="H53">
        <v>3</v>
      </c>
      <c r="I53" t="s">
        <v>215</v>
      </c>
      <c r="J53" t="s">
        <v>216</v>
      </c>
      <c r="K53" t="s">
        <v>217</v>
      </c>
      <c r="L53">
        <v>1348</v>
      </c>
      <c r="N53">
        <v>1009</v>
      </c>
      <c r="O53" t="s">
        <v>196</v>
      </c>
      <c r="P53" t="s">
        <v>196</v>
      </c>
      <c r="Q53">
        <v>1000</v>
      </c>
      <c r="W53">
        <v>0</v>
      </c>
      <c r="X53">
        <v>1175474266</v>
      </c>
      <c r="Y53">
        <f t="shared" ref="Y53:Y66" si="15">(AT53*1)</f>
        <v>1E-3</v>
      </c>
      <c r="AA53">
        <v>75372.679999999993</v>
      </c>
      <c r="AB53">
        <v>0</v>
      </c>
      <c r="AC53">
        <v>0</v>
      </c>
      <c r="AD53">
        <v>0</v>
      </c>
      <c r="AE53">
        <v>15319.65</v>
      </c>
      <c r="AF53">
        <v>0</v>
      </c>
      <c r="AG53">
        <v>0</v>
      </c>
      <c r="AH53">
        <v>0</v>
      </c>
      <c r="AI53">
        <v>4.92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1E-3</v>
      </c>
      <c r="AU53" t="s">
        <v>108</v>
      </c>
      <c r="AV53">
        <v>0</v>
      </c>
      <c r="AW53">
        <v>2</v>
      </c>
      <c r="AX53">
        <v>57036889</v>
      </c>
      <c r="AY53">
        <v>1</v>
      </c>
      <c r="AZ53">
        <v>0</v>
      </c>
      <c r="BA53">
        <v>57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ROUND(Y53*Source!I82,9)</f>
        <v>1E-3</v>
      </c>
      <c r="CY53">
        <f t="shared" ref="CY53:CY66" si="16">AA53</f>
        <v>75372.679999999993</v>
      </c>
      <c r="CZ53">
        <f t="shared" ref="CZ53:CZ66" si="17">AE53</f>
        <v>15319.65</v>
      </c>
      <c r="DA53">
        <f t="shared" ref="DA53:DA66" si="18">AI53</f>
        <v>4.92</v>
      </c>
      <c r="DB53">
        <f t="shared" ref="DB53:DB66" si="19">ROUND((ROUND(AT53*CZ53,2)*1),6)</f>
        <v>15.32</v>
      </c>
      <c r="DC53">
        <f t="shared" ref="DC53:DC66" si="20">ROUND((ROUND(AT53*AG53,2)*1),6)</f>
        <v>0</v>
      </c>
      <c r="DD53" t="s">
        <v>3</v>
      </c>
      <c r="DE53" t="s">
        <v>3</v>
      </c>
      <c r="DF53">
        <f t="shared" ref="DF53:DF66" si="21">ROUND(ROUND(AE53*AI53,2)*CX53,2)</f>
        <v>75.37</v>
      </c>
      <c r="DG53">
        <f t="shared" si="4"/>
        <v>0</v>
      </c>
      <c r="DH53">
        <f t="shared" si="5"/>
        <v>0</v>
      </c>
      <c r="DI53">
        <f t="shared" si="6"/>
        <v>0</v>
      </c>
      <c r="DJ53">
        <f t="shared" ref="DJ53:DJ66" si="22">DF53</f>
        <v>75.37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ROW(Source!A82)</f>
        <v>82</v>
      </c>
      <c r="B54">
        <v>55942968</v>
      </c>
      <c r="C54">
        <v>57036887</v>
      </c>
      <c r="D54">
        <v>55459261</v>
      </c>
      <c r="E54">
        <v>1</v>
      </c>
      <c r="F54">
        <v>1</v>
      </c>
      <c r="G54">
        <v>1081</v>
      </c>
      <c r="H54">
        <v>3</v>
      </c>
      <c r="I54" t="s">
        <v>193</v>
      </c>
      <c r="J54" t="s">
        <v>194</v>
      </c>
      <c r="K54" t="s">
        <v>195</v>
      </c>
      <c r="L54">
        <v>1348</v>
      </c>
      <c r="N54">
        <v>1009</v>
      </c>
      <c r="O54" t="s">
        <v>196</v>
      </c>
      <c r="P54" t="s">
        <v>196</v>
      </c>
      <c r="Q54">
        <v>1000</v>
      </c>
      <c r="W54">
        <v>0</v>
      </c>
      <c r="X54">
        <v>-2092697376</v>
      </c>
      <c r="Y54">
        <f t="shared" si="15"/>
        <v>5.0000000000000002E-5</v>
      </c>
      <c r="AA54">
        <v>7305.88</v>
      </c>
      <c r="AB54">
        <v>0</v>
      </c>
      <c r="AC54">
        <v>0</v>
      </c>
      <c r="AD54">
        <v>0</v>
      </c>
      <c r="AE54">
        <v>1219.68</v>
      </c>
      <c r="AF54">
        <v>0</v>
      </c>
      <c r="AG54">
        <v>0</v>
      </c>
      <c r="AH54">
        <v>0</v>
      </c>
      <c r="AI54">
        <v>5.99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5.0000000000000002E-5</v>
      </c>
      <c r="AU54" t="s">
        <v>108</v>
      </c>
      <c r="AV54">
        <v>0</v>
      </c>
      <c r="AW54">
        <v>2</v>
      </c>
      <c r="AX54">
        <v>57036890</v>
      </c>
      <c r="AY54">
        <v>1</v>
      </c>
      <c r="AZ54">
        <v>0</v>
      </c>
      <c r="BA54">
        <v>58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ROUND(Y54*Source!I82,9)</f>
        <v>5.0000000000000002E-5</v>
      </c>
      <c r="CY54">
        <f t="shared" si="16"/>
        <v>7305.88</v>
      </c>
      <c r="CZ54">
        <f t="shared" si="17"/>
        <v>1219.68</v>
      </c>
      <c r="DA54">
        <f t="shared" si="18"/>
        <v>5.99</v>
      </c>
      <c r="DB54">
        <f t="shared" si="19"/>
        <v>0.06</v>
      </c>
      <c r="DC54">
        <f t="shared" si="20"/>
        <v>0</v>
      </c>
      <c r="DD54" t="s">
        <v>3</v>
      </c>
      <c r="DE54" t="s">
        <v>3</v>
      </c>
      <c r="DF54">
        <f t="shared" si="21"/>
        <v>0.37</v>
      </c>
      <c r="DG54">
        <f t="shared" si="4"/>
        <v>0</v>
      </c>
      <c r="DH54">
        <f t="shared" si="5"/>
        <v>0</v>
      </c>
      <c r="DI54">
        <f t="shared" si="6"/>
        <v>0</v>
      </c>
      <c r="DJ54">
        <f t="shared" si="22"/>
        <v>0.37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ROW(Source!A82)</f>
        <v>82</v>
      </c>
      <c r="B55">
        <v>55942968</v>
      </c>
      <c r="C55">
        <v>57036887</v>
      </c>
      <c r="D55">
        <v>55460328</v>
      </c>
      <c r="E55">
        <v>1</v>
      </c>
      <c r="F55">
        <v>1</v>
      </c>
      <c r="G55">
        <v>1081</v>
      </c>
      <c r="H55">
        <v>3</v>
      </c>
      <c r="I55" t="s">
        <v>218</v>
      </c>
      <c r="J55" t="s">
        <v>219</v>
      </c>
      <c r="K55" t="s">
        <v>220</v>
      </c>
      <c r="L55">
        <v>1301</v>
      </c>
      <c r="N55">
        <v>1003</v>
      </c>
      <c r="O55" t="s">
        <v>221</v>
      </c>
      <c r="P55" t="s">
        <v>221</v>
      </c>
      <c r="Q55">
        <v>1</v>
      </c>
      <c r="W55">
        <v>0</v>
      </c>
      <c r="X55">
        <v>-206055494</v>
      </c>
      <c r="Y55">
        <f t="shared" si="15"/>
        <v>5</v>
      </c>
      <c r="AA55">
        <v>5.48</v>
      </c>
      <c r="AB55">
        <v>0</v>
      </c>
      <c r="AC55">
        <v>0</v>
      </c>
      <c r="AD55">
        <v>0</v>
      </c>
      <c r="AE55">
        <v>0.39</v>
      </c>
      <c r="AF55">
        <v>0</v>
      </c>
      <c r="AG55">
        <v>0</v>
      </c>
      <c r="AH55">
        <v>0</v>
      </c>
      <c r="AI55">
        <v>14.05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5</v>
      </c>
      <c r="AU55" t="s">
        <v>108</v>
      </c>
      <c r="AV55">
        <v>0</v>
      </c>
      <c r="AW55">
        <v>2</v>
      </c>
      <c r="AX55">
        <v>57036891</v>
      </c>
      <c r="AY55">
        <v>1</v>
      </c>
      <c r="AZ55">
        <v>0</v>
      </c>
      <c r="BA55">
        <v>59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ROUND(Y55*Source!I82,9)</f>
        <v>5</v>
      </c>
      <c r="CY55">
        <f t="shared" si="16"/>
        <v>5.48</v>
      </c>
      <c r="CZ55">
        <f t="shared" si="17"/>
        <v>0.39</v>
      </c>
      <c r="DA55">
        <f t="shared" si="18"/>
        <v>14.05</v>
      </c>
      <c r="DB55">
        <f t="shared" si="19"/>
        <v>1.95</v>
      </c>
      <c r="DC55">
        <f t="shared" si="20"/>
        <v>0</v>
      </c>
      <c r="DD55" t="s">
        <v>3</v>
      </c>
      <c r="DE55" t="s">
        <v>3</v>
      </c>
      <c r="DF55">
        <f t="shared" si="21"/>
        <v>27.4</v>
      </c>
      <c r="DG55">
        <f t="shared" si="4"/>
        <v>0</v>
      </c>
      <c r="DH55">
        <f t="shared" si="5"/>
        <v>0</v>
      </c>
      <c r="DI55">
        <f t="shared" si="6"/>
        <v>0</v>
      </c>
      <c r="DJ55">
        <f t="shared" si="22"/>
        <v>27.4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ROW(Source!A82)</f>
        <v>82</v>
      </c>
      <c r="B56">
        <v>55942968</v>
      </c>
      <c r="C56">
        <v>57036887</v>
      </c>
      <c r="D56">
        <v>55459312</v>
      </c>
      <c r="E56">
        <v>1</v>
      </c>
      <c r="F56">
        <v>1</v>
      </c>
      <c r="G56">
        <v>1081</v>
      </c>
      <c r="H56">
        <v>3</v>
      </c>
      <c r="I56" t="s">
        <v>222</v>
      </c>
      <c r="J56" t="s">
        <v>223</v>
      </c>
      <c r="K56" t="s">
        <v>224</v>
      </c>
      <c r="L56">
        <v>1339</v>
      </c>
      <c r="N56">
        <v>1007</v>
      </c>
      <c r="O56" t="s">
        <v>225</v>
      </c>
      <c r="P56" t="s">
        <v>225</v>
      </c>
      <c r="Q56">
        <v>1</v>
      </c>
      <c r="W56">
        <v>0</v>
      </c>
      <c r="X56">
        <v>-366856290</v>
      </c>
      <c r="Y56">
        <f t="shared" si="15"/>
        <v>1E-3</v>
      </c>
      <c r="AA56">
        <v>8598.75</v>
      </c>
      <c r="AB56">
        <v>0</v>
      </c>
      <c r="AC56">
        <v>0</v>
      </c>
      <c r="AD56">
        <v>0</v>
      </c>
      <c r="AE56">
        <v>1176.3</v>
      </c>
      <c r="AF56">
        <v>0</v>
      </c>
      <c r="AG56">
        <v>0</v>
      </c>
      <c r="AH56">
        <v>0</v>
      </c>
      <c r="AI56">
        <v>7.31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1E-3</v>
      </c>
      <c r="AU56" t="s">
        <v>108</v>
      </c>
      <c r="AV56">
        <v>0</v>
      </c>
      <c r="AW56">
        <v>2</v>
      </c>
      <c r="AX56">
        <v>57036892</v>
      </c>
      <c r="AY56">
        <v>1</v>
      </c>
      <c r="AZ56">
        <v>0</v>
      </c>
      <c r="BA56">
        <v>60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ROUND(Y56*Source!I82,9)</f>
        <v>1E-3</v>
      </c>
      <c r="CY56">
        <f t="shared" si="16"/>
        <v>8598.75</v>
      </c>
      <c r="CZ56">
        <f t="shared" si="17"/>
        <v>1176.3</v>
      </c>
      <c r="DA56">
        <f t="shared" si="18"/>
        <v>7.31</v>
      </c>
      <c r="DB56">
        <f t="shared" si="19"/>
        <v>1.18</v>
      </c>
      <c r="DC56">
        <f t="shared" si="20"/>
        <v>0</v>
      </c>
      <c r="DD56" t="s">
        <v>3</v>
      </c>
      <c r="DE56" t="s">
        <v>3</v>
      </c>
      <c r="DF56">
        <f t="shared" si="21"/>
        <v>8.6</v>
      </c>
      <c r="DG56">
        <f t="shared" si="4"/>
        <v>0</v>
      </c>
      <c r="DH56">
        <f t="shared" si="5"/>
        <v>0</v>
      </c>
      <c r="DI56">
        <f t="shared" si="6"/>
        <v>0</v>
      </c>
      <c r="DJ56">
        <f t="shared" si="22"/>
        <v>8.6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ROW(Source!A82)</f>
        <v>82</v>
      </c>
      <c r="B57">
        <v>55942968</v>
      </c>
      <c r="C57">
        <v>57036887</v>
      </c>
      <c r="D57">
        <v>55461230</v>
      </c>
      <c r="E57">
        <v>1</v>
      </c>
      <c r="F57">
        <v>1</v>
      </c>
      <c r="G57">
        <v>1081</v>
      </c>
      <c r="H57">
        <v>3</v>
      </c>
      <c r="I57" t="s">
        <v>226</v>
      </c>
      <c r="J57" t="s">
        <v>227</v>
      </c>
      <c r="K57" t="s">
        <v>228</v>
      </c>
      <c r="L57">
        <v>1346</v>
      </c>
      <c r="N57">
        <v>1009</v>
      </c>
      <c r="O57" t="s">
        <v>229</v>
      </c>
      <c r="P57" t="s">
        <v>229</v>
      </c>
      <c r="Q57">
        <v>1</v>
      </c>
      <c r="W57">
        <v>0</v>
      </c>
      <c r="X57">
        <v>1561715650</v>
      </c>
      <c r="Y57">
        <f t="shared" si="15"/>
        <v>0.01</v>
      </c>
      <c r="AA57">
        <v>200.81</v>
      </c>
      <c r="AB57">
        <v>0</v>
      </c>
      <c r="AC57">
        <v>0</v>
      </c>
      <c r="AD57">
        <v>0</v>
      </c>
      <c r="AE57">
        <v>15.11</v>
      </c>
      <c r="AF57">
        <v>0</v>
      </c>
      <c r="AG57">
        <v>0</v>
      </c>
      <c r="AH57">
        <v>0</v>
      </c>
      <c r="AI57">
        <v>13.29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0.01</v>
      </c>
      <c r="AU57" t="s">
        <v>108</v>
      </c>
      <c r="AV57">
        <v>0</v>
      </c>
      <c r="AW57">
        <v>2</v>
      </c>
      <c r="AX57">
        <v>57036893</v>
      </c>
      <c r="AY57">
        <v>1</v>
      </c>
      <c r="AZ57">
        <v>0</v>
      </c>
      <c r="BA57">
        <v>61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ROUND(Y57*Source!I82,9)</f>
        <v>0.01</v>
      </c>
      <c r="CY57">
        <f t="shared" si="16"/>
        <v>200.81</v>
      </c>
      <c r="CZ57">
        <f t="shared" si="17"/>
        <v>15.11</v>
      </c>
      <c r="DA57">
        <f t="shared" si="18"/>
        <v>13.29</v>
      </c>
      <c r="DB57">
        <f t="shared" si="19"/>
        <v>0.15</v>
      </c>
      <c r="DC57">
        <f t="shared" si="20"/>
        <v>0</v>
      </c>
      <c r="DD57" t="s">
        <v>3</v>
      </c>
      <c r="DE57" t="s">
        <v>3</v>
      </c>
      <c r="DF57">
        <f t="shared" si="21"/>
        <v>2.0099999999999998</v>
      </c>
      <c r="DG57">
        <f t="shared" si="4"/>
        <v>0</v>
      </c>
      <c r="DH57">
        <f t="shared" si="5"/>
        <v>0</v>
      </c>
      <c r="DI57">
        <f t="shared" si="6"/>
        <v>0</v>
      </c>
      <c r="DJ57">
        <f t="shared" si="22"/>
        <v>2.0099999999999998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ROW(Source!A82)</f>
        <v>82</v>
      </c>
      <c r="B58">
        <v>55942968</v>
      </c>
      <c r="C58">
        <v>57036887</v>
      </c>
      <c r="D58">
        <v>55459400</v>
      </c>
      <c r="E58">
        <v>1</v>
      </c>
      <c r="F58">
        <v>1</v>
      </c>
      <c r="G58">
        <v>1081</v>
      </c>
      <c r="H58">
        <v>3</v>
      </c>
      <c r="I58" t="s">
        <v>230</v>
      </c>
      <c r="J58" t="s">
        <v>231</v>
      </c>
      <c r="K58" t="s">
        <v>232</v>
      </c>
      <c r="L58">
        <v>1346</v>
      </c>
      <c r="N58">
        <v>1009</v>
      </c>
      <c r="O58" t="s">
        <v>229</v>
      </c>
      <c r="P58" t="s">
        <v>229</v>
      </c>
      <c r="Q58">
        <v>1</v>
      </c>
      <c r="W58">
        <v>0</v>
      </c>
      <c r="X58">
        <v>-2129869794</v>
      </c>
      <c r="Y58">
        <f t="shared" si="15"/>
        <v>0.01</v>
      </c>
      <c r="AA58">
        <v>387.54</v>
      </c>
      <c r="AB58">
        <v>0</v>
      </c>
      <c r="AC58">
        <v>0</v>
      </c>
      <c r="AD58">
        <v>0</v>
      </c>
      <c r="AE58">
        <v>16.690000000000001</v>
      </c>
      <c r="AF58">
        <v>0</v>
      </c>
      <c r="AG58">
        <v>0</v>
      </c>
      <c r="AH58">
        <v>0</v>
      </c>
      <c r="AI58">
        <v>23.22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0.01</v>
      </c>
      <c r="AU58" t="s">
        <v>108</v>
      </c>
      <c r="AV58">
        <v>0</v>
      </c>
      <c r="AW58">
        <v>2</v>
      </c>
      <c r="AX58">
        <v>57036894</v>
      </c>
      <c r="AY58">
        <v>1</v>
      </c>
      <c r="AZ58">
        <v>0</v>
      </c>
      <c r="BA58">
        <v>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ROUND(Y58*Source!I82,9)</f>
        <v>0.01</v>
      </c>
      <c r="CY58">
        <f t="shared" si="16"/>
        <v>387.54</v>
      </c>
      <c r="CZ58">
        <f t="shared" si="17"/>
        <v>16.690000000000001</v>
      </c>
      <c r="DA58">
        <f t="shared" si="18"/>
        <v>23.22</v>
      </c>
      <c r="DB58">
        <f t="shared" si="19"/>
        <v>0.17</v>
      </c>
      <c r="DC58">
        <f t="shared" si="20"/>
        <v>0</v>
      </c>
      <c r="DD58" t="s">
        <v>3</v>
      </c>
      <c r="DE58" t="s">
        <v>3</v>
      </c>
      <c r="DF58">
        <f t="shared" si="21"/>
        <v>3.88</v>
      </c>
      <c r="DG58">
        <f t="shared" si="4"/>
        <v>0</v>
      </c>
      <c r="DH58">
        <f t="shared" si="5"/>
        <v>0</v>
      </c>
      <c r="DI58">
        <f t="shared" si="6"/>
        <v>0</v>
      </c>
      <c r="DJ58">
        <f t="shared" si="22"/>
        <v>3.88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ROW(Source!A82)</f>
        <v>82</v>
      </c>
      <c r="B59">
        <v>55942968</v>
      </c>
      <c r="C59">
        <v>57036887</v>
      </c>
      <c r="D59">
        <v>55461719</v>
      </c>
      <c r="E59">
        <v>1</v>
      </c>
      <c r="F59">
        <v>1</v>
      </c>
      <c r="G59">
        <v>1081</v>
      </c>
      <c r="H59">
        <v>3</v>
      </c>
      <c r="I59" t="s">
        <v>233</v>
      </c>
      <c r="J59" t="s">
        <v>234</v>
      </c>
      <c r="K59" t="s">
        <v>235</v>
      </c>
      <c r="L59">
        <v>1348</v>
      </c>
      <c r="N59">
        <v>1009</v>
      </c>
      <c r="O59" t="s">
        <v>196</v>
      </c>
      <c r="P59" t="s">
        <v>196</v>
      </c>
      <c r="Q59">
        <v>1000</v>
      </c>
      <c r="W59">
        <v>0</v>
      </c>
      <c r="X59">
        <v>-1265888387</v>
      </c>
      <c r="Y59">
        <f t="shared" si="15"/>
        <v>1E-4</v>
      </c>
      <c r="AA59">
        <v>147514.47</v>
      </c>
      <c r="AB59">
        <v>0</v>
      </c>
      <c r="AC59">
        <v>0</v>
      </c>
      <c r="AD59">
        <v>0</v>
      </c>
      <c r="AE59">
        <v>10643.18</v>
      </c>
      <c r="AF59">
        <v>0</v>
      </c>
      <c r="AG59">
        <v>0</v>
      </c>
      <c r="AH59">
        <v>0</v>
      </c>
      <c r="AI59">
        <v>13.86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1E-4</v>
      </c>
      <c r="AU59" t="s">
        <v>108</v>
      </c>
      <c r="AV59">
        <v>0</v>
      </c>
      <c r="AW59">
        <v>2</v>
      </c>
      <c r="AX59">
        <v>57036895</v>
      </c>
      <c r="AY59">
        <v>1</v>
      </c>
      <c r="AZ59">
        <v>0</v>
      </c>
      <c r="BA59">
        <v>63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ROUND(Y59*Source!I82,9)</f>
        <v>1E-4</v>
      </c>
      <c r="CY59">
        <f t="shared" si="16"/>
        <v>147514.47</v>
      </c>
      <c r="CZ59">
        <f t="shared" si="17"/>
        <v>10643.18</v>
      </c>
      <c r="DA59">
        <f t="shared" si="18"/>
        <v>13.86</v>
      </c>
      <c r="DB59">
        <f t="shared" si="19"/>
        <v>1.06</v>
      </c>
      <c r="DC59">
        <f t="shared" si="20"/>
        <v>0</v>
      </c>
      <c r="DD59" t="s">
        <v>3</v>
      </c>
      <c r="DE59" t="s">
        <v>3</v>
      </c>
      <c r="DF59">
        <f t="shared" si="21"/>
        <v>14.75</v>
      </c>
      <c r="DG59">
        <f t="shared" si="4"/>
        <v>0</v>
      </c>
      <c r="DH59">
        <f t="shared" si="5"/>
        <v>0</v>
      </c>
      <c r="DI59">
        <f t="shared" si="6"/>
        <v>0</v>
      </c>
      <c r="DJ59">
        <f t="shared" si="22"/>
        <v>14.75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ROW(Source!A82)</f>
        <v>82</v>
      </c>
      <c r="B60">
        <v>55942968</v>
      </c>
      <c r="C60">
        <v>57036887</v>
      </c>
      <c r="D60">
        <v>55466000</v>
      </c>
      <c r="E60">
        <v>1</v>
      </c>
      <c r="F60">
        <v>1</v>
      </c>
      <c r="G60">
        <v>1081</v>
      </c>
      <c r="H60">
        <v>3</v>
      </c>
      <c r="I60" t="s">
        <v>236</v>
      </c>
      <c r="J60" t="s">
        <v>237</v>
      </c>
      <c r="K60" t="s">
        <v>238</v>
      </c>
      <c r="L60">
        <v>1355</v>
      </c>
      <c r="N60">
        <v>1010</v>
      </c>
      <c r="O60" t="s">
        <v>200</v>
      </c>
      <c r="P60" t="s">
        <v>200</v>
      </c>
      <c r="Q60">
        <v>100</v>
      </c>
      <c r="W60">
        <v>0</v>
      </c>
      <c r="X60">
        <v>436393287</v>
      </c>
      <c r="Y60">
        <f t="shared" si="15"/>
        <v>0.01</v>
      </c>
      <c r="AA60">
        <v>1555.26</v>
      </c>
      <c r="AB60">
        <v>0</v>
      </c>
      <c r="AC60">
        <v>0</v>
      </c>
      <c r="AD60">
        <v>0</v>
      </c>
      <c r="AE60">
        <v>120.19</v>
      </c>
      <c r="AF60">
        <v>0</v>
      </c>
      <c r="AG60">
        <v>0</v>
      </c>
      <c r="AH60">
        <v>0</v>
      </c>
      <c r="AI60">
        <v>12.94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0.01</v>
      </c>
      <c r="AU60" t="s">
        <v>108</v>
      </c>
      <c r="AV60">
        <v>0</v>
      </c>
      <c r="AW60">
        <v>2</v>
      </c>
      <c r="AX60">
        <v>57036896</v>
      </c>
      <c r="AY60">
        <v>1</v>
      </c>
      <c r="AZ60">
        <v>0</v>
      </c>
      <c r="BA60">
        <v>64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ROUND(Y60*Source!I82,9)</f>
        <v>0.01</v>
      </c>
      <c r="CY60">
        <f t="shared" si="16"/>
        <v>1555.26</v>
      </c>
      <c r="CZ60">
        <f t="shared" si="17"/>
        <v>120.19</v>
      </c>
      <c r="DA60">
        <f t="shared" si="18"/>
        <v>12.94</v>
      </c>
      <c r="DB60">
        <f t="shared" si="19"/>
        <v>1.2</v>
      </c>
      <c r="DC60">
        <f t="shared" si="20"/>
        <v>0</v>
      </c>
      <c r="DD60" t="s">
        <v>3</v>
      </c>
      <c r="DE60" t="s">
        <v>3</v>
      </c>
      <c r="DF60">
        <f t="shared" si="21"/>
        <v>15.55</v>
      </c>
      <c r="DG60">
        <f t="shared" si="4"/>
        <v>0</v>
      </c>
      <c r="DH60">
        <f t="shared" si="5"/>
        <v>0</v>
      </c>
      <c r="DI60">
        <f t="shared" si="6"/>
        <v>0</v>
      </c>
      <c r="DJ60">
        <f t="shared" si="22"/>
        <v>15.55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ROW(Source!A82)</f>
        <v>82</v>
      </c>
      <c r="B61">
        <v>55942968</v>
      </c>
      <c r="C61">
        <v>57036887</v>
      </c>
      <c r="D61">
        <v>55459793</v>
      </c>
      <c r="E61">
        <v>1</v>
      </c>
      <c r="F61">
        <v>1</v>
      </c>
      <c r="G61">
        <v>1081</v>
      </c>
      <c r="H61">
        <v>3</v>
      </c>
      <c r="I61" t="s">
        <v>239</v>
      </c>
      <c r="J61" t="s">
        <v>240</v>
      </c>
      <c r="K61" t="s">
        <v>241</v>
      </c>
      <c r="L61">
        <v>1348</v>
      </c>
      <c r="N61">
        <v>1009</v>
      </c>
      <c r="O61" t="s">
        <v>196</v>
      </c>
      <c r="P61" t="s">
        <v>196</v>
      </c>
      <c r="Q61">
        <v>1000</v>
      </c>
      <c r="W61">
        <v>0</v>
      </c>
      <c r="X61">
        <v>-761454284</v>
      </c>
      <c r="Y61">
        <f t="shared" si="15"/>
        <v>2.0000000000000002E-5</v>
      </c>
      <c r="AA61">
        <v>1930745.04</v>
      </c>
      <c r="AB61">
        <v>0</v>
      </c>
      <c r="AC61">
        <v>0</v>
      </c>
      <c r="AD61">
        <v>0</v>
      </c>
      <c r="AE61">
        <v>64123.05</v>
      </c>
      <c r="AF61">
        <v>0</v>
      </c>
      <c r="AG61">
        <v>0</v>
      </c>
      <c r="AH61">
        <v>0</v>
      </c>
      <c r="AI61">
        <v>30.11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2.0000000000000002E-5</v>
      </c>
      <c r="AU61" t="s">
        <v>108</v>
      </c>
      <c r="AV61">
        <v>0</v>
      </c>
      <c r="AW61">
        <v>2</v>
      </c>
      <c r="AX61">
        <v>57036897</v>
      </c>
      <c r="AY61">
        <v>1</v>
      </c>
      <c r="AZ61">
        <v>0</v>
      </c>
      <c r="BA61">
        <v>65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ROUND(Y61*Source!I82,9)</f>
        <v>2.0000000000000002E-5</v>
      </c>
      <c r="CY61">
        <f t="shared" si="16"/>
        <v>1930745.04</v>
      </c>
      <c r="CZ61">
        <f t="shared" si="17"/>
        <v>64123.05</v>
      </c>
      <c r="DA61">
        <f t="shared" si="18"/>
        <v>30.11</v>
      </c>
      <c r="DB61">
        <f t="shared" si="19"/>
        <v>1.28</v>
      </c>
      <c r="DC61">
        <f t="shared" si="20"/>
        <v>0</v>
      </c>
      <c r="DD61" t="s">
        <v>3</v>
      </c>
      <c r="DE61" t="s">
        <v>3</v>
      </c>
      <c r="DF61">
        <f t="shared" si="21"/>
        <v>38.61</v>
      </c>
      <c r="DG61">
        <f t="shared" si="4"/>
        <v>0</v>
      </c>
      <c r="DH61">
        <f t="shared" si="5"/>
        <v>0</v>
      </c>
      <c r="DI61">
        <f t="shared" si="6"/>
        <v>0</v>
      </c>
      <c r="DJ61">
        <f t="shared" si="22"/>
        <v>38.61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ROW(Source!A82)</f>
        <v>82</v>
      </c>
      <c r="B62">
        <v>55942968</v>
      </c>
      <c r="C62">
        <v>57036887</v>
      </c>
      <c r="D62">
        <v>55459810</v>
      </c>
      <c r="E62">
        <v>1</v>
      </c>
      <c r="F62">
        <v>1</v>
      </c>
      <c r="G62">
        <v>1081</v>
      </c>
      <c r="H62">
        <v>3</v>
      </c>
      <c r="I62" t="s">
        <v>242</v>
      </c>
      <c r="J62" t="s">
        <v>243</v>
      </c>
      <c r="K62" t="s">
        <v>244</v>
      </c>
      <c r="L62">
        <v>1348</v>
      </c>
      <c r="N62">
        <v>1009</v>
      </c>
      <c r="O62" t="s">
        <v>196</v>
      </c>
      <c r="P62" t="s">
        <v>196</v>
      </c>
      <c r="Q62">
        <v>1000</v>
      </c>
      <c r="W62">
        <v>0</v>
      </c>
      <c r="X62">
        <v>-98394079</v>
      </c>
      <c r="Y62">
        <f t="shared" si="15"/>
        <v>1E-4</v>
      </c>
      <c r="AA62">
        <v>69285.98</v>
      </c>
      <c r="AB62">
        <v>0</v>
      </c>
      <c r="AC62">
        <v>0</v>
      </c>
      <c r="AD62">
        <v>0</v>
      </c>
      <c r="AE62">
        <v>9238.1299999999992</v>
      </c>
      <c r="AF62">
        <v>0</v>
      </c>
      <c r="AG62">
        <v>0</v>
      </c>
      <c r="AH62">
        <v>0</v>
      </c>
      <c r="AI62">
        <v>7.5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1E-4</v>
      </c>
      <c r="AU62" t="s">
        <v>108</v>
      </c>
      <c r="AV62">
        <v>0</v>
      </c>
      <c r="AW62">
        <v>2</v>
      </c>
      <c r="AX62">
        <v>57036898</v>
      </c>
      <c r="AY62">
        <v>1</v>
      </c>
      <c r="AZ62">
        <v>0</v>
      </c>
      <c r="BA62">
        <v>66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ROUND(Y62*Source!I82,9)</f>
        <v>1E-4</v>
      </c>
      <c r="CY62">
        <f t="shared" si="16"/>
        <v>69285.98</v>
      </c>
      <c r="CZ62">
        <f t="shared" si="17"/>
        <v>9238.1299999999992</v>
      </c>
      <c r="DA62">
        <f t="shared" si="18"/>
        <v>7.5</v>
      </c>
      <c r="DB62">
        <f t="shared" si="19"/>
        <v>0.92</v>
      </c>
      <c r="DC62">
        <f t="shared" si="20"/>
        <v>0</v>
      </c>
      <c r="DD62" t="s">
        <v>3</v>
      </c>
      <c r="DE62" t="s">
        <v>3</v>
      </c>
      <c r="DF62">
        <f t="shared" si="21"/>
        <v>6.93</v>
      </c>
      <c r="DG62">
        <f t="shared" si="4"/>
        <v>0</v>
      </c>
      <c r="DH62">
        <f t="shared" si="5"/>
        <v>0</v>
      </c>
      <c r="DI62">
        <f t="shared" si="6"/>
        <v>0</v>
      </c>
      <c r="DJ62">
        <f t="shared" si="22"/>
        <v>6.93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ROW(Source!A82)</f>
        <v>82</v>
      </c>
      <c r="B63">
        <v>55942968</v>
      </c>
      <c r="C63">
        <v>57036887</v>
      </c>
      <c r="D63">
        <v>55482166</v>
      </c>
      <c r="E63">
        <v>1</v>
      </c>
      <c r="F63">
        <v>1</v>
      </c>
      <c r="G63">
        <v>1081</v>
      </c>
      <c r="H63">
        <v>3</v>
      </c>
      <c r="I63" t="s">
        <v>245</v>
      </c>
      <c r="J63" t="s">
        <v>246</v>
      </c>
      <c r="K63" t="s">
        <v>247</v>
      </c>
      <c r="L63">
        <v>1301</v>
      </c>
      <c r="N63">
        <v>1003</v>
      </c>
      <c r="O63" t="s">
        <v>221</v>
      </c>
      <c r="P63" t="s">
        <v>221</v>
      </c>
      <c r="Q63">
        <v>1</v>
      </c>
      <c r="W63">
        <v>0</v>
      </c>
      <c r="X63">
        <v>876831867</v>
      </c>
      <c r="Y63">
        <f t="shared" si="15"/>
        <v>1</v>
      </c>
      <c r="AA63">
        <v>4.76</v>
      </c>
      <c r="AB63">
        <v>0</v>
      </c>
      <c r="AC63">
        <v>0</v>
      </c>
      <c r="AD63">
        <v>0</v>
      </c>
      <c r="AE63">
        <v>0.69</v>
      </c>
      <c r="AF63">
        <v>0</v>
      </c>
      <c r="AG63">
        <v>0</v>
      </c>
      <c r="AH63">
        <v>0</v>
      </c>
      <c r="AI63">
        <v>6.9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</v>
      </c>
      <c r="AU63" t="s">
        <v>108</v>
      </c>
      <c r="AV63">
        <v>0</v>
      </c>
      <c r="AW63">
        <v>2</v>
      </c>
      <c r="AX63">
        <v>57036899</v>
      </c>
      <c r="AY63">
        <v>1</v>
      </c>
      <c r="AZ63">
        <v>0</v>
      </c>
      <c r="BA63">
        <v>67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ROUND(Y63*Source!I82,9)</f>
        <v>1</v>
      </c>
      <c r="CY63">
        <f t="shared" si="16"/>
        <v>4.76</v>
      </c>
      <c r="CZ63">
        <f t="shared" si="17"/>
        <v>0.69</v>
      </c>
      <c r="DA63">
        <f t="shared" si="18"/>
        <v>6.9</v>
      </c>
      <c r="DB63">
        <f t="shared" si="19"/>
        <v>0.69</v>
      </c>
      <c r="DC63">
        <f t="shared" si="20"/>
        <v>0</v>
      </c>
      <c r="DD63" t="s">
        <v>3</v>
      </c>
      <c r="DE63" t="s">
        <v>3</v>
      </c>
      <c r="DF63">
        <f t="shared" si="21"/>
        <v>4.76</v>
      </c>
      <c r="DG63">
        <f t="shared" si="4"/>
        <v>0</v>
      </c>
      <c r="DH63">
        <f t="shared" si="5"/>
        <v>0</v>
      </c>
      <c r="DI63">
        <f t="shared" si="6"/>
        <v>0</v>
      </c>
      <c r="DJ63">
        <f t="shared" si="22"/>
        <v>4.76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ROW(Source!A82)</f>
        <v>82</v>
      </c>
      <c r="B64">
        <v>55942968</v>
      </c>
      <c r="C64">
        <v>57036887</v>
      </c>
      <c r="D64">
        <v>55482445</v>
      </c>
      <c r="E64">
        <v>1</v>
      </c>
      <c r="F64">
        <v>1</v>
      </c>
      <c r="G64">
        <v>1081</v>
      </c>
      <c r="H64">
        <v>3</v>
      </c>
      <c r="I64" t="s">
        <v>248</v>
      </c>
      <c r="J64" t="s">
        <v>249</v>
      </c>
      <c r="K64" t="s">
        <v>250</v>
      </c>
      <c r="L64">
        <v>1356</v>
      </c>
      <c r="N64">
        <v>1010</v>
      </c>
      <c r="O64" t="s">
        <v>251</v>
      </c>
      <c r="P64" t="s">
        <v>251</v>
      </c>
      <c r="Q64">
        <v>1000</v>
      </c>
      <c r="W64">
        <v>0</v>
      </c>
      <c r="X64">
        <v>-285397556</v>
      </c>
      <c r="Y64">
        <f t="shared" si="15"/>
        <v>0.01</v>
      </c>
      <c r="AA64">
        <v>1040.96</v>
      </c>
      <c r="AB64">
        <v>0</v>
      </c>
      <c r="AC64">
        <v>0</v>
      </c>
      <c r="AD64">
        <v>0</v>
      </c>
      <c r="AE64">
        <v>294.89</v>
      </c>
      <c r="AF64">
        <v>0</v>
      </c>
      <c r="AG64">
        <v>0</v>
      </c>
      <c r="AH64">
        <v>0</v>
      </c>
      <c r="AI64">
        <v>3.53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0.01</v>
      </c>
      <c r="AU64" t="s">
        <v>108</v>
      </c>
      <c r="AV64">
        <v>0</v>
      </c>
      <c r="AW64">
        <v>2</v>
      </c>
      <c r="AX64">
        <v>57036900</v>
      </c>
      <c r="AY64">
        <v>1</v>
      </c>
      <c r="AZ64">
        <v>0</v>
      </c>
      <c r="BA64">
        <v>68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ROUND(Y64*Source!I82,9)</f>
        <v>0.01</v>
      </c>
      <c r="CY64">
        <f t="shared" si="16"/>
        <v>1040.96</v>
      </c>
      <c r="CZ64">
        <f t="shared" si="17"/>
        <v>294.89</v>
      </c>
      <c r="DA64">
        <f t="shared" si="18"/>
        <v>3.53</v>
      </c>
      <c r="DB64">
        <f t="shared" si="19"/>
        <v>2.95</v>
      </c>
      <c r="DC64">
        <f t="shared" si="20"/>
        <v>0</v>
      </c>
      <c r="DD64" t="s">
        <v>3</v>
      </c>
      <c r="DE64" t="s">
        <v>3</v>
      </c>
      <c r="DF64">
        <f t="shared" si="21"/>
        <v>10.41</v>
      </c>
      <c r="DG64">
        <f t="shared" si="4"/>
        <v>0</v>
      </c>
      <c r="DH64">
        <f t="shared" si="5"/>
        <v>0</v>
      </c>
      <c r="DI64">
        <f t="shared" si="6"/>
        <v>0</v>
      </c>
      <c r="DJ64">
        <f t="shared" si="22"/>
        <v>10.41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ROW(Source!A82)</f>
        <v>82</v>
      </c>
      <c r="B65">
        <v>55942968</v>
      </c>
      <c r="C65">
        <v>57036887</v>
      </c>
      <c r="D65">
        <v>55481518</v>
      </c>
      <c r="E65">
        <v>1</v>
      </c>
      <c r="F65">
        <v>1</v>
      </c>
      <c r="G65">
        <v>1081</v>
      </c>
      <c r="H65">
        <v>3</v>
      </c>
      <c r="I65" t="s">
        <v>252</v>
      </c>
      <c r="J65" t="s">
        <v>253</v>
      </c>
      <c r="K65" t="s">
        <v>254</v>
      </c>
      <c r="L65">
        <v>1354</v>
      </c>
      <c r="N65">
        <v>1010</v>
      </c>
      <c r="O65" t="s">
        <v>114</v>
      </c>
      <c r="P65" t="s">
        <v>114</v>
      </c>
      <c r="Q65">
        <v>1</v>
      </c>
      <c r="W65">
        <v>0</v>
      </c>
      <c r="X65">
        <v>55982921</v>
      </c>
      <c r="Y65">
        <f t="shared" si="15"/>
        <v>1</v>
      </c>
      <c r="AA65">
        <v>10.66</v>
      </c>
      <c r="AB65">
        <v>0</v>
      </c>
      <c r="AC65">
        <v>0</v>
      </c>
      <c r="AD65">
        <v>0</v>
      </c>
      <c r="AE65">
        <v>15.67</v>
      </c>
      <c r="AF65">
        <v>0</v>
      </c>
      <c r="AG65">
        <v>0</v>
      </c>
      <c r="AH65">
        <v>0</v>
      </c>
      <c r="AI65">
        <v>0.68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</v>
      </c>
      <c r="AU65" t="s">
        <v>108</v>
      </c>
      <c r="AV65">
        <v>0</v>
      </c>
      <c r="AW65">
        <v>2</v>
      </c>
      <c r="AX65">
        <v>57036901</v>
      </c>
      <c r="AY65">
        <v>1</v>
      </c>
      <c r="AZ65">
        <v>0</v>
      </c>
      <c r="BA65">
        <v>69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ROUND(Y65*Source!I82,9)</f>
        <v>1</v>
      </c>
      <c r="CY65">
        <f t="shared" si="16"/>
        <v>10.66</v>
      </c>
      <c r="CZ65">
        <f t="shared" si="17"/>
        <v>15.67</v>
      </c>
      <c r="DA65">
        <f t="shared" si="18"/>
        <v>0.68</v>
      </c>
      <c r="DB65">
        <f t="shared" si="19"/>
        <v>15.67</v>
      </c>
      <c r="DC65">
        <f t="shared" si="20"/>
        <v>0</v>
      </c>
      <c r="DD65" t="s">
        <v>3</v>
      </c>
      <c r="DE65" t="s">
        <v>3</v>
      </c>
      <c r="DF65">
        <f t="shared" si="21"/>
        <v>10.66</v>
      </c>
      <c r="DG65">
        <f t="shared" ref="DG65:DG88" si="23">ROUND(ROUND(AF65,2)*CX65,2)</f>
        <v>0</v>
      </c>
      <c r="DH65">
        <f t="shared" ref="DH65:DH88" si="24">ROUND(ROUND(AG65,2)*CX65,2)</f>
        <v>0</v>
      </c>
      <c r="DI65">
        <f t="shared" ref="DI65:DI88" si="25">ROUND(ROUND(AH65,2)*CX65,2)</f>
        <v>0</v>
      </c>
      <c r="DJ65">
        <f t="shared" si="22"/>
        <v>10.66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ROW(Source!A82)</f>
        <v>82</v>
      </c>
      <c r="B66">
        <v>55942968</v>
      </c>
      <c r="C66">
        <v>57036887</v>
      </c>
      <c r="D66">
        <v>55424290</v>
      </c>
      <c r="E66">
        <v>1081</v>
      </c>
      <c r="F66">
        <v>1</v>
      </c>
      <c r="G66">
        <v>1081</v>
      </c>
      <c r="H66">
        <v>3</v>
      </c>
      <c r="I66" t="s">
        <v>255</v>
      </c>
      <c r="J66" t="s">
        <v>3</v>
      </c>
      <c r="K66" t="s">
        <v>256</v>
      </c>
      <c r="L66">
        <v>1348</v>
      </c>
      <c r="N66">
        <v>1009</v>
      </c>
      <c r="O66" t="s">
        <v>196</v>
      </c>
      <c r="P66" t="s">
        <v>196</v>
      </c>
      <c r="Q66">
        <v>1000</v>
      </c>
      <c r="W66">
        <v>0</v>
      </c>
      <c r="X66">
        <v>-783086922</v>
      </c>
      <c r="Y66">
        <f t="shared" si="15"/>
        <v>1E-3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9.84</v>
      </c>
      <c r="AJ66">
        <v>1</v>
      </c>
      <c r="AK66">
        <v>1</v>
      </c>
      <c r="AL66">
        <v>1</v>
      </c>
      <c r="AM66">
        <v>5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1E-3</v>
      </c>
      <c r="AU66" t="s">
        <v>108</v>
      </c>
      <c r="AV66">
        <v>0</v>
      </c>
      <c r="AW66">
        <v>2</v>
      </c>
      <c r="AX66">
        <v>57036904</v>
      </c>
      <c r="AY66">
        <v>1</v>
      </c>
      <c r="AZ66">
        <v>0</v>
      </c>
      <c r="BA66">
        <v>72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ROUND(Y66*Source!I82,9)</f>
        <v>1E-3</v>
      </c>
      <c r="CY66">
        <f t="shared" si="16"/>
        <v>0</v>
      </c>
      <c r="CZ66">
        <f t="shared" si="17"/>
        <v>0</v>
      </c>
      <c r="DA66">
        <f t="shared" si="18"/>
        <v>9.84</v>
      </c>
      <c r="DB66">
        <f t="shared" si="19"/>
        <v>0</v>
      </c>
      <c r="DC66">
        <f t="shared" si="20"/>
        <v>0</v>
      </c>
      <c r="DD66" t="s">
        <v>3</v>
      </c>
      <c r="DE66" t="s">
        <v>3</v>
      </c>
      <c r="DF66">
        <f t="shared" si="21"/>
        <v>0</v>
      </c>
      <c r="DG66">
        <f t="shared" si="23"/>
        <v>0</v>
      </c>
      <c r="DH66">
        <f t="shared" si="24"/>
        <v>0</v>
      </c>
      <c r="DI66">
        <f t="shared" si="25"/>
        <v>0</v>
      </c>
      <c r="DJ66">
        <f t="shared" si="22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ROW(Source!A83)</f>
        <v>83</v>
      </c>
      <c r="B67">
        <v>55942966</v>
      </c>
      <c r="C67">
        <v>55943213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190</v>
      </c>
      <c r="J67" t="s">
        <v>3</v>
      </c>
      <c r="K67" t="s">
        <v>191</v>
      </c>
      <c r="L67">
        <v>1191</v>
      </c>
      <c r="N67">
        <v>1013</v>
      </c>
      <c r="O67" t="s">
        <v>192</v>
      </c>
      <c r="P67" t="s">
        <v>192</v>
      </c>
      <c r="Q67">
        <v>1</v>
      </c>
      <c r="W67">
        <v>0</v>
      </c>
      <c r="X67">
        <v>476480486</v>
      </c>
      <c r="Y67">
        <f>(AT67*1.2)</f>
        <v>0.96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0.8</v>
      </c>
      <c r="AU67" t="s">
        <v>109</v>
      </c>
      <c r="AV67">
        <v>1</v>
      </c>
      <c r="AW67">
        <v>2</v>
      </c>
      <c r="AX67">
        <v>55984439</v>
      </c>
      <c r="AY67">
        <v>1</v>
      </c>
      <c r="AZ67">
        <v>0</v>
      </c>
      <c r="BA67">
        <v>73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ROUND(AT67*Source!I83*AH67*AL67,2)</f>
        <v>0</v>
      </c>
      <c r="CV67">
        <f>ROUND(Y67*Source!I83,9)</f>
        <v>0.96</v>
      </c>
      <c r="CW67">
        <v>0</v>
      </c>
      <c r="CX67">
        <f>ROUND(Y67*Source!I83,9)</f>
        <v>0.96</v>
      </c>
      <c r="CY67">
        <f>AD67</f>
        <v>0</v>
      </c>
      <c r="CZ67">
        <f>AH67</f>
        <v>0</v>
      </c>
      <c r="DA67">
        <f>AL67</f>
        <v>1</v>
      </c>
      <c r="DB67">
        <f>ROUND((ROUND(AT67*CZ67,2)*1.2),6)</f>
        <v>0</v>
      </c>
      <c r="DC67">
        <f>ROUND((ROUND(AT67*AG67,2)*1.2),6)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23"/>
        <v>0</v>
      </c>
      <c r="DH67">
        <f t="shared" si="24"/>
        <v>0</v>
      </c>
      <c r="DI67">
        <f t="shared" si="25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ROW(Source!A83)</f>
        <v>83</v>
      </c>
      <c r="B68">
        <v>55942966</v>
      </c>
      <c r="C68">
        <v>55943213</v>
      </c>
      <c r="D68">
        <v>55460239</v>
      </c>
      <c r="E68">
        <v>1</v>
      </c>
      <c r="F68">
        <v>1</v>
      </c>
      <c r="G68">
        <v>1081</v>
      </c>
      <c r="H68">
        <v>3</v>
      </c>
      <c r="I68" t="s">
        <v>204</v>
      </c>
      <c r="J68" t="s">
        <v>205</v>
      </c>
      <c r="K68" t="s">
        <v>206</v>
      </c>
      <c r="L68">
        <v>1348</v>
      </c>
      <c r="N68">
        <v>1009</v>
      </c>
      <c r="O68" t="s">
        <v>196</v>
      </c>
      <c r="P68" t="s">
        <v>196</v>
      </c>
      <c r="Q68">
        <v>1000</v>
      </c>
      <c r="W68">
        <v>0</v>
      </c>
      <c r="X68">
        <v>-1843244094</v>
      </c>
      <c r="Y68">
        <f>(AT68*1)</f>
        <v>2.4000000000000001E-5</v>
      </c>
      <c r="AA68">
        <v>12416.13</v>
      </c>
      <c r="AB68">
        <v>0</v>
      </c>
      <c r="AC68">
        <v>0</v>
      </c>
      <c r="AD68">
        <v>0</v>
      </c>
      <c r="AE68">
        <v>12416.13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2.4000000000000001E-5</v>
      </c>
      <c r="AU68" t="s">
        <v>108</v>
      </c>
      <c r="AV68">
        <v>0</v>
      </c>
      <c r="AW68">
        <v>2</v>
      </c>
      <c r="AX68">
        <v>55984440</v>
      </c>
      <c r="AY68">
        <v>1</v>
      </c>
      <c r="AZ68">
        <v>0</v>
      </c>
      <c r="BA68">
        <v>74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ROUND(Y68*Source!I83,9)</f>
        <v>2.4000000000000001E-5</v>
      </c>
      <c r="CY68">
        <f>AA68</f>
        <v>12416.13</v>
      </c>
      <c r="CZ68">
        <f>AE68</f>
        <v>12416.13</v>
      </c>
      <c r="DA68">
        <f>AI68</f>
        <v>1</v>
      </c>
      <c r="DB68">
        <f>ROUND((ROUND(AT68*CZ68,2)*1),6)</f>
        <v>0.3</v>
      </c>
      <c r="DC68">
        <f>ROUND((ROUND(AT68*AG68,2)*1),6)</f>
        <v>0</v>
      </c>
      <c r="DD68" t="s">
        <v>3</v>
      </c>
      <c r="DE68" t="s">
        <v>3</v>
      </c>
      <c r="DF68">
        <f>ROUND(ROUND(AE68,2)*CX68,2)</f>
        <v>0.3</v>
      </c>
      <c r="DG68">
        <f t="shared" si="23"/>
        <v>0</v>
      </c>
      <c r="DH68">
        <f t="shared" si="24"/>
        <v>0</v>
      </c>
      <c r="DI68">
        <f t="shared" si="25"/>
        <v>0</v>
      </c>
      <c r="DJ68">
        <f>DF68</f>
        <v>0.3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ROW(Source!A84)</f>
        <v>84</v>
      </c>
      <c r="B69">
        <v>55942968</v>
      </c>
      <c r="C69">
        <v>55943213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190</v>
      </c>
      <c r="J69" t="s">
        <v>3</v>
      </c>
      <c r="K69" t="s">
        <v>191</v>
      </c>
      <c r="L69">
        <v>1191</v>
      </c>
      <c r="N69">
        <v>1013</v>
      </c>
      <c r="O69" t="s">
        <v>192</v>
      </c>
      <c r="P69" t="s">
        <v>192</v>
      </c>
      <c r="Q69">
        <v>1</v>
      </c>
      <c r="W69">
        <v>0</v>
      </c>
      <c r="X69">
        <v>476480486</v>
      </c>
      <c r="Y69">
        <f>(AT69*1.2)</f>
        <v>0.96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5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0.8</v>
      </c>
      <c r="AU69" t="s">
        <v>109</v>
      </c>
      <c r="AV69">
        <v>1</v>
      </c>
      <c r="AW69">
        <v>2</v>
      </c>
      <c r="AX69">
        <v>55984439</v>
      </c>
      <c r="AY69">
        <v>1</v>
      </c>
      <c r="AZ69">
        <v>0</v>
      </c>
      <c r="BA69">
        <v>75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ROUND(AT69*Source!I84*AH69*AL69,2)</f>
        <v>0</v>
      </c>
      <c r="CV69">
        <f>ROUND(Y69*Source!I84,9)</f>
        <v>0.96</v>
      </c>
      <c r="CW69">
        <v>0</v>
      </c>
      <c r="CX69">
        <f>ROUND(Y69*Source!I84,9)</f>
        <v>0.96</v>
      </c>
      <c r="CY69">
        <f>AD69</f>
        <v>0</v>
      </c>
      <c r="CZ69">
        <f>AH69</f>
        <v>0</v>
      </c>
      <c r="DA69">
        <f>AL69</f>
        <v>1</v>
      </c>
      <c r="DB69">
        <f>ROUND((ROUND(AT69*CZ69,2)*1.2),6)</f>
        <v>0</v>
      </c>
      <c r="DC69">
        <f>ROUND((ROUND(AT69*AG69,2)*1.2),6)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23"/>
        <v>0</v>
      </c>
      <c r="DH69">
        <f t="shared" si="24"/>
        <v>0</v>
      </c>
      <c r="DI69">
        <f t="shared" si="25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ROW(Source!A84)</f>
        <v>84</v>
      </c>
      <c r="B70">
        <v>55942968</v>
      </c>
      <c r="C70">
        <v>55943213</v>
      </c>
      <c r="D70">
        <v>55460239</v>
      </c>
      <c r="E70">
        <v>1</v>
      </c>
      <c r="F70">
        <v>1</v>
      </c>
      <c r="G70">
        <v>1081</v>
      </c>
      <c r="H70">
        <v>3</v>
      </c>
      <c r="I70" t="s">
        <v>204</v>
      </c>
      <c r="J70" t="s">
        <v>205</v>
      </c>
      <c r="K70" t="s">
        <v>206</v>
      </c>
      <c r="L70">
        <v>1348</v>
      </c>
      <c r="N70">
        <v>1009</v>
      </c>
      <c r="O70" t="s">
        <v>196</v>
      </c>
      <c r="P70" t="s">
        <v>196</v>
      </c>
      <c r="Q70">
        <v>1000</v>
      </c>
      <c r="W70">
        <v>0</v>
      </c>
      <c r="X70">
        <v>-1843244094</v>
      </c>
      <c r="Y70">
        <f>(AT70*1)</f>
        <v>2.4000000000000001E-5</v>
      </c>
      <c r="AA70">
        <v>91879.360000000001</v>
      </c>
      <c r="AB70">
        <v>0</v>
      </c>
      <c r="AC70">
        <v>0</v>
      </c>
      <c r="AD70">
        <v>0</v>
      </c>
      <c r="AE70">
        <v>12416.13</v>
      </c>
      <c r="AF70">
        <v>0</v>
      </c>
      <c r="AG70">
        <v>0</v>
      </c>
      <c r="AH70">
        <v>0</v>
      </c>
      <c r="AI70">
        <v>7.4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2.4000000000000001E-5</v>
      </c>
      <c r="AU70" t="s">
        <v>108</v>
      </c>
      <c r="AV70">
        <v>0</v>
      </c>
      <c r="AW70">
        <v>2</v>
      </c>
      <c r="AX70">
        <v>55984440</v>
      </c>
      <c r="AY70">
        <v>1</v>
      </c>
      <c r="AZ70">
        <v>0</v>
      </c>
      <c r="BA70">
        <v>76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ROUND(Y70*Source!I84,9)</f>
        <v>2.4000000000000001E-5</v>
      </c>
      <c r="CY70">
        <f>AA70</f>
        <v>91879.360000000001</v>
      </c>
      <c r="CZ70">
        <f>AE70</f>
        <v>12416.13</v>
      </c>
      <c r="DA70">
        <f>AI70</f>
        <v>7.4</v>
      </c>
      <c r="DB70">
        <f>ROUND((ROUND(AT70*CZ70,2)*1),6)</f>
        <v>0.3</v>
      </c>
      <c r="DC70">
        <f>ROUND((ROUND(AT70*AG70,2)*1),6)</f>
        <v>0</v>
      </c>
      <c r="DD70" t="s">
        <v>3</v>
      </c>
      <c r="DE70" t="s">
        <v>3</v>
      </c>
      <c r="DF70">
        <f>ROUND(ROUND(AE70*AI70,2)*CX70,2)</f>
        <v>2.21</v>
      </c>
      <c r="DG70">
        <f t="shared" si="23"/>
        <v>0</v>
      </c>
      <c r="DH70">
        <f t="shared" si="24"/>
        <v>0</v>
      </c>
      <c r="DI70">
        <f t="shared" si="25"/>
        <v>0</v>
      </c>
      <c r="DJ70">
        <f>DF70</f>
        <v>2.21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ROW(Source!A122)</f>
        <v>122</v>
      </c>
      <c r="B71">
        <v>55942966</v>
      </c>
      <c r="C71">
        <v>55943217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190</v>
      </c>
      <c r="J71" t="s">
        <v>3</v>
      </c>
      <c r="K71" t="s">
        <v>191</v>
      </c>
      <c r="L71">
        <v>1191</v>
      </c>
      <c r="N71">
        <v>1013</v>
      </c>
      <c r="O71" t="s">
        <v>192</v>
      </c>
      <c r="P71" t="s">
        <v>192</v>
      </c>
      <c r="Q71">
        <v>1</v>
      </c>
      <c r="W71">
        <v>0</v>
      </c>
      <c r="X71">
        <v>476480486</v>
      </c>
      <c r="Y71">
        <f>(AT71*1.2)</f>
        <v>2.4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2</v>
      </c>
      <c r="AU71" t="s">
        <v>109</v>
      </c>
      <c r="AV71">
        <v>1</v>
      </c>
      <c r="AW71">
        <v>2</v>
      </c>
      <c r="AX71">
        <v>55984441</v>
      </c>
      <c r="AY71">
        <v>1</v>
      </c>
      <c r="AZ71">
        <v>0</v>
      </c>
      <c r="BA71">
        <v>77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ROUND(AT71*Source!I122*AH71*AL71,2)</f>
        <v>0</v>
      </c>
      <c r="CV71">
        <f>ROUND(Y71*Source!I122,9)</f>
        <v>7.2</v>
      </c>
      <c r="CW71">
        <v>0</v>
      </c>
      <c r="CX71">
        <f>ROUND(Y71*Source!I122,9)</f>
        <v>7.2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23"/>
        <v>0</v>
      </c>
      <c r="DH71">
        <f t="shared" si="24"/>
        <v>0</v>
      </c>
      <c r="DI71">
        <f t="shared" si="25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ROW(Source!A122)</f>
        <v>122</v>
      </c>
      <c r="B72">
        <v>55942966</v>
      </c>
      <c r="C72">
        <v>55943217</v>
      </c>
      <c r="D72">
        <v>55459261</v>
      </c>
      <c r="E72">
        <v>1</v>
      </c>
      <c r="F72">
        <v>1</v>
      </c>
      <c r="G72">
        <v>1081</v>
      </c>
      <c r="H72">
        <v>3</v>
      </c>
      <c r="I72" t="s">
        <v>193</v>
      </c>
      <c r="J72" t="s">
        <v>194</v>
      </c>
      <c r="K72" t="s">
        <v>195</v>
      </c>
      <c r="L72">
        <v>1348</v>
      </c>
      <c r="N72">
        <v>1009</v>
      </c>
      <c r="O72" t="s">
        <v>196</v>
      </c>
      <c r="P72" t="s">
        <v>196</v>
      </c>
      <c r="Q72">
        <v>1000</v>
      </c>
      <c r="W72">
        <v>0</v>
      </c>
      <c r="X72">
        <v>-2092697376</v>
      </c>
      <c r="Y72">
        <f>(AT72*1)</f>
        <v>1E-4</v>
      </c>
      <c r="AA72">
        <v>1219.68</v>
      </c>
      <c r="AB72">
        <v>0</v>
      </c>
      <c r="AC72">
        <v>0</v>
      </c>
      <c r="AD72">
        <v>0</v>
      </c>
      <c r="AE72">
        <v>1219.68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1E-4</v>
      </c>
      <c r="AU72" t="s">
        <v>108</v>
      </c>
      <c r="AV72">
        <v>0</v>
      </c>
      <c r="AW72">
        <v>2</v>
      </c>
      <c r="AX72">
        <v>55984442</v>
      </c>
      <c r="AY72">
        <v>1</v>
      </c>
      <c r="AZ72">
        <v>0</v>
      </c>
      <c r="BA72">
        <v>78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ROUND(Y72*Source!I122,9)</f>
        <v>2.9999999999999997E-4</v>
      </c>
      <c r="CY72">
        <f>AA72</f>
        <v>1219.68</v>
      </c>
      <c r="CZ72">
        <f>AE72</f>
        <v>1219.68</v>
      </c>
      <c r="DA72">
        <f>AI72</f>
        <v>1</v>
      </c>
      <c r="DB72">
        <f>ROUND((ROUND(AT72*CZ72,2)*1),6)</f>
        <v>0.12</v>
      </c>
      <c r="DC72">
        <f>ROUND((ROUND(AT72*AG72,2)*1),6)</f>
        <v>0</v>
      </c>
      <c r="DD72" t="s">
        <v>3</v>
      </c>
      <c r="DE72" t="s">
        <v>3</v>
      </c>
      <c r="DF72">
        <f>ROUND(ROUND(AE72,2)*CX72,2)</f>
        <v>0.37</v>
      </c>
      <c r="DG72">
        <f t="shared" si="23"/>
        <v>0</v>
      </c>
      <c r="DH72">
        <f t="shared" si="24"/>
        <v>0</v>
      </c>
      <c r="DI72">
        <f t="shared" si="25"/>
        <v>0</v>
      </c>
      <c r="DJ72">
        <f>DF72</f>
        <v>0.37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ROW(Source!A122)</f>
        <v>122</v>
      </c>
      <c r="B73">
        <v>55942966</v>
      </c>
      <c r="C73">
        <v>55943217</v>
      </c>
      <c r="D73">
        <v>55461880</v>
      </c>
      <c r="E73">
        <v>1</v>
      </c>
      <c r="F73">
        <v>1</v>
      </c>
      <c r="G73">
        <v>1081</v>
      </c>
      <c r="H73">
        <v>3</v>
      </c>
      <c r="I73" t="s">
        <v>197</v>
      </c>
      <c r="J73" t="s">
        <v>198</v>
      </c>
      <c r="K73" t="s">
        <v>199</v>
      </c>
      <c r="L73">
        <v>1355</v>
      </c>
      <c r="N73">
        <v>1010</v>
      </c>
      <c r="O73" t="s">
        <v>200</v>
      </c>
      <c r="P73" t="s">
        <v>200</v>
      </c>
      <c r="Q73">
        <v>100</v>
      </c>
      <c r="W73">
        <v>0</v>
      </c>
      <c r="X73">
        <v>1440323189</v>
      </c>
      <c r="Y73">
        <f>(AT73*1)</f>
        <v>3.4500000000000003E-2</v>
      </c>
      <c r="AA73">
        <v>10.89</v>
      </c>
      <c r="AB73">
        <v>0</v>
      </c>
      <c r="AC73">
        <v>0</v>
      </c>
      <c r="AD73">
        <v>0</v>
      </c>
      <c r="AE73">
        <v>10.89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3.4500000000000003E-2</v>
      </c>
      <c r="AU73" t="s">
        <v>108</v>
      </c>
      <c r="AV73">
        <v>0</v>
      </c>
      <c r="AW73">
        <v>2</v>
      </c>
      <c r="AX73">
        <v>55984443</v>
      </c>
      <c r="AY73">
        <v>1</v>
      </c>
      <c r="AZ73">
        <v>0</v>
      </c>
      <c r="BA73">
        <v>79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ROUND(Y73*Source!I122,9)</f>
        <v>0.10349999999999999</v>
      </c>
      <c r="CY73">
        <f>AA73</f>
        <v>10.89</v>
      </c>
      <c r="CZ73">
        <f>AE73</f>
        <v>10.89</v>
      </c>
      <c r="DA73">
        <f>AI73</f>
        <v>1</v>
      </c>
      <c r="DB73">
        <f>ROUND((ROUND(AT73*CZ73,2)*1),6)</f>
        <v>0.38</v>
      </c>
      <c r="DC73">
        <f>ROUND((ROUND(AT73*AG73,2)*1),6)</f>
        <v>0</v>
      </c>
      <c r="DD73" t="s">
        <v>3</v>
      </c>
      <c r="DE73" t="s">
        <v>3</v>
      </c>
      <c r="DF73">
        <f>ROUND(ROUND(AE73,2)*CX73,2)</f>
        <v>1.1299999999999999</v>
      </c>
      <c r="DG73">
        <f t="shared" si="23"/>
        <v>0</v>
      </c>
      <c r="DH73">
        <f t="shared" si="24"/>
        <v>0</v>
      </c>
      <c r="DI73">
        <f t="shared" si="25"/>
        <v>0</v>
      </c>
      <c r="DJ73">
        <f>DF73</f>
        <v>1.1299999999999999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ROW(Source!A122)</f>
        <v>122</v>
      </c>
      <c r="B74">
        <v>55942966</v>
      </c>
      <c r="C74">
        <v>55943217</v>
      </c>
      <c r="D74">
        <v>55459811</v>
      </c>
      <c r="E74">
        <v>1</v>
      </c>
      <c r="F74">
        <v>1</v>
      </c>
      <c r="G74">
        <v>1081</v>
      </c>
      <c r="H74">
        <v>3</v>
      </c>
      <c r="I74" t="s">
        <v>207</v>
      </c>
      <c r="J74" t="s">
        <v>208</v>
      </c>
      <c r="K74" t="s">
        <v>209</v>
      </c>
      <c r="L74">
        <v>1348</v>
      </c>
      <c r="N74">
        <v>1009</v>
      </c>
      <c r="O74" t="s">
        <v>196</v>
      </c>
      <c r="P74" t="s">
        <v>196</v>
      </c>
      <c r="Q74">
        <v>1000</v>
      </c>
      <c r="W74">
        <v>0</v>
      </c>
      <c r="X74">
        <v>-572924193</v>
      </c>
      <c r="Y74">
        <f>(AT74*1)</f>
        <v>1.0000000000000001E-5</v>
      </c>
      <c r="AA74">
        <v>8054.6</v>
      </c>
      <c r="AB74">
        <v>0</v>
      </c>
      <c r="AC74">
        <v>0</v>
      </c>
      <c r="AD74">
        <v>0</v>
      </c>
      <c r="AE74">
        <v>8054.6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1.0000000000000001E-5</v>
      </c>
      <c r="AU74" t="s">
        <v>108</v>
      </c>
      <c r="AV74">
        <v>0</v>
      </c>
      <c r="AW74">
        <v>2</v>
      </c>
      <c r="AX74">
        <v>55984444</v>
      </c>
      <c r="AY74">
        <v>1</v>
      </c>
      <c r="AZ74">
        <v>0</v>
      </c>
      <c r="BA74">
        <v>80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ROUND(Y74*Source!I122,9)</f>
        <v>3.0000000000000001E-5</v>
      </c>
      <c r="CY74">
        <f>AA74</f>
        <v>8054.6</v>
      </c>
      <c r="CZ74">
        <f>AE74</f>
        <v>8054.6</v>
      </c>
      <c r="DA74">
        <f>AI74</f>
        <v>1</v>
      </c>
      <c r="DB74">
        <f>ROUND((ROUND(AT74*CZ74,2)*1),6)</f>
        <v>0.08</v>
      </c>
      <c r="DC74">
        <f>ROUND((ROUND(AT74*AG74,2)*1),6)</f>
        <v>0</v>
      </c>
      <c r="DD74" t="s">
        <v>3</v>
      </c>
      <c r="DE74" t="s">
        <v>3</v>
      </c>
      <c r="DF74">
        <f>ROUND(ROUND(AE74,2)*CX74,2)</f>
        <v>0.24</v>
      </c>
      <c r="DG74">
        <f t="shared" si="23"/>
        <v>0</v>
      </c>
      <c r="DH74">
        <f t="shared" si="24"/>
        <v>0</v>
      </c>
      <c r="DI74">
        <f t="shared" si="25"/>
        <v>0</v>
      </c>
      <c r="DJ74">
        <f>DF74</f>
        <v>0.24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ROW(Source!A123)</f>
        <v>123</v>
      </c>
      <c r="B75">
        <v>55942968</v>
      </c>
      <c r="C75">
        <v>55943217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190</v>
      </c>
      <c r="J75" t="s">
        <v>3</v>
      </c>
      <c r="K75" t="s">
        <v>191</v>
      </c>
      <c r="L75">
        <v>1191</v>
      </c>
      <c r="N75">
        <v>1013</v>
      </c>
      <c r="O75" t="s">
        <v>192</v>
      </c>
      <c r="P75" t="s">
        <v>192</v>
      </c>
      <c r="Q75">
        <v>1</v>
      </c>
      <c r="W75">
        <v>0</v>
      </c>
      <c r="X75">
        <v>476480486</v>
      </c>
      <c r="Y75">
        <f>(AT75*1.2)</f>
        <v>2.4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2</v>
      </c>
      <c r="AU75" t="s">
        <v>109</v>
      </c>
      <c r="AV75">
        <v>1</v>
      </c>
      <c r="AW75">
        <v>2</v>
      </c>
      <c r="AX75">
        <v>55984441</v>
      </c>
      <c r="AY75">
        <v>1</v>
      </c>
      <c r="AZ75">
        <v>0</v>
      </c>
      <c r="BA75">
        <v>81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ROUND(AT75*Source!I123*AH75*AL75,2)</f>
        <v>0</v>
      </c>
      <c r="CV75">
        <f>ROUND(Y75*Source!I123,9)</f>
        <v>7.2</v>
      </c>
      <c r="CW75">
        <v>0</v>
      </c>
      <c r="CX75">
        <f>ROUND(Y75*Source!I123,9)</f>
        <v>7.2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23"/>
        <v>0</v>
      </c>
      <c r="DH75">
        <f t="shared" si="24"/>
        <v>0</v>
      </c>
      <c r="DI75">
        <f t="shared" si="25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ROW(Source!A123)</f>
        <v>123</v>
      </c>
      <c r="B76">
        <v>55942968</v>
      </c>
      <c r="C76">
        <v>55943217</v>
      </c>
      <c r="D76">
        <v>55459261</v>
      </c>
      <c r="E76">
        <v>1</v>
      </c>
      <c r="F76">
        <v>1</v>
      </c>
      <c r="G76">
        <v>1081</v>
      </c>
      <c r="H76">
        <v>3</v>
      </c>
      <c r="I76" t="s">
        <v>193</v>
      </c>
      <c r="J76" t="s">
        <v>194</v>
      </c>
      <c r="K76" t="s">
        <v>195</v>
      </c>
      <c r="L76">
        <v>1348</v>
      </c>
      <c r="N76">
        <v>1009</v>
      </c>
      <c r="O76" t="s">
        <v>196</v>
      </c>
      <c r="P76" t="s">
        <v>196</v>
      </c>
      <c r="Q76">
        <v>1000</v>
      </c>
      <c r="W76">
        <v>0</v>
      </c>
      <c r="X76">
        <v>-2092697376</v>
      </c>
      <c r="Y76">
        <f>(AT76*1)</f>
        <v>1E-4</v>
      </c>
      <c r="AA76">
        <v>7305.88</v>
      </c>
      <c r="AB76">
        <v>0</v>
      </c>
      <c r="AC76">
        <v>0</v>
      </c>
      <c r="AD76">
        <v>0</v>
      </c>
      <c r="AE76">
        <v>1219.68</v>
      </c>
      <c r="AF76">
        <v>0</v>
      </c>
      <c r="AG76">
        <v>0</v>
      </c>
      <c r="AH76">
        <v>0</v>
      </c>
      <c r="AI76">
        <v>5.99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1E-4</v>
      </c>
      <c r="AU76" t="s">
        <v>108</v>
      </c>
      <c r="AV76">
        <v>0</v>
      </c>
      <c r="AW76">
        <v>2</v>
      </c>
      <c r="AX76">
        <v>55984442</v>
      </c>
      <c r="AY76">
        <v>1</v>
      </c>
      <c r="AZ76">
        <v>0</v>
      </c>
      <c r="BA76">
        <v>82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ROUND(Y76*Source!I123,9)</f>
        <v>2.9999999999999997E-4</v>
      </c>
      <c r="CY76">
        <f>AA76</f>
        <v>7305.88</v>
      </c>
      <c r="CZ76">
        <f>AE76</f>
        <v>1219.68</v>
      </c>
      <c r="DA76">
        <f>AI76</f>
        <v>5.99</v>
      </c>
      <c r="DB76">
        <f>ROUND((ROUND(AT76*CZ76,2)*1),6)</f>
        <v>0.12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2.19</v>
      </c>
      <c r="DG76">
        <f t="shared" si="23"/>
        <v>0</v>
      </c>
      <c r="DH76">
        <f t="shared" si="24"/>
        <v>0</v>
      </c>
      <c r="DI76">
        <f t="shared" si="25"/>
        <v>0</v>
      </c>
      <c r="DJ76">
        <f>DF76</f>
        <v>2.19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ROW(Source!A123)</f>
        <v>123</v>
      </c>
      <c r="B77">
        <v>55942968</v>
      </c>
      <c r="C77">
        <v>55943217</v>
      </c>
      <c r="D77">
        <v>55461880</v>
      </c>
      <c r="E77">
        <v>1</v>
      </c>
      <c r="F77">
        <v>1</v>
      </c>
      <c r="G77">
        <v>1081</v>
      </c>
      <c r="H77">
        <v>3</v>
      </c>
      <c r="I77" t="s">
        <v>197</v>
      </c>
      <c r="J77" t="s">
        <v>198</v>
      </c>
      <c r="K77" t="s">
        <v>199</v>
      </c>
      <c r="L77">
        <v>1355</v>
      </c>
      <c r="N77">
        <v>1010</v>
      </c>
      <c r="O77" t="s">
        <v>200</v>
      </c>
      <c r="P77" t="s">
        <v>200</v>
      </c>
      <c r="Q77">
        <v>100</v>
      </c>
      <c r="W77">
        <v>0</v>
      </c>
      <c r="X77">
        <v>1440323189</v>
      </c>
      <c r="Y77">
        <f>(AT77*1)</f>
        <v>3.4500000000000003E-2</v>
      </c>
      <c r="AA77">
        <v>78.52</v>
      </c>
      <c r="AB77">
        <v>0</v>
      </c>
      <c r="AC77">
        <v>0</v>
      </c>
      <c r="AD77">
        <v>0</v>
      </c>
      <c r="AE77">
        <v>10.89</v>
      </c>
      <c r="AF77">
        <v>0</v>
      </c>
      <c r="AG77">
        <v>0</v>
      </c>
      <c r="AH77">
        <v>0</v>
      </c>
      <c r="AI77">
        <v>7.21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3.4500000000000003E-2</v>
      </c>
      <c r="AU77" t="s">
        <v>108</v>
      </c>
      <c r="AV77">
        <v>0</v>
      </c>
      <c r="AW77">
        <v>2</v>
      </c>
      <c r="AX77">
        <v>55984443</v>
      </c>
      <c r="AY77">
        <v>1</v>
      </c>
      <c r="AZ77">
        <v>0</v>
      </c>
      <c r="BA77">
        <v>83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ROUND(Y77*Source!I123,9)</f>
        <v>0.10349999999999999</v>
      </c>
      <c r="CY77">
        <f>AA77</f>
        <v>78.52</v>
      </c>
      <c r="CZ77">
        <f>AE77</f>
        <v>10.89</v>
      </c>
      <c r="DA77">
        <f>AI77</f>
        <v>7.21</v>
      </c>
      <c r="DB77">
        <f>ROUND((ROUND(AT77*CZ77,2)*1),6)</f>
        <v>0.38</v>
      </c>
      <c r="DC77">
        <f>ROUND((ROUND(AT77*AG77,2)*1),6)</f>
        <v>0</v>
      </c>
      <c r="DD77" t="s">
        <v>3</v>
      </c>
      <c r="DE77" t="s">
        <v>3</v>
      </c>
      <c r="DF77">
        <f>ROUND(ROUND(AE77*AI77,2)*CX77,2)</f>
        <v>8.1300000000000008</v>
      </c>
      <c r="DG77">
        <f t="shared" si="23"/>
        <v>0</v>
      </c>
      <c r="DH77">
        <f t="shared" si="24"/>
        <v>0</v>
      </c>
      <c r="DI77">
        <f t="shared" si="25"/>
        <v>0</v>
      </c>
      <c r="DJ77">
        <f>DF77</f>
        <v>8.1300000000000008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ROW(Source!A123)</f>
        <v>123</v>
      </c>
      <c r="B78">
        <v>55942968</v>
      </c>
      <c r="C78">
        <v>55943217</v>
      </c>
      <c r="D78">
        <v>55459811</v>
      </c>
      <c r="E78">
        <v>1</v>
      </c>
      <c r="F78">
        <v>1</v>
      </c>
      <c r="G78">
        <v>1081</v>
      </c>
      <c r="H78">
        <v>3</v>
      </c>
      <c r="I78" t="s">
        <v>207</v>
      </c>
      <c r="J78" t="s">
        <v>208</v>
      </c>
      <c r="K78" t="s">
        <v>209</v>
      </c>
      <c r="L78">
        <v>1348</v>
      </c>
      <c r="N78">
        <v>1009</v>
      </c>
      <c r="O78" t="s">
        <v>196</v>
      </c>
      <c r="P78" t="s">
        <v>196</v>
      </c>
      <c r="Q78">
        <v>1000</v>
      </c>
      <c r="W78">
        <v>0</v>
      </c>
      <c r="X78">
        <v>-572924193</v>
      </c>
      <c r="Y78">
        <f>(AT78*1)</f>
        <v>1.0000000000000001E-5</v>
      </c>
      <c r="AA78">
        <v>64597.89</v>
      </c>
      <c r="AB78">
        <v>0</v>
      </c>
      <c r="AC78">
        <v>0</v>
      </c>
      <c r="AD78">
        <v>0</v>
      </c>
      <c r="AE78">
        <v>8054.6</v>
      </c>
      <c r="AF78">
        <v>0</v>
      </c>
      <c r="AG78">
        <v>0</v>
      </c>
      <c r="AH78">
        <v>0</v>
      </c>
      <c r="AI78">
        <v>8.02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1.0000000000000001E-5</v>
      </c>
      <c r="AU78" t="s">
        <v>108</v>
      </c>
      <c r="AV78">
        <v>0</v>
      </c>
      <c r="AW78">
        <v>2</v>
      </c>
      <c r="AX78">
        <v>55984444</v>
      </c>
      <c r="AY78">
        <v>1</v>
      </c>
      <c r="AZ78">
        <v>0</v>
      </c>
      <c r="BA78">
        <v>84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ROUND(Y78*Source!I123,9)</f>
        <v>3.0000000000000001E-5</v>
      </c>
      <c r="CY78">
        <f>AA78</f>
        <v>64597.89</v>
      </c>
      <c r="CZ78">
        <f>AE78</f>
        <v>8054.6</v>
      </c>
      <c r="DA78">
        <f>AI78</f>
        <v>8.02</v>
      </c>
      <c r="DB78">
        <f>ROUND((ROUND(AT78*CZ78,2)*1),6)</f>
        <v>0.08</v>
      </c>
      <c r="DC78">
        <f>ROUND((ROUND(AT78*AG78,2)*1),6)</f>
        <v>0</v>
      </c>
      <c r="DD78" t="s">
        <v>3</v>
      </c>
      <c r="DE78" t="s">
        <v>3</v>
      </c>
      <c r="DF78">
        <f>ROUND(ROUND(AE78*AI78,2)*CX78,2)</f>
        <v>1.94</v>
      </c>
      <c r="DG78">
        <f t="shared" si="23"/>
        <v>0</v>
      </c>
      <c r="DH78">
        <f t="shared" si="24"/>
        <v>0</v>
      </c>
      <c r="DI78">
        <f t="shared" si="25"/>
        <v>0</v>
      </c>
      <c r="DJ78">
        <f>DF78</f>
        <v>1.94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ROW(Source!A161)</f>
        <v>161</v>
      </c>
      <c r="B79">
        <v>55942966</v>
      </c>
      <c r="C79">
        <v>57036907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190</v>
      </c>
      <c r="J79" t="s">
        <v>3</v>
      </c>
      <c r="K79" t="s">
        <v>191</v>
      </c>
      <c r="L79">
        <v>1191</v>
      </c>
      <c r="N79">
        <v>1013</v>
      </c>
      <c r="O79" t="s">
        <v>192</v>
      </c>
      <c r="P79" t="s">
        <v>192</v>
      </c>
      <c r="Q79">
        <v>1</v>
      </c>
      <c r="W79">
        <v>0</v>
      </c>
      <c r="X79">
        <v>476480486</v>
      </c>
      <c r="Y79">
        <f>(AT79*1.2)</f>
        <v>3.7199999999999998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3.1</v>
      </c>
      <c r="AU79" t="s">
        <v>109</v>
      </c>
      <c r="AV79">
        <v>1</v>
      </c>
      <c r="AW79">
        <v>2</v>
      </c>
      <c r="AX79">
        <v>57036908</v>
      </c>
      <c r="AY79">
        <v>1</v>
      </c>
      <c r="AZ79">
        <v>0</v>
      </c>
      <c r="BA79">
        <v>85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ROUND(AT79*Source!I161*AH79*AL79,2)</f>
        <v>0</v>
      </c>
      <c r="CV79">
        <f>ROUND(Y79*Source!I161,9)</f>
        <v>0.14879999999999999</v>
      </c>
      <c r="CW79">
        <v>0</v>
      </c>
      <c r="CX79">
        <f>ROUND(Y79*Source!I161,9)</f>
        <v>0.14879999999999999</v>
      </c>
      <c r="CY79">
        <f>AD79</f>
        <v>0</v>
      </c>
      <c r="CZ79">
        <f>AH79</f>
        <v>0</v>
      </c>
      <c r="DA79">
        <f>AL79</f>
        <v>1</v>
      </c>
      <c r="DB79">
        <f>ROUND((ROUND(AT79*CZ79,2)*1.2),6)</f>
        <v>0</v>
      </c>
      <c r="DC79">
        <f>ROUND((ROUND(AT79*AG79,2)*1.2),6)</f>
        <v>0</v>
      </c>
      <c r="DD79" t="s">
        <v>3</v>
      </c>
      <c r="DE79" t="s">
        <v>3</v>
      </c>
      <c r="DF79">
        <f t="shared" ref="DF79:DF85" si="26">ROUND(ROUND(AE79,2)*CX79,2)</f>
        <v>0</v>
      </c>
      <c r="DG79">
        <f t="shared" si="23"/>
        <v>0</v>
      </c>
      <c r="DH79">
        <f t="shared" si="24"/>
        <v>0</v>
      </c>
      <c r="DI79">
        <f t="shared" si="25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ROW(Source!A162)</f>
        <v>162</v>
      </c>
      <c r="B80">
        <v>55942968</v>
      </c>
      <c r="C80">
        <v>57036907</v>
      </c>
      <c r="D80">
        <v>55424304</v>
      </c>
      <c r="E80">
        <v>1081</v>
      </c>
      <c r="F80">
        <v>1</v>
      </c>
      <c r="G80">
        <v>1081</v>
      </c>
      <c r="H80">
        <v>1</v>
      </c>
      <c r="I80" t="s">
        <v>190</v>
      </c>
      <c r="J80" t="s">
        <v>3</v>
      </c>
      <c r="K80" t="s">
        <v>191</v>
      </c>
      <c r="L80">
        <v>1191</v>
      </c>
      <c r="N80">
        <v>1013</v>
      </c>
      <c r="O80" t="s">
        <v>192</v>
      </c>
      <c r="P80" t="s">
        <v>192</v>
      </c>
      <c r="Q80">
        <v>1</v>
      </c>
      <c r="W80">
        <v>0</v>
      </c>
      <c r="X80">
        <v>476480486</v>
      </c>
      <c r="Y80">
        <f>(AT80*1.2)</f>
        <v>3.7199999999999998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3.1</v>
      </c>
      <c r="AU80" t="s">
        <v>109</v>
      </c>
      <c r="AV80">
        <v>1</v>
      </c>
      <c r="AW80">
        <v>2</v>
      </c>
      <c r="AX80">
        <v>57036908</v>
      </c>
      <c r="AY80">
        <v>1</v>
      </c>
      <c r="AZ80">
        <v>0</v>
      </c>
      <c r="BA80">
        <v>87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U80">
        <f>ROUND(AT80*Source!I162*AH80*AL80,2)</f>
        <v>0</v>
      </c>
      <c r="CV80">
        <f>ROUND(Y80*Source!I162,9)</f>
        <v>0.14879999999999999</v>
      </c>
      <c r="CW80">
        <v>0</v>
      </c>
      <c r="CX80">
        <f>ROUND(Y80*Source!I162,9)</f>
        <v>0.14879999999999999</v>
      </c>
      <c r="CY80">
        <f>AD80</f>
        <v>0</v>
      </c>
      <c r="CZ80">
        <f>AH80</f>
        <v>0</v>
      </c>
      <c r="DA80">
        <f>AL80</f>
        <v>1</v>
      </c>
      <c r="DB80">
        <f>ROUND((ROUND(AT80*CZ80,2)*1.2),6)</f>
        <v>0</v>
      </c>
      <c r="DC80">
        <f>ROUND((ROUND(AT80*AG80,2)*1.2),6)</f>
        <v>0</v>
      </c>
      <c r="DD80" t="s">
        <v>3</v>
      </c>
      <c r="DE80" t="s">
        <v>3</v>
      </c>
      <c r="DF80">
        <f t="shared" si="26"/>
        <v>0</v>
      </c>
      <c r="DG80">
        <f t="shared" si="23"/>
        <v>0</v>
      </c>
      <c r="DH80">
        <f t="shared" si="24"/>
        <v>0</v>
      </c>
      <c r="DI80">
        <f t="shared" si="25"/>
        <v>0</v>
      </c>
      <c r="DJ80">
        <f>DI80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ROW(Source!A163)</f>
        <v>163</v>
      </c>
      <c r="B81">
        <v>55942966</v>
      </c>
      <c r="C81">
        <v>55943220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190</v>
      </c>
      <c r="J81" t="s">
        <v>3</v>
      </c>
      <c r="K81" t="s">
        <v>191</v>
      </c>
      <c r="L81">
        <v>1191</v>
      </c>
      <c r="N81">
        <v>1013</v>
      </c>
      <c r="O81" t="s">
        <v>192</v>
      </c>
      <c r="P81" t="s">
        <v>192</v>
      </c>
      <c r="Q81">
        <v>1</v>
      </c>
      <c r="W81">
        <v>0</v>
      </c>
      <c r="X81">
        <v>476480486</v>
      </c>
      <c r="Y81">
        <f>(AT81*1.2)</f>
        <v>1.2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</v>
      </c>
      <c r="AU81" t="s">
        <v>109</v>
      </c>
      <c r="AV81">
        <v>1</v>
      </c>
      <c r="AW81">
        <v>2</v>
      </c>
      <c r="AX81">
        <v>55984445</v>
      </c>
      <c r="AY81">
        <v>1</v>
      </c>
      <c r="AZ81">
        <v>0</v>
      </c>
      <c r="BA81">
        <v>89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ROUND(AT81*Source!I163*AH81*AL81,2)</f>
        <v>0</v>
      </c>
      <c r="CV81">
        <f>ROUND(Y81*Source!I163,9)</f>
        <v>4.8</v>
      </c>
      <c r="CW81">
        <v>0</v>
      </c>
      <c r="CX81">
        <f>ROUND(Y81*Source!I163,9)</f>
        <v>4.8</v>
      </c>
      <c r="CY81">
        <f>AD81</f>
        <v>0</v>
      </c>
      <c r="CZ81">
        <f>AH81</f>
        <v>0</v>
      </c>
      <c r="DA81">
        <f>AL81</f>
        <v>1</v>
      </c>
      <c r="DB81">
        <f>ROUND((ROUND(AT81*CZ81,2)*1.2),6)</f>
        <v>0</v>
      </c>
      <c r="DC81">
        <f>ROUND((ROUND(AT81*AG81,2)*1.2),6)</f>
        <v>0</v>
      </c>
      <c r="DD81" t="s">
        <v>3</v>
      </c>
      <c r="DE81" t="s">
        <v>3</v>
      </c>
      <c r="DF81">
        <f t="shared" si="26"/>
        <v>0</v>
      </c>
      <c r="DG81">
        <f t="shared" si="23"/>
        <v>0</v>
      </c>
      <c r="DH81">
        <f t="shared" si="24"/>
        <v>0</v>
      </c>
      <c r="DI81">
        <f t="shared" si="25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ROW(Source!A163)</f>
        <v>163</v>
      </c>
      <c r="B82">
        <v>55942966</v>
      </c>
      <c r="C82">
        <v>55943220</v>
      </c>
      <c r="D82">
        <v>55459792</v>
      </c>
      <c r="E82">
        <v>1</v>
      </c>
      <c r="F82">
        <v>1</v>
      </c>
      <c r="G82">
        <v>1081</v>
      </c>
      <c r="H82">
        <v>3</v>
      </c>
      <c r="I82" t="s">
        <v>257</v>
      </c>
      <c r="J82" t="s">
        <v>258</v>
      </c>
      <c r="K82" t="s">
        <v>259</v>
      </c>
      <c r="L82">
        <v>1348</v>
      </c>
      <c r="N82">
        <v>1009</v>
      </c>
      <c r="O82" t="s">
        <v>196</v>
      </c>
      <c r="P82" t="s">
        <v>196</v>
      </c>
      <c r="Q82">
        <v>1000</v>
      </c>
      <c r="W82">
        <v>0</v>
      </c>
      <c r="X82">
        <v>114569696</v>
      </c>
      <c r="Y82">
        <f>(AT82*1)</f>
        <v>3.0000000000000001E-5</v>
      </c>
      <c r="AA82">
        <v>60960.43</v>
      </c>
      <c r="AB82">
        <v>0</v>
      </c>
      <c r="AC82">
        <v>0</v>
      </c>
      <c r="AD82">
        <v>0</v>
      </c>
      <c r="AE82">
        <v>60960.43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3.0000000000000001E-5</v>
      </c>
      <c r="AU82" t="s">
        <v>108</v>
      </c>
      <c r="AV82">
        <v>0</v>
      </c>
      <c r="AW82">
        <v>2</v>
      </c>
      <c r="AX82">
        <v>55984446</v>
      </c>
      <c r="AY82">
        <v>1</v>
      </c>
      <c r="AZ82">
        <v>0</v>
      </c>
      <c r="BA82">
        <v>90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ROUND(Y82*Source!I163,9)</f>
        <v>1.2E-4</v>
      </c>
      <c r="CY82">
        <f>AA82</f>
        <v>60960.43</v>
      </c>
      <c r="CZ82">
        <f>AE82</f>
        <v>60960.43</v>
      </c>
      <c r="DA82">
        <f>AI82</f>
        <v>1</v>
      </c>
      <c r="DB82">
        <f>ROUND((ROUND(AT82*CZ82,2)*1),6)</f>
        <v>1.83</v>
      </c>
      <c r="DC82">
        <f>ROUND((ROUND(AT82*AG82,2)*1),6)</f>
        <v>0</v>
      </c>
      <c r="DD82" t="s">
        <v>3</v>
      </c>
      <c r="DE82" t="s">
        <v>3</v>
      </c>
      <c r="DF82">
        <f t="shared" si="26"/>
        <v>7.32</v>
      </c>
      <c r="DG82">
        <f t="shared" si="23"/>
        <v>0</v>
      </c>
      <c r="DH82">
        <f t="shared" si="24"/>
        <v>0</v>
      </c>
      <c r="DI82">
        <f t="shared" si="25"/>
        <v>0</v>
      </c>
      <c r="DJ82">
        <f>DF82</f>
        <v>7.32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ROW(Source!A163)</f>
        <v>163</v>
      </c>
      <c r="B83">
        <v>55942966</v>
      </c>
      <c r="C83">
        <v>55943220</v>
      </c>
      <c r="D83">
        <v>55472553</v>
      </c>
      <c r="E83">
        <v>1</v>
      </c>
      <c r="F83">
        <v>1</v>
      </c>
      <c r="G83">
        <v>1081</v>
      </c>
      <c r="H83">
        <v>3</v>
      </c>
      <c r="I83" t="s">
        <v>260</v>
      </c>
      <c r="J83" t="s">
        <v>261</v>
      </c>
      <c r="K83" t="s">
        <v>262</v>
      </c>
      <c r="L83">
        <v>1301</v>
      </c>
      <c r="N83">
        <v>1003</v>
      </c>
      <c r="O83" t="s">
        <v>221</v>
      </c>
      <c r="P83" t="s">
        <v>221</v>
      </c>
      <c r="Q83">
        <v>1</v>
      </c>
      <c r="W83">
        <v>0</v>
      </c>
      <c r="X83">
        <v>-1499579140</v>
      </c>
      <c r="Y83">
        <f>(AT83*1)</f>
        <v>0.02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0.02</v>
      </c>
      <c r="AU83" t="s">
        <v>108</v>
      </c>
      <c r="AV83">
        <v>0</v>
      </c>
      <c r="AW83">
        <v>2</v>
      </c>
      <c r="AX83">
        <v>55984448</v>
      </c>
      <c r="AY83">
        <v>1</v>
      </c>
      <c r="AZ83">
        <v>0</v>
      </c>
      <c r="BA83">
        <v>91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ROUND(Y83*Source!I163,9)</f>
        <v>0.08</v>
      </c>
      <c r="CY83">
        <f>AA83</f>
        <v>1</v>
      </c>
      <c r="CZ83">
        <f>AE83</f>
        <v>1</v>
      </c>
      <c r="DA83">
        <f>AI83</f>
        <v>1</v>
      </c>
      <c r="DB83">
        <f>ROUND((ROUND(AT83*CZ83,2)*1),6)</f>
        <v>0.02</v>
      </c>
      <c r="DC83">
        <f>ROUND((ROUND(AT83*AG83,2)*1),6)</f>
        <v>0</v>
      </c>
      <c r="DD83" t="s">
        <v>3</v>
      </c>
      <c r="DE83" t="s">
        <v>3</v>
      </c>
      <c r="DF83">
        <f t="shared" si="26"/>
        <v>0.08</v>
      </c>
      <c r="DG83">
        <f t="shared" si="23"/>
        <v>0</v>
      </c>
      <c r="DH83">
        <f t="shared" si="24"/>
        <v>0</v>
      </c>
      <c r="DI83">
        <f t="shared" si="25"/>
        <v>0</v>
      </c>
      <c r="DJ83">
        <f>DF83</f>
        <v>0.08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ROW(Source!A163)</f>
        <v>163</v>
      </c>
      <c r="B84">
        <v>55942966</v>
      </c>
      <c r="C84">
        <v>55943220</v>
      </c>
      <c r="D84">
        <v>55466338</v>
      </c>
      <c r="E84">
        <v>1</v>
      </c>
      <c r="F84">
        <v>1</v>
      </c>
      <c r="G84">
        <v>1081</v>
      </c>
      <c r="H84">
        <v>3</v>
      </c>
      <c r="I84" t="s">
        <v>263</v>
      </c>
      <c r="J84" t="s">
        <v>264</v>
      </c>
      <c r="K84" t="s">
        <v>265</v>
      </c>
      <c r="L84">
        <v>1349</v>
      </c>
      <c r="N84">
        <v>1009</v>
      </c>
      <c r="O84" t="s">
        <v>266</v>
      </c>
      <c r="P84" t="s">
        <v>266</v>
      </c>
      <c r="Q84">
        <v>1E-3</v>
      </c>
      <c r="W84">
        <v>0</v>
      </c>
      <c r="X84">
        <v>-667754050</v>
      </c>
      <c r="Y84">
        <f>(AT84*1)</f>
        <v>8</v>
      </c>
      <c r="AA84">
        <v>7.0000000000000007E-2</v>
      </c>
      <c r="AB84">
        <v>0</v>
      </c>
      <c r="AC84">
        <v>0</v>
      </c>
      <c r="AD84">
        <v>0</v>
      </c>
      <c r="AE84">
        <v>7.0000000000000007E-2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8</v>
      </c>
      <c r="AU84" t="s">
        <v>108</v>
      </c>
      <c r="AV84">
        <v>0</v>
      </c>
      <c r="AW84">
        <v>2</v>
      </c>
      <c r="AX84">
        <v>55984447</v>
      </c>
      <c r="AY84">
        <v>1</v>
      </c>
      <c r="AZ84">
        <v>0</v>
      </c>
      <c r="BA84">
        <v>92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ROUND(Y84*Source!I163,9)</f>
        <v>32</v>
      </c>
      <c r="CY84">
        <f>AA84</f>
        <v>7.0000000000000007E-2</v>
      </c>
      <c r="CZ84">
        <f>AE84</f>
        <v>7.0000000000000007E-2</v>
      </c>
      <c r="DA84">
        <f>AI84</f>
        <v>1</v>
      </c>
      <c r="DB84">
        <f>ROUND((ROUND(AT84*CZ84,2)*1),6)</f>
        <v>0.56000000000000005</v>
      </c>
      <c r="DC84">
        <f>ROUND((ROUND(AT84*AG84,2)*1),6)</f>
        <v>0</v>
      </c>
      <c r="DD84" t="s">
        <v>3</v>
      </c>
      <c r="DE84" t="s">
        <v>3</v>
      </c>
      <c r="DF84">
        <f t="shared" si="26"/>
        <v>2.2400000000000002</v>
      </c>
      <c r="DG84">
        <f t="shared" si="23"/>
        <v>0</v>
      </c>
      <c r="DH84">
        <f t="shared" si="24"/>
        <v>0</v>
      </c>
      <c r="DI84">
        <f t="shared" si="25"/>
        <v>0</v>
      </c>
      <c r="DJ84">
        <f>DF84</f>
        <v>2.2400000000000002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ROW(Source!A164)</f>
        <v>164</v>
      </c>
      <c r="B85">
        <v>55942968</v>
      </c>
      <c r="C85">
        <v>55943220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190</v>
      </c>
      <c r="J85" t="s">
        <v>3</v>
      </c>
      <c r="K85" t="s">
        <v>191</v>
      </c>
      <c r="L85">
        <v>1191</v>
      </c>
      <c r="N85">
        <v>1013</v>
      </c>
      <c r="O85" t="s">
        <v>192</v>
      </c>
      <c r="P85" t="s">
        <v>192</v>
      </c>
      <c r="Q85">
        <v>1</v>
      </c>
      <c r="W85">
        <v>0</v>
      </c>
      <c r="X85">
        <v>476480486</v>
      </c>
      <c r="Y85">
        <f>(AT85*1.2)</f>
        <v>1.2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5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</v>
      </c>
      <c r="AU85" t="s">
        <v>109</v>
      </c>
      <c r="AV85">
        <v>1</v>
      </c>
      <c r="AW85">
        <v>2</v>
      </c>
      <c r="AX85">
        <v>55984445</v>
      </c>
      <c r="AY85">
        <v>1</v>
      </c>
      <c r="AZ85">
        <v>0</v>
      </c>
      <c r="BA85">
        <v>93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ROUND(AT85*Source!I164*AH85*AL85,2)</f>
        <v>0</v>
      </c>
      <c r="CV85">
        <f>ROUND(Y85*Source!I164,9)</f>
        <v>4.8</v>
      </c>
      <c r="CW85">
        <v>0</v>
      </c>
      <c r="CX85">
        <f>ROUND(Y85*Source!I164,9)</f>
        <v>4.8</v>
      </c>
      <c r="CY85">
        <f>AD85</f>
        <v>0</v>
      </c>
      <c r="CZ85">
        <f>AH85</f>
        <v>0</v>
      </c>
      <c r="DA85">
        <f>AL85</f>
        <v>1</v>
      </c>
      <c r="DB85">
        <f>ROUND((ROUND(AT85*CZ85,2)*1.2),6)</f>
        <v>0</v>
      </c>
      <c r="DC85">
        <f>ROUND((ROUND(AT85*AG85,2)*1.2),6)</f>
        <v>0</v>
      </c>
      <c r="DD85" t="s">
        <v>3</v>
      </c>
      <c r="DE85" t="s">
        <v>3</v>
      </c>
      <c r="DF85">
        <f t="shared" si="26"/>
        <v>0</v>
      </c>
      <c r="DG85">
        <f t="shared" si="23"/>
        <v>0</v>
      </c>
      <c r="DH85">
        <f t="shared" si="24"/>
        <v>0</v>
      </c>
      <c r="DI85">
        <f t="shared" si="25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ROW(Source!A164)</f>
        <v>164</v>
      </c>
      <c r="B86">
        <v>55942968</v>
      </c>
      <c r="C86">
        <v>55943220</v>
      </c>
      <c r="D86">
        <v>55459792</v>
      </c>
      <c r="E86">
        <v>1</v>
      </c>
      <c r="F86">
        <v>1</v>
      </c>
      <c r="G86">
        <v>1081</v>
      </c>
      <c r="H86">
        <v>3</v>
      </c>
      <c r="I86" t="s">
        <v>257</v>
      </c>
      <c r="J86" t="s">
        <v>258</v>
      </c>
      <c r="K86" t="s">
        <v>259</v>
      </c>
      <c r="L86">
        <v>1348</v>
      </c>
      <c r="N86">
        <v>1009</v>
      </c>
      <c r="O86" t="s">
        <v>196</v>
      </c>
      <c r="P86" t="s">
        <v>196</v>
      </c>
      <c r="Q86">
        <v>1000</v>
      </c>
      <c r="W86">
        <v>0</v>
      </c>
      <c r="X86">
        <v>114569696</v>
      </c>
      <c r="Y86">
        <f>(AT86*1)</f>
        <v>3.0000000000000001E-5</v>
      </c>
      <c r="AA86">
        <v>1497188.16</v>
      </c>
      <c r="AB86">
        <v>0</v>
      </c>
      <c r="AC86">
        <v>0</v>
      </c>
      <c r="AD86">
        <v>0</v>
      </c>
      <c r="AE86">
        <v>60960.43</v>
      </c>
      <c r="AF86">
        <v>0</v>
      </c>
      <c r="AG86">
        <v>0</v>
      </c>
      <c r="AH86">
        <v>0</v>
      </c>
      <c r="AI86">
        <v>24.56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3.0000000000000001E-5</v>
      </c>
      <c r="AU86" t="s">
        <v>108</v>
      </c>
      <c r="AV86">
        <v>0</v>
      </c>
      <c r="AW86">
        <v>2</v>
      </c>
      <c r="AX86">
        <v>55984446</v>
      </c>
      <c r="AY86">
        <v>1</v>
      </c>
      <c r="AZ86">
        <v>0</v>
      </c>
      <c r="BA86">
        <v>94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ROUND(Y86*Source!I164,9)</f>
        <v>1.2E-4</v>
      </c>
      <c r="CY86">
        <f>AA86</f>
        <v>1497188.16</v>
      </c>
      <c r="CZ86">
        <f>AE86</f>
        <v>60960.43</v>
      </c>
      <c r="DA86">
        <f>AI86</f>
        <v>24.56</v>
      </c>
      <c r="DB86">
        <f>ROUND((ROUND(AT86*CZ86,2)*1),6)</f>
        <v>1.83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179.66</v>
      </c>
      <c r="DG86">
        <f t="shared" si="23"/>
        <v>0</v>
      </c>
      <c r="DH86">
        <f t="shared" si="24"/>
        <v>0</v>
      </c>
      <c r="DI86">
        <f t="shared" si="25"/>
        <v>0</v>
      </c>
      <c r="DJ86">
        <f>DF86</f>
        <v>179.66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ROW(Source!A164)</f>
        <v>164</v>
      </c>
      <c r="B87">
        <v>55942968</v>
      </c>
      <c r="C87">
        <v>55943220</v>
      </c>
      <c r="D87">
        <v>55472553</v>
      </c>
      <c r="E87">
        <v>1</v>
      </c>
      <c r="F87">
        <v>1</v>
      </c>
      <c r="G87">
        <v>1081</v>
      </c>
      <c r="H87">
        <v>3</v>
      </c>
      <c r="I87" t="s">
        <v>260</v>
      </c>
      <c r="J87" t="s">
        <v>261</v>
      </c>
      <c r="K87" t="s">
        <v>262</v>
      </c>
      <c r="L87">
        <v>1301</v>
      </c>
      <c r="N87">
        <v>1003</v>
      </c>
      <c r="O87" t="s">
        <v>221</v>
      </c>
      <c r="P87" t="s">
        <v>221</v>
      </c>
      <c r="Q87">
        <v>1</v>
      </c>
      <c r="W87">
        <v>0</v>
      </c>
      <c r="X87">
        <v>-1499579140</v>
      </c>
      <c r="Y87">
        <f>(AT87*1)</f>
        <v>0.02</v>
      </c>
      <c r="AA87">
        <v>13.59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13.59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0.02</v>
      </c>
      <c r="AU87" t="s">
        <v>108</v>
      </c>
      <c r="AV87">
        <v>0</v>
      </c>
      <c r="AW87">
        <v>2</v>
      </c>
      <c r="AX87">
        <v>55984448</v>
      </c>
      <c r="AY87">
        <v>1</v>
      </c>
      <c r="AZ87">
        <v>0</v>
      </c>
      <c r="BA87">
        <v>95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ROUND(Y87*Source!I164,9)</f>
        <v>0.08</v>
      </c>
      <c r="CY87">
        <f>AA87</f>
        <v>13.59</v>
      </c>
      <c r="CZ87">
        <f>AE87</f>
        <v>1</v>
      </c>
      <c r="DA87">
        <f>AI87</f>
        <v>13.59</v>
      </c>
      <c r="DB87">
        <f>ROUND((ROUND(AT87*CZ87,2)*1),6)</f>
        <v>0.02</v>
      </c>
      <c r="DC87">
        <f>ROUND((ROUND(AT87*AG87,2)*1),6)</f>
        <v>0</v>
      </c>
      <c r="DD87" t="s">
        <v>3</v>
      </c>
      <c r="DE87" t="s">
        <v>3</v>
      </c>
      <c r="DF87">
        <f>ROUND(ROUND(AE87*AI87,2)*CX87,2)</f>
        <v>1.0900000000000001</v>
      </c>
      <c r="DG87">
        <f t="shared" si="23"/>
        <v>0</v>
      </c>
      <c r="DH87">
        <f t="shared" si="24"/>
        <v>0</v>
      </c>
      <c r="DI87">
        <f t="shared" si="25"/>
        <v>0</v>
      </c>
      <c r="DJ87">
        <f>DF87</f>
        <v>1.0900000000000001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ROW(Source!A164)</f>
        <v>164</v>
      </c>
      <c r="B88">
        <v>55942968</v>
      </c>
      <c r="C88">
        <v>55943220</v>
      </c>
      <c r="D88">
        <v>55466338</v>
      </c>
      <c r="E88">
        <v>1</v>
      </c>
      <c r="F88">
        <v>1</v>
      </c>
      <c r="G88">
        <v>1081</v>
      </c>
      <c r="H88">
        <v>3</v>
      </c>
      <c r="I88" t="s">
        <v>263</v>
      </c>
      <c r="J88" t="s">
        <v>264</v>
      </c>
      <c r="K88" t="s">
        <v>265</v>
      </c>
      <c r="L88">
        <v>1349</v>
      </c>
      <c r="N88">
        <v>1009</v>
      </c>
      <c r="O88" t="s">
        <v>266</v>
      </c>
      <c r="P88" t="s">
        <v>266</v>
      </c>
      <c r="Q88">
        <v>1E-3</v>
      </c>
      <c r="W88">
        <v>0</v>
      </c>
      <c r="X88">
        <v>-667754050</v>
      </c>
      <c r="Y88">
        <f>(AT88*1)</f>
        <v>8</v>
      </c>
      <c r="AA88">
        <v>0.44</v>
      </c>
      <c r="AB88">
        <v>0</v>
      </c>
      <c r="AC88">
        <v>0</v>
      </c>
      <c r="AD88">
        <v>0</v>
      </c>
      <c r="AE88">
        <v>7.0000000000000007E-2</v>
      </c>
      <c r="AF88">
        <v>0</v>
      </c>
      <c r="AG88">
        <v>0</v>
      </c>
      <c r="AH88">
        <v>0</v>
      </c>
      <c r="AI88">
        <v>6.29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8</v>
      </c>
      <c r="AU88" t="s">
        <v>108</v>
      </c>
      <c r="AV88">
        <v>0</v>
      </c>
      <c r="AW88">
        <v>2</v>
      </c>
      <c r="AX88">
        <v>55984447</v>
      </c>
      <c r="AY88">
        <v>1</v>
      </c>
      <c r="AZ88">
        <v>0</v>
      </c>
      <c r="BA88">
        <v>96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ROUND(Y88*Source!I164,9)</f>
        <v>32</v>
      </c>
      <c r="CY88">
        <f>AA88</f>
        <v>0.44</v>
      </c>
      <c r="CZ88">
        <f>AE88</f>
        <v>7.0000000000000007E-2</v>
      </c>
      <c r="DA88">
        <f>AI88</f>
        <v>6.29</v>
      </c>
      <c r="DB88">
        <f>ROUND((ROUND(AT88*CZ88,2)*1),6)</f>
        <v>0.56000000000000005</v>
      </c>
      <c r="DC88">
        <f>ROUND((ROUND(AT88*AG88,2)*1),6)</f>
        <v>0</v>
      </c>
      <c r="DD88" t="s">
        <v>3</v>
      </c>
      <c r="DE88" t="s">
        <v>3</v>
      </c>
      <c r="DF88">
        <f>ROUND(ROUND(AE88*AI88,2)*CX88,2)</f>
        <v>14.08</v>
      </c>
      <c r="DG88">
        <f t="shared" si="23"/>
        <v>0</v>
      </c>
      <c r="DH88">
        <f t="shared" si="24"/>
        <v>0</v>
      </c>
      <c r="DI88">
        <f t="shared" si="25"/>
        <v>0</v>
      </c>
      <c r="DJ88">
        <f>DF88</f>
        <v>14.08</v>
      </c>
      <c r="DK88">
        <v>0</v>
      </c>
      <c r="DL88" t="s">
        <v>3</v>
      </c>
      <c r="DM88">
        <v>0</v>
      </c>
      <c r="DN88" t="s">
        <v>3</v>
      </c>
      <c r="DO8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55985162</v>
      </c>
      <c r="C1">
        <v>55984400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190</v>
      </c>
      <c r="J1" t="s">
        <v>3</v>
      </c>
      <c r="K1" t="s">
        <v>191</v>
      </c>
      <c r="L1">
        <v>1191</v>
      </c>
      <c r="N1">
        <v>1013</v>
      </c>
      <c r="O1" t="s">
        <v>192</v>
      </c>
      <c r="P1" t="s">
        <v>192</v>
      </c>
      <c r="Q1">
        <v>1</v>
      </c>
      <c r="X1">
        <v>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31</v>
      </c>
      <c r="AG1">
        <v>1.0799999999999998</v>
      </c>
      <c r="AH1">
        <v>2</v>
      </c>
      <c r="AI1">
        <v>55985162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55985163</v>
      </c>
      <c r="C2">
        <v>55984400</v>
      </c>
      <c r="D2">
        <v>55459261</v>
      </c>
      <c r="E2">
        <v>1</v>
      </c>
      <c r="F2">
        <v>1</v>
      </c>
      <c r="G2">
        <v>1081</v>
      </c>
      <c r="H2">
        <v>3</v>
      </c>
      <c r="I2" t="s">
        <v>193</v>
      </c>
      <c r="J2" t="s">
        <v>194</v>
      </c>
      <c r="K2" t="s">
        <v>195</v>
      </c>
      <c r="L2">
        <v>1348</v>
      </c>
      <c r="N2">
        <v>1009</v>
      </c>
      <c r="O2" t="s">
        <v>196</v>
      </c>
      <c r="P2" t="s">
        <v>196</v>
      </c>
      <c r="Q2">
        <v>1000</v>
      </c>
      <c r="X2">
        <v>1E-4</v>
      </c>
      <c r="Y2">
        <v>1219.68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30</v>
      </c>
      <c r="AG2">
        <v>0</v>
      </c>
      <c r="AH2">
        <v>2</v>
      </c>
      <c r="AI2">
        <v>55985163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55985164</v>
      </c>
      <c r="C3">
        <v>55984400</v>
      </c>
      <c r="D3">
        <v>55461880</v>
      </c>
      <c r="E3">
        <v>1</v>
      </c>
      <c r="F3">
        <v>1</v>
      </c>
      <c r="G3">
        <v>1081</v>
      </c>
      <c r="H3">
        <v>3</v>
      </c>
      <c r="I3" t="s">
        <v>197</v>
      </c>
      <c r="J3" t="s">
        <v>198</v>
      </c>
      <c r="K3" t="s">
        <v>199</v>
      </c>
      <c r="L3">
        <v>1355</v>
      </c>
      <c r="N3">
        <v>1010</v>
      </c>
      <c r="O3" t="s">
        <v>200</v>
      </c>
      <c r="P3" t="s">
        <v>200</v>
      </c>
      <c r="Q3">
        <v>100</v>
      </c>
      <c r="X3">
        <v>3.0700000000000002E-2</v>
      </c>
      <c r="Y3">
        <v>10.89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30</v>
      </c>
      <c r="AG3">
        <v>0</v>
      </c>
      <c r="AH3">
        <v>2</v>
      </c>
      <c r="AI3">
        <v>55985164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ROW(Source!A29)</f>
        <v>29</v>
      </c>
      <c r="B4">
        <v>55985162</v>
      </c>
      <c r="C4">
        <v>55984400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190</v>
      </c>
      <c r="J4" t="s">
        <v>3</v>
      </c>
      <c r="K4" t="s">
        <v>191</v>
      </c>
      <c r="L4">
        <v>1191</v>
      </c>
      <c r="N4">
        <v>1013</v>
      </c>
      <c r="O4" t="s">
        <v>192</v>
      </c>
      <c r="P4" t="s">
        <v>192</v>
      </c>
      <c r="Q4">
        <v>1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31</v>
      </c>
      <c r="AG4">
        <v>1.0799999999999998</v>
      </c>
      <c r="AH4">
        <v>2</v>
      </c>
      <c r="AI4">
        <v>55985162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ROW(Source!A29)</f>
        <v>29</v>
      </c>
      <c r="B5">
        <v>55985163</v>
      </c>
      <c r="C5">
        <v>55984400</v>
      </c>
      <c r="D5">
        <v>55459261</v>
      </c>
      <c r="E5">
        <v>1</v>
      </c>
      <c r="F5">
        <v>1</v>
      </c>
      <c r="G5">
        <v>1081</v>
      </c>
      <c r="H5">
        <v>3</v>
      </c>
      <c r="I5" t="s">
        <v>193</v>
      </c>
      <c r="J5" t="s">
        <v>194</v>
      </c>
      <c r="K5" t="s">
        <v>195</v>
      </c>
      <c r="L5">
        <v>1348</v>
      </c>
      <c r="N5">
        <v>1009</v>
      </c>
      <c r="O5" t="s">
        <v>196</v>
      </c>
      <c r="P5" t="s">
        <v>196</v>
      </c>
      <c r="Q5">
        <v>1000</v>
      </c>
      <c r="X5">
        <v>1E-4</v>
      </c>
      <c r="Y5">
        <v>1219.68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30</v>
      </c>
      <c r="AG5">
        <v>0</v>
      </c>
      <c r="AH5">
        <v>2</v>
      </c>
      <c r="AI5">
        <v>55985163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55985164</v>
      </c>
      <c r="C6">
        <v>55984400</v>
      </c>
      <c r="D6">
        <v>55461880</v>
      </c>
      <c r="E6">
        <v>1</v>
      </c>
      <c r="F6">
        <v>1</v>
      </c>
      <c r="G6">
        <v>1081</v>
      </c>
      <c r="H6">
        <v>3</v>
      </c>
      <c r="I6" t="s">
        <v>197</v>
      </c>
      <c r="J6" t="s">
        <v>198</v>
      </c>
      <c r="K6" t="s">
        <v>199</v>
      </c>
      <c r="L6">
        <v>1355</v>
      </c>
      <c r="N6">
        <v>1010</v>
      </c>
      <c r="O6" t="s">
        <v>200</v>
      </c>
      <c r="P6" t="s">
        <v>200</v>
      </c>
      <c r="Q6">
        <v>100</v>
      </c>
      <c r="X6">
        <v>3.0700000000000002E-2</v>
      </c>
      <c r="Y6">
        <v>10.89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30</v>
      </c>
      <c r="AG6">
        <v>0</v>
      </c>
      <c r="AH6">
        <v>2</v>
      </c>
      <c r="AI6">
        <v>55985164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ROW(Source!A30)</f>
        <v>30</v>
      </c>
      <c r="B7">
        <v>55985166</v>
      </c>
      <c r="C7">
        <v>55984401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190</v>
      </c>
      <c r="J7" t="s">
        <v>3</v>
      </c>
      <c r="K7" t="s">
        <v>191</v>
      </c>
      <c r="L7">
        <v>1191</v>
      </c>
      <c r="N7">
        <v>1013</v>
      </c>
      <c r="O7" t="s">
        <v>192</v>
      </c>
      <c r="P7" t="s">
        <v>192</v>
      </c>
      <c r="Q7">
        <v>1</v>
      </c>
      <c r="X7">
        <v>2.77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31</v>
      </c>
      <c r="AG7">
        <v>0.99719999999999986</v>
      </c>
      <c r="AH7">
        <v>2</v>
      </c>
      <c r="AI7">
        <v>55985166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ROW(Source!A30)</f>
        <v>30</v>
      </c>
      <c r="B8">
        <v>55985167</v>
      </c>
      <c r="C8">
        <v>55984401</v>
      </c>
      <c r="D8">
        <v>55459873</v>
      </c>
      <c r="E8">
        <v>1</v>
      </c>
      <c r="F8">
        <v>1</v>
      </c>
      <c r="G8">
        <v>1081</v>
      </c>
      <c r="H8">
        <v>3</v>
      </c>
      <c r="I8" t="s">
        <v>201</v>
      </c>
      <c r="J8" t="s">
        <v>202</v>
      </c>
      <c r="K8" t="s">
        <v>203</v>
      </c>
      <c r="L8">
        <v>1348</v>
      </c>
      <c r="N8">
        <v>1009</v>
      </c>
      <c r="O8" t="s">
        <v>196</v>
      </c>
      <c r="P8" t="s">
        <v>196</v>
      </c>
      <c r="Q8">
        <v>1000</v>
      </c>
      <c r="X8">
        <v>1.0000000000000001E-5</v>
      </c>
      <c r="Y8">
        <v>18495.41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30</v>
      </c>
      <c r="AG8">
        <v>0</v>
      </c>
      <c r="AH8">
        <v>2</v>
      </c>
      <c r="AI8">
        <v>55985167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ROW(Source!A31)</f>
        <v>31</v>
      </c>
      <c r="B9">
        <v>55985166</v>
      </c>
      <c r="C9">
        <v>55984401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190</v>
      </c>
      <c r="J9" t="s">
        <v>3</v>
      </c>
      <c r="K9" t="s">
        <v>191</v>
      </c>
      <c r="L9">
        <v>1191</v>
      </c>
      <c r="N9">
        <v>1013</v>
      </c>
      <c r="O9" t="s">
        <v>192</v>
      </c>
      <c r="P9" t="s">
        <v>192</v>
      </c>
      <c r="Q9">
        <v>1</v>
      </c>
      <c r="X9">
        <v>2.77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31</v>
      </c>
      <c r="AG9">
        <v>0.99719999999999986</v>
      </c>
      <c r="AH9">
        <v>2</v>
      </c>
      <c r="AI9">
        <v>55985166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ROW(Source!A31)</f>
        <v>31</v>
      </c>
      <c r="B10">
        <v>55985167</v>
      </c>
      <c r="C10">
        <v>55984401</v>
      </c>
      <c r="D10">
        <v>55459873</v>
      </c>
      <c r="E10">
        <v>1</v>
      </c>
      <c r="F10">
        <v>1</v>
      </c>
      <c r="G10">
        <v>1081</v>
      </c>
      <c r="H10">
        <v>3</v>
      </c>
      <c r="I10" t="s">
        <v>201</v>
      </c>
      <c r="J10" t="s">
        <v>202</v>
      </c>
      <c r="K10" t="s">
        <v>203</v>
      </c>
      <c r="L10">
        <v>1348</v>
      </c>
      <c r="N10">
        <v>1009</v>
      </c>
      <c r="O10" t="s">
        <v>196</v>
      </c>
      <c r="P10" t="s">
        <v>196</v>
      </c>
      <c r="Q10">
        <v>1000</v>
      </c>
      <c r="X10">
        <v>1.0000000000000001E-5</v>
      </c>
      <c r="Y10">
        <v>18495.41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30</v>
      </c>
      <c r="AG10">
        <v>0</v>
      </c>
      <c r="AH10">
        <v>2</v>
      </c>
      <c r="AI10">
        <v>55985167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ROW(Source!A32)</f>
        <v>32</v>
      </c>
      <c r="B11">
        <v>55985169</v>
      </c>
      <c r="C11">
        <v>55984402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190</v>
      </c>
      <c r="J11" t="s">
        <v>3</v>
      </c>
      <c r="K11" t="s">
        <v>191</v>
      </c>
      <c r="L11">
        <v>1191</v>
      </c>
      <c r="N11">
        <v>1013</v>
      </c>
      <c r="O11" t="s">
        <v>192</v>
      </c>
      <c r="P11" t="s">
        <v>192</v>
      </c>
      <c r="Q11">
        <v>1</v>
      </c>
      <c r="X11">
        <v>0.8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31</v>
      </c>
      <c r="AG11">
        <v>0.28799999999999998</v>
      </c>
      <c r="AH11">
        <v>2</v>
      </c>
      <c r="AI11">
        <v>55985169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ROW(Source!A32)</f>
        <v>32</v>
      </c>
      <c r="B12">
        <v>55985170</v>
      </c>
      <c r="C12">
        <v>55984402</v>
      </c>
      <c r="D12">
        <v>55460239</v>
      </c>
      <c r="E12">
        <v>1</v>
      </c>
      <c r="F12">
        <v>1</v>
      </c>
      <c r="G12">
        <v>1081</v>
      </c>
      <c r="H12">
        <v>3</v>
      </c>
      <c r="I12" t="s">
        <v>204</v>
      </c>
      <c r="J12" t="s">
        <v>205</v>
      </c>
      <c r="K12" t="s">
        <v>206</v>
      </c>
      <c r="L12">
        <v>1348</v>
      </c>
      <c r="N12">
        <v>1009</v>
      </c>
      <c r="O12" t="s">
        <v>196</v>
      </c>
      <c r="P12" t="s">
        <v>196</v>
      </c>
      <c r="Q12">
        <v>1000</v>
      </c>
      <c r="X12">
        <v>2.4000000000000001E-5</v>
      </c>
      <c r="Y12">
        <v>12416.13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30</v>
      </c>
      <c r="AG12">
        <v>0</v>
      </c>
      <c r="AH12">
        <v>2</v>
      </c>
      <c r="AI12">
        <v>55985170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ROW(Source!A33)</f>
        <v>33</v>
      </c>
      <c r="B13">
        <v>55985169</v>
      </c>
      <c r="C13">
        <v>55984402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190</v>
      </c>
      <c r="J13" t="s">
        <v>3</v>
      </c>
      <c r="K13" t="s">
        <v>191</v>
      </c>
      <c r="L13">
        <v>1191</v>
      </c>
      <c r="N13">
        <v>1013</v>
      </c>
      <c r="O13" t="s">
        <v>192</v>
      </c>
      <c r="P13" t="s">
        <v>192</v>
      </c>
      <c r="Q13">
        <v>1</v>
      </c>
      <c r="X13">
        <v>0.8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31</v>
      </c>
      <c r="AG13">
        <v>0.28799999999999998</v>
      </c>
      <c r="AH13">
        <v>2</v>
      </c>
      <c r="AI13">
        <v>55985169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ROW(Source!A33)</f>
        <v>33</v>
      </c>
      <c r="B14">
        <v>55985170</v>
      </c>
      <c r="C14">
        <v>55984402</v>
      </c>
      <c r="D14">
        <v>55460239</v>
      </c>
      <c r="E14">
        <v>1</v>
      </c>
      <c r="F14">
        <v>1</v>
      </c>
      <c r="G14">
        <v>1081</v>
      </c>
      <c r="H14">
        <v>3</v>
      </c>
      <c r="I14" t="s">
        <v>204</v>
      </c>
      <c r="J14" t="s">
        <v>205</v>
      </c>
      <c r="K14" t="s">
        <v>206</v>
      </c>
      <c r="L14">
        <v>1348</v>
      </c>
      <c r="N14">
        <v>1009</v>
      </c>
      <c r="O14" t="s">
        <v>196</v>
      </c>
      <c r="P14" t="s">
        <v>196</v>
      </c>
      <c r="Q14">
        <v>1000</v>
      </c>
      <c r="X14">
        <v>2.4000000000000001E-5</v>
      </c>
      <c r="Y14">
        <v>12416.13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30</v>
      </c>
      <c r="AG14">
        <v>0</v>
      </c>
      <c r="AH14">
        <v>2</v>
      </c>
      <c r="AI14">
        <v>55985170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ROW(Source!A34)</f>
        <v>34</v>
      </c>
      <c r="B15">
        <v>55985172</v>
      </c>
      <c r="C15">
        <v>55984403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190</v>
      </c>
      <c r="J15" t="s">
        <v>3</v>
      </c>
      <c r="K15" t="s">
        <v>191</v>
      </c>
      <c r="L15">
        <v>1191</v>
      </c>
      <c r="N15">
        <v>1013</v>
      </c>
      <c r="O15" t="s">
        <v>192</v>
      </c>
      <c r="P15" t="s">
        <v>192</v>
      </c>
      <c r="Q15">
        <v>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31</v>
      </c>
      <c r="AG15">
        <v>0.72</v>
      </c>
      <c r="AH15">
        <v>2</v>
      </c>
      <c r="AI15">
        <v>55985172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ROW(Source!A34)</f>
        <v>34</v>
      </c>
      <c r="B16">
        <v>55985173</v>
      </c>
      <c r="C16">
        <v>55984403</v>
      </c>
      <c r="D16">
        <v>55459261</v>
      </c>
      <c r="E16">
        <v>1</v>
      </c>
      <c r="F16">
        <v>1</v>
      </c>
      <c r="G16">
        <v>1081</v>
      </c>
      <c r="H16">
        <v>3</v>
      </c>
      <c r="I16" t="s">
        <v>193</v>
      </c>
      <c r="J16" t="s">
        <v>194</v>
      </c>
      <c r="K16" t="s">
        <v>195</v>
      </c>
      <c r="L16">
        <v>1348</v>
      </c>
      <c r="N16">
        <v>1009</v>
      </c>
      <c r="O16" t="s">
        <v>196</v>
      </c>
      <c r="P16" t="s">
        <v>196</v>
      </c>
      <c r="Q16">
        <v>1000</v>
      </c>
      <c r="X16">
        <v>1E-4</v>
      </c>
      <c r="Y16">
        <v>1219.68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30</v>
      </c>
      <c r="AG16">
        <v>0</v>
      </c>
      <c r="AH16">
        <v>2</v>
      </c>
      <c r="AI16">
        <v>55985173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ROW(Source!A34)</f>
        <v>34</v>
      </c>
      <c r="B17">
        <v>55985174</v>
      </c>
      <c r="C17">
        <v>55984403</v>
      </c>
      <c r="D17">
        <v>55461880</v>
      </c>
      <c r="E17">
        <v>1</v>
      </c>
      <c r="F17">
        <v>1</v>
      </c>
      <c r="G17">
        <v>1081</v>
      </c>
      <c r="H17">
        <v>3</v>
      </c>
      <c r="I17" t="s">
        <v>197</v>
      </c>
      <c r="J17" t="s">
        <v>198</v>
      </c>
      <c r="K17" t="s">
        <v>199</v>
      </c>
      <c r="L17">
        <v>1355</v>
      </c>
      <c r="N17">
        <v>1010</v>
      </c>
      <c r="O17" t="s">
        <v>200</v>
      </c>
      <c r="P17" t="s">
        <v>200</v>
      </c>
      <c r="Q17">
        <v>100</v>
      </c>
      <c r="X17">
        <v>3.4500000000000003E-2</v>
      </c>
      <c r="Y17">
        <v>10.89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30</v>
      </c>
      <c r="AG17">
        <v>0</v>
      </c>
      <c r="AH17">
        <v>2</v>
      </c>
      <c r="AI17">
        <v>55985174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ROW(Source!A34)</f>
        <v>34</v>
      </c>
      <c r="B18">
        <v>55985175</v>
      </c>
      <c r="C18">
        <v>55984403</v>
      </c>
      <c r="D18">
        <v>55459811</v>
      </c>
      <c r="E18">
        <v>1</v>
      </c>
      <c r="F18">
        <v>1</v>
      </c>
      <c r="G18">
        <v>1081</v>
      </c>
      <c r="H18">
        <v>3</v>
      </c>
      <c r="I18" t="s">
        <v>207</v>
      </c>
      <c r="J18" t="s">
        <v>208</v>
      </c>
      <c r="K18" t="s">
        <v>209</v>
      </c>
      <c r="L18">
        <v>1348</v>
      </c>
      <c r="N18">
        <v>1009</v>
      </c>
      <c r="O18" t="s">
        <v>196</v>
      </c>
      <c r="P18" t="s">
        <v>196</v>
      </c>
      <c r="Q18">
        <v>1000</v>
      </c>
      <c r="X18">
        <v>1.0000000000000001E-5</v>
      </c>
      <c r="Y18">
        <v>8054.6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30</v>
      </c>
      <c r="AG18">
        <v>0</v>
      </c>
      <c r="AH18">
        <v>2</v>
      </c>
      <c r="AI18">
        <v>55985175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ROW(Source!A35)</f>
        <v>35</v>
      </c>
      <c r="B19">
        <v>55985172</v>
      </c>
      <c r="C19">
        <v>55984403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190</v>
      </c>
      <c r="J19" t="s">
        <v>3</v>
      </c>
      <c r="K19" t="s">
        <v>191</v>
      </c>
      <c r="L19">
        <v>1191</v>
      </c>
      <c r="N19">
        <v>1013</v>
      </c>
      <c r="O19" t="s">
        <v>192</v>
      </c>
      <c r="P19" t="s">
        <v>192</v>
      </c>
      <c r="Q19">
        <v>1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31</v>
      </c>
      <c r="AG19">
        <v>0.72</v>
      </c>
      <c r="AH19">
        <v>2</v>
      </c>
      <c r="AI19">
        <v>55985172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ROW(Source!A35)</f>
        <v>35</v>
      </c>
      <c r="B20">
        <v>55985173</v>
      </c>
      <c r="C20">
        <v>55984403</v>
      </c>
      <c r="D20">
        <v>55459261</v>
      </c>
      <c r="E20">
        <v>1</v>
      </c>
      <c r="F20">
        <v>1</v>
      </c>
      <c r="G20">
        <v>1081</v>
      </c>
      <c r="H20">
        <v>3</v>
      </c>
      <c r="I20" t="s">
        <v>193</v>
      </c>
      <c r="J20" t="s">
        <v>194</v>
      </c>
      <c r="K20" t="s">
        <v>195</v>
      </c>
      <c r="L20">
        <v>1348</v>
      </c>
      <c r="N20">
        <v>1009</v>
      </c>
      <c r="O20" t="s">
        <v>196</v>
      </c>
      <c r="P20" t="s">
        <v>196</v>
      </c>
      <c r="Q20">
        <v>1000</v>
      </c>
      <c r="X20">
        <v>1E-4</v>
      </c>
      <c r="Y20">
        <v>1219.68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30</v>
      </c>
      <c r="AG20">
        <v>0</v>
      </c>
      <c r="AH20">
        <v>2</v>
      </c>
      <c r="AI20">
        <v>55985173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ROW(Source!A35)</f>
        <v>35</v>
      </c>
      <c r="B21">
        <v>55985174</v>
      </c>
      <c r="C21">
        <v>55984403</v>
      </c>
      <c r="D21">
        <v>55461880</v>
      </c>
      <c r="E21">
        <v>1</v>
      </c>
      <c r="F21">
        <v>1</v>
      </c>
      <c r="G21">
        <v>1081</v>
      </c>
      <c r="H21">
        <v>3</v>
      </c>
      <c r="I21" t="s">
        <v>197</v>
      </c>
      <c r="J21" t="s">
        <v>198</v>
      </c>
      <c r="K21" t="s">
        <v>199</v>
      </c>
      <c r="L21">
        <v>1355</v>
      </c>
      <c r="N21">
        <v>1010</v>
      </c>
      <c r="O21" t="s">
        <v>200</v>
      </c>
      <c r="P21" t="s">
        <v>200</v>
      </c>
      <c r="Q21">
        <v>100</v>
      </c>
      <c r="X21">
        <v>3.4500000000000003E-2</v>
      </c>
      <c r="Y21">
        <v>10.89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30</v>
      </c>
      <c r="AG21">
        <v>0</v>
      </c>
      <c r="AH21">
        <v>2</v>
      </c>
      <c r="AI21">
        <v>55985174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ROW(Source!A35)</f>
        <v>35</v>
      </c>
      <c r="B22">
        <v>55985175</v>
      </c>
      <c r="C22">
        <v>55984403</v>
      </c>
      <c r="D22">
        <v>55459811</v>
      </c>
      <c r="E22">
        <v>1</v>
      </c>
      <c r="F22">
        <v>1</v>
      </c>
      <c r="G22">
        <v>1081</v>
      </c>
      <c r="H22">
        <v>3</v>
      </c>
      <c r="I22" t="s">
        <v>207</v>
      </c>
      <c r="J22" t="s">
        <v>208</v>
      </c>
      <c r="K22" t="s">
        <v>209</v>
      </c>
      <c r="L22">
        <v>1348</v>
      </c>
      <c r="N22">
        <v>1009</v>
      </c>
      <c r="O22" t="s">
        <v>196</v>
      </c>
      <c r="P22" t="s">
        <v>196</v>
      </c>
      <c r="Q22">
        <v>1000</v>
      </c>
      <c r="X22">
        <v>1.0000000000000001E-5</v>
      </c>
      <c r="Y22">
        <v>8054.6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30</v>
      </c>
      <c r="AG22">
        <v>0</v>
      </c>
      <c r="AH22">
        <v>2</v>
      </c>
      <c r="AI22">
        <v>55985175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ROW(Source!A71)</f>
        <v>71</v>
      </c>
      <c r="B23">
        <v>55984434</v>
      </c>
      <c r="C23">
        <v>55943207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190</v>
      </c>
      <c r="J23" t="s">
        <v>3</v>
      </c>
      <c r="K23" t="s">
        <v>191</v>
      </c>
      <c r="L23">
        <v>1191</v>
      </c>
      <c r="N23">
        <v>1013</v>
      </c>
      <c r="O23" t="s">
        <v>192</v>
      </c>
      <c r="P23" t="s">
        <v>192</v>
      </c>
      <c r="Q23">
        <v>1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109</v>
      </c>
      <c r="AG23">
        <v>3.5999999999999996</v>
      </c>
      <c r="AH23">
        <v>2</v>
      </c>
      <c r="AI23">
        <v>55984434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ROW(Source!A71)</f>
        <v>71</v>
      </c>
      <c r="B24">
        <v>55984435</v>
      </c>
      <c r="C24">
        <v>55943207</v>
      </c>
      <c r="D24">
        <v>55459261</v>
      </c>
      <c r="E24">
        <v>1</v>
      </c>
      <c r="F24">
        <v>1</v>
      </c>
      <c r="G24">
        <v>1081</v>
      </c>
      <c r="H24">
        <v>3</v>
      </c>
      <c r="I24" t="s">
        <v>193</v>
      </c>
      <c r="J24" t="s">
        <v>194</v>
      </c>
      <c r="K24" t="s">
        <v>195</v>
      </c>
      <c r="L24">
        <v>1348</v>
      </c>
      <c r="N24">
        <v>1009</v>
      </c>
      <c r="O24" t="s">
        <v>196</v>
      </c>
      <c r="P24" t="s">
        <v>196</v>
      </c>
      <c r="Q24">
        <v>1000</v>
      </c>
      <c r="X24">
        <v>1E-4</v>
      </c>
      <c r="Y24">
        <v>1219.68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108</v>
      </c>
      <c r="AG24">
        <v>1E-4</v>
      </c>
      <c r="AH24">
        <v>2</v>
      </c>
      <c r="AI24">
        <v>55984435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ROW(Source!A71)</f>
        <v>71</v>
      </c>
      <c r="B25">
        <v>55984436</v>
      </c>
      <c r="C25">
        <v>55943207</v>
      </c>
      <c r="D25">
        <v>55461880</v>
      </c>
      <c r="E25">
        <v>1</v>
      </c>
      <c r="F25">
        <v>1</v>
      </c>
      <c r="G25">
        <v>1081</v>
      </c>
      <c r="H25">
        <v>3</v>
      </c>
      <c r="I25" t="s">
        <v>197</v>
      </c>
      <c r="J25" t="s">
        <v>198</v>
      </c>
      <c r="K25" t="s">
        <v>199</v>
      </c>
      <c r="L25">
        <v>1355</v>
      </c>
      <c r="N25">
        <v>1010</v>
      </c>
      <c r="O25" t="s">
        <v>200</v>
      </c>
      <c r="P25" t="s">
        <v>200</v>
      </c>
      <c r="Q25">
        <v>100</v>
      </c>
      <c r="X25">
        <v>3.0700000000000002E-2</v>
      </c>
      <c r="Y25">
        <v>10.89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108</v>
      </c>
      <c r="AG25">
        <v>3.0700000000000002E-2</v>
      </c>
      <c r="AH25">
        <v>2</v>
      </c>
      <c r="AI25">
        <v>55984436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ROW(Source!A72)</f>
        <v>72</v>
      </c>
      <c r="B26">
        <v>55984434</v>
      </c>
      <c r="C26">
        <v>55943207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190</v>
      </c>
      <c r="J26" t="s">
        <v>3</v>
      </c>
      <c r="K26" t="s">
        <v>191</v>
      </c>
      <c r="L26">
        <v>1191</v>
      </c>
      <c r="N26">
        <v>1013</v>
      </c>
      <c r="O26" t="s">
        <v>192</v>
      </c>
      <c r="P26" t="s">
        <v>192</v>
      </c>
      <c r="Q26">
        <v>1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109</v>
      </c>
      <c r="AG26">
        <v>3.5999999999999996</v>
      </c>
      <c r="AH26">
        <v>2</v>
      </c>
      <c r="AI26">
        <v>55984434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ROW(Source!A72)</f>
        <v>72</v>
      </c>
      <c r="B27">
        <v>55984435</v>
      </c>
      <c r="C27">
        <v>55943207</v>
      </c>
      <c r="D27">
        <v>55459261</v>
      </c>
      <c r="E27">
        <v>1</v>
      </c>
      <c r="F27">
        <v>1</v>
      </c>
      <c r="G27">
        <v>1081</v>
      </c>
      <c r="H27">
        <v>3</v>
      </c>
      <c r="I27" t="s">
        <v>193</v>
      </c>
      <c r="J27" t="s">
        <v>194</v>
      </c>
      <c r="K27" t="s">
        <v>195</v>
      </c>
      <c r="L27">
        <v>1348</v>
      </c>
      <c r="N27">
        <v>1009</v>
      </c>
      <c r="O27" t="s">
        <v>196</v>
      </c>
      <c r="P27" t="s">
        <v>196</v>
      </c>
      <c r="Q27">
        <v>1000</v>
      </c>
      <c r="X27">
        <v>1E-4</v>
      </c>
      <c r="Y27">
        <v>1219.68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108</v>
      </c>
      <c r="AG27">
        <v>1E-4</v>
      </c>
      <c r="AH27">
        <v>2</v>
      </c>
      <c r="AI27">
        <v>55984435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ROW(Source!A72)</f>
        <v>72</v>
      </c>
      <c r="B28">
        <v>55984436</v>
      </c>
      <c r="C28">
        <v>55943207</v>
      </c>
      <c r="D28">
        <v>55461880</v>
      </c>
      <c r="E28">
        <v>1</v>
      </c>
      <c r="F28">
        <v>1</v>
      </c>
      <c r="G28">
        <v>1081</v>
      </c>
      <c r="H28">
        <v>3</v>
      </c>
      <c r="I28" t="s">
        <v>197</v>
      </c>
      <c r="J28" t="s">
        <v>198</v>
      </c>
      <c r="K28" t="s">
        <v>199</v>
      </c>
      <c r="L28">
        <v>1355</v>
      </c>
      <c r="N28">
        <v>1010</v>
      </c>
      <c r="O28" t="s">
        <v>200</v>
      </c>
      <c r="P28" t="s">
        <v>200</v>
      </c>
      <c r="Q28">
        <v>100</v>
      </c>
      <c r="X28">
        <v>3.0700000000000002E-2</v>
      </c>
      <c r="Y28">
        <v>10.89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108</v>
      </c>
      <c r="AG28">
        <v>3.0700000000000002E-2</v>
      </c>
      <c r="AH28">
        <v>2</v>
      </c>
      <c r="AI28">
        <v>55984436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ROW(Source!A75)</f>
        <v>75</v>
      </c>
      <c r="B29">
        <v>57036883</v>
      </c>
      <c r="C29">
        <v>57036882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190</v>
      </c>
      <c r="J29" t="s">
        <v>3</v>
      </c>
      <c r="K29" t="s">
        <v>191</v>
      </c>
      <c r="L29">
        <v>1191</v>
      </c>
      <c r="N29">
        <v>1013</v>
      </c>
      <c r="O29" t="s">
        <v>192</v>
      </c>
      <c r="P29" t="s">
        <v>192</v>
      </c>
      <c r="Q29">
        <v>1</v>
      </c>
      <c r="X29">
        <v>1.03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109</v>
      </c>
      <c r="AG29">
        <v>1.236</v>
      </c>
      <c r="AH29">
        <v>2</v>
      </c>
      <c r="AI29">
        <v>57036883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ROW(Source!A75)</f>
        <v>75</v>
      </c>
      <c r="B30">
        <v>57036884</v>
      </c>
      <c r="C30">
        <v>57036882</v>
      </c>
      <c r="D30">
        <v>55490209</v>
      </c>
      <c r="E30">
        <v>1</v>
      </c>
      <c r="F30">
        <v>1</v>
      </c>
      <c r="G30">
        <v>1081</v>
      </c>
      <c r="H30">
        <v>2</v>
      </c>
      <c r="I30" t="s">
        <v>210</v>
      </c>
      <c r="J30" t="s">
        <v>211</v>
      </c>
      <c r="K30" t="s">
        <v>212</v>
      </c>
      <c r="L30">
        <v>1368</v>
      </c>
      <c r="N30">
        <v>1011</v>
      </c>
      <c r="O30" t="s">
        <v>213</v>
      </c>
      <c r="P30" t="s">
        <v>213</v>
      </c>
      <c r="Q30">
        <v>1</v>
      </c>
      <c r="X30">
        <v>6.0000000000000001E-3</v>
      </c>
      <c r="Y30">
        <v>0</v>
      </c>
      <c r="Z30">
        <v>83.1</v>
      </c>
      <c r="AA30">
        <v>12.62</v>
      </c>
      <c r="AB30">
        <v>0</v>
      </c>
      <c r="AC30">
        <v>0</v>
      </c>
      <c r="AD30">
        <v>1</v>
      </c>
      <c r="AE30">
        <v>0</v>
      </c>
      <c r="AF30" t="s">
        <v>109</v>
      </c>
      <c r="AG30">
        <v>7.1999999999999998E-3</v>
      </c>
      <c r="AH30">
        <v>2</v>
      </c>
      <c r="AI30">
        <v>57036884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ROW(Source!A75)</f>
        <v>75</v>
      </c>
      <c r="B31">
        <v>57036885</v>
      </c>
      <c r="C31">
        <v>57036882</v>
      </c>
      <c r="D31">
        <v>55440939</v>
      </c>
      <c r="E31">
        <v>1081</v>
      </c>
      <c r="F31">
        <v>1</v>
      </c>
      <c r="G31">
        <v>1081</v>
      </c>
      <c r="H31">
        <v>3</v>
      </c>
      <c r="I31" t="s">
        <v>267</v>
      </c>
      <c r="J31" t="s">
        <v>3</v>
      </c>
      <c r="K31" t="s">
        <v>268</v>
      </c>
      <c r="L31">
        <v>1354</v>
      </c>
      <c r="N31">
        <v>1010</v>
      </c>
      <c r="O31" t="s">
        <v>114</v>
      </c>
      <c r="P31" t="s">
        <v>114</v>
      </c>
      <c r="Q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108</v>
      </c>
      <c r="AG31">
        <v>1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ROW(Source!A76)</f>
        <v>76</v>
      </c>
      <c r="B32">
        <v>57036883</v>
      </c>
      <c r="C32">
        <v>57036882</v>
      </c>
      <c r="D32">
        <v>55424304</v>
      </c>
      <c r="E32">
        <v>1081</v>
      </c>
      <c r="F32">
        <v>1</v>
      </c>
      <c r="G32">
        <v>1081</v>
      </c>
      <c r="H32">
        <v>1</v>
      </c>
      <c r="I32" t="s">
        <v>190</v>
      </c>
      <c r="J32" t="s">
        <v>3</v>
      </c>
      <c r="K32" t="s">
        <v>191</v>
      </c>
      <c r="L32">
        <v>1191</v>
      </c>
      <c r="N32">
        <v>1013</v>
      </c>
      <c r="O32" t="s">
        <v>192</v>
      </c>
      <c r="P32" t="s">
        <v>192</v>
      </c>
      <c r="Q32">
        <v>1</v>
      </c>
      <c r="X32">
        <v>1.03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109</v>
      </c>
      <c r="AG32">
        <v>1.236</v>
      </c>
      <c r="AH32">
        <v>2</v>
      </c>
      <c r="AI32">
        <v>57036883</v>
      </c>
      <c r="AJ32">
        <v>31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ROW(Source!A76)</f>
        <v>76</v>
      </c>
      <c r="B33">
        <v>57036884</v>
      </c>
      <c r="C33">
        <v>57036882</v>
      </c>
      <c r="D33">
        <v>55490209</v>
      </c>
      <c r="E33">
        <v>1</v>
      </c>
      <c r="F33">
        <v>1</v>
      </c>
      <c r="G33">
        <v>1081</v>
      </c>
      <c r="H33">
        <v>2</v>
      </c>
      <c r="I33" t="s">
        <v>210</v>
      </c>
      <c r="J33" t="s">
        <v>211</v>
      </c>
      <c r="K33" t="s">
        <v>212</v>
      </c>
      <c r="L33">
        <v>1368</v>
      </c>
      <c r="N33">
        <v>1011</v>
      </c>
      <c r="O33" t="s">
        <v>213</v>
      </c>
      <c r="P33" t="s">
        <v>213</v>
      </c>
      <c r="Q33">
        <v>1</v>
      </c>
      <c r="X33">
        <v>6.0000000000000001E-3</v>
      </c>
      <c r="Y33">
        <v>0</v>
      </c>
      <c r="Z33">
        <v>83.1</v>
      </c>
      <c r="AA33">
        <v>12.62</v>
      </c>
      <c r="AB33">
        <v>0</v>
      </c>
      <c r="AC33">
        <v>0</v>
      </c>
      <c r="AD33">
        <v>1</v>
      </c>
      <c r="AE33">
        <v>0</v>
      </c>
      <c r="AF33" t="s">
        <v>109</v>
      </c>
      <c r="AG33">
        <v>7.1999999999999998E-3</v>
      </c>
      <c r="AH33">
        <v>2</v>
      </c>
      <c r="AI33">
        <v>57036884</v>
      </c>
      <c r="AJ33">
        <v>32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ROW(Source!A76)</f>
        <v>76</v>
      </c>
      <c r="B34">
        <v>57036885</v>
      </c>
      <c r="C34">
        <v>57036882</v>
      </c>
      <c r="D34">
        <v>55440939</v>
      </c>
      <c r="E34">
        <v>1081</v>
      </c>
      <c r="F34">
        <v>1</v>
      </c>
      <c r="G34">
        <v>1081</v>
      </c>
      <c r="H34">
        <v>3</v>
      </c>
      <c r="I34" t="s">
        <v>267</v>
      </c>
      <c r="J34" t="s">
        <v>3</v>
      </c>
      <c r="K34" t="s">
        <v>268</v>
      </c>
      <c r="L34">
        <v>1354</v>
      </c>
      <c r="N34">
        <v>1010</v>
      </c>
      <c r="O34" t="s">
        <v>114</v>
      </c>
      <c r="P34" t="s">
        <v>114</v>
      </c>
      <c r="Q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108</v>
      </c>
      <c r="AG34">
        <v>1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ROW(Source!A77)</f>
        <v>77</v>
      </c>
      <c r="B35">
        <v>55984437</v>
      </c>
      <c r="C35">
        <v>55943210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190</v>
      </c>
      <c r="J35" t="s">
        <v>3</v>
      </c>
      <c r="K35" t="s">
        <v>191</v>
      </c>
      <c r="L35">
        <v>1191</v>
      </c>
      <c r="N35">
        <v>1013</v>
      </c>
      <c r="O35" t="s">
        <v>192</v>
      </c>
      <c r="P35" t="s">
        <v>192</v>
      </c>
      <c r="Q35">
        <v>1</v>
      </c>
      <c r="X35">
        <v>2.77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109</v>
      </c>
      <c r="AG35">
        <v>3.3239999999999998</v>
      </c>
      <c r="AH35">
        <v>2</v>
      </c>
      <c r="AI35">
        <v>55984437</v>
      </c>
      <c r="AJ35">
        <v>33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ROW(Source!A77)</f>
        <v>77</v>
      </c>
      <c r="B36">
        <v>55984438</v>
      </c>
      <c r="C36">
        <v>55943210</v>
      </c>
      <c r="D36">
        <v>55459873</v>
      </c>
      <c r="E36">
        <v>1</v>
      </c>
      <c r="F36">
        <v>1</v>
      </c>
      <c r="G36">
        <v>1081</v>
      </c>
      <c r="H36">
        <v>3</v>
      </c>
      <c r="I36" t="s">
        <v>201</v>
      </c>
      <c r="J36" t="s">
        <v>202</v>
      </c>
      <c r="K36" t="s">
        <v>203</v>
      </c>
      <c r="L36">
        <v>1348</v>
      </c>
      <c r="N36">
        <v>1009</v>
      </c>
      <c r="O36" t="s">
        <v>196</v>
      </c>
      <c r="P36" t="s">
        <v>196</v>
      </c>
      <c r="Q36">
        <v>1000</v>
      </c>
      <c r="X36">
        <v>1.0000000000000001E-5</v>
      </c>
      <c r="Y36">
        <v>18495.41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108</v>
      </c>
      <c r="AG36">
        <v>1.0000000000000001E-5</v>
      </c>
      <c r="AH36">
        <v>2</v>
      </c>
      <c r="AI36">
        <v>55984438</v>
      </c>
      <c r="AJ36">
        <v>34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ROW(Source!A78)</f>
        <v>78</v>
      </c>
      <c r="B37">
        <v>55984437</v>
      </c>
      <c r="C37">
        <v>55943210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190</v>
      </c>
      <c r="J37" t="s">
        <v>3</v>
      </c>
      <c r="K37" t="s">
        <v>191</v>
      </c>
      <c r="L37">
        <v>1191</v>
      </c>
      <c r="N37">
        <v>1013</v>
      </c>
      <c r="O37" t="s">
        <v>192</v>
      </c>
      <c r="P37" t="s">
        <v>192</v>
      </c>
      <c r="Q37">
        <v>1</v>
      </c>
      <c r="X37">
        <v>2.77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109</v>
      </c>
      <c r="AG37">
        <v>3.3239999999999998</v>
      </c>
      <c r="AH37">
        <v>2</v>
      </c>
      <c r="AI37">
        <v>55984437</v>
      </c>
      <c r="AJ37">
        <v>35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ROW(Source!A78)</f>
        <v>78</v>
      </c>
      <c r="B38">
        <v>55984438</v>
      </c>
      <c r="C38">
        <v>55943210</v>
      </c>
      <c r="D38">
        <v>55459873</v>
      </c>
      <c r="E38">
        <v>1</v>
      </c>
      <c r="F38">
        <v>1</v>
      </c>
      <c r="G38">
        <v>1081</v>
      </c>
      <c r="H38">
        <v>3</v>
      </c>
      <c r="I38" t="s">
        <v>201</v>
      </c>
      <c r="J38" t="s">
        <v>202</v>
      </c>
      <c r="K38" t="s">
        <v>203</v>
      </c>
      <c r="L38">
        <v>1348</v>
      </c>
      <c r="N38">
        <v>1009</v>
      </c>
      <c r="O38" t="s">
        <v>196</v>
      </c>
      <c r="P38" t="s">
        <v>196</v>
      </c>
      <c r="Q38">
        <v>1000</v>
      </c>
      <c r="X38">
        <v>1.0000000000000001E-5</v>
      </c>
      <c r="Y38">
        <v>18495.41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108</v>
      </c>
      <c r="AG38">
        <v>1.0000000000000001E-5</v>
      </c>
      <c r="AH38">
        <v>2</v>
      </c>
      <c r="AI38">
        <v>55984438</v>
      </c>
      <c r="AJ38">
        <v>36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ROW(Source!A81)</f>
        <v>81</v>
      </c>
      <c r="B39">
        <v>57036888</v>
      </c>
      <c r="C39">
        <v>57036887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190</v>
      </c>
      <c r="J39" t="s">
        <v>3</v>
      </c>
      <c r="K39" t="s">
        <v>191</v>
      </c>
      <c r="L39">
        <v>1191</v>
      </c>
      <c r="N39">
        <v>1013</v>
      </c>
      <c r="O39" t="s">
        <v>192</v>
      </c>
      <c r="P39" t="s">
        <v>192</v>
      </c>
      <c r="Q39">
        <v>1</v>
      </c>
      <c r="X39">
        <v>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109</v>
      </c>
      <c r="AG39">
        <v>3.5999999999999996</v>
      </c>
      <c r="AH39">
        <v>2</v>
      </c>
      <c r="AI39">
        <v>57036888</v>
      </c>
      <c r="AJ39">
        <v>37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ROW(Source!A81)</f>
        <v>81</v>
      </c>
      <c r="B40">
        <v>57036889</v>
      </c>
      <c r="C40">
        <v>57036887</v>
      </c>
      <c r="D40">
        <v>55459894</v>
      </c>
      <c r="E40">
        <v>1</v>
      </c>
      <c r="F40">
        <v>1</v>
      </c>
      <c r="G40">
        <v>1081</v>
      </c>
      <c r="H40">
        <v>3</v>
      </c>
      <c r="I40" t="s">
        <v>215</v>
      </c>
      <c r="J40" t="s">
        <v>216</v>
      </c>
      <c r="K40" t="s">
        <v>217</v>
      </c>
      <c r="L40">
        <v>1348</v>
      </c>
      <c r="N40">
        <v>1009</v>
      </c>
      <c r="O40" t="s">
        <v>196</v>
      </c>
      <c r="P40" t="s">
        <v>196</v>
      </c>
      <c r="Q40">
        <v>1000</v>
      </c>
      <c r="X40">
        <v>1E-3</v>
      </c>
      <c r="Y40">
        <v>15319.65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108</v>
      </c>
      <c r="AG40">
        <v>1E-3</v>
      </c>
      <c r="AH40">
        <v>2</v>
      </c>
      <c r="AI40">
        <v>57036889</v>
      </c>
      <c r="AJ40">
        <v>38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ROW(Source!A81)</f>
        <v>81</v>
      </c>
      <c r="B41">
        <v>57036890</v>
      </c>
      <c r="C41">
        <v>57036887</v>
      </c>
      <c r="D41">
        <v>55459261</v>
      </c>
      <c r="E41">
        <v>1</v>
      </c>
      <c r="F41">
        <v>1</v>
      </c>
      <c r="G41">
        <v>1081</v>
      </c>
      <c r="H41">
        <v>3</v>
      </c>
      <c r="I41" t="s">
        <v>193</v>
      </c>
      <c r="J41" t="s">
        <v>194</v>
      </c>
      <c r="K41" t="s">
        <v>195</v>
      </c>
      <c r="L41">
        <v>1348</v>
      </c>
      <c r="N41">
        <v>1009</v>
      </c>
      <c r="O41" t="s">
        <v>196</v>
      </c>
      <c r="P41" t="s">
        <v>196</v>
      </c>
      <c r="Q41">
        <v>1000</v>
      </c>
      <c r="X41">
        <v>5.0000000000000002E-5</v>
      </c>
      <c r="Y41">
        <v>1219.68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108</v>
      </c>
      <c r="AG41">
        <v>5.0000000000000002E-5</v>
      </c>
      <c r="AH41">
        <v>2</v>
      </c>
      <c r="AI41">
        <v>57036890</v>
      </c>
      <c r="AJ41">
        <v>39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ROW(Source!A81)</f>
        <v>81</v>
      </c>
      <c r="B42">
        <v>57036891</v>
      </c>
      <c r="C42">
        <v>57036887</v>
      </c>
      <c r="D42">
        <v>55460328</v>
      </c>
      <c r="E42">
        <v>1</v>
      </c>
      <c r="F42">
        <v>1</v>
      </c>
      <c r="G42">
        <v>1081</v>
      </c>
      <c r="H42">
        <v>3</v>
      </c>
      <c r="I42" t="s">
        <v>218</v>
      </c>
      <c r="J42" t="s">
        <v>219</v>
      </c>
      <c r="K42" t="s">
        <v>220</v>
      </c>
      <c r="L42">
        <v>1301</v>
      </c>
      <c r="N42">
        <v>1003</v>
      </c>
      <c r="O42" t="s">
        <v>221</v>
      </c>
      <c r="P42" t="s">
        <v>221</v>
      </c>
      <c r="Q42">
        <v>1</v>
      </c>
      <c r="X42">
        <v>5</v>
      </c>
      <c r="Y42">
        <v>0.39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108</v>
      </c>
      <c r="AG42">
        <v>5</v>
      </c>
      <c r="AH42">
        <v>2</v>
      </c>
      <c r="AI42">
        <v>57036891</v>
      </c>
      <c r="AJ42">
        <v>40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ROW(Source!A81)</f>
        <v>81</v>
      </c>
      <c r="B43">
        <v>57036892</v>
      </c>
      <c r="C43">
        <v>57036887</v>
      </c>
      <c r="D43">
        <v>55459312</v>
      </c>
      <c r="E43">
        <v>1</v>
      </c>
      <c r="F43">
        <v>1</v>
      </c>
      <c r="G43">
        <v>1081</v>
      </c>
      <c r="H43">
        <v>3</v>
      </c>
      <c r="I43" t="s">
        <v>222</v>
      </c>
      <c r="J43" t="s">
        <v>223</v>
      </c>
      <c r="K43" t="s">
        <v>224</v>
      </c>
      <c r="L43">
        <v>1339</v>
      </c>
      <c r="N43">
        <v>1007</v>
      </c>
      <c r="O43" t="s">
        <v>225</v>
      </c>
      <c r="P43" t="s">
        <v>225</v>
      </c>
      <c r="Q43">
        <v>1</v>
      </c>
      <c r="X43">
        <v>1E-3</v>
      </c>
      <c r="Y43">
        <v>1176.3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108</v>
      </c>
      <c r="AG43">
        <v>1E-3</v>
      </c>
      <c r="AH43">
        <v>2</v>
      </c>
      <c r="AI43">
        <v>57036892</v>
      </c>
      <c r="AJ43">
        <v>41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ROW(Source!A81)</f>
        <v>81</v>
      </c>
      <c r="B44">
        <v>57036893</v>
      </c>
      <c r="C44">
        <v>57036887</v>
      </c>
      <c r="D44">
        <v>55461230</v>
      </c>
      <c r="E44">
        <v>1</v>
      </c>
      <c r="F44">
        <v>1</v>
      </c>
      <c r="G44">
        <v>1081</v>
      </c>
      <c r="H44">
        <v>3</v>
      </c>
      <c r="I44" t="s">
        <v>226</v>
      </c>
      <c r="J44" t="s">
        <v>227</v>
      </c>
      <c r="K44" t="s">
        <v>228</v>
      </c>
      <c r="L44">
        <v>1346</v>
      </c>
      <c r="N44">
        <v>1009</v>
      </c>
      <c r="O44" t="s">
        <v>229</v>
      </c>
      <c r="P44" t="s">
        <v>229</v>
      </c>
      <c r="Q44">
        <v>1</v>
      </c>
      <c r="X44">
        <v>0.01</v>
      </c>
      <c r="Y44">
        <v>15.11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108</v>
      </c>
      <c r="AG44">
        <v>0.01</v>
      </c>
      <c r="AH44">
        <v>2</v>
      </c>
      <c r="AI44">
        <v>57036893</v>
      </c>
      <c r="AJ44">
        <v>42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ROW(Source!A81)</f>
        <v>81</v>
      </c>
      <c r="B45">
        <v>57036894</v>
      </c>
      <c r="C45">
        <v>57036887</v>
      </c>
      <c r="D45">
        <v>55459400</v>
      </c>
      <c r="E45">
        <v>1</v>
      </c>
      <c r="F45">
        <v>1</v>
      </c>
      <c r="G45">
        <v>1081</v>
      </c>
      <c r="H45">
        <v>3</v>
      </c>
      <c r="I45" t="s">
        <v>230</v>
      </c>
      <c r="J45" t="s">
        <v>231</v>
      </c>
      <c r="K45" t="s">
        <v>232</v>
      </c>
      <c r="L45">
        <v>1346</v>
      </c>
      <c r="N45">
        <v>1009</v>
      </c>
      <c r="O45" t="s">
        <v>229</v>
      </c>
      <c r="P45" t="s">
        <v>229</v>
      </c>
      <c r="Q45">
        <v>1</v>
      </c>
      <c r="X45">
        <v>0.01</v>
      </c>
      <c r="Y45">
        <v>16.690000000000001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108</v>
      </c>
      <c r="AG45">
        <v>0.01</v>
      </c>
      <c r="AH45">
        <v>2</v>
      </c>
      <c r="AI45">
        <v>57036894</v>
      </c>
      <c r="AJ45">
        <v>43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ROW(Source!A81)</f>
        <v>81</v>
      </c>
      <c r="B46">
        <v>57036895</v>
      </c>
      <c r="C46">
        <v>57036887</v>
      </c>
      <c r="D46">
        <v>55461719</v>
      </c>
      <c r="E46">
        <v>1</v>
      </c>
      <c r="F46">
        <v>1</v>
      </c>
      <c r="G46">
        <v>1081</v>
      </c>
      <c r="H46">
        <v>3</v>
      </c>
      <c r="I46" t="s">
        <v>233</v>
      </c>
      <c r="J46" t="s">
        <v>234</v>
      </c>
      <c r="K46" t="s">
        <v>235</v>
      </c>
      <c r="L46">
        <v>1348</v>
      </c>
      <c r="N46">
        <v>1009</v>
      </c>
      <c r="O46" t="s">
        <v>196</v>
      </c>
      <c r="P46" t="s">
        <v>196</v>
      </c>
      <c r="Q46">
        <v>1000</v>
      </c>
      <c r="X46">
        <v>1E-4</v>
      </c>
      <c r="Y46">
        <v>10643.18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108</v>
      </c>
      <c r="AG46">
        <v>1E-4</v>
      </c>
      <c r="AH46">
        <v>2</v>
      </c>
      <c r="AI46">
        <v>57036895</v>
      </c>
      <c r="AJ46">
        <v>44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ROW(Source!A81)</f>
        <v>81</v>
      </c>
      <c r="B47">
        <v>57036896</v>
      </c>
      <c r="C47">
        <v>57036887</v>
      </c>
      <c r="D47">
        <v>55466000</v>
      </c>
      <c r="E47">
        <v>1</v>
      </c>
      <c r="F47">
        <v>1</v>
      </c>
      <c r="G47">
        <v>1081</v>
      </c>
      <c r="H47">
        <v>3</v>
      </c>
      <c r="I47" t="s">
        <v>236</v>
      </c>
      <c r="J47" t="s">
        <v>237</v>
      </c>
      <c r="K47" t="s">
        <v>238</v>
      </c>
      <c r="L47">
        <v>1355</v>
      </c>
      <c r="N47">
        <v>1010</v>
      </c>
      <c r="O47" t="s">
        <v>200</v>
      </c>
      <c r="P47" t="s">
        <v>200</v>
      </c>
      <c r="Q47">
        <v>100</v>
      </c>
      <c r="X47">
        <v>0.01</v>
      </c>
      <c r="Y47">
        <v>120.19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108</v>
      </c>
      <c r="AG47">
        <v>0.01</v>
      </c>
      <c r="AH47">
        <v>2</v>
      </c>
      <c r="AI47">
        <v>57036896</v>
      </c>
      <c r="AJ47">
        <v>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ROW(Source!A81)</f>
        <v>81</v>
      </c>
      <c r="B48">
        <v>57036897</v>
      </c>
      <c r="C48">
        <v>57036887</v>
      </c>
      <c r="D48">
        <v>55459793</v>
      </c>
      <c r="E48">
        <v>1</v>
      </c>
      <c r="F48">
        <v>1</v>
      </c>
      <c r="G48">
        <v>1081</v>
      </c>
      <c r="H48">
        <v>3</v>
      </c>
      <c r="I48" t="s">
        <v>239</v>
      </c>
      <c r="J48" t="s">
        <v>240</v>
      </c>
      <c r="K48" t="s">
        <v>241</v>
      </c>
      <c r="L48">
        <v>1348</v>
      </c>
      <c r="N48">
        <v>1009</v>
      </c>
      <c r="O48" t="s">
        <v>196</v>
      </c>
      <c r="P48" t="s">
        <v>196</v>
      </c>
      <c r="Q48">
        <v>1000</v>
      </c>
      <c r="X48">
        <v>2.0000000000000002E-5</v>
      </c>
      <c r="Y48">
        <v>64123.05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108</v>
      </c>
      <c r="AG48">
        <v>2.0000000000000002E-5</v>
      </c>
      <c r="AH48">
        <v>2</v>
      </c>
      <c r="AI48">
        <v>57036897</v>
      </c>
      <c r="AJ48">
        <v>46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ROW(Source!A81)</f>
        <v>81</v>
      </c>
      <c r="B49">
        <v>57036898</v>
      </c>
      <c r="C49">
        <v>57036887</v>
      </c>
      <c r="D49">
        <v>55459810</v>
      </c>
      <c r="E49">
        <v>1</v>
      </c>
      <c r="F49">
        <v>1</v>
      </c>
      <c r="G49">
        <v>1081</v>
      </c>
      <c r="H49">
        <v>3</v>
      </c>
      <c r="I49" t="s">
        <v>242</v>
      </c>
      <c r="J49" t="s">
        <v>243</v>
      </c>
      <c r="K49" t="s">
        <v>244</v>
      </c>
      <c r="L49">
        <v>1348</v>
      </c>
      <c r="N49">
        <v>1009</v>
      </c>
      <c r="O49" t="s">
        <v>196</v>
      </c>
      <c r="P49" t="s">
        <v>196</v>
      </c>
      <c r="Q49">
        <v>1000</v>
      </c>
      <c r="X49">
        <v>1E-4</v>
      </c>
      <c r="Y49">
        <v>9238.1299999999992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108</v>
      </c>
      <c r="AG49">
        <v>1E-4</v>
      </c>
      <c r="AH49">
        <v>2</v>
      </c>
      <c r="AI49">
        <v>57036898</v>
      </c>
      <c r="AJ49">
        <v>47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ROW(Source!A81)</f>
        <v>81</v>
      </c>
      <c r="B50">
        <v>57036899</v>
      </c>
      <c r="C50">
        <v>57036887</v>
      </c>
      <c r="D50">
        <v>55482166</v>
      </c>
      <c r="E50">
        <v>1</v>
      </c>
      <c r="F50">
        <v>1</v>
      </c>
      <c r="G50">
        <v>1081</v>
      </c>
      <c r="H50">
        <v>3</v>
      </c>
      <c r="I50" t="s">
        <v>245</v>
      </c>
      <c r="J50" t="s">
        <v>246</v>
      </c>
      <c r="K50" t="s">
        <v>247</v>
      </c>
      <c r="L50">
        <v>1301</v>
      </c>
      <c r="N50">
        <v>1003</v>
      </c>
      <c r="O50" t="s">
        <v>221</v>
      </c>
      <c r="P50" t="s">
        <v>221</v>
      </c>
      <c r="Q50">
        <v>1</v>
      </c>
      <c r="X50">
        <v>1</v>
      </c>
      <c r="Y50">
        <v>0.69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108</v>
      </c>
      <c r="AG50">
        <v>1</v>
      </c>
      <c r="AH50">
        <v>2</v>
      </c>
      <c r="AI50">
        <v>57036899</v>
      </c>
      <c r="AJ50">
        <v>48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ROW(Source!A81)</f>
        <v>81</v>
      </c>
      <c r="B51">
        <v>57036900</v>
      </c>
      <c r="C51">
        <v>57036887</v>
      </c>
      <c r="D51">
        <v>55482445</v>
      </c>
      <c r="E51">
        <v>1</v>
      </c>
      <c r="F51">
        <v>1</v>
      </c>
      <c r="G51">
        <v>1081</v>
      </c>
      <c r="H51">
        <v>3</v>
      </c>
      <c r="I51" t="s">
        <v>248</v>
      </c>
      <c r="J51" t="s">
        <v>249</v>
      </c>
      <c r="K51" t="s">
        <v>250</v>
      </c>
      <c r="L51">
        <v>1356</v>
      </c>
      <c r="N51">
        <v>1010</v>
      </c>
      <c r="O51" t="s">
        <v>251</v>
      </c>
      <c r="P51" t="s">
        <v>251</v>
      </c>
      <c r="Q51">
        <v>1000</v>
      </c>
      <c r="X51">
        <v>0.01</v>
      </c>
      <c r="Y51">
        <v>294.89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108</v>
      </c>
      <c r="AG51">
        <v>0.01</v>
      </c>
      <c r="AH51">
        <v>2</v>
      </c>
      <c r="AI51">
        <v>57036900</v>
      </c>
      <c r="AJ51">
        <v>49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ROW(Source!A81)</f>
        <v>81</v>
      </c>
      <c r="B52">
        <v>57036901</v>
      </c>
      <c r="C52">
        <v>57036887</v>
      </c>
      <c r="D52">
        <v>55481518</v>
      </c>
      <c r="E52">
        <v>1</v>
      </c>
      <c r="F52">
        <v>1</v>
      </c>
      <c r="G52">
        <v>1081</v>
      </c>
      <c r="H52">
        <v>3</v>
      </c>
      <c r="I52" t="s">
        <v>252</v>
      </c>
      <c r="J52" t="s">
        <v>253</v>
      </c>
      <c r="K52" t="s">
        <v>254</v>
      </c>
      <c r="L52">
        <v>1354</v>
      </c>
      <c r="N52">
        <v>1010</v>
      </c>
      <c r="O52" t="s">
        <v>114</v>
      </c>
      <c r="P52" t="s">
        <v>114</v>
      </c>
      <c r="Q52">
        <v>1</v>
      </c>
      <c r="X52">
        <v>1</v>
      </c>
      <c r="Y52">
        <v>15.67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108</v>
      </c>
      <c r="AG52">
        <v>1</v>
      </c>
      <c r="AH52">
        <v>2</v>
      </c>
      <c r="AI52">
        <v>57036901</v>
      </c>
      <c r="AJ52">
        <v>50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ROW(Source!A81)</f>
        <v>81</v>
      </c>
      <c r="B53">
        <v>57036902</v>
      </c>
      <c r="C53">
        <v>57036887</v>
      </c>
      <c r="D53">
        <v>55417010</v>
      </c>
      <c r="E53">
        <v>1081</v>
      </c>
      <c r="F53">
        <v>1</v>
      </c>
      <c r="G53">
        <v>1081</v>
      </c>
      <c r="H53">
        <v>3</v>
      </c>
      <c r="I53" t="s">
        <v>269</v>
      </c>
      <c r="J53" t="s">
        <v>3</v>
      </c>
      <c r="K53" t="s">
        <v>270</v>
      </c>
      <c r="L53">
        <v>1346</v>
      </c>
      <c r="N53">
        <v>1009</v>
      </c>
      <c r="O53" t="s">
        <v>229</v>
      </c>
      <c r="P53" t="s">
        <v>229</v>
      </c>
      <c r="Q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108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ROW(Source!A81)</f>
        <v>81</v>
      </c>
      <c r="B54">
        <v>57036903</v>
      </c>
      <c r="C54">
        <v>57036887</v>
      </c>
      <c r="D54">
        <v>55455661</v>
      </c>
      <c r="E54">
        <v>1081</v>
      </c>
      <c r="F54">
        <v>1</v>
      </c>
      <c r="G54">
        <v>1081</v>
      </c>
      <c r="H54">
        <v>3</v>
      </c>
      <c r="I54" t="s">
        <v>271</v>
      </c>
      <c r="J54" t="s">
        <v>3</v>
      </c>
      <c r="K54" t="s">
        <v>272</v>
      </c>
      <c r="L54">
        <v>1391</v>
      </c>
      <c r="N54">
        <v>1013</v>
      </c>
      <c r="O54" t="s">
        <v>273</v>
      </c>
      <c r="P54" t="s">
        <v>273</v>
      </c>
      <c r="Q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108</v>
      </c>
      <c r="AG54">
        <v>1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ROW(Source!A81)</f>
        <v>81</v>
      </c>
      <c r="B55">
        <v>57036904</v>
      </c>
      <c r="C55">
        <v>57036887</v>
      </c>
      <c r="D55">
        <v>55424290</v>
      </c>
      <c r="E55">
        <v>1081</v>
      </c>
      <c r="F55">
        <v>1</v>
      </c>
      <c r="G55">
        <v>1081</v>
      </c>
      <c r="H55">
        <v>3</v>
      </c>
      <c r="I55" t="s">
        <v>255</v>
      </c>
      <c r="J55" t="s">
        <v>3</v>
      </c>
      <c r="K55" t="s">
        <v>256</v>
      </c>
      <c r="L55">
        <v>1348</v>
      </c>
      <c r="N55">
        <v>1009</v>
      </c>
      <c r="O55" t="s">
        <v>196</v>
      </c>
      <c r="P55" t="s">
        <v>196</v>
      </c>
      <c r="Q55">
        <v>1000</v>
      </c>
      <c r="X55">
        <v>1E-3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108</v>
      </c>
      <c r="AG55">
        <v>1E-3</v>
      </c>
      <c r="AH55">
        <v>2</v>
      </c>
      <c r="AI55">
        <v>57036904</v>
      </c>
      <c r="AJ55">
        <v>51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ROW(Source!A82)</f>
        <v>82</v>
      </c>
      <c r="B56">
        <v>57036888</v>
      </c>
      <c r="C56">
        <v>57036887</v>
      </c>
      <c r="D56">
        <v>55424304</v>
      </c>
      <c r="E56">
        <v>1081</v>
      </c>
      <c r="F56">
        <v>1</v>
      </c>
      <c r="G56">
        <v>1081</v>
      </c>
      <c r="H56">
        <v>1</v>
      </c>
      <c r="I56" t="s">
        <v>190</v>
      </c>
      <c r="J56" t="s">
        <v>3</v>
      </c>
      <c r="K56" t="s">
        <v>191</v>
      </c>
      <c r="L56">
        <v>1191</v>
      </c>
      <c r="N56">
        <v>1013</v>
      </c>
      <c r="O56" t="s">
        <v>192</v>
      </c>
      <c r="P56" t="s">
        <v>192</v>
      </c>
      <c r="Q56">
        <v>1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 t="s">
        <v>109</v>
      </c>
      <c r="AG56">
        <v>3.5999999999999996</v>
      </c>
      <c r="AH56">
        <v>2</v>
      </c>
      <c r="AI56">
        <v>57036888</v>
      </c>
      <c r="AJ56">
        <v>52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ROW(Source!A82)</f>
        <v>82</v>
      </c>
      <c r="B57">
        <v>57036889</v>
      </c>
      <c r="C57">
        <v>57036887</v>
      </c>
      <c r="D57">
        <v>55459894</v>
      </c>
      <c r="E57">
        <v>1</v>
      </c>
      <c r="F57">
        <v>1</v>
      </c>
      <c r="G57">
        <v>1081</v>
      </c>
      <c r="H57">
        <v>3</v>
      </c>
      <c r="I57" t="s">
        <v>215</v>
      </c>
      <c r="J57" t="s">
        <v>216</v>
      </c>
      <c r="K57" t="s">
        <v>217</v>
      </c>
      <c r="L57">
        <v>1348</v>
      </c>
      <c r="N57">
        <v>1009</v>
      </c>
      <c r="O57" t="s">
        <v>196</v>
      </c>
      <c r="P57" t="s">
        <v>196</v>
      </c>
      <c r="Q57">
        <v>1000</v>
      </c>
      <c r="X57">
        <v>1E-3</v>
      </c>
      <c r="Y57">
        <v>15319.65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108</v>
      </c>
      <c r="AG57">
        <v>1E-3</v>
      </c>
      <c r="AH57">
        <v>2</v>
      </c>
      <c r="AI57">
        <v>57036889</v>
      </c>
      <c r="AJ57">
        <v>53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ROW(Source!A82)</f>
        <v>82</v>
      </c>
      <c r="B58">
        <v>57036890</v>
      </c>
      <c r="C58">
        <v>57036887</v>
      </c>
      <c r="D58">
        <v>55459261</v>
      </c>
      <c r="E58">
        <v>1</v>
      </c>
      <c r="F58">
        <v>1</v>
      </c>
      <c r="G58">
        <v>1081</v>
      </c>
      <c r="H58">
        <v>3</v>
      </c>
      <c r="I58" t="s">
        <v>193</v>
      </c>
      <c r="J58" t="s">
        <v>194</v>
      </c>
      <c r="K58" t="s">
        <v>195</v>
      </c>
      <c r="L58">
        <v>1348</v>
      </c>
      <c r="N58">
        <v>1009</v>
      </c>
      <c r="O58" t="s">
        <v>196</v>
      </c>
      <c r="P58" t="s">
        <v>196</v>
      </c>
      <c r="Q58">
        <v>1000</v>
      </c>
      <c r="X58">
        <v>5.0000000000000002E-5</v>
      </c>
      <c r="Y58">
        <v>1219.68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108</v>
      </c>
      <c r="AG58">
        <v>5.0000000000000002E-5</v>
      </c>
      <c r="AH58">
        <v>2</v>
      </c>
      <c r="AI58">
        <v>57036890</v>
      </c>
      <c r="AJ58">
        <v>54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ROW(Source!A82)</f>
        <v>82</v>
      </c>
      <c r="B59">
        <v>57036891</v>
      </c>
      <c r="C59">
        <v>57036887</v>
      </c>
      <c r="D59">
        <v>55460328</v>
      </c>
      <c r="E59">
        <v>1</v>
      </c>
      <c r="F59">
        <v>1</v>
      </c>
      <c r="G59">
        <v>1081</v>
      </c>
      <c r="H59">
        <v>3</v>
      </c>
      <c r="I59" t="s">
        <v>218</v>
      </c>
      <c r="J59" t="s">
        <v>219</v>
      </c>
      <c r="K59" t="s">
        <v>220</v>
      </c>
      <c r="L59">
        <v>1301</v>
      </c>
      <c r="N59">
        <v>1003</v>
      </c>
      <c r="O59" t="s">
        <v>221</v>
      </c>
      <c r="P59" t="s">
        <v>221</v>
      </c>
      <c r="Q59">
        <v>1</v>
      </c>
      <c r="X59">
        <v>5</v>
      </c>
      <c r="Y59">
        <v>0.39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108</v>
      </c>
      <c r="AG59">
        <v>5</v>
      </c>
      <c r="AH59">
        <v>2</v>
      </c>
      <c r="AI59">
        <v>57036891</v>
      </c>
      <c r="AJ59">
        <v>55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ROW(Source!A82)</f>
        <v>82</v>
      </c>
      <c r="B60">
        <v>57036892</v>
      </c>
      <c r="C60">
        <v>57036887</v>
      </c>
      <c r="D60">
        <v>55459312</v>
      </c>
      <c r="E60">
        <v>1</v>
      </c>
      <c r="F60">
        <v>1</v>
      </c>
      <c r="G60">
        <v>1081</v>
      </c>
      <c r="H60">
        <v>3</v>
      </c>
      <c r="I60" t="s">
        <v>222</v>
      </c>
      <c r="J60" t="s">
        <v>223</v>
      </c>
      <c r="K60" t="s">
        <v>224</v>
      </c>
      <c r="L60">
        <v>1339</v>
      </c>
      <c r="N60">
        <v>1007</v>
      </c>
      <c r="O60" t="s">
        <v>225</v>
      </c>
      <c r="P60" t="s">
        <v>225</v>
      </c>
      <c r="Q60">
        <v>1</v>
      </c>
      <c r="X60">
        <v>1E-3</v>
      </c>
      <c r="Y60">
        <v>1176.3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108</v>
      </c>
      <c r="AG60">
        <v>1E-3</v>
      </c>
      <c r="AH60">
        <v>2</v>
      </c>
      <c r="AI60">
        <v>57036892</v>
      </c>
      <c r="AJ60">
        <v>56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ROW(Source!A82)</f>
        <v>82</v>
      </c>
      <c r="B61">
        <v>57036893</v>
      </c>
      <c r="C61">
        <v>57036887</v>
      </c>
      <c r="D61">
        <v>55461230</v>
      </c>
      <c r="E61">
        <v>1</v>
      </c>
      <c r="F61">
        <v>1</v>
      </c>
      <c r="G61">
        <v>1081</v>
      </c>
      <c r="H61">
        <v>3</v>
      </c>
      <c r="I61" t="s">
        <v>226</v>
      </c>
      <c r="J61" t="s">
        <v>227</v>
      </c>
      <c r="K61" t="s">
        <v>228</v>
      </c>
      <c r="L61">
        <v>1346</v>
      </c>
      <c r="N61">
        <v>1009</v>
      </c>
      <c r="O61" t="s">
        <v>229</v>
      </c>
      <c r="P61" t="s">
        <v>229</v>
      </c>
      <c r="Q61">
        <v>1</v>
      </c>
      <c r="X61">
        <v>0.01</v>
      </c>
      <c r="Y61">
        <v>15.11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108</v>
      </c>
      <c r="AG61">
        <v>0.01</v>
      </c>
      <c r="AH61">
        <v>2</v>
      </c>
      <c r="AI61">
        <v>57036893</v>
      </c>
      <c r="AJ61">
        <v>57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ROW(Source!A82)</f>
        <v>82</v>
      </c>
      <c r="B62">
        <v>57036894</v>
      </c>
      <c r="C62">
        <v>57036887</v>
      </c>
      <c r="D62">
        <v>55459400</v>
      </c>
      <c r="E62">
        <v>1</v>
      </c>
      <c r="F62">
        <v>1</v>
      </c>
      <c r="G62">
        <v>1081</v>
      </c>
      <c r="H62">
        <v>3</v>
      </c>
      <c r="I62" t="s">
        <v>230</v>
      </c>
      <c r="J62" t="s">
        <v>231</v>
      </c>
      <c r="K62" t="s">
        <v>232</v>
      </c>
      <c r="L62">
        <v>1346</v>
      </c>
      <c r="N62">
        <v>1009</v>
      </c>
      <c r="O62" t="s">
        <v>229</v>
      </c>
      <c r="P62" t="s">
        <v>229</v>
      </c>
      <c r="Q62">
        <v>1</v>
      </c>
      <c r="X62">
        <v>0.01</v>
      </c>
      <c r="Y62">
        <v>16.690000000000001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108</v>
      </c>
      <c r="AG62">
        <v>0.01</v>
      </c>
      <c r="AH62">
        <v>2</v>
      </c>
      <c r="AI62">
        <v>57036894</v>
      </c>
      <c r="AJ62">
        <v>58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ROW(Source!A82)</f>
        <v>82</v>
      </c>
      <c r="B63">
        <v>57036895</v>
      </c>
      <c r="C63">
        <v>57036887</v>
      </c>
      <c r="D63">
        <v>55461719</v>
      </c>
      <c r="E63">
        <v>1</v>
      </c>
      <c r="F63">
        <v>1</v>
      </c>
      <c r="G63">
        <v>1081</v>
      </c>
      <c r="H63">
        <v>3</v>
      </c>
      <c r="I63" t="s">
        <v>233</v>
      </c>
      <c r="J63" t="s">
        <v>234</v>
      </c>
      <c r="K63" t="s">
        <v>235</v>
      </c>
      <c r="L63">
        <v>1348</v>
      </c>
      <c r="N63">
        <v>1009</v>
      </c>
      <c r="O63" t="s">
        <v>196</v>
      </c>
      <c r="P63" t="s">
        <v>196</v>
      </c>
      <c r="Q63">
        <v>1000</v>
      </c>
      <c r="X63">
        <v>1E-4</v>
      </c>
      <c r="Y63">
        <v>10643.18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108</v>
      </c>
      <c r="AG63">
        <v>1E-4</v>
      </c>
      <c r="AH63">
        <v>2</v>
      </c>
      <c r="AI63">
        <v>57036895</v>
      </c>
      <c r="AJ63">
        <v>59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ROW(Source!A82)</f>
        <v>82</v>
      </c>
      <c r="B64">
        <v>57036896</v>
      </c>
      <c r="C64">
        <v>57036887</v>
      </c>
      <c r="D64">
        <v>55466000</v>
      </c>
      <c r="E64">
        <v>1</v>
      </c>
      <c r="F64">
        <v>1</v>
      </c>
      <c r="G64">
        <v>1081</v>
      </c>
      <c r="H64">
        <v>3</v>
      </c>
      <c r="I64" t="s">
        <v>236</v>
      </c>
      <c r="J64" t="s">
        <v>237</v>
      </c>
      <c r="K64" t="s">
        <v>238</v>
      </c>
      <c r="L64">
        <v>1355</v>
      </c>
      <c r="N64">
        <v>1010</v>
      </c>
      <c r="O64" t="s">
        <v>200</v>
      </c>
      <c r="P64" t="s">
        <v>200</v>
      </c>
      <c r="Q64">
        <v>100</v>
      </c>
      <c r="X64">
        <v>0.01</v>
      </c>
      <c r="Y64">
        <v>120.19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108</v>
      </c>
      <c r="AG64">
        <v>0.01</v>
      </c>
      <c r="AH64">
        <v>2</v>
      </c>
      <c r="AI64">
        <v>57036896</v>
      </c>
      <c r="AJ64">
        <v>60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ROW(Source!A82)</f>
        <v>82</v>
      </c>
      <c r="B65">
        <v>57036897</v>
      </c>
      <c r="C65">
        <v>57036887</v>
      </c>
      <c r="D65">
        <v>55459793</v>
      </c>
      <c r="E65">
        <v>1</v>
      </c>
      <c r="F65">
        <v>1</v>
      </c>
      <c r="G65">
        <v>1081</v>
      </c>
      <c r="H65">
        <v>3</v>
      </c>
      <c r="I65" t="s">
        <v>239</v>
      </c>
      <c r="J65" t="s">
        <v>240</v>
      </c>
      <c r="K65" t="s">
        <v>241</v>
      </c>
      <c r="L65">
        <v>1348</v>
      </c>
      <c r="N65">
        <v>1009</v>
      </c>
      <c r="O65" t="s">
        <v>196</v>
      </c>
      <c r="P65" t="s">
        <v>196</v>
      </c>
      <c r="Q65">
        <v>1000</v>
      </c>
      <c r="X65">
        <v>2.0000000000000002E-5</v>
      </c>
      <c r="Y65">
        <v>64123.05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108</v>
      </c>
      <c r="AG65">
        <v>2.0000000000000002E-5</v>
      </c>
      <c r="AH65">
        <v>2</v>
      </c>
      <c r="AI65">
        <v>57036897</v>
      </c>
      <c r="AJ65">
        <v>61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ROW(Source!A82)</f>
        <v>82</v>
      </c>
      <c r="B66">
        <v>57036898</v>
      </c>
      <c r="C66">
        <v>57036887</v>
      </c>
      <c r="D66">
        <v>55459810</v>
      </c>
      <c r="E66">
        <v>1</v>
      </c>
      <c r="F66">
        <v>1</v>
      </c>
      <c r="G66">
        <v>1081</v>
      </c>
      <c r="H66">
        <v>3</v>
      </c>
      <c r="I66" t="s">
        <v>242</v>
      </c>
      <c r="J66" t="s">
        <v>243</v>
      </c>
      <c r="K66" t="s">
        <v>244</v>
      </c>
      <c r="L66">
        <v>1348</v>
      </c>
      <c r="N66">
        <v>1009</v>
      </c>
      <c r="O66" t="s">
        <v>196</v>
      </c>
      <c r="P66" t="s">
        <v>196</v>
      </c>
      <c r="Q66">
        <v>1000</v>
      </c>
      <c r="X66">
        <v>1E-4</v>
      </c>
      <c r="Y66">
        <v>9238.1299999999992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108</v>
      </c>
      <c r="AG66">
        <v>1E-4</v>
      </c>
      <c r="AH66">
        <v>2</v>
      </c>
      <c r="AI66">
        <v>57036898</v>
      </c>
      <c r="AJ66">
        <v>62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ROW(Source!A82)</f>
        <v>82</v>
      </c>
      <c r="B67">
        <v>57036899</v>
      </c>
      <c r="C67">
        <v>57036887</v>
      </c>
      <c r="D67">
        <v>55482166</v>
      </c>
      <c r="E67">
        <v>1</v>
      </c>
      <c r="F67">
        <v>1</v>
      </c>
      <c r="G67">
        <v>1081</v>
      </c>
      <c r="H67">
        <v>3</v>
      </c>
      <c r="I67" t="s">
        <v>245</v>
      </c>
      <c r="J67" t="s">
        <v>246</v>
      </c>
      <c r="K67" t="s">
        <v>247</v>
      </c>
      <c r="L67">
        <v>1301</v>
      </c>
      <c r="N67">
        <v>1003</v>
      </c>
      <c r="O67" t="s">
        <v>221</v>
      </c>
      <c r="P67" t="s">
        <v>221</v>
      </c>
      <c r="Q67">
        <v>1</v>
      </c>
      <c r="X67">
        <v>1</v>
      </c>
      <c r="Y67">
        <v>0.69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108</v>
      </c>
      <c r="AG67">
        <v>1</v>
      </c>
      <c r="AH67">
        <v>2</v>
      </c>
      <c r="AI67">
        <v>57036899</v>
      </c>
      <c r="AJ67">
        <v>63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ROW(Source!A82)</f>
        <v>82</v>
      </c>
      <c r="B68">
        <v>57036900</v>
      </c>
      <c r="C68">
        <v>57036887</v>
      </c>
      <c r="D68">
        <v>55482445</v>
      </c>
      <c r="E68">
        <v>1</v>
      </c>
      <c r="F68">
        <v>1</v>
      </c>
      <c r="G68">
        <v>1081</v>
      </c>
      <c r="H68">
        <v>3</v>
      </c>
      <c r="I68" t="s">
        <v>248</v>
      </c>
      <c r="J68" t="s">
        <v>249</v>
      </c>
      <c r="K68" t="s">
        <v>250</v>
      </c>
      <c r="L68">
        <v>1356</v>
      </c>
      <c r="N68">
        <v>1010</v>
      </c>
      <c r="O68" t="s">
        <v>251</v>
      </c>
      <c r="P68" t="s">
        <v>251</v>
      </c>
      <c r="Q68">
        <v>1000</v>
      </c>
      <c r="X68">
        <v>0.01</v>
      </c>
      <c r="Y68">
        <v>294.89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108</v>
      </c>
      <c r="AG68">
        <v>0.01</v>
      </c>
      <c r="AH68">
        <v>2</v>
      </c>
      <c r="AI68">
        <v>57036900</v>
      </c>
      <c r="AJ68">
        <v>64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ROW(Source!A82)</f>
        <v>82</v>
      </c>
      <c r="B69">
        <v>57036901</v>
      </c>
      <c r="C69">
        <v>57036887</v>
      </c>
      <c r="D69">
        <v>55481518</v>
      </c>
      <c r="E69">
        <v>1</v>
      </c>
      <c r="F69">
        <v>1</v>
      </c>
      <c r="G69">
        <v>1081</v>
      </c>
      <c r="H69">
        <v>3</v>
      </c>
      <c r="I69" t="s">
        <v>252</v>
      </c>
      <c r="J69" t="s">
        <v>253</v>
      </c>
      <c r="K69" t="s">
        <v>254</v>
      </c>
      <c r="L69">
        <v>1354</v>
      </c>
      <c r="N69">
        <v>1010</v>
      </c>
      <c r="O69" t="s">
        <v>114</v>
      </c>
      <c r="P69" t="s">
        <v>114</v>
      </c>
      <c r="Q69">
        <v>1</v>
      </c>
      <c r="X69">
        <v>1</v>
      </c>
      <c r="Y69">
        <v>15.67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108</v>
      </c>
      <c r="AG69">
        <v>1</v>
      </c>
      <c r="AH69">
        <v>2</v>
      </c>
      <c r="AI69">
        <v>57036901</v>
      </c>
      <c r="AJ69">
        <v>65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ROW(Source!A82)</f>
        <v>82</v>
      </c>
      <c r="B70">
        <v>57036902</v>
      </c>
      <c r="C70">
        <v>57036887</v>
      </c>
      <c r="D70">
        <v>55417010</v>
      </c>
      <c r="E70">
        <v>1081</v>
      </c>
      <c r="F70">
        <v>1</v>
      </c>
      <c r="G70">
        <v>1081</v>
      </c>
      <c r="H70">
        <v>3</v>
      </c>
      <c r="I70" t="s">
        <v>269</v>
      </c>
      <c r="J70" t="s">
        <v>3</v>
      </c>
      <c r="K70" t="s">
        <v>270</v>
      </c>
      <c r="L70">
        <v>1346</v>
      </c>
      <c r="N70">
        <v>1009</v>
      </c>
      <c r="O70" t="s">
        <v>229</v>
      </c>
      <c r="P70" t="s">
        <v>229</v>
      </c>
      <c r="Q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108</v>
      </c>
      <c r="AG70">
        <v>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ROW(Source!A82)</f>
        <v>82</v>
      </c>
      <c r="B71">
        <v>57036903</v>
      </c>
      <c r="C71">
        <v>57036887</v>
      </c>
      <c r="D71">
        <v>55455661</v>
      </c>
      <c r="E71">
        <v>1081</v>
      </c>
      <c r="F71">
        <v>1</v>
      </c>
      <c r="G71">
        <v>1081</v>
      </c>
      <c r="H71">
        <v>3</v>
      </c>
      <c r="I71" t="s">
        <v>271</v>
      </c>
      <c r="J71" t="s">
        <v>3</v>
      </c>
      <c r="K71" t="s">
        <v>272</v>
      </c>
      <c r="L71">
        <v>1391</v>
      </c>
      <c r="N71">
        <v>1013</v>
      </c>
      <c r="O71" t="s">
        <v>273</v>
      </c>
      <c r="P71" t="s">
        <v>273</v>
      </c>
      <c r="Q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108</v>
      </c>
      <c r="AG71">
        <v>1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ROW(Source!A82)</f>
        <v>82</v>
      </c>
      <c r="B72">
        <v>57036904</v>
      </c>
      <c r="C72">
        <v>57036887</v>
      </c>
      <c r="D72">
        <v>55424290</v>
      </c>
      <c r="E72">
        <v>1081</v>
      </c>
      <c r="F72">
        <v>1</v>
      </c>
      <c r="G72">
        <v>1081</v>
      </c>
      <c r="H72">
        <v>3</v>
      </c>
      <c r="I72" t="s">
        <v>255</v>
      </c>
      <c r="J72" t="s">
        <v>3</v>
      </c>
      <c r="K72" t="s">
        <v>256</v>
      </c>
      <c r="L72">
        <v>1348</v>
      </c>
      <c r="N72">
        <v>1009</v>
      </c>
      <c r="O72" t="s">
        <v>196</v>
      </c>
      <c r="P72" t="s">
        <v>196</v>
      </c>
      <c r="Q72">
        <v>1000</v>
      </c>
      <c r="X72">
        <v>1E-3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108</v>
      </c>
      <c r="AG72">
        <v>1E-3</v>
      </c>
      <c r="AH72">
        <v>2</v>
      </c>
      <c r="AI72">
        <v>57036904</v>
      </c>
      <c r="AJ72">
        <v>66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ROW(Source!A83)</f>
        <v>83</v>
      </c>
      <c r="B73">
        <v>55984439</v>
      </c>
      <c r="C73">
        <v>55943213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190</v>
      </c>
      <c r="J73" t="s">
        <v>3</v>
      </c>
      <c r="K73" t="s">
        <v>191</v>
      </c>
      <c r="L73">
        <v>1191</v>
      </c>
      <c r="N73">
        <v>1013</v>
      </c>
      <c r="O73" t="s">
        <v>192</v>
      </c>
      <c r="P73" t="s">
        <v>192</v>
      </c>
      <c r="Q73">
        <v>1</v>
      </c>
      <c r="X73">
        <v>0.8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109</v>
      </c>
      <c r="AG73">
        <v>0.96</v>
      </c>
      <c r="AH73">
        <v>2</v>
      </c>
      <c r="AI73">
        <v>55984439</v>
      </c>
      <c r="AJ73">
        <v>67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ROW(Source!A83)</f>
        <v>83</v>
      </c>
      <c r="B74">
        <v>55984440</v>
      </c>
      <c r="C74">
        <v>55943213</v>
      </c>
      <c r="D74">
        <v>55460239</v>
      </c>
      <c r="E74">
        <v>1</v>
      </c>
      <c r="F74">
        <v>1</v>
      </c>
      <c r="G74">
        <v>1081</v>
      </c>
      <c r="H74">
        <v>3</v>
      </c>
      <c r="I74" t="s">
        <v>204</v>
      </c>
      <c r="J74" t="s">
        <v>205</v>
      </c>
      <c r="K74" t="s">
        <v>206</v>
      </c>
      <c r="L74">
        <v>1348</v>
      </c>
      <c r="N74">
        <v>1009</v>
      </c>
      <c r="O74" t="s">
        <v>196</v>
      </c>
      <c r="P74" t="s">
        <v>196</v>
      </c>
      <c r="Q74">
        <v>1000</v>
      </c>
      <c r="X74">
        <v>2.4000000000000001E-5</v>
      </c>
      <c r="Y74">
        <v>12416.13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108</v>
      </c>
      <c r="AG74">
        <v>2.4000000000000001E-5</v>
      </c>
      <c r="AH74">
        <v>2</v>
      </c>
      <c r="AI74">
        <v>55984440</v>
      </c>
      <c r="AJ74">
        <v>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ROW(Source!A84)</f>
        <v>84</v>
      </c>
      <c r="B75">
        <v>55984439</v>
      </c>
      <c r="C75">
        <v>55943213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190</v>
      </c>
      <c r="J75" t="s">
        <v>3</v>
      </c>
      <c r="K75" t="s">
        <v>191</v>
      </c>
      <c r="L75">
        <v>1191</v>
      </c>
      <c r="N75">
        <v>1013</v>
      </c>
      <c r="O75" t="s">
        <v>192</v>
      </c>
      <c r="P75" t="s">
        <v>192</v>
      </c>
      <c r="Q75">
        <v>1</v>
      </c>
      <c r="X75">
        <v>0.8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109</v>
      </c>
      <c r="AG75">
        <v>0.96</v>
      </c>
      <c r="AH75">
        <v>2</v>
      </c>
      <c r="AI75">
        <v>55984439</v>
      </c>
      <c r="AJ75">
        <v>69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ROW(Source!A84)</f>
        <v>84</v>
      </c>
      <c r="B76">
        <v>55984440</v>
      </c>
      <c r="C76">
        <v>55943213</v>
      </c>
      <c r="D76">
        <v>55460239</v>
      </c>
      <c r="E76">
        <v>1</v>
      </c>
      <c r="F76">
        <v>1</v>
      </c>
      <c r="G76">
        <v>1081</v>
      </c>
      <c r="H76">
        <v>3</v>
      </c>
      <c r="I76" t="s">
        <v>204</v>
      </c>
      <c r="J76" t="s">
        <v>205</v>
      </c>
      <c r="K76" t="s">
        <v>206</v>
      </c>
      <c r="L76">
        <v>1348</v>
      </c>
      <c r="N76">
        <v>1009</v>
      </c>
      <c r="O76" t="s">
        <v>196</v>
      </c>
      <c r="P76" t="s">
        <v>196</v>
      </c>
      <c r="Q76">
        <v>1000</v>
      </c>
      <c r="X76">
        <v>2.4000000000000001E-5</v>
      </c>
      <c r="Y76">
        <v>12416.13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108</v>
      </c>
      <c r="AG76">
        <v>2.4000000000000001E-5</v>
      </c>
      <c r="AH76">
        <v>2</v>
      </c>
      <c r="AI76">
        <v>55984440</v>
      </c>
      <c r="AJ76">
        <v>70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ROW(Source!A122)</f>
        <v>122</v>
      </c>
      <c r="B77">
        <v>55984441</v>
      </c>
      <c r="C77">
        <v>55943217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190</v>
      </c>
      <c r="J77" t="s">
        <v>3</v>
      </c>
      <c r="K77" t="s">
        <v>191</v>
      </c>
      <c r="L77">
        <v>1191</v>
      </c>
      <c r="N77">
        <v>1013</v>
      </c>
      <c r="O77" t="s">
        <v>192</v>
      </c>
      <c r="P77" t="s">
        <v>192</v>
      </c>
      <c r="Q77">
        <v>1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109</v>
      </c>
      <c r="AG77">
        <v>2.4</v>
      </c>
      <c r="AH77">
        <v>2</v>
      </c>
      <c r="AI77">
        <v>55984441</v>
      </c>
      <c r="AJ77">
        <v>71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ROW(Source!A122)</f>
        <v>122</v>
      </c>
      <c r="B78">
        <v>55984442</v>
      </c>
      <c r="C78">
        <v>55943217</v>
      </c>
      <c r="D78">
        <v>55459261</v>
      </c>
      <c r="E78">
        <v>1</v>
      </c>
      <c r="F78">
        <v>1</v>
      </c>
      <c r="G78">
        <v>1081</v>
      </c>
      <c r="H78">
        <v>3</v>
      </c>
      <c r="I78" t="s">
        <v>193</v>
      </c>
      <c r="J78" t="s">
        <v>194</v>
      </c>
      <c r="K78" t="s">
        <v>195</v>
      </c>
      <c r="L78">
        <v>1348</v>
      </c>
      <c r="N78">
        <v>1009</v>
      </c>
      <c r="O78" t="s">
        <v>196</v>
      </c>
      <c r="P78" t="s">
        <v>196</v>
      </c>
      <c r="Q78">
        <v>1000</v>
      </c>
      <c r="X78">
        <v>1E-4</v>
      </c>
      <c r="Y78">
        <v>1219.68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108</v>
      </c>
      <c r="AG78">
        <v>1E-4</v>
      </c>
      <c r="AH78">
        <v>2</v>
      </c>
      <c r="AI78">
        <v>55984442</v>
      </c>
      <c r="AJ78">
        <v>72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ROW(Source!A122)</f>
        <v>122</v>
      </c>
      <c r="B79">
        <v>55984443</v>
      </c>
      <c r="C79">
        <v>55943217</v>
      </c>
      <c r="D79">
        <v>55461880</v>
      </c>
      <c r="E79">
        <v>1</v>
      </c>
      <c r="F79">
        <v>1</v>
      </c>
      <c r="G79">
        <v>1081</v>
      </c>
      <c r="H79">
        <v>3</v>
      </c>
      <c r="I79" t="s">
        <v>197</v>
      </c>
      <c r="J79" t="s">
        <v>198</v>
      </c>
      <c r="K79" t="s">
        <v>199</v>
      </c>
      <c r="L79">
        <v>1355</v>
      </c>
      <c r="N79">
        <v>1010</v>
      </c>
      <c r="O79" t="s">
        <v>200</v>
      </c>
      <c r="P79" t="s">
        <v>200</v>
      </c>
      <c r="Q79">
        <v>100</v>
      </c>
      <c r="X79">
        <v>3.4500000000000003E-2</v>
      </c>
      <c r="Y79">
        <v>10.89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108</v>
      </c>
      <c r="AG79">
        <v>3.4500000000000003E-2</v>
      </c>
      <c r="AH79">
        <v>2</v>
      </c>
      <c r="AI79">
        <v>55984443</v>
      </c>
      <c r="AJ79">
        <v>73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ROW(Source!A122)</f>
        <v>122</v>
      </c>
      <c r="B80">
        <v>55984444</v>
      </c>
      <c r="C80">
        <v>55943217</v>
      </c>
      <c r="D80">
        <v>55459811</v>
      </c>
      <c r="E80">
        <v>1</v>
      </c>
      <c r="F80">
        <v>1</v>
      </c>
      <c r="G80">
        <v>1081</v>
      </c>
      <c r="H80">
        <v>3</v>
      </c>
      <c r="I80" t="s">
        <v>207</v>
      </c>
      <c r="J80" t="s">
        <v>208</v>
      </c>
      <c r="K80" t="s">
        <v>209</v>
      </c>
      <c r="L80">
        <v>1348</v>
      </c>
      <c r="N80">
        <v>1009</v>
      </c>
      <c r="O80" t="s">
        <v>196</v>
      </c>
      <c r="P80" t="s">
        <v>196</v>
      </c>
      <c r="Q80">
        <v>1000</v>
      </c>
      <c r="X80">
        <v>1.0000000000000001E-5</v>
      </c>
      <c r="Y80">
        <v>8054.6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108</v>
      </c>
      <c r="AG80">
        <v>1.0000000000000001E-5</v>
      </c>
      <c r="AH80">
        <v>2</v>
      </c>
      <c r="AI80">
        <v>55984444</v>
      </c>
      <c r="AJ80">
        <v>74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ROW(Source!A123)</f>
        <v>123</v>
      </c>
      <c r="B81">
        <v>55984441</v>
      </c>
      <c r="C81">
        <v>55943217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190</v>
      </c>
      <c r="J81" t="s">
        <v>3</v>
      </c>
      <c r="K81" t="s">
        <v>191</v>
      </c>
      <c r="L81">
        <v>1191</v>
      </c>
      <c r="N81">
        <v>1013</v>
      </c>
      <c r="O81" t="s">
        <v>192</v>
      </c>
      <c r="P81" t="s">
        <v>192</v>
      </c>
      <c r="Q81">
        <v>1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109</v>
      </c>
      <c r="AG81">
        <v>2.4</v>
      </c>
      <c r="AH81">
        <v>2</v>
      </c>
      <c r="AI81">
        <v>55984441</v>
      </c>
      <c r="AJ81">
        <v>75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ROW(Source!A123)</f>
        <v>123</v>
      </c>
      <c r="B82">
        <v>55984442</v>
      </c>
      <c r="C82">
        <v>55943217</v>
      </c>
      <c r="D82">
        <v>55459261</v>
      </c>
      <c r="E82">
        <v>1</v>
      </c>
      <c r="F82">
        <v>1</v>
      </c>
      <c r="G82">
        <v>1081</v>
      </c>
      <c r="H82">
        <v>3</v>
      </c>
      <c r="I82" t="s">
        <v>193</v>
      </c>
      <c r="J82" t="s">
        <v>194</v>
      </c>
      <c r="K82" t="s">
        <v>195</v>
      </c>
      <c r="L82">
        <v>1348</v>
      </c>
      <c r="N82">
        <v>1009</v>
      </c>
      <c r="O82" t="s">
        <v>196</v>
      </c>
      <c r="P82" t="s">
        <v>196</v>
      </c>
      <c r="Q82">
        <v>1000</v>
      </c>
      <c r="X82">
        <v>1E-4</v>
      </c>
      <c r="Y82">
        <v>1219.68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108</v>
      </c>
      <c r="AG82">
        <v>1E-4</v>
      </c>
      <c r="AH82">
        <v>2</v>
      </c>
      <c r="AI82">
        <v>55984442</v>
      </c>
      <c r="AJ82">
        <v>76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ROW(Source!A123)</f>
        <v>123</v>
      </c>
      <c r="B83">
        <v>55984443</v>
      </c>
      <c r="C83">
        <v>55943217</v>
      </c>
      <c r="D83">
        <v>55461880</v>
      </c>
      <c r="E83">
        <v>1</v>
      </c>
      <c r="F83">
        <v>1</v>
      </c>
      <c r="G83">
        <v>1081</v>
      </c>
      <c r="H83">
        <v>3</v>
      </c>
      <c r="I83" t="s">
        <v>197</v>
      </c>
      <c r="J83" t="s">
        <v>198</v>
      </c>
      <c r="K83" t="s">
        <v>199</v>
      </c>
      <c r="L83">
        <v>1355</v>
      </c>
      <c r="N83">
        <v>1010</v>
      </c>
      <c r="O83" t="s">
        <v>200</v>
      </c>
      <c r="P83" t="s">
        <v>200</v>
      </c>
      <c r="Q83">
        <v>100</v>
      </c>
      <c r="X83">
        <v>3.4500000000000003E-2</v>
      </c>
      <c r="Y83">
        <v>10.89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108</v>
      </c>
      <c r="AG83">
        <v>3.4500000000000003E-2</v>
      </c>
      <c r="AH83">
        <v>2</v>
      </c>
      <c r="AI83">
        <v>55984443</v>
      </c>
      <c r="AJ83">
        <v>77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ROW(Source!A123)</f>
        <v>123</v>
      </c>
      <c r="B84">
        <v>55984444</v>
      </c>
      <c r="C84">
        <v>55943217</v>
      </c>
      <c r="D84">
        <v>55459811</v>
      </c>
      <c r="E84">
        <v>1</v>
      </c>
      <c r="F84">
        <v>1</v>
      </c>
      <c r="G84">
        <v>1081</v>
      </c>
      <c r="H84">
        <v>3</v>
      </c>
      <c r="I84" t="s">
        <v>207</v>
      </c>
      <c r="J84" t="s">
        <v>208</v>
      </c>
      <c r="K84" t="s">
        <v>209</v>
      </c>
      <c r="L84">
        <v>1348</v>
      </c>
      <c r="N84">
        <v>1009</v>
      </c>
      <c r="O84" t="s">
        <v>196</v>
      </c>
      <c r="P84" t="s">
        <v>196</v>
      </c>
      <c r="Q84">
        <v>1000</v>
      </c>
      <c r="X84">
        <v>1.0000000000000001E-5</v>
      </c>
      <c r="Y84">
        <v>8054.6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108</v>
      </c>
      <c r="AG84">
        <v>1.0000000000000001E-5</v>
      </c>
      <c r="AH84">
        <v>2</v>
      </c>
      <c r="AI84">
        <v>55984444</v>
      </c>
      <c r="AJ84">
        <v>78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ROW(Source!A161)</f>
        <v>161</v>
      </c>
      <c r="B85">
        <v>57036908</v>
      </c>
      <c r="C85">
        <v>57036907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190</v>
      </c>
      <c r="J85" t="s">
        <v>3</v>
      </c>
      <c r="K85" t="s">
        <v>191</v>
      </c>
      <c r="L85">
        <v>1191</v>
      </c>
      <c r="N85">
        <v>1013</v>
      </c>
      <c r="O85" t="s">
        <v>192</v>
      </c>
      <c r="P85" t="s">
        <v>192</v>
      </c>
      <c r="Q85">
        <v>1</v>
      </c>
      <c r="X85">
        <v>3.1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109</v>
      </c>
      <c r="AG85">
        <v>3.7199999999999998</v>
      </c>
      <c r="AH85">
        <v>2</v>
      </c>
      <c r="AI85">
        <v>57036908</v>
      </c>
      <c r="AJ85">
        <v>79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ROW(Source!A161)</f>
        <v>161</v>
      </c>
      <c r="B86">
        <v>57036909</v>
      </c>
      <c r="C86">
        <v>57036907</v>
      </c>
      <c r="D86">
        <v>55439337</v>
      </c>
      <c r="E86">
        <v>1081</v>
      </c>
      <c r="F86">
        <v>1</v>
      </c>
      <c r="G86">
        <v>1081</v>
      </c>
      <c r="H86">
        <v>3</v>
      </c>
      <c r="I86" t="s">
        <v>274</v>
      </c>
      <c r="J86" t="s">
        <v>3</v>
      </c>
      <c r="K86" t="s">
        <v>275</v>
      </c>
      <c r="L86">
        <v>1354</v>
      </c>
      <c r="N86">
        <v>1010</v>
      </c>
      <c r="O86" t="s">
        <v>114</v>
      </c>
      <c r="P86" t="s">
        <v>114</v>
      </c>
      <c r="Q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108</v>
      </c>
      <c r="AG86">
        <v>0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ROW(Source!A162)</f>
        <v>162</v>
      </c>
      <c r="B87">
        <v>57036908</v>
      </c>
      <c r="C87">
        <v>57036907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190</v>
      </c>
      <c r="J87" t="s">
        <v>3</v>
      </c>
      <c r="K87" t="s">
        <v>191</v>
      </c>
      <c r="L87">
        <v>1191</v>
      </c>
      <c r="N87">
        <v>1013</v>
      </c>
      <c r="O87" t="s">
        <v>192</v>
      </c>
      <c r="P87" t="s">
        <v>192</v>
      </c>
      <c r="Q87">
        <v>1</v>
      </c>
      <c r="X87">
        <v>3.1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109</v>
      </c>
      <c r="AG87">
        <v>3.7199999999999998</v>
      </c>
      <c r="AH87">
        <v>2</v>
      </c>
      <c r="AI87">
        <v>57036908</v>
      </c>
      <c r="AJ87">
        <v>80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ROW(Source!A162)</f>
        <v>162</v>
      </c>
      <c r="B88">
        <v>57036909</v>
      </c>
      <c r="C88">
        <v>57036907</v>
      </c>
      <c r="D88">
        <v>55439337</v>
      </c>
      <c r="E88">
        <v>1081</v>
      </c>
      <c r="F88">
        <v>1</v>
      </c>
      <c r="G88">
        <v>1081</v>
      </c>
      <c r="H88">
        <v>3</v>
      </c>
      <c r="I88" t="s">
        <v>274</v>
      </c>
      <c r="J88" t="s">
        <v>3</v>
      </c>
      <c r="K88" t="s">
        <v>275</v>
      </c>
      <c r="L88">
        <v>1354</v>
      </c>
      <c r="N88">
        <v>1010</v>
      </c>
      <c r="O88" t="s">
        <v>114</v>
      </c>
      <c r="P88" t="s">
        <v>114</v>
      </c>
      <c r="Q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108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ROW(Source!A163)</f>
        <v>163</v>
      </c>
      <c r="B89">
        <v>55984445</v>
      </c>
      <c r="C89">
        <v>55943220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190</v>
      </c>
      <c r="J89" t="s">
        <v>3</v>
      </c>
      <c r="K89" t="s">
        <v>191</v>
      </c>
      <c r="L89">
        <v>1191</v>
      </c>
      <c r="N89">
        <v>1013</v>
      </c>
      <c r="O89" t="s">
        <v>192</v>
      </c>
      <c r="P89" t="s">
        <v>192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109</v>
      </c>
      <c r="AG89">
        <v>1.2</v>
      </c>
      <c r="AH89">
        <v>2</v>
      </c>
      <c r="AI89">
        <v>55984445</v>
      </c>
      <c r="AJ89">
        <v>81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ROW(Source!A163)</f>
        <v>163</v>
      </c>
      <c r="B90">
        <v>55984446</v>
      </c>
      <c r="C90">
        <v>55943220</v>
      </c>
      <c r="D90">
        <v>55459792</v>
      </c>
      <c r="E90">
        <v>1</v>
      </c>
      <c r="F90">
        <v>1</v>
      </c>
      <c r="G90">
        <v>1081</v>
      </c>
      <c r="H90">
        <v>3</v>
      </c>
      <c r="I90" t="s">
        <v>257</v>
      </c>
      <c r="J90" t="s">
        <v>258</v>
      </c>
      <c r="K90" t="s">
        <v>259</v>
      </c>
      <c r="L90">
        <v>1348</v>
      </c>
      <c r="N90">
        <v>1009</v>
      </c>
      <c r="O90" t="s">
        <v>196</v>
      </c>
      <c r="P90" t="s">
        <v>196</v>
      </c>
      <c r="Q90">
        <v>1000</v>
      </c>
      <c r="X90">
        <v>3.0000000000000001E-5</v>
      </c>
      <c r="Y90">
        <v>60960.43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108</v>
      </c>
      <c r="AG90">
        <v>3.0000000000000001E-5</v>
      </c>
      <c r="AH90">
        <v>2</v>
      </c>
      <c r="AI90">
        <v>55984446</v>
      </c>
      <c r="AJ90">
        <v>82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ROW(Source!A163)</f>
        <v>163</v>
      </c>
      <c r="B91">
        <v>55984448</v>
      </c>
      <c r="C91">
        <v>55943220</v>
      </c>
      <c r="D91">
        <v>55472553</v>
      </c>
      <c r="E91">
        <v>1</v>
      </c>
      <c r="F91">
        <v>1</v>
      </c>
      <c r="G91">
        <v>1081</v>
      </c>
      <c r="H91">
        <v>3</v>
      </c>
      <c r="I91" t="s">
        <v>260</v>
      </c>
      <c r="J91" t="s">
        <v>261</v>
      </c>
      <c r="K91" t="s">
        <v>262</v>
      </c>
      <c r="L91">
        <v>1301</v>
      </c>
      <c r="N91">
        <v>1003</v>
      </c>
      <c r="O91" t="s">
        <v>221</v>
      </c>
      <c r="P91" t="s">
        <v>221</v>
      </c>
      <c r="Q91">
        <v>1</v>
      </c>
      <c r="X91">
        <v>0.02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108</v>
      </c>
      <c r="AG91">
        <v>0.02</v>
      </c>
      <c r="AH91">
        <v>2</v>
      </c>
      <c r="AI91">
        <v>55984448</v>
      </c>
      <c r="AJ91">
        <v>83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ROW(Source!A163)</f>
        <v>163</v>
      </c>
      <c r="B92">
        <v>55984447</v>
      </c>
      <c r="C92">
        <v>55943220</v>
      </c>
      <c r="D92">
        <v>55466338</v>
      </c>
      <c r="E92">
        <v>1</v>
      </c>
      <c r="F92">
        <v>1</v>
      </c>
      <c r="G92">
        <v>1081</v>
      </c>
      <c r="H92">
        <v>3</v>
      </c>
      <c r="I92" t="s">
        <v>263</v>
      </c>
      <c r="J92" t="s">
        <v>264</v>
      </c>
      <c r="K92" t="s">
        <v>265</v>
      </c>
      <c r="L92">
        <v>1349</v>
      </c>
      <c r="N92">
        <v>1009</v>
      </c>
      <c r="O92" t="s">
        <v>266</v>
      </c>
      <c r="P92" t="s">
        <v>266</v>
      </c>
      <c r="Q92">
        <v>1E-3</v>
      </c>
      <c r="X92">
        <v>8</v>
      </c>
      <c r="Y92">
        <v>7.0000000000000007E-2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108</v>
      </c>
      <c r="AG92">
        <v>8</v>
      </c>
      <c r="AH92">
        <v>2</v>
      </c>
      <c r="AI92">
        <v>55984447</v>
      </c>
      <c r="AJ92">
        <v>84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ROW(Source!A164)</f>
        <v>164</v>
      </c>
      <c r="B93">
        <v>55984445</v>
      </c>
      <c r="C93">
        <v>55943220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190</v>
      </c>
      <c r="J93" t="s">
        <v>3</v>
      </c>
      <c r="K93" t="s">
        <v>191</v>
      </c>
      <c r="L93">
        <v>1191</v>
      </c>
      <c r="N93">
        <v>1013</v>
      </c>
      <c r="O93" t="s">
        <v>192</v>
      </c>
      <c r="P93" t="s">
        <v>192</v>
      </c>
      <c r="Q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109</v>
      </c>
      <c r="AG93">
        <v>1.2</v>
      </c>
      <c r="AH93">
        <v>2</v>
      </c>
      <c r="AI93">
        <v>55984445</v>
      </c>
      <c r="AJ93">
        <v>85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ROW(Source!A164)</f>
        <v>164</v>
      </c>
      <c r="B94">
        <v>55984446</v>
      </c>
      <c r="C94">
        <v>55943220</v>
      </c>
      <c r="D94">
        <v>55459792</v>
      </c>
      <c r="E94">
        <v>1</v>
      </c>
      <c r="F94">
        <v>1</v>
      </c>
      <c r="G94">
        <v>1081</v>
      </c>
      <c r="H94">
        <v>3</v>
      </c>
      <c r="I94" t="s">
        <v>257</v>
      </c>
      <c r="J94" t="s">
        <v>258</v>
      </c>
      <c r="K94" t="s">
        <v>259</v>
      </c>
      <c r="L94">
        <v>1348</v>
      </c>
      <c r="N94">
        <v>1009</v>
      </c>
      <c r="O94" t="s">
        <v>196</v>
      </c>
      <c r="P94" t="s">
        <v>196</v>
      </c>
      <c r="Q94">
        <v>1000</v>
      </c>
      <c r="X94">
        <v>3.0000000000000001E-5</v>
      </c>
      <c r="Y94">
        <v>60960.43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108</v>
      </c>
      <c r="AG94">
        <v>3.0000000000000001E-5</v>
      </c>
      <c r="AH94">
        <v>2</v>
      </c>
      <c r="AI94">
        <v>55984446</v>
      </c>
      <c r="AJ94">
        <v>86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ROW(Source!A164)</f>
        <v>164</v>
      </c>
      <c r="B95">
        <v>55984448</v>
      </c>
      <c r="C95">
        <v>55943220</v>
      </c>
      <c r="D95">
        <v>55472553</v>
      </c>
      <c r="E95">
        <v>1</v>
      </c>
      <c r="F95">
        <v>1</v>
      </c>
      <c r="G95">
        <v>1081</v>
      </c>
      <c r="H95">
        <v>3</v>
      </c>
      <c r="I95" t="s">
        <v>260</v>
      </c>
      <c r="J95" t="s">
        <v>261</v>
      </c>
      <c r="K95" t="s">
        <v>262</v>
      </c>
      <c r="L95">
        <v>1301</v>
      </c>
      <c r="N95">
        <v>1003</v>
      </c>
      <c r="O95" t="s">
        <v>221</v>
      </c>
      <c r="P95" t="s">
        <v>221</v>
      </c>
      <c r="Q95">
        <v>1</v>
      </c>
      <c r="X95">
        <v>0.02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108</v>
      </c>
      <c r="AG95">
        <v>0.02</v>
      </c>
      <c r="AH95">
        <v>2</v>
      </c>
      <c r="AI95">
        <v>55984448</v>
      </c>
      <c r="AJ95">
        <v>87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ROW(Source!A164)</f>
        <v>164</v>
      </c>
      <c r="B96">
        <v>55984447</v>
      </c>
      <c r="C96">
        <v>55943220</v>
      </c>
      <c r="D96">
        <v>55466338</v>
      </c>
      <c r="E96">
        <v>1</v>
      </c>
      <c r="F96">
        <v>1</v>
      </c>
      <c r="G96">
        <v>1081</v>
      </c>
      <c r="H96">
        <v>3</v>
      </c>
      <c r="I96" t="s">
        <v>263</v>
      </c>
      <c r="J96" t="s">
        <v>264</v>
      </c>
      <c r="K96" t="s">
        <v>265</v>
      </c>
      <c r="L96">
        <v>1349</v>
      </c>
      <c r="N96">
        <v>1009</v>
      </c>
      <c r="O96" t="s">
        <v>266</v>
      </c>
      <c r="P96" t="s">
        <v>266</v>
      </c>
      <c r="Q96">
        <v>1E-3</v>
      </c>
      <c r="X96">
        <v>8</v>
      </c>
      <c r="Y96">
        <v>7.0000000000000007E-2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108</v>
      </c>
      <c r="AG96">
        <v>8</v>
      </c>
      <c r="AH96">
        <v>2</v>
      </c>
      <c r="AI96">
        <v>55984447</v>
      </c>
      <c r="AJ96">
        <v>88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108</v>
      </c>
      <c r="E1" t="s">
        <v>109</v>
      </c>
      <c r="F1" t="s">
        <v>109</v>
      </c>
      <c r="G1" t="s">
        <v>109</v>
      </c>
      <c r="H1" t="s">
        <v>3</v>
      </c>
      <c r="I1" t="s">
        <v>109</v>
      </c>
      <c r="J1" t="s">
        <v>109</v>
      </c>
      <c r="K1" t="s">
        <v>3</v>
      </c>
      <c r="L1" t="s">
        <v>3</v>
      </c>
      <c r="M1" t="s">
        <v>3</v>
      </c>
      <c r="N1" t="s">
        <v>108</v>
      </c>
      <c r="O1" t="s">
        <v>109</v>
      </c>
      <c r="P1" t="s">
        <v>3</v>
      </c>
      <c r="Q1" t="s">
        <v>3</v>
      </c>
      <c r="R1" t="s">
        <v>3</v>
      </c>
      <c r="S1" t="s">
        <v>276</v>
      </c>
      <c r="T1" t="s">
        <v>277</v>
      </c>
      <c r="U1" t="s">
        <v>278</v>
      </c>
    </row>
    <row r="2" spans="1:21" x14ac:dyDescent="0.25">
      <c r="A2">
        <v>28</v>
      </c>
      <c r="B2">
        <v>1</v>
      </c>
      <c r="C2" t="s">
        <v>3</v>
      </c>
      <c r="D2" t="s">
        <v>279</v>
      </c>
      <c r="E2" t="s">
        <v>280</v>
      </c>
      <c r="F2" t="s">
        <v>280</v>
      </c>
      <c r="G2" t="s">
        <v>280</v>
      </c>
      <c r="H2" t="s">
        <v>3</v>
      </c>
      <c r="I2" t="s">
        <v>280</v>
      </c>
      <c r="J2" t="s">
        <v>280</v>
      </c>
      <c r="K2" t="s">
        <v>3</v>
      </c>
      <c r="L2" t="s">
        <v>3</v>
      </c>
      <c r="M2" t="s">
        <v>3</v>
      </c>
      <c r="N2" t="s">
        <v>279</v>
      </c>
      <c r="O2" t="s">
        <v>280</v>
      </c>
      <c r="P2" t="s">
        <v>3</v>
      </c>
      <c r="Q2" t="s">
        <v>3</v>
      </c>
      <c r="R2" t="s">
        <v>3</v>
      </c>
      <c r="S2" t="s">
        <v>281</v>
      </c>
      <c r="T2" t="s">
        <v>282</v>
      </c>
      <c r="U2" t="s">
        <v>283</v>
      </c>
    </row>
    <row r="3" spans="1:21" x14ac:dyDescent="0.25">
      <c r="A3">
        <v>29</v>
      </c>
      <c r="B3">
        <v>1</v>
      </c>
      <c r="C3" t="s">
        <v>3</v>
      </c>
      <c r="D3" t="s">
        <v>108</v>
      </c>
      <c r="E3" t="s">
        <v>109</v>
      </c>
      <c r="F3" t="s">
        <v>109</v>
      </c>
      <c r="G3" t="s">
        <v>109</v>
      </c>
      <c r="H3" t="s">
        <v>3</v>
      </c>
      <c r="I3" t="s">
        <v>109</v>
      </c>
      <c r="J3" t="s">
        <v>109</v>
      </c>
      <c r="K3" t="s">
        <v>3</v>
      </c>
      <c r="L3" t="s">
        <v>3</v>
      </c>
      <c r="M3" t="s">
        <v>3</v>
      </c>
      <c r="N3" t="s">
        <v>108</v>
      </c>
      <c r="O3" t="s">
        <v>109</v>
      </c>
      <c r="P3" t="s">
        <v>3</v>
      </c>
      <c r="Q3" t="s">
        <v>3</v>
      </c>
      <c r="R3" t="s">
        <v>3</v>
      </c>
      <c r="S3" t="s">
        <v>276</v>
      </c>
      <c r="T3" t="s">
        <v>277</v>
      </c>
      <c r="U3" t="s">
        <v>278</v>
      </c>
    </row>
    <row r="4" spans="1:21" x14ac:dyDescent="0.25">
      <c r="A4">
        <v>29</v>
      </c>
      <c r="B4">
        <v>1</v>
      </c>
      <c r="C4" t="s">
        <v>3</v>
      </c>
      <c r="D4" t="s">
        <v>279</v>
      </c>
      <c r="E4" t="s">
        <v>280</v>
      </c>
      <c r="F4" t="s">
        <v>280</v>
      </c>
      <c r="G4" t="s">
        <v>280</v>
      </c>
      <c r="H4" t="s">
        <v>3</v>
      </c>
      <c r="I4" t="s">
        <v>280</v>
      </c>
      <c r="J4" t="s">
        <v>280</v>
      </c>
      <c r="K4" t="s">
        <v>3</v>
      </c>
      <c r="L4" t="s">
        <v>3</v>
      </c>
      <c r="M4" t="s">
        <v>3</v>
      </c>
      <c r="N4" t="s">
        <v>279</v>
      </c>
      <c r="O4" t="s">
        <v>280</v>
      </c>
      <c r="P4" t="s">
        <v>3</v>
      </c>
      <c r="Q4" t="s">
        <v>3</v>
      </c>
      <c r="R4" t="s">
        <v>3</v>
      </c>
      <c r="S4" t="s">
        <v>281</v>
      </c>
      <c r="T4" t="s">
        <v>282</v>
      </c>
      <c r="U4" t="s">
        <v>283</v>
      </c>
    </row>
    <row r="5" spans="1:21" x14ac:dyDescent="0.25">
      <c r="A5">
        <v>30</v>
      </c>
      <c r="B5">
        <v>1</v>
      </c>
      <c r="C5" t="s">
        <v>3</v>
      </c>
      <c r="D5" t="s">
        <v>108</v>
      </c>
      <c r="E5" t="s">
        <v>109</v>
      </c>
      <c r="F5" t="s">
        <v>109</v>
      </c>
      <c r="G5" t="s">
        <v>109</v>
      </c>
      <c r="H5" t="s">
        <v>3</v>
      </c>
      <c r="I5" t="s">
        <v>109</v>
      </c>
      <c r="J5" t="s">
        <v>109</v>
      </c>
      <c r="K5" t="s">
        <v>3</v>
      </c>
      <c r="L5" t="s">
        <v>3</v>
      </c>
      <c r="M5" t="s">
        <v>3</v>
      </c>
      <c r="N5" t="s">
        <v>108</v>
      </c>
      <c r="O5" t="s">
        <v>109</v>
      </c>
      <c r="P5" t="s">
        <v>3</v>
      </c>
      <c r="Q5" t="s">
        <v>3</v>
      </c>
      <c r="R5" t="s">
        <v>3</v>
      </c>
      <c r="S5" t="s">
        <v>276</v>
      </c>
      <c r="T5" t="s">
        <v>277</v>
      </c>
      <c r="U5" t="s">
        <v>278</v>
      </c>
    </row>
    <row r="6" spans="1:21" x14ac:dyDescent="0.25">
      <c r="A6">
        <v>30</v>
      </c>
      <c r="B6">
        <v>1</v>
      </c>
      <c r="C6" t="s">
        <v>3</v>
      </c>
      <c r="D6" t="s">
        <v>279</v>
      </c>
      <c r="E6" t="s">
        <v>280</v>
      </c>
      <c r="F6" t="s">
        <v>280</v>
      </c>
      <c r="G6" t="s">
        <v>280</v>
      </c>
      <c r="H6" t="s">
        <v>3</v>
      </c>
      <c r="I6" t="s">
        <v>280</v>
      </c>
      <c r="J6" t="s">
        <v>280</v>
      </c>
      <c r="K6" t="s">
        <v>3</v>
      </c>
      <c r="L6" t="s">
        <v>3</v>
      </c>
      <c r="M6" t="s">
        <v>3</v>
      </c>
      <c r="N6" t="s">
        <v>279</v>
      </c>
      <c r="O6" t="s">
        <v>280</v>
      </c>
      <c r="P6" t="s">
        <v>3</v>
      </c>
      <c r="Q6" t="s">
        <v>3</v>
      </c>
      <c r="R6" t="s">
        <v>3</v>
      </c>
      <c r="S6" t="s">
        <v>281</v>
      </c>
      <c r="T6" t="s">
        <v>282</v>
      </c>
      <c r="U6" t="s">
        <v>283</v>
      </c>
    </row>
    <row r="7" spans="1:21" x14ac:dyDescent="0.25">
      <c r="A7">
        <v>31</v>
      </c>
      <c r="B7">
        <v>1</v>
      </c>
      <c r="C7" t="s">
        <v>3</v>
      </c>
      <c r="D7" t="s">
        <v>108</v>
      </c>
      <c r="E7" t="s">
        <v>109</v>
      </c>
      <c r="F7" t="s">
        <v>109</v>
      </c>
      <c r="G7" t="s">
        <v>109</v>
      </c>
      <c r="H7" t="s">
        <v>3</v>
      </c>
      <c r="I7" t="s">
        <v>109</v>
      </c>
      <c r="J7" t="s">
        <v>109</v>
      </c>
      <c r="K7" t="s">
        <v>3</v>
      </c>
      <c r="L7" t="s">
        <v>3</v>
      </c>
      <c r="M7" t="s">
        <v>3</v>
      </c>
      <c r="N7" t="s">
        <v>108</v>
      </c>
      <c r="O7" t="s">
        <v>109</v>
      </c>
      <c r="P7" t="s">
        <v>3</v>
      </c>
      <c r="Q7" t="s">
        <v>3</v>
      </c>
      <c r="R7" t="s">
        <v>3</v>
      </c>
      <c r="S7" t="s">
        <v>276</v>
      </c>
      <c r="T7" t="s">
        <v>277</v>
      </c>
      <c r="U7" t="s">
        <v>278</v>
      </c>
    </row>
    <row r="8" spans="1:21" x14ac:dyDescent="0.25">
      <c r="A8">
        <v>31</v>
      </c>
      <c r="B8">
        <v>1</v>
      </c>
      <c r="C8" t="s">
        <v>3</v>
      </c>
      <c r="D8" t="s">
        <v>279</v>
      </c>
      <c r="E8" t="s">
        <v>280</v>
      </c>
      <c r="F8" t="s">
        <v>280</v>
      </c>
      <c r="G8" t="s">
        <v>280</v>
      </c>
      <c r="H8" t="s">
        <v>3</v>
      </c>
      <c r="I8" t="s">
        <v>280</v>
      </c>
      <c r="J8" t="s">
        <v>280</v>
      </c>
      <c r="K8" t="s">
        <v>3</v>
      </c>
      <c r="L8" t="s">
        <v>3</v>
      </c>
      <c r="M8" t="s">
        <v>3</v>
      </c>
      <c r="N8" t="s">
        <v>279</v>
      </c>
      <c r="O8" t="s">
        <v>280</v>
      </c>
      <c r="P8" t="s">
        <v>3</v>
      </c>
      <c r="Q8" t="s">
        <v>3</v>
      </c>
      <c r="R8" t="s">
        <v>3</v>
      </c>
      <c r="S8" t="s">
        <v>281</v>
      </c>
      <c r="T8" t="s">
        <v>282</v>
      </c>
      <c r="U8" t="s">
        <v>283</v>
      </c>
    </row>
    <row r="9" spans="1:21" x14ac:dyDescent="0.25">
      <c r="A9">
        <v>32</v>
      </c>
      <c r="B9">
        <v>1</v>
      </c>
      <c r="C9" t="s">
        <v>3</v>
      </c>
      <c r="D9" t="s">
        <v>108</v>
      </c>
      <c r="E9" t="s">
        <v>109</v>
      </c>
      <c r="F9" t="s">
        <v>109</v>
      </c>
      <c r="G9" t="s">
        <v>109</v>
      </c>
      <c r="H9" t="s">
        <v>3</v>
      </c>
      <c r="I9" t="s">
        <v>109</v>
      </c>
      <c r="J9" t="s">
        <v>109</v>
      </c>
      <c r="K9" t="s">
        <v>3</v>
      </c>
      <c r="L9" t="s">
        <v>3</v>
      </c>
      <c r="M9" t="s">
        <v>3</v>
      </c>
      <c r="N9" t="s">
        <v>108</v>
      </c>
      <c r="O9" t="s">
        <v>109</v>
      </c>
      <c r="P9" t="s">
        <v>3</v>
      </c>
      <c r="Q9" t="s">
        <v>3</v>
      </c>
      <c r="R9" t="s">
        <v>3</v>
      </c>
      <c r="S9" t="s">
        <v>276</v>
      </c>
      <c r="T9" t="s">
        <v>277</v>
      </c>
      <c r="U9" t="s">
        <v>278</v>
      </c>
    </row>
    <row r="10" spans="1:21" x14ac:dyDescent="0.25">
      <c r="A10">
        <v>32</v>
      </c>
      <c r="B10">
        <v>1</v>
      </c>
      <c r="C10" t="s">
        <v>3</v>
      </c>
      <c r="D10" t="s">
        <v>279</v>
      </c>
      <c r="E10" t="s">
        <v>280</v>
      </c>
      <c r="F10" t="s">
        <v>280</v>
      </c>
      <c r="G10" t="s">
        <v>280</v>
      </c>
      <c r="H10" t="s">
        <v>3</v>
      </c>
      <c r="I10" t="s">
        <v>280</v>
      </c>
      <c r="J10" t="s">
        <v>280</v>
      </c>
      <c r="K10" t="s">
        <v>3</v>
      </c>
      <c r="L10" t="s">
        <v>3</v>
      </c>
      <c r="M10" t="s">
        <v>3</v>
      </c>
      <c r="N10" t="s">
        <v>279</v>
      </c>
      <c r="O10" t="s">
        <v>280</v>
      </c>
      <c r="P10" t="s">
        <v>3</v>
      </c>
      <c r="Q10" t="s">
        <v>3</v>
      </c>
      <c r="R10" t="s">
        <v>3</v>
      </c>
      <c r="S10" t="s">
        <v>281</v>
      </c>
      <c r="T10" t="s">
        <v>282</v>
      </c>
      <c r="U10" t="s">
        <v>283</v>
      </c>
    </row>
    <row r="11" spans="1:21" x14ac:dyDescent="0.25">
      <c r="A11">
        <v>33</v>
      </c>
      <c r="B11">
        <v>1</v>
      </c>
      <c r="C11" t="s">
        <v>3</v>
      </c>
      <c r="D11" t="s">
        <v>108</v>
      </c>
      <c r="E11" t="s">
        <v>109</v>
      </c>
      <c r="F11" t="s">
        <v>109</v>
      </c>
      <c r="G11" t="s">
        <v>109</v>
      </c>
      <c r="H11" t="s">
        <v>3</v>
      </c>
      <c r="I11" t="s">
        <v>109</v>
      </c>
      <c r="J11" t="s">
        <v>109</v>
      </c>
      <c r="K11" t="s">
        <v>3</v>
      </c>
      <c r="L11" t="s">
        <v>3</v>
      </c>
      <c r="M11" t="s">
        <v>3</v>
      </c>
      <c r="N11" t="s">
        <v>108</v>
      </c>
      <c r="O11" t="s">
        <v>109</v>
      </c>
      <c r="P11" t="s">
        <v>3</v>
      </c>
      <c r="Q11" t="s">
        <v>3</v>
      </c>
      <c r="R11" t="s">
        <v>3</v>
      </c>
      <c r="S11" t="s">
        <v>276</v>
      </c>
      <c r="T11" t="s">
        <v>277</v>
      </c>
      <c r="U11" t="s">
        <v>278</v>
      </c>
    </row>
    <row r="12" spans="1:21" x14ac:dyDescent="0.25">
      <c r="A12">
        <v>33</v>
      </c>
      <c r="B12">
        <v>1</v>
      </c>
      <c r="C12" t="s">
        <v>3</v>
      </c>
      <c r="D12" t="s">
        <v>279</v>
      </c>
      <c r="E12" t="s">
        <v>280</v>
      </c>
      <c r="F12" t="s">
        <v>280</v>
      </c>
      <c r="G12" t="s">
        <v>280</v>
      </c>
      <c r="H12" t="s">
        <v>3</v>
      </c>
      <c r="I12" t="s">
        <v>280</v>
      </c>
      <c r="J12" t="s">
        <v>280</v>
      </c>
      <c r="K12" t="s">
        <v>3</v>
      </c>
      <c r="L12" t="s">
        <v>3</v>
      </c>
      <c r="M12" t="s">
        <v>3</v>
      </c>
      <c r="N12" t="s">
        <v>279</v>
      </c>
      <c r="O12" t="s">
        <v>280</v>
      </c>
      <c r="P12" t="s">
        <v>3</v>
      </c>
      <c r="Q12" t="s">
        <v>3</v>
      </c>
      <c r="R12" t="s">
        <v>3</v>
      </c>
      <c r="S12" t="s">
        <v>281</v>
      </c>
      <c r="T12" t="s">
        <v>282</v>
      </c>
      <c r="U12" t="s">
        <v>283</v>
      </c>
    </row>
    <row r="13" spans="1:21" x14ac:dyDescent="0.25">
      <c r="A13">
        <v>34</v>
      </c>
      <c r="B13">
        <v>1</v>
      </c>
      <c r="C13" t="s">
        <v>3</v>
      </c>
      <c r="D13" t="s">
        <v>108</v>
      </c>
      <c r="E13" t="s">
        <v>109</v>
      </c>
      <c r="F13" t="s">
        <v>109</v>
      </c>
      <c r="G13" t="s">
        <v>109</v>
      </c>
      <c r="H13" t="s">
        <v>3</v>
      </c>
      <c r="I13" t="s">
        <v>109</v>
      </c>
      <c r="J13" t="s">
        <v>109</v>
      </c>
      <c r="K13" t="s">
        <v>3</v>
      </c>
      <c r="L13" t="s">
        <v>3</v>
      </c>
      <c r="M13" t="s">
        <v>3</v>
      </c>
      <c r="N13" t="s">
        <v>108</v>
      </c>
      <c r="O13" t="s">
        <v>109</v>
      </c>
      <c r="P13" t="s">
        <v>3</v>
      </c>
      <c r="Q13" t="s">
        <v>3</v>
      </c>
      <c r="R13" t="s">
        <v>3</v>
      </c>
      <c r="S13" t="s">
        <v>276</v>
      </c>
      <c r="T13" t="s">
        <v>277</v>
      </c>
      <c r="U13" t="s">
        <v>278</v>
      </c>
    </row>
    <row r="14" spans="1:21" x14ac:dyDescent="0.25">
      <c r="A14">
        <v>34</v>
      </c>
      <c r="B14">
        <v>1</v>
      </c>
      <c r="C14" t="s">
        <v>3</v>
      </c>
      <c r="D14" t="s">
        <v>279</v>
      </c>
      <c r="E14" t="s">
        <v>280</v>
      </c>
      <c r="F14" t="s">
        <v>280</v>
      </c>
      <c r="G14" t="s">
        <v>280</v>
      </c>
      <c r="H14" t="s">
        <v>3</v>
      </c>
      <c r="I14" t="s">
        <v>280</v>
      </c>
      <c r="J14" t="s">
        <v>280</v>
      </c>
      <c r="K14" t="s">
        <v>3</v>
      </c>
      <c r="L14" t="s">
        <v>3</v>
      </c>
      <c r="M14" t="s">
        <v>3</v>
      </c>
      <c r="N14" t="s">
        <v>279</v>
      </c>
      <c r="O14" t="s">
        <v>280</v>
      </c>
      <c r="P14" t="s">
        <v>3</v>
      </c>
      <c r="Q14" t="s">
        <v>3</v>
      </c>
      <c r="R14" t="s">
        <v>3</v>
      </c>
      <c r="S14" t="s">
        <v>281</v>
      </c>
      <c r="T14" t="s">
        <v>282</v>
      </c>
      <c r="U14" t="s">
        <v>283</v>
      </c>
    </row>
    <row r="15" spans="1:21" x14ac:dyDescent="0.25">
      <c r="A15">
        <v>35</v>
      </c>
      <c r="B15">
        <v>1</v>
      </c>
      <c r="C15" t="s">
        <v>3</v>
      </c>
      <c r="D15" t="s">
        <v>108</v>
      </c>
      <c r="E15" t="s">
        <v>109</v>
      </c>
      <c r="F15" t="s">
        <v>109</v>
      </c>
      <c r="G15" t="s">
        <v>109</v>
      </c>
      <c r="H15" t="s">
        <v>3</v>
      </c>
      <c r="I15" t="s">
        <v>109</v>
      </c>
      <c r="J15" t="s">
        <v>109</v>
      </c>
      <c r="K15" t="s">
        <v>3</v>
      </c>
      <c r="L15" t="s">
        <v>3</v>
      </c>
      <c r="M15" t="s">
        <v>3</v>
      </c>
      <c r="N15" t="s">
        <v>108</v>
      </c>
      <c r="O15" t="s">
        <v>109</v>
      </c>
      <c r="P15" t="s">
        <v>3</v>
      </c>
      <c r="Q15" t="s">
        <v>3</v>
      </c>
      <c r="R15" t="s">
        <v>3</v>
      </c>
      <c r="S15" t="s">
        <v>276</v>
      </c>
      <c r="T15" t="s">
        <v>277</v>
      </c>
      <c r="U15" t="s">
        <v>278</v>
      </c>
    </row>
    <row r="16" spans="1:21" x14ac:dyDescent="0.25">
      <c r="A16">
        <v>35</v>
      </c>
      <c r="B16">
        <v>1</v>
      </c>
      <c r="C16" t="s">
        <v>3</v>
      </c>
      <c r="D16" t="s">
        <v>279</v>
      </c>
      <c r="E16" t="s">
        <v>280</v>
      </c>
      <c r="F16" t="s">
        <v>280</v>
      </c>
      <c r="G16" t="s">
        <v>280</v>
      </c>
      <c r="H16" t="s">
        <v>3</v>
      </c>
      <c r="I16" t="s">
        <v>280</v>
      </c>
      <c r="J16" t="s">
        <v>280</v>
      </c>
      <c r="K16" t="s">
        <v>3</v>
      </c>
      <c r="L16" t="s">
        <v>3</v>
      </c>
      <c r="M16" t="s">
        <v>3</v>
      </c>
      <c r="N16" t="s">
        <v>279</v>
      </c>
      <c r="O16" t="s">
        <v>280</v>
      </c>
      <c r="P16" t="s">
        <v>3</v>
      </c>
      <c r="Q16" t="s">
        <v>3</v>
      </c>
      <c r="R16" t="s">
        <v>3</v>
      </c>
      <c r="S16" t="s">
        <v>281</v>
      </c>
      <c r="T16" t="s">
        <v>282</v>
      </c>
      <c r="U16" t="s">
        <v>283</v>
      </c>
    </row>
    <row r="17" spans="1:21" x14ac:dyDescent="0.25">
      <c r="A17">
        <v>71</v>
      </c>
      <c r="B17">
        <v>1</v>
      </c>
      <c r="C17" t="s">
        <v>3</v>
      </c>
      <c r="D17" t="s">
        <v>108</v>
      </c>
      <c r="E17" t="s">
        <v>109</v>
      </c>
      <c r="F17" t="s">
        <v>109</v>
      </c>
      <c r="G17" t="s">
        <v>109</v>
      </c>
      <c r="H17" t="s">
        <v>3</v>
      </c>
      <c r="I17" t="s">
        <v>109</v>
      </c>
      <c r="J17" t="s">
        <v>109</v>
      </c>
      <c r="K17" t="s">
        <v>3</v>
      </c>
      <c r="L17" t="s">
        <v>3</v>
      </c>
      <c r="M17" t="s">
        <v>3</v>
      </c>
      <c r="N17" t="s">
        <v>108</v>
      </c>
      <c r="O17" t="s">
        <v>109</v>
      </c>
      <c r="P17" t="s">
        <v>3</v>
      </c>
      <c r="Q17" t="s">
        <v>3</v>
      </c>
      <c r="R17" t="s">
        <v>3</v>
      </c>
      <c r="S17" t="s">
        <v>276</v>
      </c>
      <c r="T17" t="s">
        <v>277</v>
      </c>
      <c r="U17" t="s">
        <v>278</v>
      </c>
    </row>
    <row r="18" spans="1:21" x14ac:dyDescent="0.25">
      <c r="A18">
        <v>72</v>
      </c>
      <c r="B18">
        <v>1</v>
      </c>
      <c r="C18" t="s">
        <v>3</v>
      </c>
      <c r="D18" t="s">
        <v>108</v>
      </c>
      <c r="E18" t="s">
        <v>109</v>
      </c>
      <c r="F18" t="s">
        <v>109</v>
      </c>
      <c r="G18" t="s">
        <v>109</v>
      </c>
      <c r="H18" t="s">
        <v>3</v>
      </c>
      <c r="I18" t="s">
        <v>109</v>
      </c>
      <c r="J18" t="s">
        <v>109</v>
      </c>
      <c r="K18" t="s">
        <v>3</v>
      </c>
      <c r="L18" t="s">
        <v>3</v>
      </c>
      <c r="M18" t="s">
        <v>3</v>
      </c>
      <c r="N18" t="s">
        <v>108</v>
      </c>
      <c r="O18" t="s">
        <v>109</v>
      </c>
      <c r="P18" t="s">
        <v>3</v>
      </c>
      <c r="Q18" t="s">
        <v>3</v>
      </c>
      <c r="R18" t="s">
        <v>3</v>
      </c>
      <c r="S18" t="s">
        <v>276</v>
      </c>
      <c r="T18" t="s">
        <v>277</v>
      </c>
      <c r="U18" t="s">
        <v>278</v>
      </c>
    </row>
    <row r="19" spans="1:21" x14ac:dyDescent="0.25">
      <c r="A19">
        <v>75</v>
      </c>
      <c r="B19">
        <v>1</v>
      </c>
      <c r="C19" t="s">
        <v>3</v>
      </c>
      <c r="D19" t="s">
        <v>108</v>
      </c>
      <c r="E19" t="s">
        <v>109</v>
      </c>
      <c r="F19" t="s">
        <v>109</v>
      </c>
      <c r="G19" t="s">
        <v>109</v>
      </c>
      <c r="H19" t="s">
        <v>3</v>
      </c>
      <c r="I19" t="s">
        <v>109</v>
      </c>
      <c r="J19" t="s">
        <v>109</v>
      </c>
      <c r="K19" t="s">
        <v>3</v>
      </c>
      <c r="L19" t="s">
        <v>3</v>
      </c>
      <c r="M19" t="s">
        <v>3</v>
      </c>
      <c r="N19" t="s">
        <v>108</v>
      </c>
      <c r="O19" t="s">
        <v>109</v>
      </c>
      <c r="P19" t="s">
        <v>3</v>
      </c>
      <c r="Q19" t="s">
        <v>3</v>
      </c>
      <c r="R19" t="s">
        <v>3</v>
      </c>
      <c r="S19" t="s">
        <v>276</v>
      </c>
      <c r="T19" t="s">
        <v>277</v>
      </c>
      <c r="U19" t="s">
        <v>278</v>
      </c>
    </row>
    <row r="20" spans="1:21" x14ac:dyDescent="0.25">
      <c r="A20">
        <v>76</v>
      </c>
      <c r="B20">
        <v>1</v>
      </c>
      <c r="C20" t="s">
        <v>3</v>
      </c>
      <c r="D20" t="s">
        <v>108</v>
      </c>
      <c r="E20" t="s">
        <v>109</v>
      </c>
      <c r="F20" t="s">
        <v>109</v>
      </c>
      <c r="G20" t="s">
        <v>109</v>
      </c>
      <c r="H20" t="s">
        <v>3</v>
      </c>
      <c r="I20" t="s">
        <v>109</v>
      </c>
      <c r="J20" t="s">
        <v>109</v>
      </c>
      <c r="K20" t="s">
        <v>3</v>
      </c>
      <c r="L20" t="s">
        <v>3</v>
      </c>
      <c r="M20" t="s">
        <v>3</v>
      </c>
      <c r="N20" t="s">
        <v>108</v>
      </c>
      <c r="O20" t="s">
        <v>109</v>
      </c>
      <c r="P20" t="s">
        <v>3</v>
      </c>
      <c r="Q20" t="s">
        <v>3</v>
      </c>
      <c r="R20" t="s">
        <v>3</v>
      </c>
      <c r="S20" t="s">
        <v>276</v>
      </c>
      <c r="T20" t="s">
        <v>277</v>
      </c>
      <c r="U20" t="s">
        <v>278</v>
      </c>
    </row>
    <row r="21" spans="1:21" x14ac:dyDescent="0.25">
      <c r="A21">
        <v>77</v>
      </c>
      <c r="B21">
        <v>1</v>
      </c>
      <c r="C21" t="s">
        <v>3</v>
      </c>
      <c r="D21" t="s">
        <v>108</v>
      </c>
      <c r="E21" t="s">
        <v>109</v>
      </c>
      <c r="F21" t="s">
        <v>109</v>
      </c>
      <c r="G21" t="s">
        <v>109</v>
      </c>
      <c r="H21" t="s">
        <v>3</v>
      </c>
      <c r="I21" t="s">
        <v>109</v>
      </c>
      <c r="J21" t="s">
        <v>109</v>
      </c>
      <c r="K21" t="s">
        <v>3</v>
      </c>
      <c r="L21" t="s">
        <v>3</v>
      </c>
      <c r="M21" t="s">
        <v>3</v>
      </c>
      <c r="N21" t="s">
        <v>108</v>
      </c>
      <c r="O21" t="s">
        <v>109</v>
      </c>
      <c r="P21" t="s">
        <v>3</v>
      </c>
      <c r="Q21" t="s">
        <v>3</v>
      </c>
      <c r="R21" t="s">
        <v>3</v>
      </c>
      <c r="S21" t="s">
        <v>276</v>
      </c>
      <c r="T21" t="s">
        <v>277</v>
      </c>
      <c r="U21" t="s">
        <v>278</v>
      </c>
    </row>
    <row r="22" spans="1:21" x14ac:dyDescent="0.25">
      <c r="A22">
        <v>78</v>
      </c>
      <c r="B22">
        <v>1</v>
      </c>
      <c r="C22" t="s">
        <v>3</v>
      </c>
      <c r="D22" t="s">
        <v>108</v>
      </c>
      <c r="E22" t="s">
        <v>109</v>
      </c>
      <c r="F22" t="s">
        <v>109</v>
      </c>
      <c r="G22" t="s">
        <v>109</v>
      </c>
      <c r="H22" t="s">
        <v>3</v>
      </c>
      <c r="I22" t="s">
        <v>109</v>
      </c>
      <c r="J22" t="s">
        <v>109</v>
      </c>
      <c r="K22" t="s">
        <v>3</v>
      </c>
      <c r="L22" t="s">
        <v>3</v>
      </c>
      <c r="M22" t="s">
        <v>3</v>
      </c>
      <c r="N22" t="s">
        <v>108</v>
      </c>
      <c r="O22" t="s">
        <v>109</v>
      </c>
      <c r="P22" t="s">
        <v>3</v>
      </c>
      <c r="Q22" t="s">
        <v>3</v>
      </c>
      <c r="R22" t="s">
        <v>3</v>
      </c>
      <c r="S22" t="s">
        <v>276</v>
      </c>
      <c r="T22" t="s">
        <v>277</v>
      </c>
      <c r="U22" t="s">
        <v>278</v>
      </c>
    </row>
    <row r="23" spans="1:21" x14ac:dyDescent="0.25">
      <c r="A23">
        <v>81</v>
      </c>
      <c r="B23">
        <v>1</v>
      </c>
      <c r="C23" t="s">
        <v>3</v>
      </c>
      <c r="D23" t="s">
        <v>108</v>
      </c>
      <c r="E23" t="s">
        <v>109</v>
      </c>
      <c r="F23" t="s">
        <v>109</v>
      </c>
      <c r="G23" t="s">
        <v>109</v>
      </c>
      <c r="H23" t="s">
        <v>3</v>
      </c>
      <c r="I23" t="s">
        <v>109</v>
      </c>
      <c r="J23" t="s">
        <v>109</v>
      </c>
      <c r="K23" t="s">
        <v>3</v>
      </c>
      <c r="L23" t="s">
        <v>3</v>
      </c>
      <c r="M23" t="s">
        <v>3</v>
      </c>
      <c r="N23" t="s">
        <v>108</v>
      </c>
      <c r="O23" t="s">
        <v>109</v>
      </c>
      <c r="P23" t="s">
        <v>3</v>
      </c>
      <c r="Q23" t="s">
        <v>3</v>
      </c>
      <c r="R23" t="s">
        <v>3</v>
      </c>
      <c r="S23" t="s">
        <v>276</v>
      </c>
      <c r="T23" t="s">
        <v>277</v>
      </c>
      <c r="U23" t="s">
        <v>278</v>
      </c>
    </row>
    <row r="24" spans="1:21" x14ac:dyDescent="0.25">
      <c r="A24">
        <v>82</v>
      </c>
      <c r="B24">
        <v>1</v>
      </c>
      <c r="C24" t="s">
        <v>3</v>
      </c>
      <c r="D24" t="s">
        <v>108</v>
      </c>
      <c r="E24" t="s">
        <v>109</v>
      </c>
      <c r="F24" t="s">
        <v>109</v>
      </c>
      <c r="G24" t="s">
        <v>109</v>
      </c>
      <c r="H24" t="s">
        <v>3</v>
      </c>
      <c r="I24" t="s">
        <v>109</v>
      </c>
      <c r="J24" t="s">
        <v>109</v>
      </c>
      <c r="K24" t="s">
        <v>3</v>
      </c>
      <c r="L24" t="s">
        <v>3</v>
      </c>
      <c r="M24" t="s">
        <v>3</v>
      </c>
      <c r="N24" t="s">
        <v>108</v>
      </c>
      <c r="O24" t="s">
        <v>109</v>
      </c>
      <c r="P24" t="s">
        <v>3</v>
      </c>
      <c r="Q24" t="s">
        <v>3</v>
      </c>
      <c r="R24" t="s">
        <v>3</v>
      </c>
      <c r="S24" t="s">
        <v>276</v>
      </c>
      <c r="T24" t="s">
        <v>277</v>
      </c>
      <c r="U24" t="s">
        <v>278</v>
      </c>
    </row>
    <row r="25" spans="1:21" x14ac:dyDescent="0.25">
      <c r="A25">
        <v>83</v>
      </c>
      <c r="B25">
        <v>1</v>
      </c>
      <c r="C25" t="s">
        <v>3</v>
      </c>
      <c r="D25" t="s">
        <v>108</v>
      </c>
      <c r="E25" t="s">
        <v>109</v>
      </c>
      <c r="F25" t="s">
        <v>109</v>
      </c>
      <c r="G25" t="s">
        <v>109</v>
      </c>
      <c r="H25" t="s">
        <v>3</v>
      </c>
      <c r="I25" t="s">
        <v>109</v>
      </c>
      <c r="J25" t="s">
        <v>109</v>
      </c>
      <c r="K25" t="s">
        <v>3</v>
      </c>
      <c r="L25" t="s">
        <v>3</v>
      </c>
      <c r="M25" t="s">
        <v>3</v>
      </c>
      <c r="N25" t="s">
        <v>108</v>
      </c>
      <c r="O25" t="s">
        <v>109</v>
      </c>
      <c r="P25" t="s">
        <v>3</v>
      </c>
      <c r="Q25" t="s">
        <v>3</v>
      </c>
      <c r="R25" t="s">
        <v>3</v>
      </c>
      <c r="S25" t="s">
        <v>276</v>
      </c>
      <c r="T25" t="s">
        <v>277</v>
      </c>
      <c r="U25" t="s">
        <v>278</v>
      </c>
    </row>
    <row r="26" spans="1:21" x14ac:dyDescent="0.25">
      <c r="A26">
        <v>84</v>
      </c>
      <c r="B26">
        <v>1</v>
      </c>
      <c r="C26" t="s">
        <v>3</v>
      </c>
      <c r="D26" t="s">
        <v>108</v>
      </c>
      <c r="E26" t="s">
        <v>109</v>
      </c>
      <c r="F26" t="s">
        <v>109</v>
      </c>
      <c r="G26" t="s">
        <v>109</v>
      </c>
      <c r="H26" t="s">
        <v>3</v>
      </c>
      <c r="I26" t="s">
        <v>109</v>
      </c>
      <c r="J26" t="s">
        <v>109</v>
      </c>
      <c r="K26" t="s">
        <v>3</v>
      </c>
      <c r="L26" t="s">
        <v>3</v>
      </c>
      <c r="M26" t="s">
        <v>3</v>
      </c>
      <c r="N26" t="s">
        <v>108</v>
      </c>
      <c r="O26" t="s">
        <v>109</v>
      </c>
      <c r="P26" t="s">
        <v>3</v>
      </c>
      <c r="Q26" t="s">
        <v>3</v>
      </c>
      <c r="R26" t="s">
        <v>3</v>
      </c>
      <c r="S26" t="s">
        <v>276</v>
      </c>
      <c r="T26" t="s">
        <v>277</v>
      </c>
      <c r="U26" t="s">
        <v>278</v>
      </c>
    </row>
    <row r="27" spans="1:21" x14ac:dyDescent="0.25">
      <c r="A27">
        <v>122</v>
      </c>
      <c r="B27">
        <v>1</v>
      </c>
      <c r="C27" t="s">
        <v>3</v>
      </c>
      <c r="D27" t="s">
        <v>108</v>
      </c>
      <c r="E27" t="s">
        <v>109</v>
      </c>
      <c r="F27" t="s">
        <v>109</v>
      </c>
      <c r="G27" t="s">
        <v>109</v>
      </c>
      <c r="H27" t="s">
        <v>3</v>
      </c>
      <c r="I27" t="s">
        <v>109</v>
      </c>
      <c r="J27" t="s">
        <v>109</v>
      </c>
      <c r="K27" t="s">
        <v>3</v>
      </c>
      <c r="L27" t="s">
        <v>3</v>
      </c>
      <c r="M27" t="s">
        <v>3</v>
      </c>
      <c r="N27" t="s">
        <v>108</v>
      </c>
      <c r="O27" t="s">
        <v>109</v>
      </c>
      <c r="P27" t="s">
        <v>3</v>
      </c>
      <c r="Q27" t="s">
        <v>3</v>
      </c>
      <c r="R27" t="s">
        <v>3</v>
      </c>
      <c r="S27" t="s">
        <v>276</v>
      </c>
      <c r="T27" t="s">
        <v>277</v>
      </c>
      <c r="U27" t="s">
        <v>278</v>
      </c>
    </row>
    <row r="28" spans="1:21" x14ac:dyDescent="0.25">
      <c r="A28">
        <v>123</v>
      </c>
      <c r="B28">
        <v>1</v>
      </c>
      <c r="C28" t="s">
        <v>3</v>
      </c>
      <c r="D28" t="s">
        <v>108</v>
      </c>
      <c r="E28" t="s">
        <v>109</v>
      </c>
      <c r="F28" t="s">
        <v>109</v>
      </c>
      <c r="G28" t="s">
        <v>109</v>
      </c>
      <c r="H28" t="s">
        <v>3</v>
      </c>
      <c r="I28" t="s">
        <v>109</v>
      </c>
      <c r="J28" t="s">
        <v>109</v>
      </c>
      <c r="K28" t="s">
        <v>3</v>
      </c>
      <c r="L28" t="s">
        <v>3</v>
      </c>
      <c r="M28" t="s">
        <v>3</v>
      </c>
      <c r="N28" t="s">
        <v>108</v>
      </c>
      <c r="O28" t="s">
        <v>109</v>
      </c>
      <c r="P28" t="s">
        <v>3</v>
      </c>
      <c r="Q28" t="s">
        <v>3</v>
      </c>
      <c r="R28" t="s">
        <v>3</v>
      </c>
      <c r="S28" t="s">
        <v>276</v>
      </c>
      <c r="T28" t="s">
        <v>277</v>
      </c>
      <c r="U28" t="s">
        <v>278</v>
      </c>
    </row>
    <row r="29" spans="1:21" x14ac:dyDescent="0.25">
      <c r="A29">
        <v>161</v>
      </c>
      <c r="B29">
        <v>1</v>
      </c>
      <c r="C29" t="s">
        <v>3</v>
      </c>
      <c r="D29" t="s">
        <v>108</v>
      </c>
      <c r="E29" t="s">
        <v>109</v>
      </c>
      <c r="F29" t="s">
        <v>109</v>
      </c>
      <c r="G29" t="s">
        <v>109</v>
      </c>
      <c r="H29" t="s">
        <v>3</v>
      </c>
      <c r="I29" t="s">
        <v>109</v>
      </c>
      <c r="J29" t="s">
        <v>109</v>
      </c>
      <c r="K29" t="s">
        <v>3</v>
      </c>
      <c r="L29" t="s">
        <v>3</v>
      </c>
      <c r="M29" t="s">
        <v>3</v>
      </c>
      <c r="N29" t="s">
        <v>108</v>
      </c>
      <c r="O29" t="s">
        <v>109</v>
      </c>
      <c r="P29" t="s">
        <v>3</v>
      </c>
      <c r="Q29" t="s">
        <v>3</v>
      </c>
      <c r="R29" t="s">
        <v>3</v>
      </c>
      <c r="S29" t="s">
        <v>276</v>
      </c>
      <c r="T29" t="s">
        <v>277</v>
      </c>
      <c r="U29" t="s">
        <v>278</v>
      </c>
    </row>
    <row r="30" spans="1:21" x14ac:dyDescent="0.25">
      <c r="A30">
        <v>162</v>
      </c>
      <c r="B30">
        <v>1</v>
      </c>
      <c r="C30" t="s">
        <v>3</v>
      </c>
      <c r="D30" t="s">
        <v>108</v>
      </c>
      <c r="E30" t="s">
        <v>109</v>
      </c>
      <c r="F30" t="s">
        <v>109</v>
      </c>
      <c r="G30" t="s">
        <v>109</v>
      </c>
      <c r="H30" t="s">
        <v>3</v>
      </c>
      <c r="I30" t="s">
        <v>109</v>
      </c>
      <c r="J30" t="s">
        <v>109</v>
      </c>
      <c r="K30" t="s">
        <v>3</v>
      </c>
      <c r="L30" t="s">
        <v>3</v>
      </c>
      <c r="M30" t="s">
        <v>3</v>
      </c>
      <c r="N30" t="s">
        <v>108</v>
      </c>
      <c r="O30" t="s">
        <v>109</v>
      </c>
      <c r="P30" t="s">
        <v>3</v>
      </c>
      <c r="Q30" t="s">
        <v>3</v>
      </c>
      <c r="R30" t="s">
        <v>3</v>
      </c>
      <c r="S30" t="s">
        <v>276</v>
      </c>
      <c r="T30" t="s">
        <v>277</v>
      </c>
      <c r="U30" t="s">
        <v>278</v>
      </c>
    </row>
    <row r="31" spans="1:21" x14ac:dyDescent="0.25">
      <c r="A31">
        <v>163</v>
      </c>
      <c r="B31">
        <v>1</v>
      </c>
      <c r="C31" t="s">
        <v>3</v>
      </c>
      <c r="D31" t="s">
        <v>108</v>
      </c>
      <c r="E31" t="s">
        <v>109</v>
      </c>
      <c r="F31" t="s">
        <v>109</v>
      </c>
      <c r="G31" t="s">
        <v>109</v>
      </c>
      <c r="H31" t="s">
        <v>3</v>
      </c>
      <c r="I31" t="s">
        <v>109</v>
      </c>
      <c r="J31" t="s">
        <v>109</v>
      </c>
      <c r="K31" t="s">
        <v>3</v>
      </c>
      <c r="L31" t="s">
        <v>3</v>
      </c>
      <c r="M31" t="s">
        <v>3</v>
      </c>
      <c r="N31" t="s">
        <v>108</v>
      </c>
      <c r="O31" t="s">
        <v>109</v>
      </c>
      <c r="P31" t="s">
        <v>3</v>
      </c>
      <c r="Q31" t="s">
        <v>3</v>
      </c>
      <c r="R31" t="s">
        <v>3</v>
      </c>
      <c r="S31" t="s">
        <v>276</v>
      </c>
      <c r="T31" t="s">
        <v>277</v>
      </c>
      <c r="U31" t="s">
        <v>278</v>
      </c>
    </row>
    <row r="32" spans="1:21" x14ac:dyDescent="0.25">
      <c r="A32">
        <v>164</v>
      </c>
      <c r="B32">
        <v>1</v>
      </c>
      <c r="C32" t="s">
        <v>3</v>
      </c>
      <c r="D32" t="s">
        <v>108</v>
      </c>
      <c r="E32" t="s">
        <v>109</v>
      </c>
      <c r="F32" t="s">
        <v>109</v>
      </c>
      <c r="G32" t="s">
        <v>109</v>
      </c>
      <c r="H32" t="s">
        <v>3</v>
      </c>
      <c r="I32" t="s">
        <v>109</v>
      </c>
      <c r="J32" t="s">
        <v>109</v>
      </c>
      <c r="K32" t="s">
        <v>3</v>
      </c>
      <c r="L32" t="s">
        <v>3</v>
      </c>
      <c r="M32" t="s">
        <v>3</v>
      </c>
      <c r="N32" t="s">
        <v>108</v>
      </c>
      <c r="O32" t="s">
        <v>109</v>
      </c>
      <c r="P32" t="s">
        <v>3</v>
      </c>
      <c r="Q32" t="s">
        <v>3</v>
      </c>
      <c r="R32" t="s">
        <v>3</v>
      </c>
      <c r="S32" t="s">
        <v>276</v>
      </c>
      <c r="T32" t="s">
        <v>277</v>
      </c>
      <c r="U32" t="s">
        <v>278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02-01-16</v>
      </c>
      <c r="G12" t="str">
        <f>Source!G12</f>
        <v>02-01-16 Электрочасофикация 15.07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2026-07-17T07:12:21Z</dcterms:created>
  <dcterms:modified xsi:type="dcterms:W3CDTF">2026-07-17T07:13:43Z</dcterms:modified>
</cp:coreProperties>
</file>